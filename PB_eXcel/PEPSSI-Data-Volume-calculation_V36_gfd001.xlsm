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0" documentId="8_{349525B1-3A67-49B8-AD7B-5FC7B1C6E60A}" xr6:coauthVersionLast="47" xr6:coauthVersionMax="47" xr10:uidLastSave="{00000000-0000-0000-0000-000000000000}"/>
  <bookViews>
    <workbookView xWindow="28680" yWindow="-240" windowWidth="29040" windowHeight="16440" tabRatio="906" activeTab="1" xr2:uid="{00000000-000D-0000-FFFF-FFFF00000000}"/>
  </bookViews>
  <sheets>
    <sheet name="2025_pb_2" sheetId="21" r:id="rId1"/>
    <sheet name="swp_ssf" sheetId="95" r:id="rId2"/>
    <sheet name="pep_ssf" sheetId="19" r:id="rId3"/>
    <sheet name="dev" sheetId="22" r:id="rId4"/>
    <sheet name="_tl24-277-07-50" sheetId="86" r:id="rId5"/>
    <sheet name="_tl25-096-16-35" sheetId="87" r:id="rId6"/>
    <sheet name="_tl25-116-08-15" sheetId="88" r:id="rId7"/>
    <sheet name="_tl25-118-07-25" sheetId="89" r:id="rId8"/>
    <sheet name="_tl25-123-08-15" sheetId="90" r:id="rId9"/>
    <sheet name="_tl25-138-22-20" sheetId="91" r:id="rId10"/>
    <sheet name="_tl25-160-03-11" sheetId="92" r:id="rId11"/>
    <sheet name="_tl25-219-03-27" sheetId="93" r:id="rId12"/>
    <sheet name="_tl26-179-03-29" sheetId="94" r:id="rId13"/>
    <sheet name="_tl_template" sheetId="20" r:id="rId14"/>
    <sheet name="sclk_data" sheetId="17" r:id="rId15"/>
    <sheet name="btc_mods" sheetId="16" r:id="rId16"/>
    <sheet name="SWAP Data Volumns" sheetId="6" r:id="rId17"/>
    <sheet name="2025_pb" sheetId="2" r:id="rId18"/>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2" hidden="1">pep_ssf!$A$13:$D$68</definedName>
    <definedName name="ExternalData_2" localSheetId="1" hidden="1">swp_ssf!$A$13:$D$74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8" i="95" l="1"/>
  <c r="G67" i="95"/>
  <c r="G66" i="95"/>
  <c r="G65" i="95"/>
  <c r="G64" i="95"/>
  <c r="G63" i="95"/>
  <c r="G62" i="95"/>
  <c r="G61" i="95"/>
  <c r="G60" i="95"/>
  <c r="G59" i="95"/>
  <c r="H58" i="95"/>
  <c r="G58" i="95"/>
  <c r="J58" i="95" s="1"/>
  <c r="K57" i="95"/>
  <c r="I57" i="95"/>
  <c r="G57" i="95"/>
  <c r="G56" i="95"/>
  <c r="G55" i="95"/>
  <c r="G54" i="95"/>
  <c r="G53" i="95"/>
  <c r="G52" i="95"/>
  <c r="H51" i="95"/>
  <c r="G51" i="95"/>
  <c r="J51" i="95" s="1"/>
  <c r="G50" i="95"/>
  <c r="G49" i="95"/>
  <c r="G48" i="95"/>
  <c r="G47" i="95"/>
  <c r="G46" i="95"/>
  <c r="G45" i="95"/>
  <c r="G44" i="95"/>
  <c r="G43" i="95"/>
  <c r="G42" i="95"/>
  <c r="G41" i="95"/>
  <c r="J40" i="95"/>
  <c r="H40" i="95"/>
  <c r="G40" i="95"/>
  <c r="G39" i="95"/>
  <c r="G38" i="95"/>
  <c r="G37" i="95"/>
  <c r="G36" i="95"/>
  <c r="G35" i="95"/>
  <c r="G34" i="95"/>
  <c r="G33" i="95"/>
  <c r="G32" i="95"/>
  <c r="G31" i="95"/>
  <c r="G30" i="95"/>
  <c r="G29" i="95"/>
  <c r="G28" i="95"/>
  <c r="H27" i="95"/>
  <c r="G27" i="95"/>
  <c r="J27" i="95" s="1"/>
  <c r="G26" i="95"/>
  <c r="G25" i="95"/>
  <c r="G24" i="95"/>
  <c r="G23" i="95"/>
  <c r="G22" i="95"/>
  <c r="G21" i="95"/>
  <c r="G20" i="95"/>
  <c r="G19" i="95"/>
  <c r="G18" i="95"/>
  <c r="G17" i="95"/>
  <c r="G16" i="95"/>
  <c r="G15" i="95"/>
  <c r="J15" i="95" s="1"/>
  <c r="J14" i="95"/>
  <c r="H14" i="95"/>
  <c r="G14" i="95"/>
  <c r="G14" i="19"/>
  <c r="R14" i="19" s="1"/>
  <c r="V14" i="19" s="1"/>
  <c r="G15" i="19"/>
  <c r="N15" i="19" s="1"/>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H14" i="19"/>
  <c r="H28" i="19"/>
  <c r="H52" i="19"/>
  <c r="I68" i="19"/>
  <c r="J14" i="19"/>
  <c r="J15" i="19"/>
  <c r="J16" i="19"/>
  <c r="J28" i="19"/>
  <c r="J52" i="19"/>
  <c r="J53" i="19"/>
  <c r="M14" i="19"/>
  <c r="X14" i="19" s="1"/>
  <c r="M15" i="19"/>
  <c r="M18" i="19"/>
  <c r="X18" i="19" s="1"/>
  <c r="M19" i="19"/>
  <c r="X19" i="19" s="1"/>
  <c r="M20" i="19"/>
  <c r="M22" i="19"/>
  <c r="M23" i="19"/>
  <c r="M24" i="19"/>
  <c r="M25" i="19"/>
  <c r="M26" i="19"/>
  <c r="X26" i="19" s="1"/>
  <c r="M27" i="19"/>
  <c r="X27" i="19" s="1"/>
  <c r="M28" i="19"/>
  <c r="M32" i="19"/>
  <c r="X32" i="19" s="1"/>
  <c r="M33" i="19"/>
  <c r="M34" i="19" s="1"/>
  <c r="M35" i="19" s="1"/>
  <c r="X35" i="19" s="1"/>
  <c r="M36" i="19"/>
  <c r="X36" i="19" s="1"/>
  <c r="M39" i="19"/>
  <c r="X39" i="19" s="1"/>
  <c r="M40" i="19"/>
  <c r="X40" i="19" s="1"/>
  <c r="M41" i="19"/>
  <c r="X41" i="19" s="1"/>
  <c r="M42" i="19"/>
  <c r="M43" i="19" s="1"/>
  <c r="M47" i="19"/>
  <c r="M48" i="19"/>
  <c r="M49" i="19" s="1"/>
  <c r="M52" i="19"/>
  <c r="M56" i="19"/>
  <c r="X56" i="19" s="1"/>
  <c r="M57" i="19"/>
  <c r="M60" i="19"/>
  <c r="X60" i="19" s="1"/>
  <c r="M61" i="19"/>
  <c r="M63" i="19"/>
  <c r="M64" i="19"/>
  <c r="M65" i="19"/>
  <c r="X65" i="19" s="1"/>
  <c r="M66" i="19"/>
  <c r="X66" i="19" s="1"/>
  <c r="M67" i="19"/>
  <c r="N14" i="19"/>
  <c r="N16" i="19"/>
  <c r="N20" i="19"/>
  <c r="N21" i="19" s="1"/>
  <c r="N25" i="19"/>
  <c r="N26" i="19"/>
  <c r="N27" i="19"/>
  <c r="N28" i="19"/>
  <c r="N30" i="19"/>
  <c r="N34" i="19"/>
  <c r="N38" i="19"/>
  <c r="N39" i="19"/>
  <c r="N40" i="19"/>
  <c r="N46" i="19"/>
  <c r="N47" i="19"/>
  <c r="N52" i="19"/>
  <c r="Z52" i="19" s="1"/>
  <c r="N53" i="19"/>
  <c r="N54" i="19"/>
  <c r="N58" i="19"/>
  <c r="N62" i="19"/>
  <c r="N67" i="19"/>
  <c r="N68" i="19"/>
  <c r="O14" i="19"/>
  <c r="AA14" i="19" s="1"/>
  <c r="O15" i="19"/>
  <c r="O17" i="19"/>
  <c r="O18" i="19"/>
  <c r="O19" i="19" s="1"/>
  <c r="O20" i="19" s="1"/>
  <c r="O21" i="19"/>
  <c r="O22" i="19"/>
  <c r="AA22" i="19" s="1"/>
  <c r="O23" i="19"/>
  <c r="AA23" i="19" s="1"/>
  <c r="O24" i="19"/>
  <c r="O25" i="19"/>
  <c r="O26" i="19"/>
  <c r="AA26" i="19" s="1"/>
  <c r="O27" i="19"/>
  <c r="AA27" i="19" s="1"/>
  <c r="O28" i="19"/>
  <c r="O29" i="19"/>
  <c r="O30" i="19"/>
  <c r="O31" i="19"/>
  <c r="O32" i="19"/>
  <c r="AA32" i="19" s="1"/>
  <c r="O35" i="19"/>
  <c r="AA35" i="19" s="1"/>
  <c r="O36" i="19"/>
  <c r="AA36" i="19" s="1"/>
  <c r="O37" i="19"/>
  <c r="O40" i="19"/>
  <c r="O41" i="19"/>
  <c r="O42" i="19"/>
  <c r="AA42" i="19" s="1"/>
  <c r="O43" i="19"/>
  <c r="AA43" i="19" s="1"/>
  <c r="O44" i="19"/>
  <c r="O48" i="19"/>
  <c r="O52" i="19"/>
  <c r="AA52" i="19" s="1"/>
  <c r="O53" i="19"/>
  <c r="AA53" i="19" s="1"/>
  <c r="O55" i="19"/>
  <c r="AA55" i="19" s="1"/>
  <c r="O56" i="19"/>
  <c r="O59" i="19"/>
  <c r="O60" i="19" s="1"/>
  <c r="O61" i="19" s="1"/>
  <c r="O62" i="19" s="1"/>
  <c r="O63" i="19" s="1"/>
  <c r="O64" i="19"/>
  <c r="O65" i="19"/>
  <c r="AA65" i="19" s="1"/>
  <c r="O66" i="19"/>
  <c r="P14" i="19"/>
  <c r="W14" i="19" s="1"/>
  <c r="P15" i="19"/>
  <c r="W15" i="19" s="1"/>
  <c r="P19" i="19"/>
  <c r="P20" i="19"/>
  <c r="P21" i="19"/>
  <c r="P23" i="19"/>
  <c r="P24" i="19" s="1"/>
  <c r="P25" i="19" s="1"/>
  <c r="P26" i="19" s="1"/>
  <c r="W26" i="19" s="1"/>
  <c r="P27" i="19"/>
  <c r="W27" i="19" s="1"/>
  <c r="P28" i="19"/>
  <c r="P29" i="19"/>
  <c r="P33" i="19"/>
  <c r="P34" i="19"/>
  <c r="P37" i="19"/>
  <c r="P38" i="19" s="1"/>
  <c r="P39" i="19" s="1"/>
  <c r="P41" i="19"/>
  <c r="W41" i="19" s="1"/>
  <c r="P42" i="19"/>
  <c r="W42" i="19" s="1"/>
  <c r="P49" i="19"/>
  <c r="W49" i="19" s="1"/>
  <c r="P50" i="19"/>
  <c r="W50" i="19" s="1"/>
  <c r="P51" i="19"/>
  <c r="W51" i="19" s="1"/>
  <c r="P52" i="19"/>
  <c r="P57" i="19"/>
  <c r="W57" i="19" s="1"/>
  <c r="P58" i="19"/>
  <c r="P59" i="19" s="1"/>
  <c r="P60" i="19" s="1"/>
  <c r="P61" i="19"/>
  <c r="P62" i="19"/>
  <c r="P63" i="19"/>
  <c r="P64" i="19" s="1"/>
  <c r="W64" i="19" s="1"/>
  <c r="P65" i="19"/>
  <c r="P66" i="19"/>
  <c r="P67" i="19"/>
  <c r="W67" i="19" s="1"/>
  <c r="P68" i="19"/>
  <c r="W68" i="19" s="1"/>
  <c r="Q14" i="19"/>
  <c r="Q28" i="19"/>
  <c r="Q44" i="19"/>
  <c r="Q45" i="19"/>
  <c r="Q46" i="19"/>
  <c r="Q47" i="19"/>
  <c r="Q48" i="19" s="1"/>
  <c r="Q52" i="19"/>
  <c r="Q53" i="19"/>
  <c r="Q54" i="19"/>
  <c r="Y54" i="19" s="1"/>
  <c r="Q55" i="19"/>
  <c r="Q56" i="19" s="1"/>
  <c r="R28" i="19"/>
  <c r="U28" i="19" s="1"/>
  <c r="R44" i="19"/>
  <c r="R45" i="19"/>
  <c r="R46" i="19"/>
  <c r="R47" i="19"/>
  <c r="R52" i="19"/>
  <c r="R53" i="19"/>
  <c r="S14" i="19"/>
  <c r="S15" i="19" s="1"/>
  <c r="S16" i="19" s="1"/>
  <c r="S28" i="19"/>
  <c r="S42" i="19"/>
  <c r="S52" i="19"/>
  <c r="S53" i="19"/>
  <c r="S54" i="19"/>
  <c r="S55" i="19"/>
  <c r="S56" i="19" s="1"/>
  <c r="S57" i="19"/>
  <c r="S58" i="19"/>
  <c r="S66" i="19"/>
  <c r="S67" i="19" s="1"/>
  <c r="U14" i="19"/>
  <c r="V28" i="19"/>
  <c r="W19" i="19"/>
  <c r="W20" i="19"/>
  <c r="W23" i="19"/>
  <c r="W24" i="19"/>
  <c r="W25" i="19"/>
  <c r="W28" i="19"/>
  <c r="W33" i="19"/>
  <c r="W37" i="19"/>
  <c r="W38" i="19"/>
  <c r="W58" i="19"/>
  <c r="W59" i="19"/>
  <c r="W60" i="19"/>
  <c r="W61" i="19"/>
  <c r="W62" i="19"/>
  <c r="W63" i="19"/>
  <c r="W65" i="19"/>
  <c r="W66" i="19"/>
  <c r="X22" i="19"/>
  <c r="X23" i="19"/>
  <c r="X24" i="19"/>
  <c r="X25" i="19"/>
  <c r="X33" i="19"/>
  <c r="X42" i="19"/>
  <c r="X47" i="19"/>
  <c r="X63" i="19"/>
  <c r="X64" i="19"/>
  <c r="Y28" i="19"/>
  <c r="Y52" i="19"/>
  <c r="Z14" i="19"/>
  <c r="Z15" i="19"/>
  <c r="Z28" i="19"/>
  <c r="AA17" i="19"/>
  <c r="AA18" i="19"/>
  <c r="AA19" i="19"/>
  <c r="AA20" i="19"/>
  <c r="AA21" i="19"/>
  <c r="AA24" i="19"/>
  <c r="AA25" i="19"/>
  <c r="AA28" i="19"/>
  <c r="AA29" i="19"/>
  <c r="AA30" i="19"/>
  <c r="AA31" i="19"/>
  <c r="AA40" i="19"/>
  <c r="AA41" i="19"/>
  <c r="AA59" i="19"/>
  <c r="AA60" i="19"/>
  <c r="AA61" i="19"/>
  <c r="AA62" i="19"/>
  <c r="AA63" i="19"/>
  <c r="AA64" i="19"/>
  <c r="AA19" i="22"/>
  <c r="AA31" i="22"/>
  <c r="AA30" i="22"/>
  <c r="AA28" i="22"/>
  <c r="AA26" i="22"/>
  <c r="AA24" i="22"/>
  <c r="AA22" i="22"/>
  <c r="AA21" i="22"/>
  <c r="AA20" i="22"/>
  <c r="K25" i="22"/>
  <c r="J25" i="22" s="1"/>
  <c r="K30" i="22"/>
  <c r="J30" i="22" s="1"/>
  <c r="K29" i="22"/>
  <c r="J29" i="22" s="1"/>
  <c r="L103" i="6"/>
  <c r="K103" i="6"/>
  <c r="L151" i="6"/>
  <c r="K151" i="6"/>
  <c r="L139" i="6"/>
  <c r="K139" i="6"/>
  <c r="L121" i="6"/>
  <c r="K121" i="6"/>
  <c r="L112" i="6"/>
  <c r="K112" i="6"/>
  <c r="L94" i="6"/>
  <c r="K94" i="6"/>
  <c r="L85" i="6"/>
  <c r="K85" i="6"/>
  <c r="L76" i="6"/>
  <c r="K76" i="6"/>
  <c r="L67" i="6"/>
  <c r="K67" i="6"/>
  <c r="L58" i="6"/>
  <c r="K58" i="6"/>
  <c r="L49" i="6"/>
  <c r="K49" i="6"/>
  <c r="L40" i="6"/>
  <c r="K40" i="6"/>
  <c r="J31" i="22"/>
  <c r="J24" i="22"/>
  <c r="J23" i="22"/>
  <c r="J22" i="22"/>
  <c r="J21" i="22"/>
  <c r="J20" i="22"/>
  <c r="J19" i="22"/>
  <c r="J18" i="22"/>
  <c r="K17" i="22"/>
  <c r="J17" i="22" s="1"/>
  <c r="T10" i="22"/>
  <c r="K11" i="22" s="1"/>
  <c r="K26" i="22"/>
  <c r="J26" i="22" s="1"/>
  <c r="F27" i="6"/>
  <c r="G103" i="6"/>
  <c r="I103" i="6"/>
  <c r="S9" i="22"/>
  <c r="U31" i="22"/>
  <c r="S4" i="22"/>
  <c r="S8" i="22" s="1"/>
  <c r="S5"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1" i="94"/>
  <c r="E11" i="92"/>
  <c r="E11" i="87"/>
  <c r="E14" i="93"/>
  <c r="E12" i="89"/>
  <c r="E12" i="94"/>
  <c r="E11" i="90"/>
  <c r="E12" i="90"/>
  <c r="E12" i="86"/>
  <c r="E13" i="93"/>
  <c r="E20" i="93"/>
  <c r="E12" i="93"/>
  <c r="E13" i="92"/>
  <c r="E11" i="93"/>
  <c r="E12" i="91"/>
  <c r="E11" i="91"/>
  <c r="E11" i="86"/>
  <c r="E17" i="93"/>
  <c r="E15" i="93"/>
  <c r="E12" i="87"/>
  <c r="E14" i="92"/>
  <c r="E13" i="94"/>
  <c r="E11" i="89"/>
  <c r="E12" i="92"/>
  <c r="E11" i="88"/>
  <c r="E19" i="93"/>
  <c r="E12" i="88"/>
  <c r="E18" i="93"/>
  <c r="E16" i="93"/>
  <c r="O17" i="22"/>
  <c r="O23" i="22"/>
  <c r="O24" i="22"/>
  <c r="O30" i="22"/>
  <c r="O25" i="22"/>
  <c r="Q11" i="22"/>
  <c r="R12" i="22"/>
  <c r="O26" i="22"/>
  <c r="O18" i="22"/>
  <c r="O29" i="22"/>
  <c r="O27" i="22"/>
  <c r="O28" i="22"/>
  <c r="R17" i="22"/>
  <c r="F66" i="95" a="1"/>
  <c r="F46" i="95" a="1"/>
  <c r="F26" i="95" a="1"/>
  <c r="F57" i="95" a="1"/>
  <c r="F17" i="95" a="1"/>
  <c r="F34" i="95" a="1"/>
  <c r="F19" i="95" a="1"/>
  <c r="F53" i="95" a="1"/>
  <c r="F67" i="95" a="1"/>
  <c r="F64" i="95" a="1"/>
  <c r="F41" i="95" a="1"/>
  <c r="F21" i="95" a="1"/>
  <c r="F58" i="95" a="1"/>
  <c r="F18" i="95" a="1"/>
  <c r="F15" i="95" a="1"/>
  <c r="F29" i="95" a="1"/>
  <c r="F63" i="95" a="1"/>
  <c r="F43" i="95" a="1"/>
  <c r="F23" i="95" a="1"/>
  <c r="F60" i="95" a="1"/>
  <c r="F40" i="95" a="1"/>
  <c r="F20" i="95" a="1"/>
  <c r="F37" i="95" a="1"/>
  <c r="F54" i="95" a="1"/>
  <c r="F14" i="95" a="1"/>
  <c r="F62" i="95" a="1"/>
  <c r="F59" i="95" a="1"/>
  <c r="F39" i="95" a="1"/>
  <c r="F56" i="95" a="1"/>
  <c r="F36" i="95" a="1"/>
  <c r="F50" i="95" a="1"/>
  <c r="F47" i="95" a="1"/>
  <c r="F27" i="95" a="1"/>
  <c r="F51" i="95" a="1"/>
  <c r="F31" i="95" a="1"/>
  <c r="F48" i="95" a="1"/>
  <c r="F28" i="95" a="1"/>
  <c r="F65" i="95" a="1"/>
  <c r="F45" i="95" a="1"/>
  <c r="F25" i="95" a="1"/>
  <c r="F42" i="95" a="1"/>
  <c r="F22" i="95" a="1"/>
  <c r="F16" i="95" a="1"/>
  <c r="F33" i="95" a="1"/>
  <c r="F30" i="95" a="1"/>
  <c r="F44" i="95" a="1"/>
  <c r="F35" i="95" a="1"/>
  <c r="F68" i="95" a="1"/>
  <c r="F24" i="95" a="1"/>
  <c r="F61" i="95" a="1"/>
  <c r="F38" i="95" a="1"/>
  <c r="F55" i="95" a="1"/>
  <c r="F52" i="95" a="1"/>
  <c r="F32" i="95" a="1"/>
  <c r="F49" i="95" a="1"/>
  <c r="F14" i="19" a="1"/>
  <c r="F24" i="19" a="1"/>
  <c r="F34" i="19" a="1"/>
  <c r="F44" i="19" a="1"/>
  <c r="F54" i="19" a="1"/>
  <c r="F64" i="19" a="1"/>
  <c r="F15" i="19" a="1"/>
  <c r="F25" i="19" a="1"/>
  <c r="F35" i="19" a="1"/>
  <c r="F45" i="19" a="1"/>
  <c r="F55" i="19" a="1"/>
  <c r="F65" i="19" a="1"/>
  <c r="F16" i="19" a="1"/>
  <c r="F26" i="19" a="1"/>
  <c r="F36" i="19" a="1"/>
  <c r="F46" i="19" a="1"/>
  <c r="F56" i="19" a="1"/>
  <c r="F66" i="19" a="1"/>
  <c r="F20" i="19" a="1"/>
  <c r="F30" i="19" a="1"/>
  <c r="F40" i="19" a="1"/>
  <c r="F50" i="19" a="1"/>
  <c r="F60" i="19" a="1"/>
  <c r="F29" i="19" a="1"/>
  <c r="F43" i="19" a="1"/>
  <c r="F58" i="19" a="1"/>
  <c r="F17" i="19" a="1"/>
  <c r="F31" i="19" a="1"/>
  <c r="F59" i="19" a="1"/>
  <c r="F18" i="19" a="1"/>
  <c r="F52" i="19" a="1"/>
  <c r="F19" i="19" a="1"/>
  <c r="F37" i="19" a="1"/>
  <c r="F53" i="19" a="1"/>
  <c r="F23" i="19" a="1"/>
  <c r="F42" i="19" a="1"/>
  <c r="F68" i="19" a="1"/>
  <c r="F21" i="19" a="1"/>
  <c r="F48" i="19" a="1"/>
  <c r="F22" i="19" a="1"/>
  <c r="F49" i="19" a="1"/>
  <c r="F27" i="19" a="1"/>
  <c r="F61" i="19" a="1"/>
  <c r="F28" i="19" a="1"/>
  <c r="F62" i="19" a="1"/>
  <c r="F63" i="19" a="1"/>
  <c r="F32" i="19" a="1"/>
  <c r="F33" i="19" a="1"/>
  <c r="F38" i="19" a="1"/>
  <c r="F47" i="19" a="1"/>
  <c r="F39" i="19" a="1"/>
  <c r="F41" i="19" a="1"/>
  <c r="F51" i="19" a="1"/>
  <c r="F57" i="19" a="1"/>
  <c r="F67" i="19" a="1"/>
  <c r="D11" i="91"/>
  <c r="D12" i="86"/>
  <c r="D11" i="86"/>
  <c r="C11" i="89"/>
  <c r="C12" i="86"/>
  <c r="C11" i="94"/>
  <c r="C12" i="93"/>
  <c r="L25" i="22"/>
  <c r="D12" i="87"/>
  <c r="D12" i="91"/>
  <c r="C17" i="93"/>
  <c r="D13" i="92"/>
  <c r="C12" i="94"/>
  <c r="D13" i="93"/>
  <c r="C18" i="93"/>
  <c r="D13" i="94"/>
  <c r="C11" i="91"/>
  <c r="D20" i="93"/>
  <c r="D17" i="93"/>
  <c r="D15" i="93"/>
  <c r="C11" i="90"/>
  <c r="C12" i="89"/>
  <c r="D11" i="88"/>
  <c r="C20" i="93"/>
  <c r="C12" i="88"/>
  <c r="C16" i="93"/>
  <c r="C19" i="93"/>
  <c r="D11" i="89"/>
  <c r="D14" i="92"/>
  <c r="D11" i="92"/>
  <c r="D12" i="92"/>
  <c r="C13" i="92"/>
  <c r="C11" i="92"/>
  <c r="D11" i="94"/>
  <c r="D18" i="93"/>
  <c r="D12" i="89"/>
  <c r="C11" i="93"/>
  <c r="D14" i="93"/>
  <c r="C13" i="93"/>
  <c r="D12" i="90"/>
  <c r="D12" i="93"/>
  <c r="C11" i="87"/>
  <c r="C12" i="90"/>
  <c r="C14" i="93"/>
  <c r="C11" i="86"/>
  <c r="D19" i="93"/>
  <c r="D12" i="94"/>
  <c r="C14" i="92"/>
  <c r="D16" i="93"/>
  <c r="C15" i="93"/>
  <c r="D11" i="93"/>
  <c r="D11" i="87"/>
  <c r="C12" i="92"/>
  <c r="D11" i="90"/>
  <c r="C12" i="87"/>
  <c r="C11" i="88"/>
  <c r="L17" i="22"/>
  <c r="D12" i="88"/>
  <c r="C13" i="94"/>
  <c r="C12" i="91"/>
  <c r="F49" i="95" l="1"/>
  <c r="F32" i="95"/>
  <c r="F52" i="95"/>
  <c r="F55" i="95"/>
  <c r="F38" i="95"/>
  <c r="F61" i="95"/>
  <c r="F24" i="95"/>
  <c r="F68" i="95"/>
  <c r="F35" i="95"/>
  <c r="F44" i="95"/>
  <c r="F30" i="95"/>
  <c r="F33" i="95"/>
  <c r="F16" i="95"/>
  <c r="F22" i="95"/>
  <c r="F42" i="95"/>
  <c r="F25" i="95"/>
  <c r="F45" i="95"/>
  <c r="F65" i="95"/>
  <c r="F28" i="95"/>
  <c r="F48" i="95"/>
  <c r="F31" i="95"/>
  <c r="F51" i="95"/>
  <c r="F27" i="95"/>
  <c r="F47" i="95"/>
  <c r="F50" i="95"/>
  <c r="F36" i="95"/>
  <c r="F56" i="95"/>
  <c r="F39" i="95"/>
  <c r="F59" i="95"/>
  <c r="F62" i="95"/>
  <c r="F14" i="95"/>
  <c r="F54" i="95"/>
  <c r="F37" i="95"/>
  <c r="F20" i="95"/>
  <c r="F40" i="95"/>
  <c r="F60" i="95"/>
  <c r="F23" i="95"/>
  <c r="F43" i="95"/>
  <c r="F63" i="95"/>
  <c r="F29" i="95"/>
  <c r="F15" i="95"/>
  <c r="F18" i="95"/>
  <c r="F58" i="95"/>
  <c r="F21" i="95"/>
  <c r="F41" i="95"/>
  <c r="F64" i="95"/>
  <c r="F67" i="95"/>
  <c r="F53" i="95"/>
  <c r="F19" i="95"/>
  <c r="F34" i="95"/>
  <c r="F17" i="95"/>
  <c r="F57" i="95"/>
  <c r="F26" i="95"/>
  <c r="F46" i="95"/>
  <c r="F66" i="95"/>
  <c r="J53" i="95"/>
  <c r="J54" i="95" s="1"/>
  <c r="J55" i="95" s="1"/>
  <c r="J16" i="95"/>
  <c r="J17" i="95" s="1"/>
  <c r="J18" i="95" s="1"/>
  <c r="J52" i="95"/>
  <c r="J41" i="95"/>
  <c r="J59" i="95"/>
  <c r="J60" i="95" s="1"/>
  <c r="J61" i="95" s="1"/>
  <c r="J28" i="95"/>
  <c r="J29" i="95" s="1"/>
  <c r="F67" i="19"/>
  <c r="F57" i="19"/>
  <c r="F51" i="19"/>
  <c r="F41" i="19"/>
  <c r="F39" i="19"/>
  <c r="F47" i="19"/>
  <c r="F38" i="19"/>
  <c r="F33" i="19"/>
  <c r="F32" i="19"/>
  <c r="F63" i="19"/>
  <c r="F62" i="19"/>
  <c r="F28" i="19"/>
  <c r="F61" i="19"/>
  <c r="F27" i="19"/>
  <c r="F49" i="19"/>
  <c r="F22" i="19"/>
  <c r="F48" i="19"/>
  <c r="F21" i="19"/>
  <c r="F68" i="19"/>
  <c r="F42" i="19"/>
  <c r="F23" i="19"/>
  <c r="F53" i="19"/>
  <c r="F37" i="19"/>
  <c r="F19" i="19"/>
  <c r="F52" i="19"/>
  <c r="F18" i="19"/>
  <c r="F59" i="19"/>
  <c r="F31" i="19"/>
  <c r="F17" i="19"/>
  <c r="F58" i="19"/>
  <c r="F43" i="19"/>
  <c r="F29" i="19"/>
  <c r="F60" i="19"/>
  <c r="F50" i="19"/>
  <c r="F40" i="19"/>
  <c r="F30" i="19"/>
  <c r="F20" i="19"/>
  <c r="F66" i="19"/>
  <c r="F56" i="19"/>
  <c r="F46" i="19"/>
  <c r="F36" i="19"/>
  <c r="F26" i="19"/>
  <c r="F16" i="19"/>
  <c r="F65" i="19"/>
  <c r="F55" i="19"/>
  <c r="F45" i="19"/>
  <c r="F35" i="19"/>
  <c r="F25" i="19"/>
  <c r="F15" i="19"/>
  <c r="F64" i="19"/>
  <c r="F54" i="19"/>
  <c r="F44" i="19"/>
  <c r="F34" i="19"/>
  <c r="F24" i="19"/>
  <c r="F14" i="19"/>
  <c r="Y68" i="19"/>
  <c r="Z68" i="19"/>
  <c r="X48" i="19"/>
  <c r="P53" i="19"/>
  <c r="W52" i="19"/>
  <c r="AA66" i="19"/>
  <c r="O67" i="19"/>
  <c r="U53" i="19"/>
  <c r="V53" i="19"/>
  <c r="Z53" i="19"/>
  <c r="M58" i="19"/>
  <c r="X57" i="19"/>
  <c r="X20" i="19"/>
  <c r="M21" i="19"/>
  <c r="X21" i="19" s="1"/>
  <c r="O38" i="19"/>
  <c r="AA37" i="19"/>
  <c r="AA56" i="19"/>
  <c r="O57" i="19"/>
  <c r="Q15" i="19"/>
  <c r="Y14" i="19"/>
  <c r="S17" i="19"/>
  <c r="S18" i="19" s="1"/>
  <c r="S19" i="19" s="1"/>
  <c r="S20" i="19" s="1"/>
  <c r="S21" i="19" s="1"/>
  <c r="S22" i="19" s="1"/>
  <c r="S23" i="19" s="1"/>
  <c r="S24" i="19" s="1"/>
  <c r="S25" i="19" s="1"/>
  <c r="S26" i="19" s="1"/>
  <c r="S27" i="19" s="1"/>
  <c r="N17" i="19"/>
  <c r="J17" i="19"/>
  <c r="W39" i="19"/>
  <c r="P40" i="19"/>
  <c r="W40" i="19" s="1"/>
  <c r="M16" i="19"/>
  <c r="X15" i="19"/>
  <c r="M50" i="19"/>
  <c r="X49" i="19"/>
  <c r="Y53" i="19"/>
  <c r="Q57" i="19"/>
  <c r="Q58" i="19" s="1"/>
  <c r="Q59" i="19" s="1"/>
  <c r="Q60" i="19" s="1"/>
  <c r="Q61" i="19" s="1"/>
  <c r="Q62" i="19" s="1"/>
  <c r="N41" i="19"/>
  <c r="O45" i="19"/>
  <c r="AA44" i="19"/>
  <c r="AA15" i="19"/>
  <c r="O16" i="19"/>
  <c r="AA16" i="19" s="1"/>
  <c r="P22" i="19"/>
  <c r="W22" i="19" s="1"/>
  <c r="W21" i="19"/>
  <c r="X52" i="19"/>
  <c r="M53" i="19"/>
  <c r="Y67" i="19"/>
  <c r="X43" i="19"/>
  <c r="M44" i="19"/>
  <c r="O33" i="19"/>
  <c r="Q51" i="19"/>
  <c r="N59" i="19"/>
  <c r="W34" i="19"/>
  <c r="P35" i="19"/>
  <c r="P30" i="19"/>
  <c r="W29" i="19"/>
  <c r="O49" i="19"/>
  <c r="AA48" i="19"/>
  <c r="U47" i="19"/>
  <c r="Z47" i="19"/>
  <c r="V47" i="19"/>
  <c r="M29" i="19"/>
  <c r="X28" i="19"/>
  <c r="U52" i="19"/>
  <c r="V52" i="19"/>
  <c r="Y47" i="19"/>
  <c r="R51" i="19"/>
  <c r="X61" i="19"/>
  <c r="M62" i="19"/>
  <c r="X62" i="19" s="1"/>
  <c r="N63" i="19"/>
  <c r="Q43" i="19"/>
  <c r="S43" i="19"/>
  <c r="S44" i="19" s="1"/>
  <c r="S45" i="19" s="1"/>
  <c r="S46" i="19" s="1"/>
  <c r="S47" i="19" s="1"/>
  <c r="S48" i="19" s="1"/>
  <c r="S49" i="19" s="1"/>
  <c r="S50" i="19" s="1"/>
  <c r="S51" i="19" s="1"/>
  <c r="N43" i="19"/>
  <c r="X34" i="19"/>
  <c r="N22" i="19"/>
  <c r="N31" i="19"/>
  <c r="Q30" i="19"/>
  <c r="Y30" i="19" s="1"/>
  <c r="Q50" i="19"/>
  <c r="N50" i="19"/>
  <c r="N51" i="19" s="1"/>
  <c r="Q68" i="19"/>
  <c r="P16" i="19"/>
  <c r="Q49" i="19"/>
  <c r="Q29" i="19"/>
  <c r="N29" i="19"/>
  <c r="S29" i="19"/>
  <c r="R29" i="19"/>
  <c r="R30" i="19" s="1"/>
  <c r="J30" i="19"/>
  <c r="J31" i="19" s="1"/>
  <c r="S68" i="19"/>
  <c r="R68" i="19"/>
  <c r="U68" i="19" s="1"/>
  <c r="N48" i="19"/>
  <c r="U46" i="19"/>
  <c r="Y46" i="19"/>
  <c r="Z46" i="19"/>
  <c r="R48" i="19"/>
  <c r="R49" i="19" s="1"/>
  <c r="R50" i="19" s="1"/>
  <c r="P43" i="19"/>
  <c r="J29" i="19"/>
  <c r="Q67" i="19"/>
  <c r="V46" i="19"/>
  <c r="S30" i="19"/>
  <c r="S31" i="19" s="1"/>
  <c r="S32" i="19" s="1"/>
  <c r="S33" i="19" s="1"/>
  <c r="S34" i="19" s="1"/>
  <c r="S35" i="19" s="1"/>
  <c r="S36" i="19" s="1"/>
  <c r="S37" i="19" s="1"/>
  <c r="S38" i="19" s="1"/>
  <c r="S39" i="19" s="1"/>
  <c r="S40" i="19" s="1"/>
  <c r="S41" i="19" s="1"/>
  <c r="X67" i="19"/>
  <c r="M68" i="19"/>
  <c r="X68" i="19" s="1"/>
  <c r="O54" i="19"/>
  <c r="AA54" i="19" s="1"/>
  <c r="M37" i="19"/>
  <c r="N36" i="19"/>
  <c r="R16" i="19"/>
  <c r="N55" i="19"/>
  <c r="R55" i="19"/>
  <c r="R56" i="19" s="1"/>
  <c r="R57" i="19" s="1"/>
  <c r="R58" i="19" s="1"/>
  <c r="J55" i="19"/>
  <c r="J56" i="19" s="1"/>
  <c r="N35" i="19"/>
  <c r="R54" i="19"/>
  <c r="J54" i="19"/>
  <c r="S59" i="19"/>
  <c r="S60" i="19" s="1"/>
  <c r="S61" i="19" s="1"/>
  <c r="S62" i="19" s="1"/>
  <c r="S63" i="19" s="1"/>
  <c r="S64" i="19" s="1"/>
  <c r="S65" i="19" s="1"/>
  <c r="R15" i="19"/>
  <c r="AA17" i="22"/>
  <c r="K28" i="22"/>
  <c r="J28" i="22" s="1"/>
  <c r="AA18" i="22"/>
  <c r="AA23" i="22"/>
  <c r="AA27" i="22"/>
  <c r="K27" i="22"/>
  <c r="J27" i="22" s="1"/>
  <c r="AA25" i="22"/>
  <c r="AA29" i="22"/>
  <c r="Q18" i="22"/>
  <c r="S17" i="22"/>
  <c r="S3" i="22"/>
  <c r="S7" i="22" s="1"/>
  <c r="S2" i="22"/>
  <c r="S6" i="22" s="1"/>
  <c r="U2" i="22"/>
  <c r="R25" i="22"/>
  <c r="M17" i="22"/>
  <c r="L18" i="22"/>
  <c r="J19" i="95" l="1"/>
  <c r="J30" i="95"/>
  <c r="J62" i="95"/>
  <c r="J56" i="95"/>
  <c r="J42" i="95"/>
  <c r="R59" i="19"/>
  <c r="R60" i="19" s="1"/>
  <c r="R61" i="19" s="1"/>
  <c r="R62" i="19" s="1"/>
  <c r="U58" i="19"/>
  <c r="V58" i="19"/>
  <c r="J57" i="19"/>
  <c r="J32" i="19"/>
  <c r="V51" i="19"/>
  <c r="Y51" i="19"/>
  <c r="Z51" i="19" s="1"/>
  <c r="U51" i="19"/>
  <c r="Y62" i="19"/>
  <c r="Q63" i="19"/>
  <c r="Q64" i="19" s="1"/>
  <c r="Q65" i="19" s="1"/>
  <c r="Q66" i="19" s="1"/>
  <c r="M30" i="19"/>
  <c r="X29" i="19"/>
  <c r="U55" i="19"/>
  <c r="V55" i="19"/>
  <c r="Y55" i="19"/>
  <c r="Z55" i="19" s="1"/>
  <c r="AA33" i="19"/>
  <c r="O34" i="19"/>
  <c r="AA34" i="19" s="1"/>
  <c r="U30" i="19"/>
  <c r="R31" i="19"/>
  <c r="R32" i="19" s="1"/>
  <c r="R33" i="19" s="1"/>
  <c r="R34" i="19" s="1"/>
  <c r="P31" i="19"/>
  <c r="W30" i="19"/>
  <c r="O39" i="19"/>
  <c r="AA39" i="19" s="1"/>
  <c r="AA38" i="19"/>
  <c r="V16" i="19"/>
  <c r="U16" i="19"/>
  <c r="AA57" i="19"/>
  <c r="O58" i="19"/>
  <c r="AA58" i="19" s="1"/>
  <c r="V68" i="19"/>
  <c r="N32" i="19"/>
  <c r="Z30" i="19"/>
  <c r="W16" i="19"/>
  <c r="P17" i="19"/>
  <c r="N42" i="19"/>
  <c r="O68" i="19"/>
  <c r="AA68" i="19" s="1"/>
  <c r="AA67" i="19"/>
  <c r="V48" i="19"/>
  <c r="N49" i="19"/>
  <c r="Y48" i="19"/>
  <c r="Z48" i="19" s="1"/>
  <c r="U48" i="19"/>
  <c r="O46" i="19"/>
  <c r="AA45" i="19"/>
  <c r="N18" i="19"/>
  <c r="X44" i="19"/>
  <c r="M45" i="19"/>
  <c r="W35" i="19"/>
  <c r="P36" i="19"/>
  <c r="W36" i="19" s="1"/>
  <c r="V29" i="19"/>
  <c r="Z29" i="19"/>
  <c r="U29" i="19"/>
  <c r="Y29" i="19"/>
  <c r="P44" i="19"/>
  <c r="W43" i="19"/>
  <c r="U15" i="19"/>
  <c r="V15" i="19"/>
  <c r="U54" i="19"/>
  <c r="V54" i="19"/>
  <c r="Z54" i="19"/>
  <c r="M51" i="19"/>
  <c r="X51" i="19" s="1"/>
  <c r="X50" i="19"/>
  <c r="Q16" i="19"/>
  <c r="Y15" i="19"/>
  <c r="R17" i="19"/>
  <c r="R18" i="19" s="1"/>
  <c r="R19" i="19" s="1"/>
  <c r="R20" i="19" s="1"/>
  <c r="O50" i="19"/>
  <c r="AA49" i="19"/>
  <c r="N56" i="19"/>
  <c r="N64" i="19"/>
  <c r="V30" i="19"/>
  <c r="V59" i="19"/>
  <c r="Z59" i="19"/>
  <c r="N60" i="19"/>
  <c r="Y59" i="19"/>
  <c r="Y58" i="19"/>
  <c r="Z58" i="19" s="1"/>
  <c r="P54" i="19"/>
  <c r="W53" i="19"/>
  <c r="V50" i="19"/>
  <c r="Y50" i="19"/>
  <c r="Z50" i="19" s="1"/>
  <c r="U50" i="19"/>
  <c r="J18" i="19"/>
  <c r="N44" i="19"/>
  <c r="Y43" i="19"/>
  <c r="Q31" i="19"/>
  <c r="Q32" i="19" s="1"/>
  <c r="Q33" i="19" s="1"/>
  <c r="Q34" i="19" s="1"/>
  <c r="N23" i="19"/>
  <c r="N37" i="19"/>
  <c r="X58" i="19"/>
  <c r="M59" i="19"/>
  <c r="X59" i="19" s="1"/>
  <c r="X53" i="19"/>
  <c r="M54" i="19"/>
  <c r="X37" i="19"/>
  <c r="M38" i="19"/>
  <c r="X38" i="19" s="1"/>
  <c r="M17" i="19"/>
  <c r="X17" i="19" s="1"/>
  <c r="X16" i="19"/>
  <c r="Q29" i="22"/>
  <c r="R18" i="22"/>
  <c r="S25" i="22"/>
  <c r="Y17" i="22"/>
  <c r="M25" i="22"/>
  <c r="L29" i="22"/>
  <c r="M18" i="22"/>
  <c r="T17" i="22"/>
  <c r="J57" i="95" l="1"/>
  <c r="K56" i="95" s="1"/>
  <c r="I56" i="95" s="1"/>
  <c r="J63" i="95"/>
  <c r="J43" i="95"/>
  <c r="J31" i="95"/>
  <c r="J20" i="95"/>
  <c r="U34" i="19"/>
  <c r="V34" i="19"/>
  <c r="R35" i="19"/>
  <c r="J33" i="19"/>
  <c r="Y34" i="19"/>
  <c r="Z34" i="19" s="1"/>
  <c r="Q35" i="19"/>
  <c r="P45" i="19"/>
  <c r="W44" i="19"/>
  <c r="U44" i="19"/>
  <c r="Y44" i="19"/>
  <c r="V44" i="19"/>
  <c r="Z44" i="19"/>
  <c r="N45" i="19"/>
  <c r="M31" i="19"/>
  <c r="X31" i="19" s="1"/>
  <c r="X30" i="19"/>
  <c r="Y64" i="19"/>
  <c r="N65" i="19"/>
  <c r="Y63" i="19"/>
  <c r="U56" i="19"/>
  <c r="V56" i="19"/>
  <c r="Y56" i="19"/>
  <c r="Z56" i="19"/>
  <c r="N57" i="19"/>
  <c r="P18" i="19"/>
  <c r="W18" i="19" s="1"/>
  <c r="W17" i="19"/>
  <c r="O51" i="19"/>
  <c r="AA51" i="19" s="1"/>
  <c r="AA50" i="19"/>
  <c r="M46" i="19"/>
  <c r="X46" i="19" s="1"/>
  <c r="X45" i="19"/>
  <c r="P32" i="19"/>
  <c r="W32" i="19" s="1"/>
  <c r="W31" i="19"/>
  <c r="X54" i="19"/>
  <c r="M55" i="19"/>
  <c r="X55" i="19" s="1"/>
  <c r="U31" i="19"/>
  <c r="U17" i="19"/>
  <c r="Y31" i="19"/>
  <c r="Z31" i="19" s="1"/>
  <c r="Y16" i="19"/>
  <c r="Z16" i="19" s="1"/>
  <c r="Q17" i="19"/>
  <c r="Y32" i="19"/>
  <c r="V32" i="19"/>
  <c r="Z32" i="19"/>
  <c r="U32" i="19"/>
  <c r="N33" i="19"/>
  <c r="J58" i="19"/>
  <c r="W54" i="19"/>
  <c r="P55" i="19"/>
  <c r="U18" i="19"/>
  <c r="V18" i="19"/>
  <c r="N19" i="19"/>
  <c r="V31" i="19"/>
  <c r="V17" i="19"/>
  <c r="N24" i="19"/>
  <c r="U59" i="19"/>
  <c r="V49" i="19"/>
  <c r="U49" i="19"/>
  <c r="Y49" i="19"/>
  <c r="Z49" i="19" s="1"/>
  <c r="J19" i="19"/>
  <c r="R21" i="19"/>
  <c r="V20" i="19"/>
  <c r="U20" i="19"/>
  <c r="V60" i="19"/>
  <c r="U60" i="19"/>
  <c r="Y60" i="19"/>
  <c r="Z60" i="19" s="1"/>
  <c r="N61" i="19"/>
  <c r="AA46" i="19"/>
  <c r="O47" i="19"/>
  <c r="AA47" i="19" s="1"/>
  <c r="Z62" i="19"/>
  <c r="V62" i="19"/>
  <c r="R63" i="19"/>
  <c r="U62" i="19"/>
  <c r="Y25" i="22"/>
  <c r="Y18" i="22"/>
  <c r="Q19" i="22"/>
  <c r="S18" i="22"/>
  <c r="V17" i="22"/>
  <c r="AB17" i="22" s="1"/>
  <c r="P452" i="21"/>
  <c r="R29" i="22"/>
  <c r="L19" i="22"/>
  <c r="T25" i="22"/>
  <c r="T18" i="22"/>
  <c r="J44" i="95" l="1"/>
  <c r="J64" i="95"/>
  <c r="J21" i="95"/>
  <c r="K55" i="95"/>
  <c r="J32" i="95"/>
  <c r="Y57" i="19"/>
  <c r="U57" i="19"/>
  <c r="Z57" i="19"/>
  <c r="V57" i="19"/>
  <c r="W55" i="19"/>
  <c r="P56" i="19"/>
  <c r="W56" i="19" s="1"/>
  <c r="Q36" i="19"/>
  <c r="Y35" i="19"/>
  <c r="Y61" i="19"/>
  <c r="Z61" i="19"/>
  <c r="U61" i="19"/>
  <c r="V61" i="19"/>
  <c r="R36" i="19"/>
  <c r="V35" i="19"/>
  <c r="Z35" i="19"/>
  <c r="U35" i="19"/>
  <c r="U19" i="19"/>
  <c r="V19" i="19"/>
  <c r="J20" i="19"/>
  <c r="J59" i="19"/>
  <c r="P46" i="19"/>
  <c r="W45" i="19"/>
  <c r="J34" i="19"/>
  <c r="Q18" i="19"/>
  <c r="Y17" i="19"/>
  <c r="Z17" i="19" s="1"/>
  <c r="Y65" i="19"/>
  <c r="N66" i="19"/>
  <c r="R22" i="19"/>
  <c r="U21" i="19"/>
  <c r="V21" i="19"/>
  <c r="U45" i="19"/>
  <c r="Y45" i="19"/>
  <c r="Z45" i="19"/>
  <c r="V45" i="19"/>
  <c r="R64" i="19"/>
  <c r="V63" i="19"/>
  <c r="Z63" i="19"/>
  <c r="U63" i="19"/>
  <c r="Y33" i="19"/>
  <c r="V33" i="19"/>
  <c r="Z33" i="19"/>
  <c r="U33" i="19"/>
  <c r="Q30" i="22"/>
  <c r="S29" i="22"/>
  <c r="V25" i="22"/>
  <c r="AC25" i="22" s="1"/>
  <c r="V18" i="22"/>
  <c r="X18" i="22" s="1"/>
  <c r="W19" i="22" s="1"/>
  <c r="R19" i="22"/>
  <c r="Q20" i="22" s="1"/>
  <c r="AC17" i="22"/>
  <c r="X17" i="22"/>
  <c r="M29" i="22"/>
  <c r="L20" i="22"/>
  <c r="M19" i="22"/>
  <c r="J33" i="95" l="1"/>
  <c r="J65" i="95"/>
  <c r="J45" i="95"/>
  <c r="I55" i="95"/>
  <c r="K54" i="95"/>
  <c r="J22" i="95"/>
  <c r="Q19" i="19"/>
  <c r="Y18" i="19"/>
  <c r="Z18" i="19" s="1"/>
  <c r="R23" i="19"/>
  <c r="V22" i="19"/>
  <c r="U22" i="19"/>
  <c r="Y66" i="19"/>
  <c r="J35" i="19"/>
  <c r="Q37" i="19"/>
  <c r="Y36" i="19"/>
  <c r="Z36" i="19" s="1"/>
  <c r="P47" i="19"/>
  <c r="W46" i="19"/>
  <c r="J21" i="19"/>
  <c r="R37" i="19"/>
  <c r="V36" i="19"/>
  <c r="U36" i="19"/>
  <c r="R65" i="19"/>
  <c r="V64" i="19"/>
  <c r="U64" i="19"/>
  <c r="Z64" i="19"/>
  <c r="J60" i="19"/>
  <c r="X25" i="22"/>
  <c r="Y29" i="22"/>
  <c r="AB25" i="22"/>
  <c r="S19" i="22"/>
  <c r="AB18" i="22"/>
  <c r="AC18" i="22"/>
  <c r="R20" i="22"/>
  <c r="Q21" i="22" s="1"/>
  <c r="Y19" i="22"/>
  <c r="AO288" i="21"/>
  <c r="AN288" i="21"/>
  <c r="AP288" i="21"/>
  <c r="R30" i="22"/>
  <c r="L30" i="22"/>
  <c r="L21" i="22"/>
  <c r="T29" i="22"/>
  <c r="T19" i="22"/>
  <c r="I54" i="95" l="1"/>
  <c r="K53" i="95"/>
  <c r="J66" i="95"/>
  <c r="J34" i="95"/>
  <c r="J23" i="95"/>
  <c r="J46" i="95"/>
  <c r="J22" i="19"/>
  <c r="P48" i="19"/>
  <c r="W48" i="19" s="1"/>
  <c r="W47" i="19"/>
  <c r="Q38" i="19"/>
  <c r="Y37" i="19"/>
  <c r="R24" i="19"/>
  <c r="U23" i="19"/>
  <c r="V23" i="19"/>
  <c r="J36" i="19"/>
  <c r="J61" i="19"/>
  <c r="R38" i="19"/>
  <c r="Z37" i="19"/>
  <c r="V37" i="19"/>
  <c r="U37" i="19"/>
  <c r="R66" i="19"/>
  <c r="U65" i="19"/>
  <c r="V65" i="19"/>
  <c r="Z65" i="19"/>
  <c r="Q20" i="19"/>
  <c r="Y19" i="19"/>
  <c r="Z19" i="19" s="1"/>
  <c r="V29" i="22"/>
  <c r="X29" i="22" s="1"/>
  <c r="S30" i="22"/>
  <c r="R21" i="22"/>
  <c r="Q22" i="22" s="1"/>
  <c r="V19" i="22"/>
  <c r="AC19" i="22" s="1"/>
  <c r="L22" i="22"/>
  <c r="M30" i="22"/>
  <c r="J47" i="95" l="1"/>
  <c r="J35" i="95"/>
  <c r="I53" i="95"/>
  <c r="K52" i="95"/>
  <c r="J24" i="95"/>
  <c r="J67" i="95"/>
  <c r="V38" i="19"/>
  <c r="U38" i="19"/>
  <c r="R39" i="19"/>
  <c r="J37" i="19"/>
  <c r="R67" i="19"/>
  <c r="U66" i="19"/>
  <c r="V66" i="19"/>
  <c r="Z66" i="19"/>
  <c r="J23" i="19"/>
  <c r="J62" i="19"/>
  <c r="R25" i="19"/>
  <c r="U24" i="19"/>
  <c r="V24" i="19"/>
  <c r="Y38" i="19"/>
  <c r="Z38" i="19" s="1"/>
  <c r="Q39" i="19"/>
  <c r="Y20" i="19"/>
  <c r="Z20" i="19" s="1"/>
  <c r="Q21" i="19"/>
  <c r="AB29" i="22"/>
  <c r="Y30" i="22"/>
  <c r="AC29" i="22"/>
  <c r="X19" i="22"/>
  <c r="AB19" i="22"/>
  <c r="T30" i="22"/>
  <c r="J68" i="95" l="1"/>
  <c r="J25" i="95"/>
  <c r="K23" i="95"/>
  <c r="I52" i="95"/>
  <c r="H52" i="95"/>
  <c r="H53" i="95" s="1"/>
  <c r="H54" i="95" s="1"/>
  <c r="H55" i="95" s="1"/>
  <c r="H56" i="95" s="1"/>
  <c r="H57" i="95" s="1"/>
  <c r="K51" i="95"/>
  <c r="I51" i="95" s="1"/>
  <c r="J36" i="95"/>
  <c r="J48" i="95"/>
  <c r="Y39" i="19"/>
  <c r="Q40" i="19"/>
  <c r="R26" i="19"/>
  <c r="V25" i="19"/>
  <c r="U25" i="19"/>
  <c r="J38" i="19"/>
  <c r="R40" i="19"/>
  <c r="V39" i="19"/>
  <c r="Z39" i="19"/>
  <c r="U39" i="19"/>
  <c r="J63" i="19"/>
  <c r="K61" i="19"/>
  <c r="J24" i="19"/>
  <c r="U67" i="19"/>
  <c r="Z67" i="19"/>
  <c r="V67" i="19"/>
  <c r="Q22" i="19"/>
  <c r="Y21" i="19"/>
  <c r="Z21" i="19" s="1"/>
  <c r="V30" i="22"/>
  <c r="W20" i="22"/>
  <c r="I23" i="95" l="1"/>
  <c r="K22" i="95"/>
  <c r="J49" i="95"/>
  <c r="J37" i="95"/>
  <c r="J26" i="95"/>
  <c r="K68" i="95"/>
  <c r="I68" i="95" s="1"/>
  <c r="K67" i="95"/>
  <c r="I61" i="19"/>
  <c r="K60" i="19"/>
  <c r="R27" i="19"/>
  <c r="V26" i="19"/>
  <c r="U26" i="19"/>
  <c r="J64" i="19"/>
  <c r="U40" i="19"/>
  <c r="V40" i="19"/>
  <c r="R41" i="19"/>
  <c r="Q23" i="19"/>
  <c r="Y22" i="19"/>
  <c r="Z22" i="19" s="1"/>
  <c r="J25" i="19"/>
  <c r="K23" i="19"/>
  <c r="K37" i="19"/>
  <c r="J39" i="19"/>
  <c r="Y40" i="19"/>
  <c r="Z40" i="19" s="1"/>
  <c r="Q41" i="19"/>
  <c r="AB30" i="22"/>
  <c r="X30" i="22"/>
  <c r="W31" i="22" s="1"/>
  <c r="AC30" i="22"/>
  <c r="S20" i="22"/>
  <c r="M20" i="22"/>
  <c r="I67" i="95" l="1"/>
  <c r="K66" i="95"/>
  <c r="K26" i="95"/>
  <c r="I26" i="95" s="1"/>
  <c r="K36" i="95"/>
  <c r="J38" i="95"/>
  <c r="J50" i="95"/>
  <c r="I22" i="95"/>
  <c r="K21" i="95"/>
  <c r="J40" i="19"/>
  <c r="I23" i="19"/>
  <c r="K22" i="19"/>
  <c r="R42" i="19"/>
  <c r="U41" i="19"/>
  <c r="V41" i="19"/>
  <c r="J65" i="19"/>
  <c r="J26" i="19"/>
  <c r="U27" i="19"/>
  <c r="V27" i="19"/>
  <c r="Q42" i="19"/>
  <c r="Y42" i="19" s="1"/>
  <c r="Y41" i="19"/>
  <c r="Z41" i="19" s="1"/>
  <c r="I37" i="19"/>
  <c r="K36" i="19"/>
  <c r="Q24" i="19"/>
  <c r="Y23" i="19"/>
  <c r="Z23" i="19" s="1"/>
  <c r="I60" i="19"/>
  <c r="K59" i="19"/>
  <c r="Y20" i="22"/>
  <c r="T20" i="22"/>
  <c r="I21" i="95" l="1"/>
  <c r="K20" i="95"/>
  <c r="K50" i="95"/>
  <c r="I50" i="95" s="1"/>
  <c r="K49" i="95"/>
  <c r="I66" i="95"/>
  <c r="K65" i="95"/>
  <c r="J39" i="95"/>
  <c r="I36" i="95"/>
  <c r="K35" i="95"/>
  <c r="K25" i="95"/>
  <c r="Q25" i="19"/>
  <c r="Y24" i="19"/>
  <c r="Z24" i="19" s="1"/>
  <c r="I36" i="19"/>
  <c r="K35" i="19"/>
  <c r="J66" i="19"/>
  <c r="R43" i="19"/>
  <c r="U42" i="19"/>
  <c r="V42" i="19"/>
  <c r="Z42" i="19"/>
  <c r="I59" i="19"/>
  <c r="K58" i="19"/>
  <c r="J27" i="19"/>
  <c r="I22" i="19"/>
  <c r="K21" i="19"/>
  <c r="J41" i="19"/>
  <c r="V20" i="22"/>
  <c r="AB20" i="22" s="1"/>
  <c r="I35" i="95" l="1"/>
  <c r="K34" i="95"/>
  <c r="K39" i="95"/>
  <c r="I39" i="95" s="1"/>
  <c r="I65" i="95"/>
  <c r="K64" i="95"/>
  <c r="I49" i="95"/>
  <c r="K48" i="95"/>
  <c r="I20" i="95"/>
  <c r="K19" i="95"/>
  <c r="I25" i="95"/>
  <c r="K24" i="95"/>
  <c r="I24" i="95" s="1"/>
  <c r="J67" i="19"/>
  <c r="K27" i="19"/>
  <c r="I27" i="19" s="1"/>
  <c r="Z43" i="19"/>
  <c r="U43" i="19"/>
  <c r="V43" i="19"/>
  <c r="I35" i="19"/>
  <c r="K34" i="19"/>
  <c r="J42" i="19"/>
  <c r="I21" i="19"/>
  <c r="K20" i="19"/>
  <c r="I58" i="19"/>
  <c r="K57" i="19"/>
  <c r="Q26" i="19"/>
  <c r="Y25" i="19"/>
  <c r="Z25" i="19" s="1"/>
  <c r="X20" i="22"/>
  <c r="W21" i="22" s="1"/>
  <c r="AC20" i="22"/>
  <c r="M21" i="22"/>
  <c r="I64" i="95" l="1"/>
  <c r="K63" i="95"/>
  <c r="I48" i="95"/>
  <c r="K47" i="95"/>
  <c r="I19" i="95"/>
  <c r="K18" i="95"/>
  <c r="K38" i="95"/>
  <c r="I34" i="95"/>
  <c r="K33" i="95"/>
  <c r="Q27" i="19"/>
  <c r="Y27" i="19" s="1"/>
  <c r="Z27" i="19" s="1"/>
  <c r="Y26" i="19"/>
  <c r="Z26" i="19" s="1"/>
  <c r="J43" i="19"/>
  <c r="I34" i="19"/>
  <c r="K33" i="19"/>
  <c r="J68" i="19"/>
  <c r="I57" i="19"/>
  <c r="K56" i="19"/>
  <c r="I20" i="19"/>
  <c r="K19" i="19"/>
  <c r="K26" i="19"/>
  <c r="Y21" i="22"/>
  <c r="S21" i="22"/>
  <c r="T21" i="22"/>
  <c r="I33" i="95" l="1"/>
  <c r="K32" i="95"/>
  <c r="I38" i="95"/>
  <c r="K37" i="95"/>
  <c r="I37" i="95" s="1"/>
  <c r="I18" i="95"/>
  <c r="K17" i="95"/>
  <c r="I47" i="95"/>
  <c r="K46" i="95"/>
  <c r="I63" i="95"/>
  <c r="K62" i="95"/>
  <c r="K68" i="19"/>
  <c r="K67" i="19" s="1"/>
  <c r="I26" i="19"/>
  <c r="K25" i="19"/>
  <c r="I19" i="19"/>
  <c r="K18" i="19"/>
  <c r="I33" i="19"/>
  <c r="K32" i="19"/>
  <c r="J44" i="19"/>
  <c r="I56" i="19"/>
  <c r="K55" i="19"/>
  <c r="V21" i="22"/>
  <c r="I17" i="95" l="1"/>
  <c r="K16" i="95"/>
  <c r="I62" i="95"/>
  <c r="K61" i="95"/>
  <c r="I32" i="95"/>
  <c r="K31" i="95"/>
  <c r="I46" i="95"/>
  <c r="K45" i="95"/>
  <c r="I67" i="19"/>
  <c r="K66" i="19"/>
  <c r="I55" i="19"/>
  <c r="K54" i="19"/>
  <c r="I25" i="19"/>
  <c r="K24" i="19"/>
  <c r="J45" i="19"/>
  <c r="I32" i="19"/>
  <c r="K31" i="19"/>
  <c r="I18" i="19"/>
  <c r="K17" i="19"/>
  <c r="AC21" i="22"/>
  <c r="AB21" i="22"/>
  <c r="X21" i="22"/>
  <c r="W22" i="22" s="1"/>
  <c r="R22" i="22"/>
  <c r="I45" i="95" l="1"/>
  <c r="K44" i="95"/>
  <c r="I31" i="95"/>
  <c r="K30" i="95"/>
  <c r="I61" i="95"/>
  <c r="K60" i="95"/>
  <c r="I16" i="95"/>
  <c r="K15" i="95"/>
  <c r="I17" i="19"/>
  <c r="K16" i="19"/>
  <c r="K44" i="19"/>
  <c r="J46" i="19"/>
  <c r="I31" i="19"/>
  <c r="K30" i="19"/>
  <c r="I24" i="19"/>
  <c r="I54" i="19"/>
  <c r="K53" i="19"/>
  <c r="I66" i="19"/>
  <c r="K65" i="19"/>
  <c r="Q23" i="22"/>
  <c r="S22" i="22"/>
  <c r="R23" i="22"/>
  <c r="L23" i="22"/>
  <c r="M22" i="22"/>
  <c r="I15" i="95" l="1"/>
  <c r="H15" i="95"/>
  <c r="H16" i="95" s="1"/>
  <c r="H17" i="95" s="1"/>
  <c r="H18" i="95" s="1"/>
  <c r="H19" i="95" s="1"/>
  <c r="H20" i="95" s="1"/>
  <c r="H21" i="95" s="1"/>
  <c r="H22" i="95" s="1"/>
  <c r="H23" i="95" s="1"/>
  <c r="H24" i="95" s="1"/>
  <c r="H25" i="95" s="1"/>
  <c r="H26" i="95" s="1"/>
  <c r="K14" i="95"/>
  <c r="I14" i="95" s="1"/>
  <c r="I60" i="95"/>
  <c r="K59" i="95"/>
  <c r="I30" i="95"/>
  <c r="K29" i="95"/>
  <c r="I44" i="95"/>
  <c r="K43" i="95"/>
  <c r="I65" i="19"/>
  <c r="K64" i="19"/>
  <c r="I16" i="19"/>
  <c r="K15" i="19"/>
  <c r="I53" i="19"/>
  <c r="K52" i="19"/>
  <c r="I52" i="19" s="1"/>
  <c r="I30" i="19"/>
  <c r="K29" i="19"/>
  <c r="J47" i="19"/>
  <c r="I44" i="19"/>
  <c r="K43" i="19"/>
  <c r="Q24" i="22"/>
  <c r="S23" i="22"/>
  <c r="Y22" i="22"/>
  <c r="M23" i="22"/>
  <c r="T22" i="22"/>
  <c r="R24" i="22"/>
  <c r="I43" i="95" l="1"/>
  <c r="K42" i="95"/>
  <c r="I29" i="95"/>
  <c r="K28" i="95"/>
  <c r="I59" i="95"/>
  <c r="H59" i="95"/>
  <c r="H60" i="95" s="1"/>
  <c r="H61" i="95" s="1"/>
  <c r="H62" i="95" s="1"/>
  <c r="H63" i="95" s="1"/>
  <c r="H64" i="95" s="1"/>
  <c r="H65" i="95" s="1"/>
  <c r="H66" i="95" s="1"/>
  <c r="H67" i="95" s="1"/>
  <c r="H68" i="95" s="1"/>
  <c r="K58" i="95"/>
  <c r="I58" i="95" s="1"/>
  <c r="J48" i="19"/>
  <c r="H53" i="19"/>
  <c r="H54" i="19" s="1"/>
  <c r="H55" i="19" s="1"/>
  <c r="H56" i="19" s="1"/>
  <c r="H57" i="19" s="1"/>
  <c r="H58" i="19" s="1"/>
  <c r="H59" i="19" s="1"/>
  <c r="H60" i="19" s="1"/>
  <c r="H61" i="19" s="1"/>
  <c r="I15" i="19"/>
  <c r="K14" i="19"/>
  <c r="I14" i="19" s="1"/>
  <c r="H15" i="19"/>
  <c r="H16" i="19" s="1"/>
  <c r="H17" i="19" s="1"/>
  <c r="H18" i="19" s="1"/>
  <c r="H19" i="19" s="1"/>
  <c r="H20" i="19" s="1"/>
  <c r="H21" i="19" s="1"/>
  <c r="H22" i="19" s="1"/>
  <c r="H23" i="19" s="1"/>
  <c r="H24" i="19" s="1"/>
  <c r="H25" i="19" s="1"/>
  <c r="H26" i="19" s="1"/>
  <c r="H27" i="19" s="1"/>
  <c r="I64" i="19"/>
  <c r="K63" i="19"/>
  <c r="I43" i="19"/>
  <c r="K42" i="19"/>
  <c r="I29" i="19"/>
  <c r="K28" i="19"/>
  <c r="I28" i="19" s="1"/>
  <c r="Y23" i="22"/>
  <c r="Q26" i="22"/>
  <c r="S24" i="22"/>
  <c r="V22" i="22"/>
  <c r="X22" i="22" s="1"/>
  <c r="L26" i="22"/>
  <c r="L24" i="22"/>
  <c r="M24" i="22"/>
  <c r="T23" i="22"/>
  <c r="I42" i="95" l="1"/>
  <c r="K41" i="95"/>
  <c r="I28" i="95"/>
  <c r="K27" i="95"/>
  <c r="I27" i="95" s="1"/>
  <c r="J49" i="19"/>
  <c r="H29" i="19"/>
  <c r="H30" i="19" s="1"/>
  <c r="H31" i="19" s="1"/>
  <c r="H32" i="19" s="1"/>
  <c r="H33" i="19" s="1"/>
  <c r="H34" i="19" s="1"/>
  <c r="H35" i="19" s="1"/>
  <c r="H36" i="19" s="1"/>
  <c r="H37" i="19" s="1"/>
  <c r="I42" i="19"/>
  <c r="K41" i="19"/>
  <c r="I63" i="19"/>
  <c r="K62" i="19"/>
  <c r="I62" i="19" s="1"/>
  <c r="V23" i="22"/>
  <c r="AB23" i="22" s="1"/>
  <c r="Y24" i="22"/>
  <c r="AB22" i="22"/>
  <c r="AC22" i="22"/>
  <c r="AU6" i="19"/>
  <c r="AR3" i="19"/>
  <c r="AJ4" i="19"/>
  <c r="AC7" i="19"/>
  <c r="AD6" i="19"/>
  <c r="AF5" i="19"/>
  <c r="AS7" i="19"/>
  <c r="BG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R26" i="22"/>
  <c r="T24" i="22"/>
  <c r="H28" i="95" l="1"/>
  <c r="H29" i="95" s="1"/>
  <c r="H30" i="95" s="1"/>
  <c r="H31" i="95" s="1"/>
  <c r="H32" i="95" s="1"/>
  <c r="H33" i="95" s="1"/>
  <c r="H34" i="95" s="1"/>
  <c r="H35" i="95" s="1"/>
  <c r="H36" i="95" s="1"/>
  <c r="H37" i="95" s="1"/>
  <c r="H38" i="95" s="1"/>
  <c r="H39" i="95" s="1"/>
  <c r="I41" i="95"/>
  <c r="H41" i="95"/>
  <c r="H42" i="95" s="1"/>
  <c r="H43" i="95" s="1"/>
  <c r="H44" i="95" s="1"/>
  <c r="H45" i="95" s="1"/>
  <c r="H46" i="95" s="1"/>
  <c r="H47" i="95" s="1"/>
  <c r="H48" i="95" s="1"/>
  <c r="H49" i="95" s="1"/>
  <c r="H50" i="95" s="1"/>
  <c r="K40" i="95"/>
  <c r="I40" i="95" s="1"/>
  <c r="BG36" i="19"/>
  <c r="BG14" i="19"/>
  <c r="BG37" i="19"/>
  <c r="BG15" i="19"/>
  <c r="BG67" i="19"/>
  <c r="BG17" i="19"/>
  <c r="BG28" i="19"/>
  <c r="AD24" i="19"/>
  <c r="AD44" i="19"/>
  <c r="AD64" i="19"/>
  <c r="AD25" i="19"/>
  <c r="AD45" i="19"/>
  <c r="AD65" i="19"/>
  <c r="AD26" i="19"/>
  <c r="AD46" i="19"/>
  <c r="AD66" i="19"/>
  <c r="AD27" i="19"/>
  <c r="AD50" i="19"/>
  <c r="AD28" i="19"/>
  <c r="AD51" i="19"/>
  <c r="AD20" i="19"/>
  <c r="AD48" i="19"/>
  <c r="AD21" i="19"/>
  <c r="AD49" i="19"/>
  <c r="AD22" i="19"/>
  <c r="AD52" i="19"/>
  <c r="AD36" i="19"/>
  <c r="AD61" i="19"/>
  <c r="AD34" i="19"/>
  <c r="AD67" i="19"/>
  <c r="AD35" i="19"/>
  <c r="AD68" i="19"/>
  <c r="AD37" i="19"/>
  <c r="AD38" i="19"/>
  <c r="AD41" i="19"/>
  <c r="AD42" i="19"/>
  <c r="AD43" i="19"/>
  <c r="AD47" i="19"/>
  <c r="AD53" i="19"/>
  <c r="AD19" i="19"/>
  <c r="AD60" i="19"/>
  <c r="AD29" i="19"/>
  <c r="AD39" i="19"/>
  <c r="AD30" i="19"/>
  <c r="AD33" i="19"/>
  <c r="AD31" i="19"/>
  <c r="AD32" i="19"/>
  <c r="AD55" i="19"/>
  <c r="AD56" i="19"/>
  <c r="AD57" i="19"/>
  <c r="AD58" i="19"/>
  <c r="AD59" i="19"/>
  <c r="AD15" i="19"/>
  <c r="AD18" i="19"/>
  <c r="AD62" i="19"/>
  <c r="AD16" i="19"/>
  <c r="AD40" i="19"/>
  <c r="AD54" i="19"/>
  <c r="AD17" i="19"/>
  <c r="AD23" i="19"/>
  <c r="AD63" i="19"/>
  <c r="AD14" i="19"/>
  <c r="AR26" i="19"/>
  <c r="AR46" i="19"/>
  <c r="AR66" i="19"/>
  <c r="AR27" i="19"/>
  <c r="AR47" i="19"/>
  <c r="AR67" i="19"/>
  <c r="AR32" i="19"/>
  <c r="AR54" i="19"/>
  <c r="AR33" i="19"/>
  <c r="AR55" i="19"/>
  <c r="AR21" i="19"/>
  <c r="AR43" i="19"/>
  <c r="AR65" i="19"/>
  <c r="AR38" i="19"/>
  <c r="AR63" i="19"/>
  <c r="AR14" i="19"/>
  <c r="AR39" i="19"/>
  <c r="AR64" i="19"/>
  <c r="AR15" i="19"/>
  <c r="AR40" i="19"/>
  <c r="AR68" i="19"/>
  <c r="AR31" i="19"/>
  <c r="AR61" i="19"/>
  <c r="AR34" i="19"/>
  <c r="AR62" i="19"/>
  <c r="AR35" i="19"/>
  <c r="AR36" i="19"/>
  <c r="AR37" i="19"/>
  <c r="AR51" i="19"/>
  <c r="AR16" i="19"/>
  <c r="AR52" i="19"/>
  <c r="AR53" i="19"/>
  <c r="AR57" i="19"/>
  <c r="AR17" i="19"/>
  <c r="AR18" i="19"/>
  <c r="AR56" i="19"/>
  <c r="AR19" i="19"/>
  <c r="AR24" i="19"/>
  <c r="AR28" i="19"/>
  <c r="AR29" i="19"/>
  <c r="AR30" i="19"/>
  <c r="AR60" i="19"/>
  <c r="AR20" i="19"/>
  <c r="AR22" i="19"/>
  <c r="AR25" i="19"/>
  <c r="AR23" i="19"/>
  <c r="AR41" i="19"/>
  <c r="AR48" i="19"/>
  <c r="AR49" i="19"/>
  <c r="AR50" i="19"/>
  <c r="AR58" i="19"/>
  <c r="AR42" i="19"/>
  <c r="AR44" i="19"/>
  <c r="AR45" i="19"/>
  <c r="AR59" i="19"/>
  <c r="AX3" i="19"/>
  <c r="J50" i="19"/>
  <c r="AJ14" i="19"/>
  <c r="AJ34" i="19"/>
  <c r="AJ54" i="19"/>
  <c r="AJ15" i="19"/>
  <c r="AJ35" i="19"/>
  <c r="AJ55" i="19"/>
  <c r="AJ16" i="19"/>
  <c r="AJ36" i="19"/>
  <c r="AJ56" i="19"/>
  <c r="AJ25" i="19"/>
  <c r="AJ48" i="19"/>
  <c r="AJ26" i="19"/>
  <c r="AJ49" i="19"/>
  <c r="AJ31" i="19"/>
  <c r="AJ59" i="19"/>
  <c r="AJ32" i="19"/>
  <c r="AJ60" i="19"/>
  <c r="AJ20" i="19"/>
  <c r="AJ45" i="19"/>
  <c r="AJ18" i="19"/>
  <c r="AJ47" i="19"/>
  <c r="AJ19" i="19"/>
  <c r="AJ50" i="19"/>
  <c r="AJ21" i="19"/>
  <c r="AJ51" i="19"/>
  <c r="AJ22" i="19"/>
  <c r="AJ52" i="19"/>
  <c r="AJ27" i="19"/>
  <c r="AJ64" i="19"/>
  <c r="AJ28" i="19"/>
  <c r="AJ65" i="19"/>
  <c r="AJ67" i="19"/>
  <c r="AJ29" i="19"/>
  <c r="AJ66" i="19"/>
  <c r="AJ30" i="19"/>
  <c r="AJ33" i="19"/>
  <c r="AJ68" i="19"/>
  <c r="AJ43" i="19"/>
  <c r="AJ38" i="19"/>
  <c r="AJ39" i="19"/>
  <c r="AJ41" i="19"/>
  <c r="AJ40" i="19"/>
  <c r="AJ44" i="19"/>
  <c r="AJ42" i="19"/>
  <c r="AJ57" i="19"/>
  <c r="AJ58" i="19"/>
  <c r="AJ61" i="19"/>
  <c r="AJ62" i="19"/>
  <c r="AJ63" i="19"/>
  <c r="AJ53" i="19"/>
  <c r="AJ37" i="19"/>
  <c r="AJ24" i="19"/>
  <c r="AJ17" i="19"/>
  <c r="AJ23" i="19"/>
  <c r="AJ46" i="19"/>
  <c r="AU3" i="19"/>
  <c r="BA3" i="19"/>
  <c r="AF14" i="19"/>
  <c r="AF34" i="19"/>
  <c r="AF54" i="19"/>
  <c r="AF15" i="19"/>
  <c r="AF35" i="19"/>
  <c r="AF55" i="19"/>
  <c r="AF16" i="19"/>
  <c r="AF36" i="19"/>
  <c r="AF56" i="19"/>
  <c r="AF32" i="19"/>
  <c r="AF58" i="19"/>
  <c r="AF33" i="19"/>
  <c r="AF59" i="19"/>
  <c r="AF18" i="19"/>
  <c r="AF43" i="19"/>
  <c r="AF68" i="19"/>
  <c r="AF19" i="19"/>
  <c r="AF44" i="19"/>
  <c r="AF20" i="19"/>
  <c r="AF29" i="19"/>
  <c r="AF57" i="19"/>
  <c r="AF23" i="19"/>
  <c r="AF51" i="19"/>
  <c r="AF24" i="19"/>
  <c r="AF52" i="19"/>
  <c r="AF25" i="19"/>
  <c r="AF53" i="19"/>
  <c r="AF26" i="19"/>
  <c r="AF60" i="19"/>
  <c r="AF49" i="19"/>
  <c r="AF50" i="19"/>
  <c r="AF61" i="19"/>
  <c r="AF17" i="19"/>
  <c r="AF62" i="19"/>
  <c r="AF21" i="19"/>
  <c r="AF63" i="19"/>
  <c r="AF38" i="19"/>
  <c r="AF37" i="19"/>
  <c r="AF39" i="19"/>
  <c r="AF42" i="19"/>
  <c r="AF40" i="19"/>
  <c r="AF45" i="19"/>
  <c r="AF41" i="19"/>
  <c r="AF48" i="19"/>
  <c r="AF64" i="19"/>
  <c r="AF65" i="19"/>
  <c r="AF66" i="19"/>
  <c r="AF67" i="19"/>
  <c r="AF28" i="19"/>
  <c r="AF30" i="19"/>
  <c r="AF46" i="19"/>
  <c r="AF31" i="19"/>
  <c r="AF47" i="19"/>
  <c r="AF22" i="19"/>
  <c r="AF27" i="19"/>
  <c r="AK7" i="19"/>
  <c r="AC19" i="19"/>
  <c r="AC39" i="19"/>
  <c r="AC59" i="19"/>
  <c r="AC20" i="19"/>
  <c r="AC40" i="19"/>
  <c r="AC60" i="19"/>
  <c r="AC21" i="19"/>
  <c r="AC41" i="19"/>
  <c r="AC61" i="19"/>
  <c r="AC33" i="19"/>
  <c r="AC56" i="19"/>
  <c r="AC34" i="19"/>
  <c r="AC57" i="19"/>
  <c r="AC25" i="19"/>
  <c r="AC50" i="19"/>
  <c r="AC26" i="19"/>
  <c r="AC51" i="19"/>
  <c r="AC27" i="19"/>
  <c r="AC52" i="19"/>
  <c r="AC38" i="19"/>
  <c r="AC66" i="19"/>
  <c r="AC23" i="19"/>
  <c r="AC55" i="19"/>
  <c r="AC24" i="19"/>
  <c r="AC58" i="19"/>
  <c r="AC28" i="19"/>
  <c r="AC62" i="19"/>
  <c r="AC29" i="19"/>
  <c r="AC63" i="19"/>
  <c r="AC14" i="19"/>
  <c r="AC53" i="19"/>
  <c r="AC15" i="19"/>
  <c r="AC54" i="19"/>
  <c r="AC16" i="19"/>
  <c r="AC64" i="19"/>
  <c r="AC17" i="19"/>
  <c r="AC65" i="19"/>
  <c r="AC18" i="19"/>
  <c r="AC67" i="19"/>
  <c r="AC37" i="19"/>
  <c r="AC30" i="19"/>
  <c r="AC36" i="19"/>
  <c r="AC31" i="19"/>
  <c r="AC32" i="19"/>
  <c r="AC35" i="19"/>
  <c r="AC42" i="19"/>
  <c r="AC45" i="19"/>
  <c r="AC46" i="19"/>
  <c r="AC47" i="19"/>
  <c r="AC48" i="19"/>
  <c r="AC49" i="19"/>
  <c r="AC68" i="19"/>
  <c r="AC22" i="19"/>
  <c r="AC43" i="19"/>
  <c r="AC44" i="19"/>
  <c r="I41" i="19"/>
  <c r="K40" i="19"/>
  <c r="AS3" i="19"/>
  <c r="BC3" i="19"/>
  <c r="H62" i="19"/>
  <c r="H63" i="19" s="1"/>
  <c r="H64" i="19" s="1"/>
  <c r="H65" i="19" s="1"/>
  <c r="H66" i="19" s="1"/>
  <c r="H67" i="19" s="1"/>
  <c r="H68" i="19" s="1"/>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BE5" i="19"/>
  <c r="AM4" i="19"/>
  <c r="AQ4" i="19"/>
  <c r="BC4" i="19"/>
  <c r="BG4" i="19"/>
  <c r="BG38"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R27" i="22"/>
  <c r="L27" i="22"/>
  <c r="M26" i="22"/>
  <c r="AG19" i="19" l="1"/>
  <c r="AG39" i="19"/>
  <c r="AG59" i="19"/>
  <c r="AG20" i="19"/>
  <c r="AG40" i="19"/>
  <c r="AG60" i="19"/>
  <c r="AG21" i="19"/>
  <c r="AG41" i="19"/>
  <c r="AG61" i="19"/>
  <c r="AG26" i="19"/>
  <c r="AG49" i="19"/>
  <c r="AG27" i="19"/>
  <c r="AG50" i="19"/>
  <c r="AG38" i="19"/>
  <c r="AG66" i="19"/>
  <c r="AG14" i="19"/>
  <c r="AG42" i="19"/>
  <c r="AG67" i="19"/>
  <c r="AG29" i="19"/>
  <c r="AG54" i="19"/>
  <c r="AG30" i="19"/>
  <c r="AG58" i="19"/>
  <c r="AG31" i="19"/>
  <c r="AG62" i="19"/>
  <c r="AG32" i="19"/>
  <c r="AG63" i="19"/>
  <c r="AG33" i="19"/>
  <c r="AG64" i="19"/>
  <c r="AG36" i="19"/>
  <c r="AG37" i="19"/>
  <c r="AG43" i="19"/>
  <c r="AG44" i="19"/>
  <c r="AG45" i="19"/>
  <c r="AG17" i="19"/>
  <c r="AG55" i="19"/>
  <c r="AG28" i="19"/>
  <c r="AG48" i="19"/>
  <c r="AG34" i="19"/>
  <c r="AG47" i="19"/>
  <c r="AG35" i="19"/>
  <c r="AG46" i="19"/>
  <c r="AG53" i="19"/>
  <c r="AG56" i="19"/>
  <c r="AG57" i="19"/>
  <c r="AG65" i="19"/>
  <c r="AG68" i="19"/>
  <c r="AG16" i="19"/>
  <c r="AG15" i="19"/>
  <c r="AG22" i="19"/>
  <c r="AG18" i="19"/>
  <c r="AG24" i="19"/>
  <c r="AG23" i="19"/>
  <c r="AG25" i="19"/>
  <c r="AG51" i="19"/>
  <c r="AG52" i="19"/>
  <c r="BG32" i="19"/>
  <c r="BG56" i="19"/>
  <c r="BG64" i="19"/>
  <c r="BG58" i="19"/>
  <c r="BG62" i="19"/>
  <c r="BG35" i="19"/>
  <c r="BE30" i="19"/>
  <c r="BE50" i="19"/>
  <c r="BE31" i="19"/>
  <c r="BE51" i="19"/>
  <c r="BE22" i="19"/>
  <c r="BE44" i="19"/>
  <c r="BE66" i="19"/>
  <c r="BE27" i="19"/>
  <c r="BE52" i="19"/>
  <c r="BE28" i="19"/>
  <c r="BE53" i="19"/>
  <c r="BE29" i="19"/>
  <c r="BE54" i="19"/>
  <c r="BE32" i="19"/>
  <c r="BE55" i="19"/>
  <c r="BE33" i="19"/>
  <c r="BE56" i="19"/>
  <c r="BE36" i="19"/>
  <c r="BE64" i="19"/>
  <c r="BE37" i="19"/>
  <c r="BE65" i="19"/>
  <c r="BE39" i="19"/>
  <c r="BE67" i="19"/>
  <c r="BE68" i="19"/>
  <c r="BE40" i="19"/>
  <c r="BE38" i="19"/>
  <c r="BE16" i="19"/>
  <c r="BE45" i="19"/>
  <c r="BE18" i="19"/>
  <c r="BE47" i="19"/>
  <c r="BE19" i="19"/>
  <c r="BE48" i="19"/>
  <c r="BE24" i="19"/>
  <c r="BE25" i="19"/>
  <c r="BE34" i="19"/>
  <c r="BE42" i="19"/>
  <c r="BE57" i="19"/>
  <c r="BE17" i="19"/>
  <c r="BE46" i="19"/>
  <c r="BE20" i="19"/>
  <c r="BE26" i="19"/>
  <c r="BE41" i="19"/>
  <c r="BE35" i="19"/>
  <c r="BE43" i="19"/>
  <c r="BE49" i="19"/>
  <c r="BE63" i="19"/>
  <c r="BE58" i="19"/>
  <c r="BE62" i="19"/>
  <c r="BE21" i="19"/>
  <c r="BE59" i="19"/>
  <c r="BE60" i="19"/>
  <c r="BE14" i="19"/>
  <c r="BE61" i="19"/>
  <c r="BE15" i="19"/>
  <c r="BE23" i="19"/>
  <c r="BG48" i="19"/>
  <c r="BG53" i="19"/>
  <c r="BG57" i="19"/>
  <c r="BD25" i="19"/>
  <c r="BD45" i="19"/>
  <c r="BD65" i="19"/>
  <c r="BD26" i="19"/>
  <c r="BD46" i="19"/>
  <c r="BD66" i="19"/>
  <c r="BD33" i="19"/>
  <c r="BD55" i="19"/>
  <c r="BD35" i="19"/>
  <c r="BD36" i="19"/>
  <c r="BD59" i="19"/>
  <c r="BD37" i="19"/>
  <c r="BD60" i="19"/>
  <c r="BD62" i="19"/>
  <c r="BD14" i="19"/>
  <c r="BD38" i="19"/>
  <c r="BD61" i="19"/>
  <c r="BD15" i="19"/>
  <c r="BD39" i="19"/>
  <c r="BD16" i="19"/>
  <c r="BD40" i="19"/>
  <c r="BD63" i="19"/>
  <c r="BD24" i="19"/>
  <c r="BD56" i="19"/>
  <c r="BD27" i="19"/>
  <c r="BD57" i="19"/>
  <c r="BD67" i="19"/>
  <c r="BD58" i="19"/>
  <c r="BD30" i="19"/>
  <c r="BD28" i="19"/>
  <c r="BD64" i="19"/>
  <c r="BD29" i="19"/>
  <c r="BD41" i="19"/>
  <c r="BD43" i="19"/>
  <c r="BD44" i="19"/>
  <c r="BD23" i="19"/>
  <c r="BD31" i="19"/>
  <c r="BD34" i="19"/>
  <c r="BD50" i="19"/>
  <c r="BD20" i="19"/>
  <c r="BD21" i="19"/>
  <c r="BD42" i="19"/>
  <c r="BD47" i="19"/>
  <c r="BD32" i="19"/>
  <c r="BD49" i="19"/>
  <c r="BD52" i="19"/>
  <c r="BD48" i="19"/>
  <c r="BD51" i="19"/>
  <c r="BD53" i="19"/>
  <c r="BD17" i="19"/>
  <c r="BD18" i="19"/>
  <c r="BD54" i="19"/>
  <c r="BD68" i="19"/>
  <c r="BD19" i="19"/>
  <c r="BD22" i="19"/>
  <c r="BG47" i="19"/>
  <c r="BG52" i="19"/>
  <c r="BG34" i="19"/>
  <c r="I40" i="19"/>
  <c r="K39" i="19"/>
  <c r="BG16" i="19"/>
  <c r="AQ21" i="19"/>
  <c r="AQ41" i="19"/>
  <c r="AQ61" i="19"/>
  <c r="AQ22" i="19"/>
  <c r="AQ42" i="19"/>
  <c r="AQ62" i="19"/>
  <c r="AQ19" i="19"/>
  <c r="AQ43" i="19"/>
  <c r="AQ65" i="19"/>
  <c r="AQ20" i="19"/>
  <c r="AQ44" i="19"/>
  <c r="AQ66" i="19"/>
  <c r="AQ32" i="19"/>
  <c r="AQ54" i="19"/>
  <c r="AQ14" i="19"/>
  <c r="AQ39" i="19"/>
  <c r="AQ68" i="19"/>
  <c r="AQ15" i="19"/>
  <c r="AQ40" i="19"/>
  <c r="AQ16" i="19"/>
  <c r="AQ45" i="19"/>
  <c r="AQ27" i="19"/>
  <c r="AQ56" i="19"/>
  <c r="AQ28" i="19"/>
  <c r="AQ57" i="19"/>
  <c r="AQ29" i="19"/>
  <c r="AQ58" i="19"/>
  <c r="AQ30" i="19"/>
  <c r="AQ59" i="19"/>
  <c r="AQ31" i="19"/>
  <c r="AQ60" i="19"/>
  <c r="AQ24" i="19"/>
  <c r="AQ67" i="19"/>
  <c r="AQ25" i="19"/>
  <c r="AQ34" i="19"/>
  <c r="AQ26" i="19"/>
  <c r="AQ33" i="19"/>
  <c r="AQ38" i="19"/>
  <c r="AQ47" i="19"/>
  <c r="AQ48" i="19"/>
  <c r="AQ49" i="19"/>
  <c r="AQ50" i="19"/>
  <c r="AQ51" i="19"/>
  <c r="AQ53" i="19"/>
  <c r="AQ63" i="19"/>
  <c r="AQ64" i="19"/>
  <c r="AQ52" i="19"/>
  <c r="AQ55" i="19"/>
  <c r="AQ36" i="19"/>
  <c r="AQ37" i="19"/>
  <c r="AQ18" i="19"/>
  <c r="AQ17" i="19"/>
  <c r="AQ23" i="19"/>
  <c r="AQ35" i="19"/>
  <c r="AQ46" i="19"/>
  <c r="BG44" i="19"/>
  <c r="BG22" i="19"/>
  <c r="BG68" i="19"/>
  <c r="J51" i="19"/>
  <c r="BG65" i="19"/>
  <c r="BG51" i="19"/>
  <c r="BG46" i="19"/>
  <c r="AT16" i="19"/>
  <c r="AT36" i="19"/>
  <c r="AT56" i="19"/>
  <c r="AT17" i="19"/>
  <c r="AT37" i="19"/>
  <c r="AT32" i="19"/>
  <c r="AT54" i="19"/>
  <c r="AT33" i="19"/>
  <c r="AT55" i="19"/>
  <c r="AT23" i="19"/>
  <c r="AT45" i="19"/>
  <c r="AT66" i="19"/>
  <c r="AT31" i="19"/>
  <c r="AT59" i="19"/>
  <c r="AT34" i="19"/>
  <c r="AT60" i="19"/>
  <c r="AT35" i="19"/>
  <c r="AT61" i="19"/>
  <c r="AT15" i="19"/>
  <c r="AT46" i="19"/>
  <c r="AT18" i="19"/>
  <c r="AT47" i="19"/>
  <c r="AT19" i="19"/>
  <c r="AT48" i="19"/>
  <c r="AT20" i="19"/>
  <c r="AT49" i="19"/>
  <c r="AT21" i="19"/>
  <c r="AT50" i="19"/>
  <c r="AT25" i="19"/>
  <c r="AT64" i="19"/>
  <c r="AT26" i="19"/>
  <c r="AT65" i="19"/>
  <c r="AT28" i="19"/>
  <c r="AT29" i="19"/>
  <c r="AT27" i="19"/>
  <c r="AT67" i="19"/>
  <c r="AT68" i="19"/>
  <c r="AT40" i="19"/>
  <c r="AT42" i="19"/>
  <c r="AT43" i="19"/>
  <c r="AT44" i="19"/>
  <c r="AT30" i="19"/>
  <c r="AT38" i="19"/>
  <c r="AT53" i="19"/>
  <c r="AT22" i="19"/>
  <c r="AT41" i="19"/>
  <c r="AT58" i="19"/>
  <c r="AT63" i="19"/>
  <c r="AT39" i="19"/>
  <c r="AT51" i="19"/>
  <c r="AT52" i="19"/>
  <c r="AT14" i="19"/>
  <c r="AT57" i="19"/>
  <c r="AT62" i="19"/>
  <c r="AT24" i="19"/>
  <c r="BG55" i="19"/>
  <c r="BG61" i="19"/>
  <c r="AU20" i="19"/>
  <c r="AU40" i="19"/>
  <c r="AU60" i="19"/>
  <c r="AU21" i="19"/>
  <c r="AU41" i="19"/>
  <c r="AU61" i="19"/>
  <c r="AU31" i="19"/>
  <c r="AU51" i="19"/>
  <c r="AU27" i="19"/>
  <c r="AU50" i="19"/>
  <c r="AU28" i="19"/>
  <c r="AU52" i="19"/>
  <c r="AU29" i="19"/>
  <c r="AU53" i="19"/>
  <c r="AU18" i="19"/>
  <c r="AU46" i="19"/>
  <c r="AU23" i="19"/>
  <c r="AU19" i="19"/>
  <c r="AU47" i="19"/>
  <c r="AU22" i="19"/>
  <c r="AU48" i="19"/>
  <c r="AU49" i="19"/>
  <c r="AU24" i="19"/>
  <c r="AU54" i="19"/>
  <c r="AU43" i="19"/>
  <c r="AU44" i="19"/>
  <c r="AU56" i="19"/>
  <c r="AU14" i="19"/>
  <c r="AU45" i="19"/>
  <c r="AU55" i="19"/>
  <c r="AU25" i="19"/>
  <c r="AU62" i="19"/>
  <c r="AU30" i="19"/>
  <c r="AU64" i="19"/>
  <c r="AU32" i="19"/>
  <c r="AU65" i="19"/>
  <c r="AU33" i="19"/>
  <c r="AU66" i="19"/>
  <c r="AU39" i="19"/>
  <c r="AU42" i="19"/>
  <c r="AU58" i="19"/>
  <c r="AU63" i="19"/>
  <c r="AU68" i="19"/>
  <c r="AU57" i="19"/>
  <c r="AU59" i="19"/>
  <c r="AU35" i="19"/>
  <c r="AU67" i="19"/>
  <c r="AU36" i="19"/>
  <c r="AU15" i="19"/>
  <c r="AU16" i="19"/>
  <c r="AU17" i="19"/>
  <c r="AU26" i="19"/>
  <c r="AU37" i="19"/>
  <c r="AU34" i="19"/>
  <c r="AU38" i="19"/>
  <c r="BG41" i="19"/>
  <c r="AZ25" i="19"/>
  <c r="AZ45" i="19"/>
  <c r="AZ65" i="19"/>
  <c r="AZ26" i="19"/>
  <c r="AZ46" i="19"/>
  <c r="AZ66" i="19"/>
  <c r="AZ31" i="19"/>
  <c r="AZ53" i="19"/>
  <c r="AZ33" i="19"/>
  <c r="AZ55" i="19"/>
  <c r="AZ34" i="19"/>
  <c r="AZ58" i="19"/>
  <c r="AZ35" i="19"/>
  <c r="AZ59" i="19"/>
  <c r="AZ61" i="19"/>
  <c r="AZ36" i="19"/>
  <c r="AZ60" i="19"/>
  <c r="AZ37" i="19"/>
  <c r="AZ14" i="19"/>
  <c r="AZ38" i="19"/>
  <c r="AZ62" i="19"/>
  <c r="AZ17" i="19"/>
  <c r="AZ48" i="19"/>
  <c r="AZ18" i="19"/>
  <c r="AZ49" i="19"/>
  <c r="AZ19" i="19"/>
  <c r="AZ21" i="19"/>
  <c r="AZ50" i="19"/>
  <c r="AZ51" i="19"/>
  <c r="AZ52" i="19"/>
  <c r="AZ20" i="19"/>
  <c r="AZ27" i="19"/>
  <c r="AZ63" i="19"/>
  <c r="AZ29" i="19"/>
  <c r="AZ67" i="19"/>
  <c r="AZ30" i="19"/>
  <c r="AZ68" i="19"/>
  <c r="AZ32" i="19"/>
  <c r="AZ22" i="19"/>
  <c r="AZ28" i="19"/>
  <c r="AZ39" i="19"/>
  <c r="AZ47" i="19"/>
  <c r="AZ23" i="19"/>
  <c r="AZ24" i="19"/>
  <c r="AZ40" i="19"/>
  <c r="AZ15" i="19"/>
  <c r="AZ41" i="19"/>
  <c r="AZ42" i="19"/>
  <c r="AZ43" i="19"/>
  <c r="AZ44" i="19"/>
  <c r="AZ54" i="19"/>
  <c r="AZ56" i="19"/>
  <c r="AZ57" i="19"/>
  <c r="AZ64" i="19"/>
  <c r="AZ16" i="19"/>
  <c r="BG42" i="19"/>
  <c r="BG21" i="19"/>
  <c r="AV25" i="19"/>
  <c r="AV45" i="19"/>
  <c r="AV65" i="19"/>
  <c r="AV26" i="19"/>
  <c r="AV46" i="19"/>
  <c r="AV66" i="19"/>
  <c r="AV16" i="19"/>
  <c r="AV36" i="19"/>
  <c r="AV56" i="19"/>
  <c r="AV19" i="19"/>
  <c r="AV42" i="19"/>
  <c r="AV67" i="19"/>
  <c r="AV20" i="19"/>
  <c r="AV68" i="19"/>
  <c r="AV21" i="19"/>
  <c r="AV44" i="19"/>
  <c r="AV18" i="19"/>
  <c r="AV48" i="19"/>
  <c r="AV22" i="19"/>
  <c r="AV49" i="19"/>
  <c r="AV23" i="19"/>
  <c r="AV50" i="19"/>
  <c r="AV24" i="19"/>
  <c r="AV51" i="19"/>
  <c r="AV27" i="19"/>
  <c r="AV52" i="19"/>
  <c r="AV30" i="19"/>
  <c r="AV61" i="19"/>
  <c r="AV31" i="19"/>
  <c r="AV62" i="19"/>
  <c r="AV33" i="19"/>
  <c r="AV32" i="19"/>
  <c r="AV63" i="19"/>
  <c r="AV64" i="19"/>
  <c r="AV34" i="19"/>
  <c r="AV39" i="19"/>
  <c r="AV41" i="19"/>
  <c r="AV43" i="19"/>
  <c r="AV47" i="19"/>
  <c r="AV57" i="19"/>
  <c r="AV58" i="19"/>
  <c r="AV53" i="19"/>
  <c r="AV40" i="19"/>
  <c r="AV54" i="19"/>
  <c r="AV59" i="19"/>
  <c r="AV60" i="19"/>
  <c r="AV14" i="19"/>
  <c r="AV17" i="19"/>
  <c r="AV15" i="19"/>
  <c r="AV28" i="19"/>
  <c r="AV35" i="19"/>
  <c r="AV37" i="19"/>
  <c r="AV38" i="19"/>
  <c r="AV29" i="19"/>
  <c r="AV55" i="19"/>
  <c r="BG33" i="19"/>
  <c r="BG49" i="19"/>
  <c r="BG60" i="19"/>
  <c r="AK19" i="19"/>
  <c r="AK39" i="19"/>
  <c r="AK59" i="19"/>
  <c r="AK20" i="19"/>
  <c r="AK40" i="19"/>
  <c r="AK60" i="19"/>
  <c r="AK21" i="19"/>
  <c r="AK41" i="19"/>
  <c r="AK61" i="19"/>
  <c r="AK16" i="19"/>
  <c r="AK42" i="19"/>
  <c r="AK65" i="19"/>
  <c r="AK17" i="19"/>
  <c r="AK43" i="19"/>
  <c r="AK66" i="19"/>
  <c r="AK29" i="19"/>
  <c r="AK54" i="19"/>
  <c r="AK30" i="19"/>
  <c r="AK55" i="19"/>
  <c r="AK15" i="19"/>
  <c r="AK45" i="19"/>
  <c r="AK25" i="19"/>
  <c r="AK53" i="19"/>
  <c r="AK26" i="19"/>
  <c r="AK56" i="19"/>
  <c r="AK27" i="19"/>
  <c r="AK57" i="19"/>
  <c r="AK28" i="19"/>
  <c r="AK58" i="19"/>
  <c r="AK47" i="19"/>
  <c r="AK48" i="19"/>
  <c r="AK49" i="19"/>
  <c r="AK50" i="19"/>
  <c r="AK51" i="19"/>
  <c r="AK33" i="19"/>
  <c r="AK38" i="19"/>
  <c r="AK34" i="19"/>
  <c r="AK37" i="19"/>
  <c r="AK35" i="19"/>
  <c r="AK36" i="19"/>
  <c r="AK52" i="19"/>
  <c r="AK62" i="19"/>
  <c r="AK63" i="19"/>
  <c r="AK64" i="19"/>
  <c r="AK67" i="19"/>
  <c r="AK14" i="19"/>
  <c r="AK22" i="19"/>
  <c r="AK23" i="19"/>
  <c r="AK32" i="19"/>
  <c r="AK68" i="19"/>
  <c r="AK18" i="19"/>
  <c r="AK24" i="19"/>
  <c r="AK31" i="19"/>
  <c r="AK44" i="19"/>
  <c r="AK46" i="19"/>
  <c r="AE29" i="19"/>
  <c r="AE49" i="19"/>
  <c r="AE30" i="19"/>
  <c r="AE50" i="19"/>
  <c r="AE31" i="19"/>
  <c r="AE51" i="19"/>
  <c r="AE18" i="19"/>
  <c r="AE41" i="19"/>
  <c r="AE64" i="19"/>
  <c r="AE19" i="19"/>
  <c r="AE42" i="19"/>
  <c r="AE65" i="19"/>
  <c r="AE20" i="19"/>
  <c r="AE45" i="19"/>
  <c r="AE21" i="19"/>
  <c r="AE46" i="19"/>
  <c r="AE22" i="19"/>
  <c r="AE47" i="19"/>
  <c r="AE34" i="19"/>
  <c r="AE59" i="19"/>
  <c r="AE43" i="19"/>
  <c r="AE44" i="19"/>
  <c r="AE14" i="19"/>
  <c r="AE48" i="19"/>
  <c r="AE15" i="19"/>
  <c r="AE52" i="19"/>
  <c r="AE27" i="19"/>
  <c r="AE66" i="19"/>
  <c r="AE28" i="19"/>
  <c r="AE67" i="19"/>
  <c r="AE32" i="19"/>
  <c r="AE68" i="19"/>
  <c r="AE33" i="19"/>
  <c r="AE35" i="19"/>
  <c r="AE54" i="19"/>
  <c r="AE26" i="19"/>
  <c r="AE36" i="19"/>
  <c r="AE40" i="19"/>
  <c r="AE37" i="19"/>
  <c r="AE38" i="19"/>
  <c r="AE39" i="19"/>
  <c r="AE56" i="19"/>
  <c r="AE57" i="19"/>
  <c r="AE58" i="19"/>
  <c r="AE60" i="19"/>
  <c r="AE61" i="19"/>
  <c r="AE62" i="19"/>
  <c r="AE17" i="19"/>
  <c r="AE63" i="19"/>
  <c r="AE16" i="19"/>
  <c r="AE23" i="19"/>
  <c r="AE24" i="19"/>
  <c r="AE25" i="19"/>
  <c r="AE53" i="19"/>
  <c r="AE55" i="19"/>
  <c r="BG59" i="19"/>
  <c r="BG54" i="19"/>
  <c r="AX15" i="19"/>
  <c r="AX35" i="19"/>
  <c r="AX55" i="19"/>
  <c r="AX16" i="19"/>
  <c r="AX36" i="19"/>
  <c r="AX56" i="19"/>
  <c r="AX26" i="19"/>
  <c r="AX46" i="19"/>
  <c r="AX66" i="19"/>
  <c r="AX27" i="19"/>
  <c r="AX50" i="19"/>
  <c r="AX29" i="19"/>
  <c r="AX52" i="19"/>
  <c r="AX17" i="19"/>
  <c r="AX42" i="19"/>
  <c r="AX68" i="19"/>
  <c r="AX43" i="19"/>
  <c r="AX18" i="19"/>
  <c r="AX19" i="19"/>
  <c r="AX44" i="19"/>
  <c r="AX20" i="19"/>
  <c r="AX45" i="19"/>
  <c r="AX21" i="19"/>
  <c r="AX47" i="19"/>
  <c r="AX24" i="19"/>
  <c r="AX59" i="19"/>
  <c r="AX25" i="19"/>
  <c r="AX60" i="19"/>
  <c r="AX30" i="19"/>
  <c r="AX63" i="19"/>
  <c r="AX31" i="19"/>
  <c r="AX28" i="19"/>
  <c r="AX61" i="19"/>
  <c r="AX62" i="19"/>
  <c r="AX37" i="19"/>
  <c r="AX39" i="19"/>
  <c r="AX40" i="19"/>
  <c r="AX41" i="19"/>
  <c r="AX23" i="19"/>
  <c r="AX32" i="19"/>
  <c r="AX33" i="19"/>
  <c r="AX34" i="19"/>
  <c r="AX14" i="19"/>
  <c r="AX22" i="19"/>
  <c r="AX48" i="19"/>
  <c r="AX64" i="19"/>
  <c r="AX38" i="19"/>
  <c r="AX49" i="19"/>
  <c r="AX54" i="19"/>
  <c r="AX57" i="19"/>
  <c r="AX65" i="19"/>
  <c r="AX51" i="19"/>
  <c r="AX53" i="19"/>
  <c r="AX58" i="19"/>
  <c r="AX67" i="19"/>
  <c r="BG43" i="19"/>
  <c r="AN14" i="19"/>
  <c r="AN34" i="19"/>
  <c r="AN54" i="19"/>
  <c r="AN15" i="19"/>
  <c r="AN35" i="19"/>
  <c r="AN16" i="19"/>
  <c r="AN36" i="19"/>
  <c r="AN56" i="19"/>
  <c r="AN18" i="19"/>
  <c r="AN41" i="19"/>
  <c r="AN63" i="19"/>
  <c r="AN19" i="19"/>
  <c r="AN42" i="19"/>
  <c r="AN64" i="19"/>
  <c r="AN22" i="19"/>
  <c r="AN47" i="19"/>
  <c r="AN23" i="19"/>
  <c r="AN48" i="19"/>
  <c r="AN33" i="19"/>
  <c r="AN60" i="19"/>
  <c r="AN44" i="19"/>
  <c r="AN45" i="19"/>
  <c r="AN46" i="19"/>
  <c r="AN29" i="19"/>
  <c r="AN65" i="19"/>
  <c r="AN30" i="19"/>
  <c r="AN66" i="19"/>
  <c r="AN31" i="19"/>
  <c r="AN67" i="19"/>
  <c r="AN32" i="19"/>
  <c r="AN68" i="19"/>
  <c r="AN37" i="19"/>
  <c r="AN17" i="19"/>
  <c r="AN59" i="19"/>
  <c r="AN20" i="19"/>
  <c r="AN61" i="19"/>
  <c r="AN24" i="19"/>
  <c r="AN25" i="19"/>
  <c r="AN26" i="19"/>
  <c r="AN21" i="19"/>
  <c r="AN62" i="19"/>
  <c r="AN38" i="19"/>
  <c r="AN39" i="19"/>
  <c r="AN40" i="19"/>
  <c r="AN43" i="19"/>
  <c r="AN49" i="19"/>
  <c r="AN52" i="19"/>
  <c r="AN53" i="19"/>
  <c r="AN57" i="19"/>
  <c r="AN28" i="19"/>
  <c r="AN55" i="19"/>
  <c r="AN58" i="19"/>
  <c r="AN27" i="19"/>
  <c r="AN50" i="19"/>
  <c r="AN51" i="19"/>
  <c r="BG23" i="19"/>
  <c r="BG45" i="19"/>
  <c r="BG19" i="19"/>
  <c r="AI29" i="19"/>
  <c r="AI49" i="19"/>
  <c r="AI30" i="19"/>
  <c r="AI50" i="19"/>
  <c r="AI31" i="19"/>
  <c r="AI51" i="19"/>
  <c r="AI34" i="19"/>
  <c r="AI57" i="19"/>
  <c r="AI35" i="19"/>
  <c r="AI58" i="19"/>
  <c r="AI36" i="19"/>
  <c r="AI61" i="19"/>
  <c r="AI37" i="19"/>
  <c r="AI62" i="19"/>
  <c r="AI22" i="19"/>
  <c r="AI47" i="19"/>
  <c r="AI14" i="19"/>
  <c r="AI42" i="19"/>
  <c r="AI15" i="19"/>
  <c r="AI43" i="19"/>
  <c r="AI16" i="19"/>
  <c r="AI44" i="19"/>
  <c r="AI17" i="19"/>
  <c r="AI45" i="19"/>
  <c r="AI40" i="19"/>
  <c r="AI41" i="19"/>
  <c r="AI46" i="19"/>
  <c r="AI48" i="19"/>
  <c r="AI52" i="19"/>
  <c r="AI24" i="19"/>
  <c r="AI63" i="19"/>
  <c r="AI28" i="19"/>
  <c r="AI32" i="19"/>
  <c r="AI39" i="19"/>
  <c r="AI33" i="19"/>
  <c r="AI38" i="19"/>
  <c r="AI53" i="19"/>
  <c r="AI56" i="19"/>
  <c r="AI59" i="19"/>
  <c r="AI60" i="19"/>
  <c r="AI64" i="19"/>
  <c r="AI18" i="19"/>
  <c r="AI65" i="19"/>
  <c r="AI19" i="19"/>
  <c r="AI21" i="19"/>
  <c r="AI26" i="19"/>
  <c r="AI54" i="19"/>
  <c r="AI20" i="19"/>
  <c r="AI23" i="19"/>
  <c r="AI25" i="19"/>
  <c r="AI27" i="19"/>
  <c r="AI55" i="19"/>
  <c r="AI66" i="19"/>
  <c r="AI67" i="19"/>
  <c r="AI68" i="19"/>
  <c r="AP16" i="19"/>
  <c r="AP36" i="19"/>
  <c r="AP56" i="19"/>
  <c r="AP17" i="19"/>
  <c r="AP37" i="19"/>
  <c r="AP57" i="19"/>
  <c r="AP30" i="19"/>
  <c r="AP52" i="19"/>
  <c r="AP31" i="19"/>
  <c r="AP53" i="19"/>
  <c r="AP21" i="19"/>
  <c r="AP43" i="19"/>
  <c r="AP65" i="19"/>
  <c r="AP18" i="19"/>
  <c r="AP44" i="19"/>
  <c r="AP19" i="19"/>
  <c r="AP45" i="19"/>
  <c r="AP20" i="19"/>
  <c r="AP46" i="19"/>
  <c r="AP22" i="19"/>
  <c r="AP50" i="19"/>
  <c r="AP23" i="19"/>
  <c r="AP51" i="19"/>
  <c r="AP24" i="19"/>
  <c r="AP54" i="19"/>
  <c r="AP25" i="19"/>
  <c r="AP55" i="19"/>
  <c r="AP26" i="19"/>
  <c r="AP58" i="19"/>
  <c r="AP38" i="19"/>
  <c r="AP39" i="19"/>
  <c r="AP42" i="19"/>
  <c r="AP40" i="19"/>
  <c r="AP41" i="19"/>
  <c r="AP59" i="19"/>
  <c r="AP61" i="19"/>
  <c r="AP14" i="19"/>
  <c r="AP62" i="19"/>
  <c r="AP15" i="19"/>
  <c r="AP63" i="19"/>
  <c r="AP29" i="19"/>
  <c r="AP35" i="19"/>
  <c r="AP60" i="19"/>
  <c r="AP32" i="19"/>
  <c r="AP34" i="19"/>
  <c r="AP47" i="19"/>
  <c r="AP66" i="19"/>
  <c r="AP33" i="19"/>
  <c r="AP48" i="19"/>
  <c r="AP49" i="19"/>
  <c r="AP64" i="19"/>
  <c r="AP67" i="19"/>
  <c r="AP68" i="19"/>
  <c r="AP27" i="19"/>
  <c r="AP28" i="19"/>
  <c r="BG26" i="19"/>
  <c r="BG18" i="19"/>
  <c r="BG40" i="19"/>
  <c r="BB15" i="19"/>
  <c r="BB35" i="19"/>
  <c r="BB55" i="19"/>
  <c r="BB16" i="19"/>
  <c r="BB36" i="19"/>
  <c r="BB56" i="19"/>
  <c r="BB31" i="19"/>
  <c r="BB53" i="19"/>
  <c r="BB33" i="19"/>
  <c r="BB57" i="19"/>
  <c r="BB22" i="19"/>
  <c r="BB46" i="19"/>
  <c r="BB23" i="19"/>
  <c r="BB47" i="19"/>
  <c r="BB24" i="19"/>
  <c r="BB48" i="19"/>
  <c r="BB25" i="19"/>
  <c r="BB49" i="19"/>
  <c r="BB26" i="19"/>
  <c r="BB50" i="19"/>
  <c r="BB38" i="19"/>
  <c r="BB67" i="19"/>
  <c r="BB39" i="19"/>
  <c r="BB68" i="19"/>
  <c r="BB42" i="19"/>
  <c r="BB40" i="19"/>
  <c r="BB41" i="19"/>
  <c r="BB17" i="19"/>
  <c r="BB51" i="19"/>
  <c r="BB19" i="19"/>
  <c r="BB54" i="19"/>
  <c r="BB20" i="19"/>
  <c r="BB58" i="19"/>
  <c r="BB29" i="19"/>
  <c r="BB30" i="19"/>
  <c r="BB34" i="19"/>
  <c r="BB44" i="19"/>
  <c r="BB45" i="19"/>
  <c r="BB37" i="19"/>
  <c r="BB32" i="19"/>
  <c r="BB52" i="19"/>
  <c r="BB21" i="19"/>
  <c r="BB43" i="19"/>
  <c r="BB60" i="19"/>
  <c r="BB18" i="19"/>
  <c r="BB59" i="19"/>
  <c r="BB61" i="19"/>
  <c r="BB63" i="19"/>
  <c r="BB14" i="19"/>
  <c r="BB62" i="19"/>
  <c r="BB64" i="19"/>
  <c r="BB65" i="19"/>
  <c r="BB27" i="19"/>
  <c r="BB66" i="19"/>
  <c r="BB28" i="19"/>
  <c r="AW30" i="19"/>
  <c r="AW50" i="19"/>
  <c r="AW31" i="19"/>
  <c r="AW51" i="19"/>
  <c r="AW21" i="19"/>
  <c r="AW41" i="19"/>
  <c r="AW61" i="19"/>
  <c r="AW35" i="19"/>
  <c r="AW58" i="19"/>
  <c r="AW14" i="19"/>
  <c r="AW37" i="19"/>
  <c r="AW60" i="19"/>
  <c r="AW19" i="19"/>
  <c r="AW45" i="19"/>
  <c r="AW20" i="19"/>
  <c r="AW46" i="19"/>
  <c r="AW22" i="19"/>
  <c r="AW47" i="19"/>
  <c r="AW23" i="19"/>
  <c r="AW48" i="19"/>
  <c r="AW24" i="19"/>
  <c r="AW49" i="19"/>
  <c r="AW42" i="19"/>
  <c r="AW43" i="19"/>
  <c r="AW15" i="19"/>
  <c r="AW44" i="19"/>
  <c r="AW53" i="19"/>
  <c r="AW52" i="19"/>
  <c r="AW25" i="19"/>
  <c r="AW57" i="19"/>
  <c r="AW27" i="19"/>
  <c r="AW62" i="19"/>
  <c r="AW28" i="19"/>
  <c r="AW63" i="19"/>
  <c r="AW29" i="19"/>
  <c r="AW64" i="19"/>
  <c r="AW66" i="19"/>
  <c r="AW67" i="19"/>
  <c r="AW34" i="19"/>
  <c r="AW55" i="19"/>
  <c r="AW16" i="19"/>
  <c r="AW18" i="19"/>
  <c r="AW32" i="19"/>
  <c r="AW68" i="19"/>
  <c r="AW17" i="19"/>
  <c r="AW26" i="19"/>
  <c r="AW33" i="19"/>
  <c r="AW36" i="19"/>
  <c r="AW38" i="19"/>
  <c r="AW39" i="19"/>
  <c r="AW40" i="19"/>
  <c r="AW54" i="19"/>
  <c r="AW59" i="19"/>
  <c r="AW56" i="19"/>
  <c r="AW65" i="19"/>
  <c r="BG31" i="19"/>
  <c r="BG29" i="19"/>
  <c r="BG25" i="19"/>
  <c r="BF15" i="19"/>
  <c r="BF35" i="19"/>
  <c r="BF55" i="19"/>
  <c r="BF16" i="19"/>
  <c r="BF36" i="19"/>
  <c r="BF56" i="19"/>
  <c r="BF33" i="19"/>
  <c r="BF57" i="19"/>
  <c r="BF20" i="19"/>
  <c r="BF43" i="19"/>
  <c r="BF66" i="19"/>
  <c r="BF23" i="19"/>
  <c r="BF21" i="19"/>
  <c r="BF44" i="19"/>
  <c r="BF67" i="19"/>
  <c r="BF22" i="19"/>
  <c r="BF45" i="19"/>
  <c r="BF68" i="19"/>
  <c r="BF46" i="19"/>
  <c r="BF24" i="19"/>
  <c r="BF47" i="19"/>
  <c r="BF40" i="19"/>
  <c r="BF41" i="19"/>
  <c r="BF42" i="19"/>
  <c r="BF49" i="19"/>
  <c r="BF14" i="19"/>
  <c r="BF48" i="19"/>
  <c r="BF25" i="19"/>
  <c r="BF53" i="19"/>
  <c r="BF27" i="19"/>
  <c r="BF58" i="19"/>
  <c r="BF28" i="19"/>
  <c r="BF59" i="19"/>
  <c r="BF26" i="19"/>
  <c r="BF29" i="19"/>
  <c r="BF38" i="19"/>
  <c r="BF31" i="19"/>
  <c r="BF34" i="19"/>
  <c r="BF37" i="19"/>
  <c r="BF18" i="19"/>
  <c r="BF30" i="19"/>
  <c r="BF32" i="19"/>
  <c r="BF39" i="19"/>
  <c r="BF50" i="19"/>
  <c r="BF51" i="19"/>
  <c r="BF52" i="19"/>
  <c r="BF61" i="19"/>
  <c r="BF62" i="19"/>
  <c r="BF63" i="19"/>
  <c r="BF17" i="19"/>
  <c r="BF54" i="19"/>
  <c r="BF65" i="19"/>
  <c r="BF60" i="19"/>
  <c r="BF64" i="19"/>
  <c r="BF19" i="19"/>
  <c r="BG66" i="19"/>
  <c r="AH24" i="19"/>
  <c r="AH44" i="19"/>
  <c r="AH64" i="19"/>
  <c r="AH25" i="19"/>
  <c r="AH45" i="19"/>
  <c r="AH65" i="19"/>
  <c r="AH26" i="19"/>
  <c r="AH46" i="19"/>
  <c r="AH66" i="19"/>
  <c r="AH17" i="19"/>
  <c r="AH40" i="19"/>
  <c r="AH63" i="19"/>
  <c r="AH18" i="19"/>
  <c r="AH41" i="19"/>
  <c r="AH67" i="19"/>
  <c r="AH36" i="19"/>
  <c r="AH61" i="19"/>
  <c r="AH37" i="19"/>
  <c r="AH62" i="19"/>
  <c r="AH27" i="19"/>
  <c r="AH52" i="19"/>
  <c r="AH34" i="19"/>
  <c r="AH35" i="19"/>
  <c r="AH38" i="19"/>
  <c r="AH39" i="19"/>
  <c r="AH20" i="19"/>
  <c r="AH56" i="19"/>
  <c r="AH21" i="19"/>
  <c r="AH57" i="19"/>
  <c r="AH22" i="19"/>
  <c r="AH58" i="19"/>
  <c r="AH23" i="19"/>
  <c r="AH59" i="19"/>
  <c r="AH28" i="19"/>
  <c r="AH60" i="19"/>
  <c r="AH43" i="19"/>
  <c r="AH32" i="19"/>
  <c r="AH33" i="19"/>
  <c r="AH49" i="19"/>
  <c r="AH42" i="19"/>
  <c r="AH48" i="19"/>
  <c r="AH47" i="19"/>
  <c r="AH53" i="19"/>
  <c r="AH54" i="19"/>
  <c r="AH55" i="19"/>
  <c r="AH68" i="19"/>
  <c r="AH31" i="19"/>
  <c r="AH50" i="19"/>
  <c r="AH51" i="19"/>
  <c r="AH14" i="19"/>
  <c r="AH19" i="19"/>
  <c r="AH29" i="19"/>
  <c r="AH15" i="19"/>
  <c r="AH16" i="19"/>
  <c r="AH30" i="19"/>
  <c r="BG24" i="19"/>
  <c r="BA30" i="19"/>
  <c r="BA50" i="19"/>
  <c r="BA31" i="19"/>
  <c r="BA51" i="19"/>
  <c r="BA20" i="19"/>
  <c r="BA42" i="19"/>
  <c r="BA64" i="19"/>
  <c r="BA22" i="19"/>
  <c r="BA44" i="19"/>
  <c r="BA66" i="19"/>
  <c r="BA27" i="19"/>
  <c r="BA53" i="19"/>
  <c r="BA28" i="19"/>
  <c r="BA54" i="19"/>
  <c r="BA29" i="19"/>
  <c r="BA55" i="19"/>
  <c r="BA32" i="19"/>
  <c r="BA56" i="19"/>
  <c r="BA33" i="19"/>
  <c r="BA57" i="19"/>
  <c r="BA24" i="19"/>
  <c r="BA60" i="19"/>
  <c r="BA25" i="19"/>
  <c r="BA61" i="19"/>
  <c r="BA34" i="19"/>
  <c r="BA65" i="19"/>
  <c r="BA26" i="19"/>
  <c r="BA62" i="19"/>
  <c r="BA63" i="19"/>
  <c r="BA35" i="19"/>
  <c r="BA39" i="19"/>
  <c r="BA41" i="19"/>
  <c r="BA43" i="19"/>
  <c r="BA14" i="19"/>
  <c r="BA45" i="19"/>
  <c r="BA21" i="19"/>
  <c r="BA23" i="19"/>
  <c r="BA52" i="19"/>
  <c r="BA37" i="19"/>
  <c r="BA40" i="19"/>
  <c r="BA46" i="19"/>
  <c r="BA47" i="19"/>
  <c r="BA48" i="19"/>
  <c r="BA36" i="19"/>
  <c r="BA38" i="19"/>
  <c r="BA18" i="19"/>
  <c r="BA49" i="19"/>
  <c r="BA58" i="19"/>
  <c r="BA68" i="19"/>
  <c r="BA59" i="19"/>
  <c r="BA67" i="19"/>
  <c r="BA16" i="19"/>
  <c r="BA17" i="19"/>
  <c r="BA15" i="19"/>
  <c r="BA19" i="19"/>
  <c r="BG27" i="19"/>
  <c r="BG50" i="19"/>
  <c r="AL24" i="19"/>
  <c r="AL44" i="19"/>
  <c r="AL64" i="19"/>
  <c r="AL25" i="19"/>
  <c r="AL45" i="19"/>
  <c r="AL65" i="19"/>
  <c r="AL26" i="19"/>
  <c r="AL46" i="19"/>
  <c r="AL66" i="19"/>
  <c r="AL33" i="19"/>
  <c r="AL56" i="19"/>
  <c r="AL34" i="19"/>
  <c r="AL57" i="19"/>
  <c r="AL27" i="19"/>
  <c r="AL52" i="19"/>
  <c r="AL28" i="19"/>
  <c r="AL53" i="19"/>
  <c r="AL15" i="19"/>
  <c r="AL40" i="19"/>
  <c r="AL68" i="19"/>
  <c r="AL31" i="19"/>
  <c r="AL61" i="19"/>
  <c r="AL32" i="19"/>
  <c r="AL62" i="19"/>
  <c r="AL35" i="19"/>
  <c r="AL63" i="19"/>
  <c r="AL36" i="19"/>
  <c r="AL29" i="19"/>
  <c r="AL30" i="19"/>
  <c r="AL37" i="19"/>
  <c r="AL38" i="19"/>
  <c r="AL39" i="19"/>
  <c r="AL21" i="19"/>
  <c r="AL22" i="19"/>
  <c r="AL42" i="19"/>
  <c r="AL43" i="19"/>
  <c r="AL23" i="19"/>
  <c r="AL41" i="19"/>
  <c r="AL49" i="19"/>
  <c r="AL50" i="19"/>
  <c r="AL51" i="19"/>
  <c r="AL54" i="19"/>
  <c r="AL55" i="19"/>
  <c r="AL59" i="19"/>
  <c r="AL60" i="19"/>
  <c r="AL47" i="19"/>
  <c r="AL67" i="19"/>
  <c r="AL48" i="19"/>
  <c r="AL14" i="19"/>
  <c r="AL17" i="19"/>
  <c r="AL19" i="19"/>
  <c r="AL16" i="19"/>
  <c r="AL18" i="19"/>
  <c r="AL20" i="19"/>
  <c r="AL58" i="19"/>
  <c r="BC20" i="19"/>
  <c r="BC40" i="19"/>
  <c r="BC60" i="19"/>
  <c r="BC21" i="19"/>
  <c r="BC41" i="19"/>
  <c r="BC61" i="19"/>
  <c r="BC22" i="19"/>
  <c r="BC44" i="19"/>
  <c r="BC66" i="19"/>
  <c r="BC24" i="19"/>
  <c r="BC46" i="19"/>
  <c r="BC68" i="19"/>
  <c r="BC15" i="19"/>
  <c r="BC39" i="19"/>
  <c r="BC65" i="19"/>
  <c r="BC45" i="19"/>
  <c r="BC16" i="19"/>
  <c r="BC42" i="19"/>
  <c r="BC67" i="19"/>
  <c r="BC17" i="19"/>
  <c r="BC43" i="19"/>
  <c r="BC18" i="19"/>
  <c r="BC19" i="19"/>
  <c r="BC47" i="19"/>
  <c r="BC50" i="19"/>
  <c r="BC51" i="19"/>
  <c r="BC52" i="19"/>
  <c r="BC53" i="19"/>
  <c r="BC23" i="19"/>
  <c r="BC25" i="19"/>
  <c r="BC14" i="19"/>
  <c r="BC54" i="19"/>
  <c r="BC29" i="19"/>
  <c r="BC58" i="19"/>
  <c r="BC31" i="19"/>
  <c r="BC62" i="19"/>
  <c r="BC32" i="19"/>
  <c r="BC63" i="19"/>
  <c r="BC30" i="19"/>
  <c r="BC33" i="19"/>
  <c r="BC37" i="19"/>
  <c r="BC35" i="19"/>
  <c r="BC49" i="19"/>
  <c r="BC56" i="19"/>
  <c r="BC34" i="19"/>
  <c r="BC36" i="19"/>
  <c r="BC38" i="19"/>
  <c r="BC48" i="19"/>
  <c r="BC26" i="19"/>
  <c r="BC55" i="19"/>
  <c r="BC57" i="19"/>
  <c r="BC59" i="19"/>
  <c r="BC64" i="19"/>
  <c r="BC27" i="19"/>
  <c r="BC28" i="19"/>
  <c r="BG39" i="19"/>
  <c r="BG63" i="19"/>
  <c r="BG20" i="19"/>
  <c r="AO19" i="19"/>
  <c r="AO39" i="19"/>
  <c r="AO21" i="19"/>
  <c r="AO30" i="19"/>
  <c r="AO51" i="19"/>
  <c r="AO31" i="19"/>
  <c r="AO52" i="19"/>
  <c r="AO16" i="19"/>
  <c r="AO41" i="19"/>
  <c r="AO63" i="19"/>
  <c r="AO17" i="19"/>
  <c r="AO42" i="19"/>
  <c r="AO64" i="19"/>
  <c r="AO29" i="19"/>
  <c r="AO54" i="19"/>
  <c r="AO18" i="19"/>
  <c r="AO46" i="19"/>
  <c r="AO20" i="19"/>
  <c r="AO47" i="19"/>
  <c r="AO22" i="19"/>
  <c r="AO48" i="19"/>
  <c r="AO43" i="19"/>
  <c r="AO44" i="19"/>
  <c r="AO45" i="19"/>
  <c r="AO49" i="19"/>
  <c r="AO14" i="19"/>
  <c r="AO50" i="19"/>
  <c r="AO56" i="19"/>
  <c r="AO57" i="19"/>
  <c r="AO61" i="19"/>
  <c r="AO60" i="19"/>
  <c r="AO58" i="19"/>
  <c r="AO15" i="19"/>
  <c r="AO23" i="19"/>
  <c r="AO59" i="19"/>
  <c r="AO27" i="19"/>
  <c r="AO66" i="19"/>
  <c r="AO28" i="19"/>
  <c r="AO32" i="19"/>
  <c r="AO68" i="19"/>
  <c r="AO33" i="19"/>
  <c r="AO34" i="19"/>
  <c r="AO25" i="19"/>
  <c r="AO35" i="19"/>
  <c r="AO26" i="19"/>
  <c r="AO24" i="19"/>
  <c r="AO65" i="19"/>
  <c r="AO36" i="19"/>
  <c r="AO37" i="19"/>
  <c r="AO38" i="19"/>
  <c r="AO40" i="19"/>
  <c r="AO53" i="19"/>
  <c r="AO55" i="19"/>
  <c r="AO62" i="19"/>
  <c r="AO67" i="19"/>
  <c r="AY20" i="19"/>
  <c r="AY40" i="19"/>
  <c r="AY60" i="19"/>
  <c r="AY21" i="19"/>
  <c r="AY41" i="19"/>
  <c r="AY61" i="19"/>
  <c r="AY18" i="19"/>
  <c r="AY42" i="19"/>
  <c r="AY64" i="19"/>
  <c r="AY22" i="19"/>
  <c r="AY44" i="19"/>
  <c r="AY66" i="19"/>
  <c r="AY37" i="19"/>
  <c r="AY63" i="19"/>
  <c r="AY68" i="19"/>
  <c r="AY14" i="19"/>
  <c r="AY38" i="19"/>
  <c r="AY65" i="19"/>
  <c r="AY15" i="19"/>
  <c r="AY39" i="19"/>
  <c r="AY67" i="19"/>
  <c r="AY16" i="19"/>
  <c r="AY43" i="19"/>
  <c r="AY17" i="19"/>
  <c r="AY45" i="19"/>
  <c r="AY34" i="19"/>
  <c r="AY35" i="19"/>
  <c r="AY46" i="19"/>
  <c r="AY47" i="19"/>
  <c r="AY36" i="19"/>
  <c r="AY19" i="19"/>
  <c r="AY51" i="19"/>
  <c r="AY24" i="19"/>
  <c r="AY53" i="19"/>
  <c r="AY25" i="19"/>
  <c r="AY54" i="19"/>
  <c r="AY55" i="19"/>
  <c r="AY23" i="19"/>
  <c r="AY26" i="19"/>
  <c r="AY28" i="19"/>
  <c r="AY30" i="19"/>
  <c r="AY49" i="19"/>
  <c r="AY27" i="19"/>
  <c r="AY31" i="19"/>
  <c r="AY32" i="19"/>
  <c r="AY33" i="19"/>
  <c r="AY29" i="19"/>
  <c r="AY62" i="19"/>
  <c r="AY48" i="19"/>
  <c r="AY50" i="19"/>
  <c r="AY58" i="19"/>
  <c r="AY59" i="19"/>
  <c r="AY52" i="19"/>
  <c r="AY56" i="19"/>
  <c r="AY57" i="19"/>
  <c r="AS31" i="19"/>
  <c r="AS51" i="19"/>
  <c r="AS32" i="19"/>
  <c r="AS52" i="19"/>
  <c r="AS21" i="19"/>
  <c r="AS43" i="19"/>
  <c r="AS65" i="19"/>
  <c r="AS22" i="19"/>
  <c r="AS44" i="19"/>
  <c r="AS66" i="19"/>
  <c r="AS34" i="19"/>
  <c r="AS56" i="19"/>
  <c r="AS36" i="19"/>
  <c r="AS61" i="19"/>
  <c r="AS37" i="19"/>
  <c r="AS62" i="19"/>
  <c r="AS38" i="19"/>
  <c r="AS63" i="19"/>
  <c r="AS40" i="19"/>
  <c r="AS41" i="19"/>
  <c r="AS14" i="19"/>
  <c r="AS42" i="19"/>
  <c r="AS15" i="19"/>
  <c r="AS45" i="19"/>
  <c r="AS16" i="19"/>
  <c r="AS46" i="19"/>
  <c r="AS33" i="19"/>
  <c r="AS35" i="19"/>
  <c r="AS39" i="19"/>
  <c r="AS48" i="19"/>
  <c r="AS47" i="19"/>
  <c r="AS17" i="19"/>
  <c r="AS54" i="19"/>
  <c r="AS19" i="19"/>
  <c r="AS57" i="19"/>
  <c r="AS20" i="19"/>
  <c r="AS58" i="19"/>
  <c r="AS23" i="19"/>
  <c r="AS59" i="19"/>
  <c r="AS18" i="19"/>
  <c r="AS50" i="19"/>
  <c r="AS26" i="19"/>
  <c r="AS27" i="19"/>
  <c r="AS24" i="19"/>
  <c r="AS28" i="19"/>
  <c r="AS29" i="19"/>
  <c r="AS25" i="19"/>
  <c r="AS30" i="19"/>
  <c r="AS49" i="19"/>
  <c r="AS53" i="19"/>
  <c r="AS64" i="19"/>
  <c r="AS67" i="19"/>
  <c r="AS55" i="19"/>
  <c r="AS60" i="19"/>
  <c r="AS68" i="19"/>
  <c r="BG30" i="19"/>
  <c r="AS8" i="19"/>
  <c r="Y26" i="22"/>
  <c r="X24" i="22"/>
  <c r="AC24" i="22"/>
  <c r="S27" i="22"/>
  <c r="Q28"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T26" i="22"/>
  <c r="M68" i="21" a="1"/>
  <c r="M27" i="22"/>
  <c r="K51" i="19" l="1"/>
  <c r="I51" i="19" s="1"/>
  <c r="K50" i="19"/>
  <c r="I39" i="19"/>
  <c r="K38" i="19"/>
  <c r="V26" i="22"/>
  <c r="X26" i="22" s="1"/>
  <c r="Y27" i="22"/>
  <c r="M68" i="21"/>
  <c r="R48" i="21"/>
  <c r="AI52" i="21"/>
  <c r="X52" i="21"/>
  <c r="AH52" i="21" s="1"/>
  <c r="V53" i="21"/>
  <c r="AB53" i="21"/>
  <c r="AC53" i="21" s="1"/>
  <c r="AE46" i="21"/>
  <c r="AE47" i="21"/>
  <c r="AB54" i="21"/>
  <c r="AC54" i="21" s="1"/>
  <c r="V54" i="21"/>
  <c r="L28" i="22"/>
  <c r="T27" i="22"/>
  <c r="R28" i="22"/>
  <c r="I38" i="19" l="1"/>
  <c r="H38" i="19"/>
  <c r="H39" i="19" s="1"/>
  <c r="H40" i="19" s="1"/>
  <c r="H41" i="19" s="1"/>
  <c r="H42" i="19" s="1"/>
  <c r="H43" i="19" s="1"/>
  <c r="H44" i="19" s="1"/>
  <c r="I50" i="19"/>
  <c r="K49" i="19"/>
  <c r="AB26" i="22"/>
  <c r="AC26" i="22"/>
  <c r="V27" i="22"/>
  <c r="Q31" i="22"/>
  <c r="S28" i="22"/>
  <c r="AI54" i="21"/>
  <c r="X54" i="21"/>
  <c r="AH54" i="21" s="1"/>
  <c r="Q49" i="21"/>
  <c r="R49" i="21" s="1"/>
  <c r="S48" i="21"/>
  <c r="AI53" i="21"/>
  <c r="X53" i="21"/>
  <c r="AH53" i="21" s="1"/>
  <c r="Q71" i="21"/>
  <c r="R71" i="21"/>
  <c r="Y71" i="21"/>
  <c r="L70" i="21" a="1"/>
  <c r="M28" i="22"/>
  <c r="M70" i="21" a="1"/>
  <c r="I49" i="19" l="1"/>
  <c r="K48" i="19"/>
  <c r="Y28" i="22"/>
  <c r="AC27" i="22"/>
  <c r="AB27" i="22"/>
  <c r="X27" i="22"/>
  <c r="L70" i="21"/>
  <c r="M70" i="21"/>
  <c r="T48" i="21"/>
  <c r="V48" i="21" s="1"/>
  <c r="AB48" i="21"/>
  <c r="Q56" i="21"/>
  <c r="R56" i="21" s="1"/>
  <c r="S49" i="21"/>
  <c r="S71" i="21"/>
  <c r="T71" i="21" s="1"/>
  <c r="L31" i="22"/>
  <c r="T28" i="22"/>
  <c r="R31" i="22"/>
  <c r="I48" i="19" l="1"/>
  <c r="K47" i="19"/>
  <c r="V28" i="22"/>
  <c r="S31"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M31" i="22"/>
  <c r="L72" i="21" a="1"/>
  <c r="I47" i="19" l="1"/>
  <c r="K46" i="19"/>
  <c r="Y31" i="22"/>
  <c r="AB28" i="22"/>
  <c r="AC28" i="22"/>
  <c r="X28" i="22"/>
  <c r="S75" i="21"/>
  <c r="AA75" i="21" s="1"/>
  <c r="Y80" i="21"/>
  <c r="W75" i="21"/>
  <c r="L72" i="21"/>
  <c r="L68" i="21"/>
  <c r="T75" i="21"/>
  <c r="V75" i="21" s="1"/>
  <c r="AI75" i="21" s="1"/>
  <c r="AI49" i="21"/>
  <c r="X49" i="21"/>
  <c r="AH49" i="21" s="1"/>
  <c r="S69" i="21"/>
  <c r="AC49" i="21"/>
  <c r="AE49" i="21" s="1"/>
  <c r="AD49" i="21"/>
  <c r="T56" i="21"/>
  <c r="V56" i="21" s="1"/>
  <c r="AB56" i="21"/>
  <c r="T31" i="22"/>
  <c r="I46" i="19" l="1"/>
  <c r="K45" i="19"/>
  <c r="V31" i="22"/>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I45" i="19" l="1"/>
  <c r="H45" i="19"/>
  <c r="H46" i="19" s="1"/>
  <c r="H47" i="19" s="1"/>
  <c r="H48" i="19" s="1"/>
  <c r="H49" i="19" s="1"/>
  <c r="H50" i="19" s="1"/>
  <c r="H51" i="19" s="1"/>
  <c r="X31" i="22"/>
  <c r="AC31" i="22"/>
  <c r="AC16" i="22" s="1"/>
  <c r="AB31" i="22"/>
  <c r="AB16" i="22" s="1"/>
  <c r="Z96" i="2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L360" i="21" a="1"/>
  <c r="M72"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M412" i="21" a="1"/>
  <c r="L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L459" i="21" a="1"/>
  <c r="M327"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M463" i="21" a="1"/>
  <c r="L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L469" i="21" a="1"/>
  <c r="M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M470" i="21" a="1"/>
  <c r="L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L472" i="21" a="1"/>
  <c r="M371"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386" i="21" a="1"/>
  <c r="M473"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20" i="21" a="1"/>
  <c r="L474" i="21" a="1"/>
  <c r="L420" i="21" l="1"/>
  <c r="L474" i="21"/>
  <c r="R474" i="21"/>
  <c r="R420" i="21"/>
  <c r="AE473" i="21"/>
  <c r="X473" i="21"/>
  <c r="AD473" i="21" s="1"/>
  <c r="M474" i="21" a="1"/>
  <c r="M420"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76" i="21" a="1"/>
  <c r="L422" i="21" a="1"/>
  <c r="L476" i="21" l="1"/>
  <c r="L422" i="21"/>
  <c r="R476" i="21"/>
  <c r="R422" i="21"/>
  <c r="AE421" i="21"/>
  <c r="AC421" i="21" s="1"/>
  <c r="X421" i="21"/>
  <c r="AD421" i="21" s="1"/>
  <c r="M422" i="21" a="1"/>
  <c r="M476"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78" i="21" a="1"/>
  <c r="L424"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79" i="21" a="1"/>
  <c r="L425" i="21" a="1"/>
  <c r="L479" i="21" l="1"/>
  <c r="L425" i="21"/>
  <c r="R479" i="21"/>
  <c r="Z482" i="21"/>
  <c r="W482" i="21"/>
  <c r="AE424" i="21"/>
  <c r="AC424" i="21" s="1"/>
  <c r="X424" i="21"/>
  <c r="AD424" i="21" s="1"/>
  <c r="AE478" i="21"/>
  <c r="X478" i="21"/>
  <c r="AD478" i="21" s="1"/>
  <c r="R425" i="21"/>
  <c r="M479" i="21" a="1"/>
  <c r="M425" i="21" a="1"/>
  <c r="M483"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33" i="21" a="1"/>
  <c r="M464"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M452" i="21" a="1"/>
  <c r="F3" i="17"/>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AM31" i="19" l="1"/>
  <c r="AM16" i="19"/>
  <c r="AM35" i="19"/>
  <c r="AM22" i="19"/>
  <c r="AM19" i="19"/>
  <c r="AM60" i="19"/>
  <c r="AM65" i="19"/>
  <c r="AM15" i="19"/>
  <c r="AM51" i="19"/>
  <c r="AM54" i="19"/>
  <c r="AM21" i="19"/>
  <c r="AM52" i="19"/>
  <c r="AM23" i="19"/>
  <c r="AM53" i="19"/>
  <c r="AM61" i="19"/>
  <c r="AM38" i="19"/>
  <c r="AM14" i="19"/>
  <c r="AM50" i="19"/>
  <c r="AM24" i="19"/>
  <c r="AM17" i="19"/>
  <c r="AM36" i="19"/>
  <c r="AM48" i="19"/>
  <c r="AM58" i="19"/>
  <c r="AM57" i="19"/>
  <c r="AM64" i="19"/>
  <c r="AM28" i="19"/>
  <c r="AM30" i="19"/>
  <c r="AM46" i="19"/>
  <c r="AM47" i="19"/>
  <c r="AM55" i="19"/>
  <c r="AM20" i="19"/>
  <c r="AM62" i="19"/>
  <c r="AM34" i="19"/>
  <c r="AM25" i="19"/>
  <c r="AM18" i="19"/>
  <c r="AM59" i="19"/>
  <c r="AM56" i="19"/>
  <c r="AM26" i="19"/>
  <c r="AM27" i="19"/>
  <c r="AM63" i="19"/>
  <c r="AM32" i="19"/>
  <c r="AM29" i="19"/>
  <c r="AM40" i="19"/>
  <c r="AM44" i="19"/>
  <c r="AM37" i="19"/>
  <c r="AM33" i="19"/>
  <c r="AM66" i="19"/>
  <c r="AM41" i="19"/>
  <c r="AM39" i="19"/>
  <c r="AM42" i="19"/>
  <c r="AM67" i="19"/>
  <c r="AM43" i="19"/>
  <c r="AM49" i="19"/>
  <c r="AM68" i="19"/>
  <c r="AM45" i="19"/>
  <c r="BA8" i="19"/>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Error 1004 (Unable to get the Text property of the Range class)_x000D_
R17:caller</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5"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6"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7"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8"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<sst xmlns="http://schemas.openxmlformats.org/spreadsheetml/2006/main" count="9823" uniqueCount="5902">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</sst>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7">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62">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0" fillId="0" borderId="0" xfId="0" applyNumberFormat="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02">
    <dxf>
      <border>
        <bottom style="thin">
          <color auto="1"/>
        </bottom>
        <vertical/>
        <horizontal/>
      </border>
    </dxf>
    <dxf>
      <border>
        <bottom style="thin">
          <color auto="1"/>
        </bottom>
        <vertical/>
        <horizontal/>
      </border>
    </dxf>
    <dxf>
      <border>
        <top style="thin">
          <color auto="1"/>
        </top>
        <vertical/>
        <horizontal/>
      </border>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0" formatCode="Genera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2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8" xr16:uid="{428D357A-6222-444F-8686-C96D9EAFF09B}" autoFormatId="16" applyNumberFormats="0" applyBorderFormats="0" applyFontFormats="0" applyPatternFormats="0" applyAlignmentFormats="0" applyWidthHeightFormats="0">
  <queryTableRefresh nextId="5">
    <queryTableFields count="4">
      <queryTableField id="1" name="CommandStr" tableColumnId="1"/>
      <queryTableField id="2" name="MET" tableColumnId="2"/>
      <queryTableField id="3" name="cmd" tableColumnId="3"/>
      <queryTableField id="4" name="arg"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D74" tableType="queryTable" totalsRowShown="0">
  <autoFilter ref="A13:D74" xr:uid="{5226C84B-08E5-42D2-BD64-D312EA81A8B0}"/>
  <tableColumns count="4">
    <tableColumn id="1" xr3:uid="{9216EC65-82C3-401B-8073-2EC34BA306FD}" uniqueName="1" name="CommandStr" queryTableFieldId="1"/>
    <tableColumn id="2" xr3:uid="{1D0D16B6-9A43-4634-B5D8-14DE32DF69A7}" uniqueName="2" name="MET" queryTableFieldId="2"/>
    <tableColumn id="3" xr3:uid="{D2C535B5-5EF3-4B55-9832-29BF5EA2C2BA}" uniqueName="3" name="cmd" queryTableFieldId="3"/>
    <tableColumn id="4" xr3:uid="{91BD512D-7EE9-479C-B630-C9CD23A9EDCB}" uniqueName="4" name="arg" queryTableFieldId="4" dataDxfId="4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92" dataCellStyle="Normal 5"/>
    <tableColumn id="4" xr3:uid="{E3799C3A-4B31-4D4E-8397-EE7909C117C2}" uniqueName="4" name="MET" queryTableFieldId="4" dataDxfId="91" dataCellStyle="Normal 5"/>
    <tableColumn id="5" xr3:uid="{DE120A99-B5F2-4B1A-A22E-A9BEEE9C55B0}" uniqueName="5" name="cmd" queryTableFieldId="5" dataDxfId="101" dataCellStyle="Normal 5"/>
    <tableColumn id="6" xr3:uid="{19AF7F27-0D9D-4BCE-A533-94878B619783}" uniqueName="6" name="arg" queryTableFieldId="6" dataDxfId="100" dataCellStyle="Normal 5"/>
    <tableColumn id="14" xr3:uid="{662EB3B0-32F5-402D-80A6-61D3564CADAD}" uniqueName="14" name="a" queryTableFieldId="14" dataDxfId="90" dataCellStyle="Normal 5"/>
    <tableColumn id="1" xr3:uid="{7CF75EA0-B63F-443B-B61A-2AE13C55F8DA}" uniqueName="1" name="MET→UTC" queryTableFieldId="68" dataDxfId="89" dataCellStyle="Normal 5">
      <calculatedColumnFormula array="1">MID(met2utc(PEPSSI_Commanding[[#This Row],[MET]]),3,15)</calculatedColumnFormula>
    </tableColumn>
    <tableColumn id="15" xr3:uid="{9C5328F3-FA02-47D1-83DC-B1DBCA9D89BA}" uniqueName="15" name="cmd+arg" queryTableFieldId="15" dataDxfId="88" dataCellStyle="Normal 5">
      <calculatedColumnFormula>_xlfn.TEXTJOIN("+",TRUE,$C14:$D14)</calculatedColumnFormula>
    </tableColumn>
    <tableColumn id="16" xr3:uid="{F4B97D7B-76B9-472C-BE55-DDF523C91B54}" uniqueName="16" name="Segment_x000a_MET Start" queryTableFieldId="16" dataDxfId="87" dataCellStyle="Normal 5">
      <calculatedColumnFormula>IF($C14="ON",$B14,IF(RIGHT($H13,9)="MET Start","",IF(AND($K14&lt;&gt;0,$K13=1),$B14,$H13)))</calculatedColumnFormula>
    </tableColumn>
    <tableColumn id="17" xr3:uid="{75D7A893-75C0-4A6D-8B25-0B595F60D7D7}" uniqueName="17" name="Segment_x000a_MET End" queryTableFieldId="17" dataDxfId="86" dataCellStyle="Normal 5">
      <calculatedColumnFormula>IF($C14="OFF",$B14,IF($B15="",$B14+31500000,IF($K14=1,$B15,I15)))</calculatedColumnFormula>
    </tableColumn>
    <tableColumn id="18" xr3:uid="{FE7FC58F-1F68-4601-9509-6833A5279466}" uniqueName="18" name="Offset_x000a_fr ON" queryTableFieldId="18" dataDxfId="85" dataCellStyle="Normal 5">
      <calculatedColumnFormula>IF($G14="ON",0,IF(OR(J13="",LEFT(J13,6)="Offset"),"",J13+1))</calculatedColumnFormula>
    </tableColumn>
    <tableColumn id="19" xr3:uid="{2E9987EA-D81C-4D54-957D-0506DB032AC5}" uniqueName="19" name="Offset_x000a_to End" queryTableFieldId="19" dataDxfId="84" dataCellStyle="Normal 5">
      <calculatedColumnFormula>IF($G14="OFF",0,IF(AND($J15&lt;&gt;0,$J14&lt;&gt;9,$G15&lt;&gt;"MAC+111",($B15-$B14)&lt;7200),K15+1,1))</calculatedColumnFormula>
    </tableColumn>
    <tableColumn id="20" xr3:uid="{462F98F8-6248-4D4E-8AD2-6EC7109B2E52}" uniqueName="20" name="b" queryTableFieldId="20" dataDxfId="83" dataCellStyle="Normal 5"/>
    <tableColumn id="21" xr3:uid="{0FBD6B38-B1E1-4E9C-81A5-CA14B2F9084A}" uniqueName="21" name="N1" queryTableFieldId="21" dataDxfId="99" dataCellStyle="Normal 5">
      <calculatedColumnFormula>IF($C14="ON","",IF($C14="N1",$D14,IF(M13="N1","",M13)))</calculatedColumnFormula>
    </tableColumn>
    <tableColumn id="22" xr3:uid="{A5045F8C-7AE0-4763-BBC4-A4CC8954069F}" uniqueName="22" name="N2" queryTableFieldId="22" dataDxfId="98" dataCellStyle="Normal 5">
      <calculatedColumnFormula>IF($C14="ON","",IF($C14="N2",$D14,IF($G14="MAC+103",3,IF($G14="MAC+104",2,IF(N13="N2","",N13)))))</calculatedColumnFormula>
    </tableColumn>
    <tableColumn id="23" xr3:uid="{9B014DB1-4E67-4325-A7FF-B51BB73C144C}" uniqueName="23" name="N3" queryTableFieldId="23" dataDxfId="97" dataCellStyle="Normal 5">
      <calculatedColumnFormula>IF($C14="ON","",IF($C14="N3",$D14,IF(O13="N3","",O13)))</calculatedColumnFormula>
    </tableColumn>
    <tableColumn id="24" xr3:uid="{5660ED6E-B39C-41E9-9202-1674D6671C41}" uniqueName="24" name="STAT" queryTableFieldId="24" dataDxfId="96" dataCellStyle="Normal 5">
      <calculatedColumnFormula>IF($C14="ON","",IF($C14="STAT",$D14,IF(P13="STAT","",P13)))</calculatedColumnFormula>
    </tableColumn>
    <tableColumn id="25" xr3:uid="{12FF0207-469E-4F94-A1F8-EBA478DE17D3}" uniqueName="25" name="N2 disabled" queryTableFieldId="25" dataDxfId="95"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94"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93" dataCellStyle="Normal 5">
      <calculatedColumnFormula>IF($C14="ON","",IF($G14="MAC+102","102",IF(RIGHT(S13,1)="?","",S13)))</calculatedColumnFormula>
    </tableColumn>
    <tableColumn id="28" xr3:uid="{EBBF58EA-A53F-4BBA-A5D0-7897A48C89F7}" uniqueName="28" name="c" queryTableFieldId="28" dataDxfId="82" dataCellStyle="Normal 5"/>
    <tableColumn id="29" xr3:uid="{3369BB1D-534B-4412-A3BF-FEC6F2C8BBA1}" uniqueName="29" name="TrgAssess_x000a_bit/s" queryTableFieldId="29" dataDxfId="81" dataCellStyle="Normal 5">
      <calculatedColumnFormula>IF(OR($N14="",$R14=""),0,U$1/64/$N14)</calculatedColumnFormula>
    </tableColumn>
    <tableColumn id="30" xr3:uid="{55B18AA0-1F9B-467A-B1E9-BA2EE8619FDC}" uniqueName="30" name="BRD_x000a_bit/s" queryTableFieldId="30" dataDxfId="80" dataCellStyle="Normal 5">
      <calculatedColumnFormula>IF(OR($N14="",$R14=""),0,V$1/64/$N14)</calculatedColumnFormula>
    </tableColumn>
    <tableColumn id="31" xr3:uid="{090EFE20-88EA-4674-BD37-BEF6B463F4DB}" uniqueName="31" name="STAT_x000a_bit/s" queryTableFieldId="31" dataDxfId="79" dataCellStyle="Normal 5">
      <calculatedColumnFormula>IF($P14="",0,W$1/$P14)</calculatedColumnFormula>
    </tableColumn>
    <tableColumn id="32" xr3:uid="{B18EAE2A-70E1-4898-A71B-5A3C36BF4EE0}" uniqueName="32" name="N1_x000a_bit/s" queryTableFieldId="32" dataDxfId="78" dataCellStyle="Normal 5">
      <calculatedColumnFormula>IF($M14="",0,X$1/$M14)</calculatedColumnFormula>
    </tableColumn>
    <tableColumn id="33" xr3:uid="{E4838A52-964A-4DE1-B5E0-0AE42E730F68}" uniqueName="33" name="N2_x000a_bit/s" queryTableFieldId="33" dataDxfId="77" dataCellStyle="Normal 5">
      <calculatedColumnFormula>IF(OR($N14="",$Q14&lt;&gt;""),0,Y$1/$N14)</calculatedColumnFormula>
    </tableColumn>
    <tableColumn id="34" xr3:uid="{FB6527D2-6F60-4531-AE7F-873F0C6AB8D6}" uniqueName="34" name="N2_x000a_bit/s2" queryTableFieldId="34" dataDxfId="76" dataCellStyle="Normal 5">
      <calculatedColumnFormula>IF($N14="",0,IF($R14="",1,R14/43200)*Y14)</calculatedColumnFormula>
    </tableColumn>
    <tableColumn id="35" xr3:uid="{9E653D53-4500-4832-A022-C911049DBBA5}" uniqueName="35" name="N3_x000a_bit/s" queryTableFieldId="35" dataDxfId="75" dataCellStyle="Normal 5">
      <calculatedColumnFormula>IF($O14="",0,AA$1/$O14)</calculatedColumnFormula>
    </tableColumn>
    <tableColumn id="36" xr3:uid="{8ED16EFB-45C9-4EDA-AF99-AA59788EFFC4}" uniqueName="36" name="d" queryTableFieldId="36" dataDxfId="74" dataCellStyle="Normal 5"/>
    <tableColumn id="37" xr3:uid="{84B53164-2455-4095-84F3-40F1C7BB6A8F}" uniqueName="37" name="DT1" queryTableFieldId="37" dataDxfId="73"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2"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1"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0"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69"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68"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67"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66"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5"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4"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3"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2"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1"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0"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59"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58"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57"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56"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5"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4"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3"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2"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1"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0"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49"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48"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47"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46"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5"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4"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3"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41" priority="2" stopIfTrue="1">
      <formula>_xlfn.TEXTJOIN("",FALSE,$E1:$K1)="HSK3DT1DT2DT3DT4SDT1HSK4"</formula>
    </cfRule>
    <cfRule type="expression" dxfId="40" priority="10" stopIfTrue="1">
      <formula>AND(_xlfn.TEXTJOIN("",FALSE,$E1:$I1) &lt;&gt;"",_xlfn.TEXTJOIN("",FALSE,$J1:$K1) &lt;&gt; "")</formula>
    </cfRule>
  </conditionalFormatting>
  <conditionalFormatting sqref="E1:K1048576">
    <cfRule type="expression" dxfId="39" priority="11" stopIfTrue="1">
      <formula>NOT(OR(EXACT(E1,""),EXACT(E1,E$1)))</formula>
    </cfRule>
  </conditionalFormatting>
  <conditionalFormatting sqref="O1:P1048576 E1:K1048576">
    <cfRule type="expression" dxfId="38" priority="8" stopIfTrue="1">
      <formula>AND(_xlfn.XOR(_xlfn.TEXTJOIN("",TRUE,$E1:$I1)&lt;&gt;"",_xlfn.TEXTJOIN("",TRUE,$J1:$K1)&lt;&gt;""),$O1="",$P1="")</formula>
    </cfRule>
  </conditionalFormatting>
  <conditionalFormatting sqref="X9">
    <cfRule type="expression" dxfId="37"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L74"/>
  <sheetViews>
    <sheetView tabSelected="1" workbookViewId="0">
      <selection activeCell="O18" sqref="O18"/>
    </sheetView>
  </sheetViews>
  <sheetFormatPr defaultRowHeight="15"/>
  <cols>
    <col min="1" max="1" width="20.28515625" bestFit="1" customWidth="1"/>
    <col min="2" max="2" width="10" bestFit="1" customWidth="1"/>
    <col min="3" max="3" width="7" bestFit="1" customWidth="1"/>
    <col min="4" max="4" width="7.28515625" bestFit="1" customWidth="1"/>
    <col min="5" max="5" width="2.140625" style="212" bestFit="1" customWidth="1"/>
    <col min="6" max="6" width="16.140625" style="239" bestFit="1" customWidth="1"/>
    <col min="7" max="7" width="15.85546875" style="210" bestFit="1" customWidth="1"/>
    <col min="8" max="9" width="11.28515625" style="210" bestFit="1" customWidth="1"/>
    <col min="10" max="11" width="6.5703125" style="210" bestFit="1" customWidth="1"/>
    <col min="12" max="12" width="2.140625" style="212" bestFit="1" customWidth="1"/>
  </cols>
  <sheetData>
    <row r="1" spans="1:12">
      <c r="G1" s="239"/>
      <c r="H1" s="214"/>
      <c r="I1" s="214"/>
      <c r="J1" s="239"/>
      <c r="K1" s="239"/>
    </row>
    <row r="2" spans="1:12">
      <c r="E2" s="236"/>
      <c r="F2" s="235"/>
      <c r="G2" s="234"/>
      <c r="H2" s="214"/>
      <c r="I2" s="214"/>
      <c r="J2" s="213"/>
      <c r="K2" s="213"/>
    </row>
    <row r="3" spans="1:12">
      <c r="I3" s="214"/>
      <c r="J3" s="213"/>
      <c r="K3" s="213"/>
    </row>
    <row r="4" spans="1:12">
      <c r="I4" s="214"/>
      <c r="J4" s="213"/>
      <c r="K4" s="213"/>
    </row>
    <row r="5" spans="1:12">
      <c r="G5" s="213"/>
      <c r="H5" s="214"/>
      <c r="I5" s="214"/>
      <c r="J5" s="213"/>
      <c r="K5" s="213"/>
    </row>
    <row r="6" spans="1:12">
      <c r="G6" s="213"/>
      <c r="H6" s="214"/>
      <c r="I6" s="214"/>
      <c r="J6" s="213"/>
      <c r="K6" s="213"/>
    </row>
    <row r="7" spans="1:12">
      <c r="G7" s="213"/>
      <c r="H7" s="214"/>
      <c r="I7" s="214"/>
      <c r="J7" s="213"/>
      <c r="K7" s="213"/>
    </row>
    <row r="8" spans="1:12">
      <c r="G8" s="213"/>
      <c r="H8" s="214"/>
      <c r="I8" s="214"/>
      <c r="J8" s="213"/>
      <c r="K8" s="213"/>
    </row>
    <row r="9" spans="1:12">
      <c r="G9" s="213"/>
      <c r="H9" s="214"/>
      <c r="I9" s="214"/>
      <c r="J9" s="213"/>
      <c r="K9" s="213"/>
    </row>
    <row r="10" spans="1:12">
      <c r="G10" s="213"/>
      <c r="H10" s="214"/>
      <c r="I10" s="214"/>
      <c r="J10" s="213"/>
      <c r="K10" s="213"/>
    </row>
    <row r="11" spans="1:12">
      <c r="G11" s="213"/>
      <c r="H11" s="214"/>
      <c r="I11" s="214"/>
      <c r="J11" s="213"/>
      <c r="K11" s="213"/>
    </row>
    <row r="12" spans="1:12">
      <c r="G12" s="213"/>
      <c r="H12" s="214"/>
      <c r="I12" s="214"/>
      <c r="J12" s="213"/>
      <c r="K12" s="213"/>
    </row>
    <row r="13" spans="1:12" ht="30">
      <c r="A13" t="s">
        <v>5348</v>
      </c>
      <c r="B13" t="s">
        <v>5282</v>
      </c>
      <c r="C13" t="s">
        <v>5283</v>
      </c>
      <c r="D13" t="s">
        <v>5286</v>
      </c>
      <c r="E13" s="212" t="s">
        <v>2</v>
      </c>
      <c r="F13" s="249" t="s">
        <v>5364</v>
      </c>
      <c r="G13" s="225" t="s">
        <v>5308</v>
      </c>
      <c r="H13" s="224" t="s">
        <v>5360</v>
      </c>
      <c r="I13" s="223" t="s">
        <v>5361</v>
      </c>
      <c r="J13" s="216" t="s">
        <v>5355</v>
      </c>
      <c r="K13" s="245" t="s">
        <v>5356</v>
      </c>
      <c r="L13" s="212" t="s">
        <v>3</v>
      </c>
    </row>
    <row r="14" spans="1:12">
      <c r="A14" t="s">
        <v>5889</v>
      </c>
      <c r="B14">
        <v>457617119</v>
      </c>
      <c r="C14" t="s">
        <v>433</v>
      </c>
      <c r="D14" s="561" t="s">
        <v>5890</v>
      </c>
      <c r="F14" s="239" t="str" cm="1">
        <f t="array" aca="1" ref="F14" ca="1">MID(met2utc(PEPSSI_Commanding[[#This Row],[MET]]),3,15)</f>
        <v>20-203/18:00:00</v>
      </c>
      <c r="G14" s="213" t="str">
        <f t="shared" ref="G14:G68" si="0">_xlfn.TEXTJOIN("+",TRUE,$C14:$D14)</f>
        <v>ON</v>
      </c>
      <c r="H14" s="214">
        <f t="shared" ref="H14:H68" si="1">IF($C14="ON",$B14,IF(RIGHT($H13,9)="MET Start","",IF(AND($K14&lt;&gt;0,$K13=1),$B14,$H13)))</f>
        <v>457617119</v>
      </c>
      <c r="I14" s="214">
        <f t="shared" ref="I14:I68" si="2">IF($C14="OFF",$B14,IF($B15="",$B14+31500000,IF($K14=1,$B15,I15)))</f>
        <v>457617600</v>
      </c>
      <c r="J14" s="213">
        <f t="shared" ref="J14:J68" si="3">IF($G14="ON",0,IF(OR(J13="",LEFT(J13,6)="Offset"),"",J13+1))</f>
        <v>0</v>
      </c>
      <c r="K14" s="213">
        <f t="shared" ref="K14:K68" si="4">IF($G14="OFF",0,IF(AND($J15&lt;&gt;0,$J14&lt;&gt;9,$G15&lt;&gt;"MAC+111",($B15-$B14)&lt;7200),K15+1,1))</f>
        <v>10</v>
      </c>
    </row>
    <row r="15" spans="1:12">
      <c r="A15" t="s">
        <v>5891</v>
      </c>
      <c r="B15">
        <v>457617344</v>
      </c>
      <c r="C15" t="s">
        <v>5892</v>
      </c>
      <c r="D15" s="561" t="s">
        <v>5893</v>
      </c>
      <c r="F15" s="239" t="str" cm="1">
        <f t="array" aca="1" ref="F15" ca="1">MID(met2utc(PEPSSI_Commanding[[#This Row],[MET]]),3,15)</f>
        <v>20-203/18:00:45</v>
      </c>
      <c r="G15" s="213" t="str">
        <f t="shared" si="0"/>
        <v>MODE+HVENG</v>
      </c>
      <c r="H15" s="214">
        <f t="shared" si="1"/>
        <v>457617119</v>
      </c>
      <c r="I15" s="214">
        <f t="shared" si="2"/>
        <v>457617600</v>
      </c>
      <c r="J15" s="213">
        <f t="shared" si="3"/>
        <v>1</v>
      </c>
      <c r="K15" s="213">
        <f t="shared" si="4"/>
        <v>9</v>
      </c>
    </row>
    <row r="16" spans="1:12">
      <c r="A16" t="s">
        <v>5894</v>
      </c>
      <c r="B16">
        <v>457617344</v>
      </c>
      <c r="C16" t="s">
        <v>898</v>
      </c>
      <c r="D16" s="561" t="s">
        <v>890</v>
      </c>
      <c r="F16" s="239" t="str" cm="1">
        <f t="array" aca="1" ref="F16" ca="1">MID(met2utc(PEPSSI_Commanding[[#This Row],[MET]]),3,15)</f>
        <v>20-203/18:00:45</v>
      </c>
      <c r="G16" s="213" t="str">
        <f t="shared" si="0"/>
        <v>HK+1S</v>
      </c>
      <c r="H16" s="214">
        <f t="shared" si="1"/>
        <v>457617119</v>
      </c>
      <c r="I16" s="214">
        <f t="shared" si="2"/>
        <v>457617600</v>
      </c>
      <c r="J16" s="213">
        <f t="shared" si="3"/>
        <v>2</v>
      </c>
      <c r="K16" s="213">
        <f t="shared" si="4"/>
        <v>8</v>
      </c>
    </row>
    <row r="17" spans="1:11">
      <c r="A17" t="s">
        <v>5891</v>
      </c>
      <c r="B17">
        <v>457617472</v>
      </c>
      <c r="C17" t="s">
        <v>5892</v>
      </c>
      <c r="D17" s="561" t="s">
        <v>5895</v>
      </c>
      <c r="F17" s="239" t="str" cm="1">
        <f t="array" aca="1" ref="F17" ca="1">MID(met2utc(PEPSSI_Commanding[[#This Row],[MET]]),3,15)</f>
        <v>20-203/18:00:46</v>
      </c>
      <c r="G17" s="213" t="str">
        <f t="shared" si="0"/>
        <v>MODE+HVSCI</v>
      </c>
      <c r="H17" s="214">
        <f t="shared" si="1"/>
        <v>457617119</v>
      </c>
      <c r="I17" s="214">
        <f t="shared" si="2"/>
        <v>457617600</v>
      </c>
      <c r="J17" s="213">
        <f t="shared" si="3"/>
        <v>3</v>
      </c>
      <c r="K17" s="213">
        <f t="shared" si="4"/>
        <v>7</v>
      </c>
    </row>
    <row r="18" spans="1:11">
      <c r="A18" t="s">
        <v>5894</v>
      </c>
      <c r="B18">
        <v>457617472</v>
      </c>
      <c r="C18" t="s">
        <v>898</v>
      </c>
      <c r="D18" s="561" t="s">
        <v>878</v>
      </c>
      <c r="F18" s="239" t="str" cm="1">
        <f t="array" aca="1" ref="F18" ca="1">MID(met2utc(PEPSSI_Commanding[[#This Row],[MET]]),3,15)</f>
        <v>20-203/18:00:47</v>
      </c>
      <c r="G18" s="213" t="str">
        <f t="shared" si="0"/>
        <v>HK+1H</v>
      </c>
      <c r="H18" s="214">
        <f t="shared" si="1"/>
        <v>457617119</v>
      </c>
      <c r="I18" s="214">
        <f t="shared" si="2"/>
        <v>457617600</v>
      </c>
      <c r="J18" s="213">
        <f t="shared" si="3"/>
        <v>4</v>
      </c>
      <c r="K18" s="213">
        <f t="shared" si="4"/>
        <v>6</v>
      </c>
    </row>
    <row r="19" spans="1:11">
      <c r="A19" t="s">
        <v>5896</v>
      </c>
      <c r="B19">
        <v>457617472</v>
      </c>
      <c r="C19" t="s">
        <v>5897</v>
      </c>
      <c r="D19" s="561" t="s">
        <v>884</v>
      </c>
      <c r="F19" s="239" t="str" cm="1">
        <f t="array" aca="1" ref="F19" ca="1">MID(met2utc(PEPSSI_Commanding[[#This Row],[MET]]),3,15)</f>
        <v>20-203/18:00:48</v>
      </c>
      <c r="G19" s="213" t="str">
        <f t="shared" si="0"/>
        <v>RT+64S</v>
      </c>
      <c r="H19" s="214">
        <f t="shared" si="1"/>
        <v>457617119</v>
      </c>
      <c r="I19" s="214">
        <f t="shared" si="2"/>
        <v>457617600</v>
      </c>
      <c r="J19" s="213">
        <f t="shared" si="3"/>
        <v>5</v>
      </c>
      <c r="K19" s="213">
        <f t="shared" si="4"/>
        <v>5</v>
      </c>
    </row>
    <row r="20" spans="1:11">
      <c r="A20" t="s">
        <v>5898</v>
      </c>
      <c r="B20">
        <v>457617472</v>
      </c>
      <c r="C20" t="s">
        <v>5899</v>
      </c>
      <c r="D20" s="561" t="s">
        <v>861</v>
      </c>
      <c r="F20" s="239" t="str" cm="1">
        <f t="array" aca="1" ref="F20" ca="1">MID(met2utc(PEPSSI_Commanding[[#This Row],[MET]]),3,15)</f>
        <v>20-203/18:25:31</v>
      </c>
      <c r="G20" s="213" t="str">
        <f t="shared" si="0"/>
        <v>SM+NEVER</v>
      </c>
      <c r="H20" s="214">
        <f t="shared" si="1"/>
        <v>457617119</v>
      </c>
      <c r="I20" s="214">
        <f t="shared" si="2"/>
        <v>457617600</v>
      </c>
      <c r="J20" s="213">
        <f t="shared" si="3"/>
        <v>6</v>
      </c>
      <c r="K20" s="213">
        <f t="shared" si="4"/>
        <v>4</v>
      </c>
    </row>
    <row r="21" spans="1:11">
      <c r="A21" t="s">
        <v>5900</v>
      </c>
      <c r="B21">
        <v>457617472</v>
      </c>
      <c r="C21" t="s">
        <v>5901</v>
      </c>
      <c r="D21" s="561" t="s">
        <v>861</v>
      </c>
      <c r="F21" s="239" t="str" cm="1">
        <f t="array" aca="1" ref="F21" ca="1">MID(met2utc(PEPSSI_Commanding[[#This Row],[MET]]),3,15)</f>
        <v>20-203/18:25:32</v>
      </c>
      <c r="G21" s="213" t="str">
        <f t="shared" si="0"/>
        <v>HX+NEVER</v>
      </c>
      <c r="H21" s="214">
        <f t="shared" si="1"/>
        <v>457617119</v>
      </c>
      <c r="I21" s="214">
        <f t="shared" si="2"/>
        <v>457617600</v>
      </c>
      <c r="J21" s="213">
        <f t="shared" si="3"/>
        <v>7</v>
      </c>
      <c r="K21" s="213">
        <f t="shared" si="4"/>
        <v>3</v>
      </c>
    </row>
    <row r="22" spans="1:11">
      <c r="A22" t="s">
        <v>5891</v>
      </c>
      <c r="B22">
        <v>457617600</v>
      </c>
      <c r="C22" t="s">
        <v>5892</v>
      </c>
      <c r="D22" s="561" t="s">
        <v>5895</v>
      </c>
      <c r="F22" s="239" t="str" cm="1">
        <f t="array" aca="1" ref="F22" ca="1">MID(met2utc(PEPSSI_Commanding[[#This Row],[MET]]),3,15)</f>
        <v>20-203/18:25:33</v>
      </c>
      <c r="G22" s="213" t="str">
        <f t="shared" si="0"/>
        <v>MODE+HVSCI</v>
      </c>
      <c r="H22" s="214">
        <f t="shared" si="1"/>
        <v>457617119</v>
      </c>
      <c r="I22" s="214">
        <f t="shared" si="2"/>
        <v>457617600</v>
      </c>
      <c r="J22" s="213">
        <f t="shared" si="3"/>
        <v>8</v>
      </c>
      <c r="K22" s="213">
        <f t="shared" si="4"/>
        <v>2</v>
      </c>
    </row>
    <row r="23" spans="1:11">
      <c r="A23" t="s">
        <v>5894</v>
      </c>
      <c r="B23">
        <v>457617600</v>
      </c>
      <c r="C23" t="s">
        <v>898</v>
      </c>
      <c r="D23" s="561" t="s">
        <v>878</v>
      </c>
      <c r="F23" s="239" t="str" cm="1">
        <f t="array" aca="1" ref="F23" ca="1">MID(met2utc(PEPSSI_Commanding[[#This Row],[MET]]),3,15)</f>
        <v>20-203/18:25:34</v>
      </c>
      <c r="G23" s="213" t="str">
        <f t="shared" si="0"/>
        <v>HK+1H</v>
      </c>
      <c r="H23" s="214">
        <f t="shared" si="1"/>
        <v>457617119</v>
      </c>
      <c r="I23" s="214">
        <f t="shared" si="2"/>
        <v>457617600</v>
      </c>
      <c r="J23" s="213">
        <f t="shared" si="3"/>
        <v>9</v>
      </c>
      <c r="K23" s="213">
        <f t="shared" si="4"/>
        <v>1</v>
      </c>
    </row>
    <row r="24" spans="1:11">
      <c r="A24" t="s">
        <v>5896</v>
      </c>
      <c r="B24">
        <v>457617600</v>
      </c>
      <c r="C24" t="s">
        <v>5897</v>
      </c>
      <c r="D24" s="561" t="s">
        <v>881</v>
      </c>
      <c r="F24" s="239" t="str" cm="1">
        <f t="array" aca="1" ref="F24" ca="1">MID(met2utc(PEPSSI_Commanding[[#This Row],[MET]]),3,15)</f>
        <v>20-203/18:30:49</v>
      </c>
      <c r="G24" s="213" t="str">
        <f t="shared" si="0"/>
        <v>RT+10M</v>
      </c>
      <c r="H24" s="214">
        <f t="shared" si="1"/>
        <v>457617600</v>
      </c>
      <c r="I24" s="214">
        <f t="shared" si="2"/>
        <v>644922415</v>
      </c>
      <c r="J24" s="213">
        <f t="shared" si="3"/>
        <v>10</v>
      </c>
      <c r="K24" s="213">
        <f t="shared" si="4"/>
        <v>3</v>
      </c>
    </row>
    <row r="25" spans="1:11">
      <c r="A25" t="s">
        <v>5898</v>
      </c>
      <c r="B25">
        <v>457617600</v>
      </c>
      <c r="C25" t="s">
        <v>5899</v>
      </c>
      <c r="D25" s="561" t="s">
        <v>878</v>
      </c>
      <c r="F25" s="239" t="str" cm="1">
        <f t="array" aca="1" ref="F25" ca="1">MID(met2utc(PEPSSI_Commanding[[#This Row],[MET]]),3,15)</f>
        <v>20-203/18:30:52</v>
      </c>
      <c r="G25" s="213" t="str">
        <f t="shared" si="0"/>
        <v>SM+1H</v>
      </c>
      <c r="H25" s="214">
        <f t="shared" si="1"/>
        <v>457617600</v>
      </c>
      <c r="I25" s="214">
        <f t="shared" si="2"/>
        <v>644922415</v>
      </c>
      <c r="J25" s="213">
        <f t="shared" si="3"/>
        <v>11</v>
      </c>
      <c r="K25" s="213">
        <f t="shared" si="4"/>
        <v>2</v>
      </c>
    </row>
    <row r="26" spans="1:11">
      <c r="A26" t="s">
        <v>5900</v>
      </c>
      <c r="B26">
        <v>457617600</v>
      </c>
      <c r="C26" t="s">
        <v>5901</v>
      </c>
      <c r="D26" s="561" t="s">
        <v>865</v>
      </c>
      <c r="F26" s="239" t="str" cm="1">
        <f t="array" aca="1" ref="F26" ca="1">MID(met2utc(PEPSSI_Commanding[[#This Row],[MET]]),3,15)</f>
        <v>20-203/18:30:55</v>
      </c>
      <c r="G26" s="213" t="str">
        <f t="shared" si="0"/>
        <v>HX+24H</v>
      </c>
      <c r="H26" s="214">
        <f t="shared" si="1"/>
        <v>457617600</v>
      </c>
      <c r="I26" s="214">
        <f t="shared" si="2"/>
        <v>644922415</v>
      </c>
      <c r="J26" s="213">
        <f t="shared" si="3"/>
        <v>12</v>
      </c>
      <c r="K26" s="213">
        <f t="shared" si="4"/>
        <v>1</v>
      </c>
    </row>
    <row r="27" spans="1:11">
      <c r="A27" t="s">
        <v>5889</v>
      </c>
      <c r="B27">
        <v>644922415</v>
      </c>
      <c r="C27" t="s">
        <v>433</v>
      </c>
      <c r="D27" s="561" t="s">
        <v>5890</v>
      </c>
      <c r="F27" s="239" t="str" cm="1">
        <f t="array" aca="1" ref="F27" ca="1">MID(met2utc(PEPSSI_Commanding[[#This Row],[MET]]),3,15)</f>
        <v>20-203/18:30:58</v>
      </c>
      <c r="G27" s="213" t="str">
        <f t="shared" si="0"/>
        <v>ON</v>
      </c>
      <c r="H27" s="214">
        <f t="shared" si="1"/>
        <v>644922415</v>
      </c>
      <c r="I27" s="214">
        <f t="shared" si="2"/>
        <v>644922880</v>
      </c>
      <c r="J27" s="213">
        <f t="shared" si="3"/>
        <v>0</v>
      </c>
      <c r="K27" s="213">
        <f t="shared" si="4"/>
        <v>10</v>
      </c>
    </row>
    <row r="28" spans="1:11">
      <c r="A28" t="s">
        <v>5891</v>
      </c>
      <c r="B28">
        <v>644922624</v>
      </c>
      <c r="C28" t="s">
        <v>5892</v>
      </c>
      <c r="D28" s="561" t="s">
        <v>5893</v>
      </c>
      <c r="F28" s="239" t="str" cm="1">
        <f t="array" aca="1" ref="F28" ca="1">MID(met2utc(PEPSSI_Commanding[[#This Row],[MET]]),3,15)</f>
        <v>26-179/03:29:59</v>
      </c>
      <c r="G28" s="213" t="str">
        <f t="shared" si="0"/>
        <v>MODE+HVENG</v>
      </c>
      <c r="H28" s="214">
        <f t="shared" si="1"/>
        <v>644922415</v>
      </c>
      <c r="I28" s="214">
        <f t="shared" si="2"/>
        <v>644922880</v>
      </c>
      <c r="J28" s="213">
        <f t="shared" si="3"/>
        <v>1</v>
      </c>
      <c r="K28" s="213">
        <f t="shared" si="4"/>
        <v>9</v>
      </c>
    </row>
    <row r="29" spans="1:11">
      <c r="A29" t="s">
        <v>5894</v>
      </c>
      <c r="B29">
        <v>644922624</v>
      </c>
      <c r="C29" t="s">
        <v>898</v>
      </c>
      <c r="D29" s="561" t="s">
        <v>890</v>
      </c>
      <c r="F29" s="239" t="str" cm="1">
        <f t="array" aca="1" ref="F29" ca="1">MID(met2utc(PEPSSI_Commanding[[#This Row],[MET]]),3,15)</f>
        <v>26-179/03:30:44</v>
      </c>
      <c r="G29" s="213" t="str">
        <f t="shared" si="0"/>
        <v>HK+1S</v>
      </c>
      <c r="H29" s="214">
        <f t="shared" si="1"/>
        <v>644922415</v>
      </c>
      <c r="I29" s="214">
        <f t="shared" si="2"/>
        <v>644922880</v>
      </c>
      <c r="J29" s="213">
        <f t="shared" si="3"/>
        <v>2</v>
      </c>
      <c r="K29" s="213">
        <f t="shared" si="4"/>
        <v>8</v>
      </c>
    </row>
    <row r="30" spans="1:11">
      <c r="A30" t="s">
        <v>5891</v>
      </c>
      <c r="B30">
        <v>644922752</v>
      </c>
      <c r="C30" t="s">
        <v>5892</v>
      </c>
      <c r="D30" s="561" t="s">
        <v>5895</v>
      </c>
      <c r="F30" s="239" t="str" cm="1">
        <f t="array" aca="1" ref="F30" ca="1">MID(met2utc(PEPSSI_Commanding[[#This Row],[MET]]),3,15)</f>
        <v>26-179/03:30:44</v>
      </c>
      <c r="G30" s="213" t="str">
        <f t="shared" si="0"/>
        <v>MODE+HVSCI</v>
      </c>
      <c r="H30" s="214">
        <f t="shared" si="1"/>
        <v>644922415</v>
      </c>
      <c r="I30" s="214">
        <f t="shared" si="2"/>
        <v>644922880</v>
      </c>
      <c r="J30" s="213">
        <f t="shared" si="3"/>
        <v>3</v>
      </c>
      <c r="K30" s="213">
        <f t="shared" si="4"/>
        <v>7</v>
      </c>
    </row>
    <row r="31" spans="1:11">
      <c r="A31" t="s">
        <v>5894</v>
      </c>
      <c r="B31">
        <v>644922752</v>
      </c>
      <c r="C31" t="s">
        <v>898</v>
      </c>
      <c r="D31" s="561" t="s">
        <v>878</v>
      </c>
      <c r="F31" s="239" t="str" cm="1">
        <f t="array" aca="1" ref="F31" ca="1">MID(met2utc(PEPSSI_Commanding[[#This Row],[MET]]),3,15)</f>
        <v>26-179/03:30:45</v>
      </c>
      <c r="G31" s="213" t="str">
        <f t="shared" si="0"/>
        <v>HK+1H</v>
      </c>
      <c r="H31" s="214">
        <f t="shared" si="1"/>
        <v>644922415</v>
      </c>
      <c r="I31" s="214">
        <f t="shared" si="2"/>
        <v>644922880</v>
      </c>
      <c r="J31" s="213">
        <f t="shared" si="3"/>
        <v>4</v>
      </c>
      <c r="K31" s="213">
        <f t="shared" si="4"/>
        <v>6</v>
      </c>
    </row>
    <row r="32" spans="1:11">
      <c r="A32" t="s">
        <v>5896</v>
      </c>
      <c r="B32">
        <v>644922752</v>
      </c>
      <c r="C32" t="s">
        <v>5897</v>
      </c>
      <c r="D32" s="561" t="s">
        <v>884</v>
      </c>
      <c r="F32" s="239" t="str" cm="1">
        <f t="array" aca="1" ref="F32" ca="1">MID(met2utc(PEPSSI_Commanding[[#This Row],[MET]]),3,15)</f>
        <v>26-179/03:30:46</v>
      </c>
      <c r="G32" s="213" t="str">
        <f t="shared" si="0"/>
        <v>RT+64S</v>
      </c>
      <c r="H32" s="214">
        <f t="shared" si="1"/>
        <v>644922415</v>
      </c>
      <c r="I32" s="214">
        <f t="shared" si="2"/>
        <v>644922880</v>
      </c>
      <c r="J32" s="213">
        <f t="shared" si="3"/>
        <v>5</v>
      </c>
      <c r="K32" s="213">
        <f t="shared" si="4"/>
        <v>5</v>
      </c>
    </row>
    <row r="33" spans="1:11">
      <c r="A33" t="s">
        <v>5898</v>
      </c>
      <c r="B33">
        <v>644922752</v>
      </c>
      <c r="C33" t="s">
        <v>5899</v>
      </c>
      <c r="D33" s="561" t="s">
        <v>861</v>
      </c>
      <c r="F33" s="239" t="str" cm="1">
        <f t="array" aca="1" ref="F33" ca="1">MID(met2utc(PEPSSI_Commanding[[#This Row],[MET]]),3,15)</f>
        <v>26-179/03:30:47</v>
      </c>
      <c r="G33" s="213" t="str">
        <f t="shared" si="0"/>
        <v>SM+NEVER</v>
      </c>
      <c r="H33" s="214">
        <f t="shared" si="1"/>
        <v>644922415</v>
      </c>
      <c r="I33" s="214">
        <f t="shared" si="2"/>
        <v>644922880</v>
      </c>
      <c r="J33" s="213">
        <f t="shared" si="3"/>
        <v>6</v>
      </c>
      <c r="K33" s="213">
        <f t="shared" si="4"/>
        <v>4</v>
      </c>
    </row>
    <row r="34" spans="1:11">
      <c r="A34" t="s">
        <v>5900</v>
      </c>
      <c r="B34">
        <v>644922752</v>
      </c>
      <c r="C34" t="s">
        <v>5901</v>
      </c>
      <c r="D34" s="561" t="s">
        <v>861</v>
      </c>
      <c r="F34" s="239" t="str" cm="1">
        <f t="array" aca="1" ref="F34" ca="1">MID(met2utc(PEPSSI_Commanding[[#This Row],[MET]]),3,15)</f>
        <v>26-179/03:55:30</v>
      </c>
      <c r="G34" s="213" t="str">
        <f t="shared" si="0"/>
        <v>HX+NEVER</v>
      </c>
      <c r="H34" s="214">
        <f t="shared" si="1"/>
        <v>644922415</v>
      </c>
      <c r="I34" s="214">
        <f t="shared" si="2"/>
        <v>644922880</v>
      </c>
      <c r="J34" s="213">
        <f t="shared" si="3"/>
        <v>7</v>
      </c>
      <c r="K34" s="213">
        <f t="shared" si="4"/>
        <v>3</v>
      </c>
    </row>
    <row r="35" spans="1:11">
      <c r="A35" t="s">
        <v>5891</v>
      </c>
      <c r="B35">
        <v>644922880</v>
      </c>
      <c r="C35" t="s">
        <v>5892</v>
      </c>
      <c r="D35" s="561" t="s">
        <v>5895</v>
      </c>
      <c r="F35" s="239" t="str" cm="1">
        <f t="array" aca="1" ref="F35" ca="1">MID(met2utc(PEPSSI_Commanding[[#This Row],[MET]]),3,15)</f>
        <v>26-179/03:55:31</v>
      </c>
      <c r="G35" s="213" t="str">
        <f t="shared" si="0"/>
        <v>MODE+HVSCI</v>
      </c>
      <c r="H35" s="214">
        <f t="shared" si="1"/>
        <v>644922415</v>
      </c>
      <c r="I35" s="214">
        <f t="shared" si="2"/>
        <v>644922880</v>
      </c>
      <c r="J35" s="213">
        <f t="shared" si="3"/>
        <v>8</v>
      </c>
      <c r="K35" s="213">
        <f t="shared" si="4"/>
        <v>2</v>
      </c>
    </row>
    <row r="36" spans="1:11">
      <c r="A36" t="s">
        <v>5894</v>
      </c>
      <c r="B36">
        <v>644922880</v>
      </c>
      <c r="C36" t="s">
        <v>898</v>
      </c>
      <c r="D36" s="561" t="s">
        <v>878</v>
      </c>
      <c r="F36" s="239" t="str" cm="1">
        <f t="array" aca="1" ref="F36" ca="1">MID(met2utc(PEPSSI_Commanding[[#This Row],[MET]]),3,15)</f>
        <v>26-179/03:55:32</v>
      </c>
      <c r="G36" s="213" t="str">
        <f t="shared" si="0"/>
        <v>HK+1H</v>
      </c>
      <c r="H36" s="214">
        <f t="shared" si="1"/>
        <v>644922415</v>
      </c>
      <c r="I36" s="214">
        <f t="shared" si="2"/>
        <v>644922880</v>
      </c>
      <c r="J36" s="213">
        <f t="shared" si="3"/>
        <v>9</v>
      </c>
      <c r="K36" s="213">
        <f t="shared" si="4"/>
        <v>1</v>
      </c>
    </row>
    <row r="37" spans="1:11">
      <c r="A37" t="s">
        <v>5896</v>
      </c>
      <c r="B37">
        <v>644922880</v>
      </c>
      <c r="C37" t="s">
        <v>5897</v>
      </c>
      <c r="D37" s="561" t="s">
        <v>877</v>
      </c>
      <c r="F37" s="239" t="str" cm="1">
        <f t="array" aca="1" ref="F37" ca="1">MID(met2utc(PEPSSI_Commanding[[#This Row],[MET]]),3,15)</f>
        <v>26-179/03:55:33</v>
      </c>
      <c r="G37" s="213" t="str">
        <f t="shared" si="0"/>
        <v>RT+2H</v>
      </c>
      <c r="H37" s="214">
        <f t="shared" si="1"/>
        <v>644922880</v>
      </c>
      <c r="I37" s="214">
        <f t="shared" si="2"/>
        <v>645155515</v>
      </c>
      <c r="J37" s="213">
        <f t="shared" si="3"/>
        <v>10</v>
      </c>
      <c r="K37" s="213">
        <f t="shared" si="4"/>
        <v>3</v>
      </c>
    </row>
    <row r="38" spans="1:11">
      <c r="A38" t="s">
        <v>5898</v>
      </c>
      <c r="B38">
        <v>644922944</v>
      </c>
      <c r="C38" t="s">
        <v>5899</v>
      </c>
      <c r="D38" s="561" t="s">
        <v>878</v>
      </c>
      <c r="F38" s="239" t="str" cm="1">
        <f t="array" aca="1" ref="F38" ca="1">MID(met2utc(PEPSSI_Commanding[[#This Row],[MET]]),3,15)</f>
        <v>26-179/03:57:59</v>
      </c>
      <c r="G38" s="213" t="str">
        <f t="shared" si="0"/>
        <v>SM+1H</v>
      </c>
      <c r="H38" s="214">
        <f t="shared" si="1"/>
        <v>644922880</v>
      </c>
      <c r="I38" s="214">
        <f t="shared" si="2"/>
        <v>645155515</v>
      </c>
      <c r="J38" s="213">
        <f t="shared" si="3"/>
        <v>11</v>
      </c>
      <c r="K38" s="213">
        <f t="shared" si="4"/>
        <v>2</v>
      </c>
    </row>
    <row r="39" spans="1:11">
      <c r="A39" t="s">
        <v>5900</v>
      </c>
      <c r="B39">
        <v>644922944</v>
      </c>
      <c r="C39" t="s">
        <v>5901</v>
      </c>
      <c r="D39" s="561" t="s">
        <v>865</v>
      </c>
      <c r="F39" s="239" t="str" cm="1">
        <f t="array" aca="1" ref="F39" ca="1">MID(met2utc(PEPSSI_Commanding[[#This Row],[MET]]),3,15)</f>
        <v>26-179/03:58:02</v>
      </c>
      <c r="G39" s="213" t="str">
        <f t="shared" si="0"/>
        <v>HX+24H</v>
      </c>
      <c r="H39" s="214">
        <f t="shared" si="1"/>
        <v>644922880</v>
      </c>
      <c r="I39" s="214">
        <f t="shared" si="2"/>
        <v>645155515</v>
      </c>
      <c r="J39" s="213">
        <f t="shared" si="3"/>
        <v>12</v>
      </c>
      <c r="K39" s="213">
        <f t="shared" si="4"/>
        <v>1</v>
      </c>
    </row>
    <row r="40" spans="1:11">
      <c r="A40" t="s">
        <v>5889</v>
      </c>
      <c r="B40">
        <v>645155515</v>
      </c>
      <c r="C40" t="s">
        <v>433</v>
      </c>
      <c r="D40" s="561" t="s">
        <v>5890</v>
      </c>
      <c r="F40" s="239" t="str" cm="1">
        <f t="array" aca="1" ref="F40" ca="1">MID(met2utc(PEPSSI_Commanding[[#This Row],[MET]]),3,15)</f>
        <v>26-179/03:58:05</v>
      </c>
      <c r="G40" s="213" t="str">
        <f t="shared" si="0"/>
        <v>ON</v>
      </c>
      <c r="H40" s="214">
        <f t="shared" si="1"/>
        <v>645155515</v>
      </c>
      <c r="I40" s="214">
        <f t="shared" si="2"/>
        <v>645156160</v>
      </c>
      <c r="J40" s="213">
        <f t="shared" si="3"/>
        <v>0</v>
      </c>
      <c r="K40" s="213">
        <f t="shared" si="4"/>
        <v>10</v>
      </c>
    </row>
    <row r="41" spans="1:11">
      <c r="A41" t="s">
        <v>5891</v>
      </c>
      <c r="B41">
        <v>645155968</v>
      </c>
      <c r="C41" t="s">
        <v>5892</v>
      </c>
      <c r="D41" s="561" t="s">
        <v>5895</v>
      </c>
      <c r="F41" s="239" t="str" cm="1">
        <f t="array" aca="1" ref="F41" ca="1">MID(met2utc(PEPSSI_Commanding[[#This Row],[MET]]),3,15)</f>
        <v>26-179/03:58:08</v>
      </c>
      <c r="G41" s="213" t="str">
        <f t="shared" si="0"/>
        <v>MODE+HVSCI</v>
      </c>
      <c r="H41" s="214">
        <f t="shared" si="1"/>
        <v>645155515</v>
      </c>
      <c r="I41" s="214">
        <f t="shared" si="2"/>
        <v>645156160</v>
      </c>
      <c r="J41" s="213">
        <f t="shared" si="3"/>
        <v>1</v>
      </c>
      <c r="K41" s="213">
        <f t="shared" si="4"/>
        <v>9</v>
      </c>
    </row>
    <row r="42" spans="1:11">
      <c r="A42" t="s">
        <v>5894</v>
      </c>
      <c r="B42">
        <v>645156032</v>
      </c>
      <c r="C42" t="s">
        <v>898</v>
      </c>
      <c r="D42" s="561" t="s">
        <v>878</v>
      </c>
      <c r="F42" s="239" t="str" cm="1">
        <f t="array" aca="1" ref="F42" ca="1">MID(met2utc(PEPSSI_Commanding[[#This Row],[MET]]),3,15)</f>
        <v>26-179/03:58:59</v>
      </c>
      <c r="G42" s="213" t="str">
        <f t="shared" si="0"/>
        <v>HK+1H</v>
      </c>
      <c r="H42" s="214">
        <f t="shared" si="1"/>
        <v>645155515</v>
      </c>
      <c r="I42" s="214">
        <f t="shared" si="2"/>
        <v>645156160</v>
      </c>
      <c r="J42" s="213">
        <f t="shared" si="3"/>
        <v>2</v>
      </c>
      <c r="K42" s="213">
        <f t="shared" si="4"/>
        <v>8</v>
      </c>
    </row>
    <row r="43" spans="1:11">
      <c r="A43" t="s">
        <v>5896</v>
      </c>
      <c r="B43">
        <v>645156032</v>
      </c>
      <c r="C43" t="s">
        <v>5897</v>
      </c>
      <c r="D43" s="561" t="s">
        <v>878</v>
      </c>
      <c r="F43" s="239" t="str" cm="1">
        <f t="array" aca="1" ref="F43" ca="1">MID(met2utc(PEPSSI_Commanding[[#This Row],[MET]]),3,15)</f>
        <v>26-179/04:08:59</v>
      </c>
      <c r="G43" s="213" t="str">
        <f t="shared" si="0"/>
        <v>RT+1H</v>
      </c>
      <c r="H43" s="214">
        <f t="shared" si="1"/>
        <v>645155515</v>
      </c>
      <c r="I43" s="214">
        <f t="shared" si="2"/>
        <v>645156160</v>
      </c>
      <c r="J43" s="213">
        <f t="shared" si="3"/>
        <v>3</v>
      </c>
      <c r="K43" s="213">
        <f t="shared" si="4"/>
        <v>7</v>
      </c>
    </row>
    <row r="44" spans="1:11">
      <c r="A44" t="s">
        <v>5898</v>
      </c>
      <c r="B44">
        <v>645156032</v>
      </c>
      <c r="C44" t="s">
        <v>5899</v>
      </c>
      <c r="D44" s="561" t="s">
        <v>878</v>
      </c>
      <c r="F44" s="239" t="str" cm="1">
        <f t="array" aca="1" ref="F44" ca="1">MID(met2utc(PEPSSI_Commanding[[#This Row],[MET]]),3,15)</f>
        <v>26-179/04:18:59</v>
      </c>
      <c r="G44" s="213" t="str">
        <f t="shared" si="0"/>
        <v>SM+1H</v>
      </c>
      <c r="H44" s="214">
        <f t="shared" si="1"/>
        <v>645155515</v>
      </c>
      <c r="I44" s="214">
        <f t="shared" si="2"/>
        <v>645156160</v>
      </c>
      <c r="J44" s="213">
        <f t="shared" si="3"/>
        <v>4</v>
      </c>
      <c r="K44" s="213">
        <f t="shared" si="4"/>
        <v>6</v>
      </c>
    </row>
    <row r="45" spans="1:11">
      <c r="A45" t="s">
        <v>5900</v>
      </c>
      <c r="B45">
        <v>645156032</v>
      </c>
      <c r="C45" t="s">
        <v>5901</v>
      </c>
      <c r="D45" s="561" t="s">
        <v>865</v>
      </c>
      <c r="F45" s="239" t="str" cm="1">
        <f t="array" aca="1" ref="F45" ca="1">MID(met2utc(PEPSSI_Commanding[[#This Row],[MET]]),3,15)</f>
        <v>26-201/19:59:59</v>
      </c>
      <c r="G45" s="213" t="str">
        <f t="shared" si="0"/>
        <v>HX+24H</v>
      </c>
      <c r="H45" s="214">
        <f t="shared" si="1"/>
        <v>645155515</v>
      </c>
      <c r="I45" s="214">
        <f t="shared" si="2"/>
        <v>645156160</v>
      </c>
      <c r="J45" s="213">
        <f t="shared" si="3"/>
        <v>5</v>
      </c>
      <c r="K45" s="213">
        <f t="shared" si="4"/>
        <v>5</v>
      </c>
    </row>
    <row r="46" spans="1:11">
      <c r="A46" t="s">
        <v>5891</v>
      </c>
      <c r="B46">
        <v>645156160</v>
      </c>
      <c r="C46" t="s">
        <v>5892</v>
      </c>
      <c r="D46" s="561" t="s">
        <v>5895</v>
      </c>
      <c r="F46" s="239" t="str" cm="1">
        <f t="array" aca="1" ref="F46" ca="1">MID(met2utc(PEPSSI_Commanding[[#This Row],[MET]]),3,15)</f>
        <v>26-201/20:09:59</v>
      </c>
      <c r="G46" s="213" t="str">
        <f t="shared" si="0"/>
        <v>MODE+HVSCI</v>
      </c>
      <c r="H46" s="214">
        <f t="shared" si="1"/>
        <v>645155515</v>
      </c>
      <c r="I46" s="214">
        <f t="shared" si="2"/>
        <v>645156160</v>
      </c>
      <c r="J46" s="213">
        <f t="shared" si="3"/>
        <v>6</v>
      </c>
      <c r="K46" s="213">
        <f t="shared" si="4"/>
        <v>4</v>
      </c>
    </row>
    <row r="47" spans="1:11">
      <c r="A47" t="s">
        <v>5894</v>
      </c>
      <c r="B47">
        <v>645156160</v>
      </c>
      <c r="C47" t="s">
        <v>898</v>
      </c>
      <c r="D47" s="561" t="s">
        <v>890</v>
      </c>
      <c r="F47" s="239" t="str" cm="1">
        <f t="array" aca="1" ref="F47" ca="1">MID(met2utc(PEPSSI_Commanding[[#This Row],[MET]]),3,15)</f>
        <v>26-201/20:10:02</v>
      </c>
      <c r="G47" s="213" t="str">
        <f t="shared" si="0"/>
        <v>HK+1S</v>
      </c>
      <c r="H47" s="214">
        <f t="shared" si="1"/>
        <v>645155515</v>
      </c>
      <c r="I47" s="214">
        <f t="shared" si="2"/>
        <v>645156160</v>
      </c>
      <c r="J47" s="213">
        <f t="shared" si="3"/>
        <v>7</v>
      </c>
      <c r="K47" s="213">
        <f t="shared" si="4"/>
        <v>3</v>
      </c>
    </row>
    <row r="48" spans="1:11">
      <c r="A48" t="s">
        <v>5896</v>
      </c>
      <c r="B48">
        <v>645156160</v>
      </c>
      <c r="C48" t="s">
        <v>5897</v>
      </c>
      <c r="D48" s="561" t="s">
        <v>884</v>
      </c>
      <c r="F48" s="239" t="str" cm="1">
        <f t="array" aca="1" ref="F48" ca="1">MID(met2utc(PEPSSI_Commanding[[#This Row],[MET]]),3,15)</f>
        <v>26-201/20:10:05</v>
      </c>
      <c r="G48" s="213" t="str">
        <f t="shared" si="0"/>
        <v>RT+64S</v>
      </c>
      <c r="H48" s="214">
        <f t="shared" si="1"/>
        <v>645155515</v>
      </c>
      <c r="I48" s="214">
        <f t="shared" si="2"/>
        <v>645156160</v>
      </c>
      <c r="J48" s="213">
        <f t="shared" si="3"/>
        <v>8</v>
      </c>
      <c r="K48" s="213">
        <f t="shared" si="4"/>
        <v>2</v>
      </c>
    </row>
    <row r="49" spans="1:11">
      <c r="A49" t="s">
        <v>5898</v>
      </c>
      <c r="B49">
        <v>645156160</v>
      </c>
      <c r="C49" t="s">
        <v>5899</v>
      </c>
      <c r="D49" s="561" t="s">
        <v>861</v>
      </c>
      <c r="F49" s="239" t="str" cm="1">
        <f t="array" aca="1" ref="F49" ca="1">MID(met2utc(PEPSSI_Commanding[[#This Row],[MET]]),3,15)</f>
        <v>26-201/20:10:08</v>
      </c>
      <c r="G49" s="213" t="str">
        <f t="shared" si="0"/>
        <v>SM+NEVER</v>
      </c>
      <c r="H49" s="214">
        <f t="shared" si="1"/>
        <v>645155515</v>
      </c>
      <c r="I49" s="214">
        <f t="shared" si="2"/>
        <v>645156160</v>
      </c>
      <c r="J49" s="213">
        <f t="shared" si="3"/>
        <v>9</v>
      </c>
      <c r="K49" s="213">
        <f t="shared" si="4"/>
        <v>1</v>
      </c>
    </row>
    <row r="50" spans="1:11">
      <c r="A50" t="s">
        <v>5900</v>
      </c>
      <c r="B50">
        <v>645156160</v>
      </c>
      <c r="C50" t="s">
        <v>5901</v>
      </c>
      <c r="D50" s="561" t="s">
        <v>861</v>
      </c>
      <c r="F50" s="239" t="str" cm="1">
        <f t="array" aca="1" ref="F50" ca="1">MID(met2utc(PEPSSI_Commanding[[#This Row],[MET]]),3,15)</f>
        <v>26-201/20:19:59</v>
      </c>
      <c r="G50" s="213" t="str">
        <f t="shared" si="0"/>
        <v>HX+NEVER</v>
      </c>
      <c r="H50" s="214">
        <f t="shared" si="1"/>
        <v>645156160</v>
      </c>
      <c r="I50" s="214">
        <f t="shared" si="2"/>
        <v>645161815</v>
      </c>
      <c r="J50" s="213">
        <f t="shared" si="3"/>
        <v>10</v>
      </c>
      <c r="K50" s="213">
        <f t="shared" si="4"/>
        <v>1</v>
      </c>
    </row>
    <row r="51" spans="1:11">
      <c r="A51" t="s">
        <v>5889</v>
      </c>
      <c r="B51">
        <v>645161815</v>
      </c>
      <c r="C51" t="s">
        <v>433</v>
      </c>
      <c r="D51" s="561" t="s">
        <v>5890</v>
      </c>
      <c r="F51" s="239" t="str" cm="1">
        <f t="array" aca="1" ref="F51" ca="1">MID(met2utc(PEPSSI_Commanding[[#This Row],[MET]]),3,15)</f>
        <v>26-201/20:29:59</v>
      </c>
      <c r="G51" s="213" t="str">
        <f t="shared" si="0"/>
        <v>ON</v>
      </c>
      <c r="H51" s="214">
        <f t="shared" si="1"/>
        <v>645161815</v>
      </c>
      <c r="I51" s="214">
        <f t="shared" si="2"/>
        <v>644922415</v>
      </c>
      <c r="J51" s="213">
        <f t="shared" si="3"/>
        <v>0</v>
      </c>
      <c r="K51" s="213">
        <f t="shared" si="4"/>
        <v>6</v>
      </c>
    </row>
    <row r="52" spans="1:11">
      <c r="A52" t="s">
        <v>5891</v>
      </c>
      <c r="B52">
        <v>645162304</v>
      </c>
      <c r="C52" t="s">
        <v>5892</v>
      </c>
      <c r="D52" s="561" t="s">
        <v>5895</v>
      </c>
      <c r="F52" s="239" t="str" cm="1">
        <f t="array" aca="1" ref="F52" ca="1">MID(met2utc(PEPSSI_Commanding[[#This Row],[MET]]),3,15)</f>
        <v>26-179/03:29:59</v>
      </c>
      <c r="G52" s="213" t="str">
        <f t="shared" si="0"/>
        <v>MODE+HVSCI</v>
      </c>
      <c r="H52" s="214">
        <f t="shared" si="1"/>
        <v>645161815</v>
      </c>
      <c r="I52" s="214">
        <f t="shared" si="2"/>
        <v>644922415</v>
      </c>
      <c r="J52" s="213">
        <f t="shared" si="3"/>
        <v>1</v>
      </c>
      <c r="K52" s="213">
        <f t="shared" si="4"/>
        <v>5</v>
      </c>
    </row>
    <row r="53" spans="1:11">
      <c r="A53" t="s">
        <v>5894</v>
      </c>
      <c r="B53">
        <v>645162304</v>
      </c>
      <c r="C53" t="s">
        <v>898</v>
      </c>
      <c r="D53" s="561" t="s">
        <v>878</v>
      </c>
      <c r="F53" s="239" t="str" cm="1">
        <f t="array" aca="1" ref="F53" ca="1">MID(met2utc(PEPSSI_Commanding[[#This Row],[MET]]),3,15)</f>
        <v>26-179/03:30:44</v>
      </c>
      <c r="G53" s="213" t="str">
        <f t="shared" si="0"/>
        <v>HK+1H</v>
      </c>
      <c r="H53" s="214">
        <f t="shared" si="1"/>
        <v>645161815</v>
      </c>
      <c r="I53" s="214">
        <f t="shared" si="2"/>
        <v>644922415</v>
      </c>
      <c r="J53" s="213">
        <f t="shared" si="3"/>
        <v>2</v>
      </c>
      <c r="K53" s="213">
        <f t="shared" si="4"/>
        <v>4</v>
      </c>
    </row>
    <row r="54" spans="1:11">
      <c r="A54" t="s">
        <v>5896</v>
      </c>
      <c r="B54">
        <v>645162304</v>
      </c>
      <c r="C54" t="s">
        <v>5897</v>
      </c>
      <c r="D54" s="561" t="s">
        <v>877</v>
      </c>
      <c r="F54" s="239" t="str" cm="1">
        <f t="array" aca="1" ref="F54" ca="1">MID(met2utc(PEPSSI_Commanding[[#This Row],[MET]]),3,15)</f>
        <v>26-179/03:30:44</v>
      </c>
      <c r="G54" s="213" t="str">
        <f t="shared" si="0"/>
        <v>RT+2H</v>
      </c>
      <c r="H54" s="214">
        <f t="shared" si="1"/>
        <v>645161815</v>
      </c>
      <c r="I54" s="214">
        <f t="shared" si="2"/>
        <v>644922415</v>
      </c>
      <c r="J54" s="213">
        <f t="shared" si="3"/>
        <v>3</v>
      </c>
      <c r="K54" s="213">
        <f t="shared" si="4"/>
        <v>3</v>
      </c>
    </row>
    <row r="55" spans="1:11">
      <c r="A55" t="s">
        <v>5898</v>
      </c>
      <c r="B55">
        <v>645162304</v>
      </c>
      <c r="C55" t="s">
        <v>5899</v>
      </c>
      <c r="D55" s="561" t="s">
        <v>878</v>
      </c>
      <c r="F55" s="239" t="str" cm="1">
        <f t="array" aca="1" ref="F55" ca="1">MID(met2utc(PEPSSI_Commanding[[#This Row],[MET]]),3,15)</f>
        <v>26-179/03:30:45</v>
      </c>
      <c r="G55" s="213" t="str">
        <f t="shared" si="0"/>
        <v>SM+1H</v>
      </c>
      <c r="H55" s="214">
        <f t="shared" si="1"/>
        <v>645161815</v>
      </c>
      <c r="I55" s="214">
        <f t="shared" si="2"/>
        <v>644922415</v>
      </c>
      <c r="J55" s="213">
        <f t="shared" si="3"/>
        <v>4</v>
      </c>
      <c r="K55" s="213">
        <f t="shared" si="4"/>
        <v>2</v>
      </c>
    </row>
    <row r="56" spans="1:11">
      <c r="A56" t="s">
        <v>5900</v>
      </c>
      <c r="B56">
        <v>645162304</v>
      </c>
      <c r="C56" t="s">
        <v>5901</v>
      </c>
      <c r="D56" s="561" t="s">
        <v>865</v>
      </c>
      <c r="F56" s="239" t="str" cm="1">
        <f t="array" aca="1" ref="F56" ca="1">MID(met2utc(PEPSSI_Commanding[[#This Row],[MET]]),3,15)</f>
        <v>26-179/03:30:46</v>
      </c>
      <c r="G56" s="213" t="str">
        <f t="shared" si="0"/>
        <v>HX+24H</v>
      </c>
      <c r="H56" s="214">
        <f t="shared" si="1"/>
        <v>645161815</v>
      </c>
      <c r="I56" s="214">
        <f t="shared" si="2"/>
        <v>644922415</v>
      </c>
      <c r="J56" s="213">
        <f t="shared" si="3"/>
        <v>5</v>
      </c>
      <c r="K56" s="213">
        <f t="shared" si="4"/>
        <v>1</v>
      </c>
    </row>
    <row r="57" spans="1:11">
      <c r="A57" t="s">
        <v>5889</v>
      </c>
      <c r="B57">
        <v>644922415</v>
      </c>
      <c r="C57" t="s">
        <v>5318</v>
      </c>
      <c r="D57" s="561" t="s">
        <v>5890</v>
      </c>
      <c r="F57" s="239" t="str" cm="1">
        <f t="array" aca="1" ref="F57" ca="1">MID(met2utc(PEPSSI_Commanding[[#This Row],[MET]]),3,15)</f>
        <v>26-179/03:30:47</v>
      </c>
      <c r="G57" s="213" t="str">
        <f t="shared" si="0"/>
        <v>OFF</v>
      </c>
      <c r="H57" s="214">
        <f t="shared" si="1"/>
        <v>645161815</v>
      </c>
      <c r="I57" s="214">
        <f t="shared" si="2"/>
        <v>644922415</v>
      </c>
      <c r="J57" s="213">
        <f t="shared" si="3"/>
        <v>6</v>
      </c>
      <c r="K57" s="213">
        <f t="shared" si="4"/>
        <v>0</v>
      </c>
    </row>
    <row r="58" spans="1:11">
      <c r="A58" t="s">
        <v>5889</v>
      </c>
      <c r="B58">
        <v>645155515</v>
      </c>
      <c r="C58" t="s">
        <v>433</v>
      </c>
      <c r="D58" s="561" t="s">
        <v>5890</v>
      </c>
      <c r="F58" s="239" t="str" cm="1">
        <f t="array" aca="1" ref="F58" ca="1">MID(met2utc(PEPSSI_Commanding[[#This Row],[MET]]),3,15)</f>
        <v>26-179/03:55:30</v>
      </c>
      <c r="G58" s="213" t="str">
        <f t="shared" si="0"/>
        <v>ON</v>
      </c>
      <c r="H58" s="214">
        <f t="shared" si="1"/>
        <v>645155515</v>
      </c>
      <c r="I58" s="214">
        <f t="shared" si="2"/>
        <v>645156160</v>
      </c>
      <c r="J58" s="213">
        <f t="shared" si="3"/>
        <v>0</v>
      </c>
      <c r="K58" s="213">
        <f t="shared" si="4"/>
        <v>10</v>
      </c>
    </row>
    <row r="59" spans="1:11">
      <c r="A59" t="s">
        <v>5891</v>
      </c>
      <c r="B59">
        <v>645155968</v>
      </c>
      <c r="C59" t="s">
        <v>5892</v>
      </c>
      <c r="D59" s="561" t="s">
        <v>5895</v>
      </c>
      <c r="F59" s="239" t="str" cm="1">
        <f t="array" aca="1" ref="F59" ca="1">MID(met2utc(PEPSSI_Commanding[[#This Row],[MET]]),3,15)</f>
        <v>26-179/03:55:31</v>
      </c>
      <c r="G59" s="213" t="str">
        <f t="shared" si="0"/>
        <v>MODE+HVSCI</v>
      </c>
      <c r="H59" s="214">
        <f t="shared" si="1"/>
        <v>645155515</v>
      </c>
      <c r="I59" s="214">
        <f t="shared" si="2"/>
        <v>645156160</v>
      </c>
      <c r="J59" s="213">
        <f t="shared" si="3"/>
        <v>1</v>
      </c>
      <c r="K59" s="213">
        <f t="shared" si="4"/>
        <v>9</v>
      </c>
    </row>
    <row r="60" spans="1:11">
      <c r="A60" t="s">
        <v>5894</v>
      </c>
      <c r="B60">
        <v>645156032</v>
      </c>
      <c r="C60" t="s">
        <v>898</v>
      </c>
      <c r="D60" s="561" t="s">
        <v>878</v>
      </c>
      <c r="F60" s="239" t="str" cm="1">
        <f t="array" aca="1" ref="F60" ca="1">MID(met2utc(PEPSSI_Commanding[[#This Row],[MET]]),3,15)</f>
        <v>26-179/03:55:32</v>
      </c>
      <c r="G60" s="213" t="str">
        <f t="shared" si="0"/>
        <v>HK+1H</v>
      </c>
      <c r="H60" s="214">
        <f t="shared" si="1"/>
        <v>645155515</v>
      </c>
      <c r="I60" s="214">
        <f t="shared" si="2"/>
        <v>645156160</v>
      </c>
      <c r="J60" s="213">
        <f t="shared" si="3"/>
        <v>2</v>
      </c>
      <c r="K60" s="213">
        <f t="shared" si="4"/>
        <v>8</v>
      </c>
    </row>
    <row r="61" spans="1:11">
      <c r="A61" t="s">
        <v>5896</v>
      </c>
      <c r="B61">
        <v>645156032</v>
      </c>
      <c r="C61" t="s">
        <v>5897</v>
      </c>
      <c r="D61" s="561" t="s">
        <v>878</v>
      </c>
      <c r="F61" s="239" t="str" cm="1">
        <f t="array" aca="1" ref="F61" ca="1">MID(met2utc(PEPSSI_Commanding[[#This Row],[MET]]),3,15)</f>
        <v>26-179/03:55:33</v>
      </c>
      <c r="G61" s="213" t="str">
        <f t="shared" si="0"/>
        <v>RT+1H</v>
      </c>
      <c r="H61" s="214">
        <f t="shared" si="1"/>
        <v>645155515</v>
      </c>
      <c r="I61" s="214">
        <f t="shared" si="2"/>
        <v>645156160</v>
      </c>
      <c r="J61" s="213">
        <f t="shared" si="3"/>
        <v>3</v>
      </c>
      <c r="K61" s="213">
        <f t="shared" si="4"/>
        <v>7</v>
      </c>
    </row>
    <row r="62" spans="1:11">
      <c r="A62" t="s">
        <v>5898</v>
      </c>
      <c r="B62">
        <v>645156032</v>
      </c>
      <c r="C62" t="s">
        <v>5899</v>
      </c>
      <c r="D62" s="561" t="s">
        <v>878</v>
      </c>
      <c r="F62" s="239" t="str" cm="1">
        <f t="array" aca="1" ref="F62" ca="1">MID(met2utc(PEPSSI_Commanding[[#This Row],[MET]]),3,15)</f>
        <v>26-179/03:57:59</v>
      </c>
      <c r="G62" s="213" t="str">
        <f t="shared" si="0"/>
        <v>SM+1H</v>
      </c>
      <c r="H62" s="214">
        <f t="shared" si="1"/>
        <v>645155515</v>
      </c>
      <c r="I62" s="214">
        <f t="shared" si="2"/>
        <v>645156160</v>
      </c>
      <c r="J62" s="213">
        <f t="shared" si="3"/>
        <v>4</v>
      </c>
      <c r="K62" s="213">
        <f t="shared" si="4"/>
        <v>6</v>
      </c>
    </row>
    <row r="63" spans="1:11">
      <c r="A63" t="s">
        <v>5900</v>
      </c>
      <c r="B63">
        <v>645156032</v>
      </c>
      <c r="C63" t="s">
        <v>5901</v>
      </c>
      <c r="D63" s="561" t="s">
        <v>865</v>
      </c>
      <c r="F63" s="239" t="str" cm="1">
        <f t="array" aca="1" ref="F63" ca="1">MID(met2utc(PEPSSI_Commanding[[#This Row],[MET]]),3,15)</f>
        <v>26-179/03:58:02</v>
      </c>
      <c r="G63" s="213" t="str">
        <f t="shared" si="0"/>
        <v>HX+24H</v>
      </c>
      <c r="H63" s="214">
        <f t="shared" si="1"/>
        <v>645155515</v>
      </c>
      <c r="I63" s="214">
        <f t="shared" si="2"/>
        <v>645156160</v>
      </c>
      <c r="J63" s="213">
        <f t="shared" si="3"/>
        <v>5</v>
      </c>
      <c r="K63" s="213">
        <f t="shared" si="4"/>
        <v>5</v>
      </c>
    </row>
    <row r="64" spans="1:11">
      <c r="A64" t="s">
        <v>5891</v>
      </c>
      <c r="B64">
        <v>645156160</v>
      </c>
      <c r="C64" t="s">
        <v>5892</v>
      </c>
      <c r="D64" s="561" t="s">
        <v>5895</v>
      </c>
      <c r="F64" s="239" t="str" cm="1">
        <f t="array" aca="1" ref="F64" ca="1">MID(met2utc(PEPSSI_Commanding[[#This Row],[MET]]),3,15)</f>
        <v>26-179/03:58:05</v>
      </c>
      <c r="G64" s="213" t="str">
        <f t="shared" si="0"/>
        <v>MODE+HVSCI</v>
      </c>
      <c r="H64" s="214">
        <f t="shared" si="1"/>
        <v>645155515</v>
      </c>
      <c r="I64" s="214">
        <f t="shared" si="2"/>
        <v>645156160</v>
      </c>
      <c r="J64" s="213">
        <f t="shared" si="3"/>
        <v>6</v>
      </c>
      <c r="K64" s="213">
        <f t="shared" si="4"/>
        <v>4</v>
      </c>
    </row>
    <row r="65" spans="1:11">
      <c r="A65" t="s">
        <v>5894</v>
      </c>
      <c r="B65">
        <v>645156160</v>
      </c>
      <c r="C65" t="s">
        <v>898</v>
      </c>
      <c r="D65" s="561" t="s">
        <v>890</v>
      </c>
      <c r="F65" s="239" t="str" cm="1">
        <f t="array" aca="1" ref="F65" ca="1">MID(met2utc(PEPSSI_Commanding[[#This Row],[MET]]),3,15)</f>
        <v>26-179/03:58:08</v>
      </c>
      <c r="G65" s="213" t="str">
        <f t="shared" si="0"/>
        <v>HK+1S</v>
      </c>
      <c r="H65" s="214">
        <f t="shared" si="1"/>
        <v>645155515</v>
      </c>
      <c r="I65" s="214">
        <f t="shared" si="2"/>
        <v>645156160</v>
      </c>
      <c r="J65" s="213">
        <f t="shared" si="3"/>
        <v>7</v>
      </c>
      <c r="K65" s="213">
        <f t="shared" si="4"/>
        <v>3</v>
      </c>
    </row>
    <row r="66" spans="1:11">
      <c r="A66" t="s">
        <v>5896</v>
      </c>
      <c r="B66">
        <v>645156160</v>
      </c>
      <c r="C66" t="s">
        <v>5897</v>
      </c>
      <c r="D66" s="561" t="s">
        <v>884</v>
      </c>
      <c r="F66" s="239" t="str" cm="1">
        <f t="array" aca="1" ref="F66" ca="1">MID(met2utc(PEPSSI_Commanding[[#This Row],[MET]]),3,15)</f>
        <v>26-179/03:58:59</v>
      </c>
      <c r="G66" s="213" t="str">
        <f t="shared" si="0"/>
        <v>RT+64S</v>
      </c>
      <c r="H66" s="214">
        <f t="shared" si="1"/>
        <v>645155515</v>
      </c>
      <c r="I66" s="214">
        <f t="shared" si="2"/>
        <v>645156160</v>
      </c>
      <c r="J66" s="213">
        <f t="shared" si="3"/>
        <v>8</v>
      </c>
      <c r="K66" s="213">
        <f t="shared" si="4"/>
        <v>2</v>
      </c>
    </row>
    <row r="67" spans="1:11">
      <c r="A67" t="s">
        <v>5898</v>
      </c>
      <c r="B67">
        <v>645156160</v>
      </c>
      <c r="C67" t="s">
        <v>5899</v>
      </c>
      <c r="D67" s="561" t="s">
        <v>861</v>
      </c>
      <c r="F67" s="239" t="str" cm="1">
        <f t="array" aca="1" ref="F67" ca="1">MID(met2utc(PEPSSI_Commanding[[#This Row],[MET]]),3,15)</f>
        <v>26-179/04:08:59</v>
      </c>
      <c r="G67" s="213" t="str">
        <f t="shared" si="0"/>
        <v>SM+NEVER</v>
      </c>
      <c r="H67" s="214">
        <f t="shared" si="1"/>
        <v>645155515</v>
      </c>
      <c r="I67" s="214">
        <f t="shared" si="2"/>
        <v>645156160</v>
      </c>
      <c r="J67" s="213">
        <f t="shared" si="3"/>
        <v>9</v>
      </c>
      <c r="K67" s="213">
        <f t="shared" si="4"/>
        <v>1</v>
      </c>
    </row>
    <row r="68" spans="1:11">
      <c r="A68" t="s">
        <v>5900</v>
      </c>
      <c r="B68">
        <v>645156160</v>
      </c>
      <c r="C68" t="s">
        <v>5901</v>
      </c>
      <c r="D68" s="561" t="s">
        <v>861</v>
      </c>
      <c r="F68" s="239" t="str" cm="1">
        <f t="array" aca="1" ref="F68" ca="1">MID(met2utc(PEPSSI_Commanding[[#This Row],[MET]]),3,15)</f>
        <v>26-179/04:18:59</v>
      </c>
      <c r="G68" s="213" t="str">
        <f t="shared" si="0"/>
        <v>HX+NEVER</v>
      </c>
      <c r="H68" s="214">
        <f t="shared" si="1"/>
        <v>645156160</v>
      </c>
      <c r="I68" s="214">
        <f t="shared" si="2"/>
        <v>645161815</v>
      </c>
      <c r="J68" s="213">
        <f t="shared" si="3"/>
        <v>10</v>
      </c>
      <c r="K68" s="213">
        <f t="shared" si="4"/>
        <v>1</v>
      </c>
    </row>
    <row r="69" spans="1:11">
      <c r="A69" t="s">
        <v>5889</v>
      </c>
      <c r="B69">
        <v>645161815</v>
      </c>
      <c r="C69" t="s">
        <v>433</v>
      </c>
      <c r="D69" s="561" t="s">
        <v>5890</v>
      </c>
    </row>
    <row r="70" spans="1:11">
      <c r="A70" t="s">
        <v>5891</v>
      </c>
      <c r="B70">
        <v>645162304</v>
      </c>
      <c r="C70" t="s">
        <v>5892</v>
      </c>
      <c r="D70" s="561" t="s">
        <v>5895</v>
      </c>
    </row>
    <row r="71" spans="1:11">
      <c r="A71" t="s">
        <v>5894</v>
      </c>
      <c r="B71">
        <v>645162304</v>
      </c>
      <c r="C71" t="s">
        <v>898</v>
      </c>
      <c r="D71" s="561" t="s">
        <v>878</v>
      </c>
    </row>
    <row r="72" spans="1:11">
      <c r="A72" t="s">
        <v>5896</v>
      </c>
      <c r="B72">
        <v>645162304</v>
      </c>
      <c r="C72" t="s">
        <v>5897</v>
      </c>
      <c r="D72" s="561" t="s">
        <v>877</v>
      </c>
    </row>
    <row r="73" spans="1:11">
      <c r="A73" t="s">
        <v>5898</v>
      </c>
      <c r="B73">
        <v>645162304</v>
      </c>
      <c r="C73" t="s">
        <v>5899</v>
      </c>
      <c r="D73" s="561" t="s">
        <v>878</v>
      </c>
    </row>
    <row r="74" spans="1:11">
      <c r="A74" t="s">
        <v>5900</v>
      </c>
      <c r="B74">
        <v>645162304</v>
      </c>
      <c r="C74" t="s">
        <v>5901</v>
      </c>
      <c r="D74" s="561" t="s">
        <v>865</v>
      </c>
    </row>
  </sheetData>
  <conditionalFormatting sqref="E14:L1048576">
    <cfRule type="expression" dxfId="2" priority="2">
      <formula>OR($C14="ON",FALSE)</formula>
    </cfRule>
  </conditionalFormatting>
  <conditionalFormatting sqref="E68:L1048422 E14:L66">
    <cfRule type="expression" dxfId="1" priority="1">
      <formula>OR($G14="OFF",AND($G15&lt;&gt;"OFF",$K14=1))</formula>
    </cfRule>
  </conditionalFormatting>
  <conditionalFormatting sqref="E67:L67">
    <cfRule type="expression" dxfId="0" priority="3">
      <formula>OR($G67="OFF",AND(#REF!&lt;&gt;"OFF",$K67=1))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F2" sqref="F2"/>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457660318</v>
      </c>
      <c r="C14" s="210" t="s">
        <v>433</v>
      </c>
      <c r="F14" s="239" t="str" cm="1">
        <f t="array" aca="1" ref="F14" ca="1">MID(met2utc(PEPSSI_Commanding[[#This Row],[MET]]),3,15)</f>
        <v>20-203/18:00:00</v>
      </c>
      <c r="G14" s="213" t="str">
        <f t="shared" ref="G14:G45" si="15">_xlfn.TEXTJOIN("+",TRUE,$C14:$D14)</f>
        <v>ON</v>
      </c>
      <c r="H14" s="214">
        <f t="shared" ref="H14:H45" si="16">IF($C14="ON",$B14,IF(RIGHT($H13,9)="MET Start","",IF(AND($K14&lt;&gt;0,$K13=1),$B14,$H13)))</f>
        <v>457660318</v>
      </c>
      <c r="I14" s="214">
        <f t="shared" ref="I14:I45" si="17">IF($C14="OFF",$B14,IF($B15="",$B14+31500000,IF($K14=1,$B15,I15)))</f>
        <v>457662167</v>
      </c>
      <c r="J14" s="213">
        <f t="shared" ref="J14:J45" si="18">IF($G14="ON",0,IF(OR(J13="",LEFT(J13,6)="Offset"),"",J13+1))</f>
        <v>0</v>
      </c>
      <c r="K14" s="213">
        <f t="shared" ref="K14:K45" si="19">IF($G14="OFF",0,IF(AND($J15&lt;&gt;0,$J14&lt;&gt;9,$G15&lt;&gt;"MAC+111",($B15-$B14)&lt;7200),K15+1,1))</f>
        <v>10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5315</v>
      </c>
      <c r="B15" s="231">
        <v>457660363</v>
      </c>
      <c r="C15" s="210" t="s">
        <v>5285</v>
      </c>
      <c r="D15" s="210">
        <v>10</v>
      </c>
      <c r="F15" s="239" t="str" cm="1">
        <f t="array" aca="1" ref="F15" ca="1">MID(met2utc(PEPSSI_Commanding[[#This Row],[MET]]),3,15)</f>
        <v>20-203/18:00:45</v>
      </c>
      <c r="G15" s="213" t="str">
        <f t="shared" si="15"/>
        <v>MAC+10</v>
      </c>
      <c r="H15" s="214">
        <f t="shared" si="16"/>
        <v>457660318</v>
      </c>
      <c r="I15" s="214">
        <f t="shared" si="17"/>
        <v>457662167</v>
      </c>
      <c r="J15" s="213">
        <f t="shared" si="18"/>
        <v>1</v>
      </c>
      <c r="K15" s="213">
        <f t="shared" si="19"/>
        <v>9</v>
      </c>
      <c r="M15" s="210" t="str">
        <f t="shared" si="20"/>
        <v/>
      </c>
      <c r="N15" s="210" t="str">
        <f t="shared" si="21"/>
        <v/>
      </c>
      <c r="O15" s="210" t="str">
        <f t="shared" si="22"/>
        <v/>
      </c>
      <c r="P15" s="210" t="str">
        <f t="shared" si="23"/>
        <v/>
      </c>
      <c r="Q15" s="210" t="str">
        <f t="shared" si="24"/>
        <v/>
      </c>
      <c r="R15" s="210" t="str">
        <f t="shared" si="25"/>
        <v/>
      </c>
      <c r="S15" s="210" t="str">
        <f t="shared" si="26"/>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5316</v>
      </c>
      <c r="B16" s="231">
        <v>457660363</v>
      </c>
      <c r="C16" s="210" t="s">
        <v>61</v>
      </c>
      <c r="D16" s="210">
        <v>10</v>
      </c>
      <c r="F16" s="239" t="str" cm="1">
        <f t="array" aca="1" ref="F16" ca="1">MID(met2utc(PEPSSI_Commanding[[#This Row],[MET]]),3,15)</f>
        <v>20-203/18:00:45</v>
      </c>
      <c r="G16" s="213" t="str">
        <f t="shared" si="15"/>
        <v>N2+10</v>
      </c>
      <c r="H16" s="214">
        <f t="shared" si="16"/>
        <v>457660318</v>
      </c>
      <c r="I16" s="214">
        <f t="shared" si="17"/>
        <v>457662167</v>
      </c>
      <c r="J16" s="213">
        <f t="shared" si="18"/>
        <v>2</v>
      </c>
      <c r="K16" s="213">
        <f t="shared" si="19"/>
        <v>8</v>
      </c>
      <c r="M16" s="210" t="str">
        <f t="shared" si="20"/>
        <v/>
      </c>
      <c r="N16" s="210">
        <f t="shared" si="21"/>
        <v>10</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133</v>
      </c>
      <c r="Z16" s="467">
        <f t="shared" si="32"/>
        <v>133</v>
      </c>
      <c r="AA16" s="467">
        <f t="shared" si="33"/>
        <v>0</v>
      </c>
      <c r="AB16" s="243"/>
      <c r="AC16" s="467">
        <f t="shared" si="34"/>
        <v>0</v>
      </c>
      <c r="AD16" s="467">
        <f t="shared" si="35"/>
        <v>0</v>
      </c>
      <c r="AE16" s="467">
        <f t="shared" si="36"/>
        <v>0</v>
      </c>
      <c r="AF16" s="467">
        <f t="shared" si="37"/>
        <v>133</v>
      </c>
      <c r="AG16" s="467">
        <f t="shared" si="38"/>
        <v>133</v>
      </c>
      <c r="AH16" s="467">
        <f t="shared" si="39"/>
        <v>133</v>
      </c>
      <c r="AI16" s="467">
        <f t="shared" si="40"/>
        <v>133</v>
      </c>
      <c r="AJ16" s="467">
        <f t="shared" si="41"/>
        <v>0</v>
      </c>
      <c r="AK16" s="467">
        <f t="shared" si="42"/>
        <v>0</v>
      </c>
      <c r="AL16" s="467">
        <f t="shared" si="43"/>
        <v>0</v>
      </c>
      <c r="AM16" s="467">
        <f t="shared" si="44"/>
        <v>0</v>
      </c>
      <c r="AN16" s="467">
        <f t="shared" si="45"/>
        <v>133</v>
      </c>
      <c r="AO16" s="467">
        <f t="shared" si="46"/>
        <v>133</v>
      </c>
      <c r="AP16" s="467">
        <f t="shared" si="47"/>
        <v>133</v>
      </c>
      <c r="AQ16" s="467">
        <f t="shared" si="48"/>
        <v>133</v>
      </c>
      <c r="AR16" s="467">
        <f t="shared" si="49"/>
        <v>0</v>
      </c>
      <c r="AS16" s="467">
        <f t="shared" si="50"/>
        <v>0</v>
      </c>
      <c r="AT16" s="467">
        <f t="shared" si="51"/>
        <v>0</v>
      </c>
      <c r="AU16" s="467">
        <f t="shared" si="52"/>
        <v>0</v>
      </c>
      <c r="AV16" s="467">
        <f t="shared" si="53"/>
        <v>133</v>
      </c>
      <c r="AW16" s="467">
        <f t="shared" si="54"/>
        <v>133</v>
      </c>
      <c r="AX16" s="467">
        <f t="shared" si="55"/>
        <v>133</v>
      </c>
      <c r="AY16" s="467">
        <f t="shared" si="56"/>
        <v>133</v>
      </c>
      <c r="AZ16" s="467">
        <f t="shared" si="57"/>
        <v>0</v>
      </c>
      <c r="BA16" s="467">
        <f t="shared" si="58"/>
        <v>0</v>
      </c>
      <c r="BB16" s="467">
        <f t="shared" si="59"/>
        <v>0</v>
      </c>
      <c r="BC16" s="467">
        <f t="shared" si="60"/>
        <v>0</v>
      </c>
      <c r="BD16" s="467">
        <f t="shared" si="61"/>
        <v>133</v>
      </c>
      <c r="BE16" s="467">
        <f t="shared" si="62"/>
        <v>133</v>
      </c>
      <c r="BF16" s="467">
        <f t="shared" si="63"/>
        <v>133</v>
      </c>
      <c r="BG16" s="467">
        <f t="shared" si="64"/>
        <v>133</v>
      </c>
    </row>
    <row r="17" spans="1:59">
      <c r="A17" s="213" t="s">
        <v>5316</v>
      </c>
      <c r="B17" s="231">
        <v>457660364</v>
      </c>
      <c r="C17" s="210" t="s">
        <v>58</v>
      </c>
      <c r="D17" s="210">
        <v>300</v>
      </c>
      <c r="F17" s="239" t="str" cm="1">
        <f t="array" aca="1" ref="F17" ca="1">MID(met2utc(PEPSSI_Commanding[[#This Row],[MET]]),3,15)</f>
        <v>20-203/18:00:46</v>
      </c>
      <c r="G17" s="213" t="str">
        <f t="shared" si="15"/>
        <v>N3+300</v>
      </c>
      <c r="H17" s="214">
        <f t="shared" si="16"/>
        <v>457660318</v>
      </c>
      <c r="I17" s="214">
        <f t="shared" si="17"/>
        <v>457662167</v>
      </c>
      <c r="J17" s="213">
        <f t="shared" si="18"/>
        <v>3</v>
      </c>
      <c r="K17" s="213">
        <f t="shared" si="19"/>
        <v>7</v>
      </c>
      <c r="M17" s="210" t="str">
        <f t="shared" si="20"/>
        <v/>
      </c>
      <c r="N17" s="210">
        <f t="shared" si="21"/>
        <v>10</v>
      </c>
      <c r="O17" s="210">
        <f t="shared" si="22"/>
        <v>300</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66.36</v>
      </c>
      <c r="AB17" s="243"/>
      <c r="AC17" s="467">
        <f t="shared" si="34"/>
        <v>0</v>
      </c>
      <c r="AD17" s="467">
        <f t="shared" si="35"/>
        <v>66.36</v>
      </c>
      <c r="AE17" s="467">
        <f t="shared" si="36"/>
        <v>66.36</v>
      </c>
      <c r="AF17" s="467">
        <f t="shared" si="37"/>
        <v>133</v>
      </c>
      <c r="AG17" s="467">
        <f t="shared" si="38"/>
        <v>133</v>
      </c>
      <c r="AH17" s="467">
        <f t="shared" si="39"/>
        <v>199.36</v>
      </c>
      <c r="AI17" s="467">
        <f t="shared" si="40"/>
        <v>199.36</v>
      </c>
      <c r="AJ17" s="467">
        <f t="shared" si="41"/>
        <v>0</v>
      </c>
      <c r="AK17" s="467">
        <f t="shared" si="42"/>
        <v>0</v>
      </c>
      <c r="AL17" s="467">
        <f t="shared" si="43"/>
        <v>66.36</v>
      </c>
      <c r="AM17" s="467">
        <f t="shared" si="44"/>
        <v>66.36</v>
      </c>
      <c r="AN17" s="467">
        <f t="shared" si="45"/>
        <v>133</v>
      </c>
      <c r="AO17" s="467">
        <f t="shared" si="46"/>
        <v>133</v>
      </c>
      <c r="AP17" s="467">
        <f t="shared" si="47"/>
        <v>199.36</v>
      </c>
      <c r="AQ17" s="467">
        <f t="shared" si="48"/>
        <v>199.36</v>
      </c>
      <c r="AR17" s="467">
        <f t="shared" si="49"/>
        <v>0</v>
      </c>
      <c r="AS17" s="467">
        <f t="shared" si="50"/>
        <v>0</v>
      </c>
      <c r="AT17" s="467">
        <f t="shared" si="51"/>
        <v>66.36</v>
      </c>
      <c r="AU17" s="467">
        <f t="shared" si="52"/>
        <v>66.36</v>
      </c>
      <c r="AV17" s="467">
        <f t="shared" si="53"/>
        <v>133</v>
      </c>
      <c r="AW17" s="467">
        <f t="shared" si="54"/>
        <v>133</v>
      </c>
      <c r="AX17" s="467">
        <f t="shared" si="55"/>
        <v>199.36</v>
      </c>
      <c r="AY17" s="467">
        <f t="shared" si="56"/>
        <v>199.36</v>
      </c>
      <c r="AZ17" s="467">
        <f t="shared" si="57"/>
        <v>0</v>
      </c>
      <c r="BA17" s="467">
        <f t="shared" si="58"/>
        <v>0</v>
      </c>
      <c r="BB17" s="467">
        <f t="shared" si="59"/>
        <v>66.36</v>
      </c>
      <c r="BC17" s="467">
        <f t="shared" si="60"/>
        <v>66.36</v>
      </c>
      <c r="BD17" s="467">
        <f t="shared" si="61"/>
        <v>133</v>
      </c>
      <c r="BE17" s="467">
        <f t="shared" si="62"/>
        <v>133</v>
      </c>
      <c r="BF17" s="467">
        <f t="shared" si="63"/>
        <v>199.36</v>
      </c>
      <c r="BG17" s="467">
        <f t="shared" si="64"/>
        <v>199.36</v>
      </c>
    </row>
    <row r="18" spans="1:59">
      <c r="A18" s="213" t="s">
        <v>5316</v>
      </c>
      <c r="B18" s="231">
        <v>457660365</v>
      </c>
      <c r="C18" s="210" t="s">
        <v>1</v>
      </c>
      <c r="D18" s="210">
        <v>10</v>
      </c>
      <c r="F18" s="239" t="str" cm="1">
        <f t="array" aca="1" ref="F18" ca="1">MID(met2utc(PEPSSI_Commanding[[#This Row],[MET]]),3,15)</f>
        <v>20-203/18:00:47</v>
      </c>
      <c r="G18" s="213" t="str">
        <f t="shared" si="15"/>
        <v>N1+10</v>
      </c>
      <c r="H18" s="214">
        <f t="shared" si="16"/>
        <v>457660318</v>
      </c>
      <c r="I18" s="214">
        <f t="shared" si="17"/>
        <v>457662167</v>
      </c>
      <c r="J18" s="213">
        <f t="shared" si="18"/>
        <v>4</v>
      </c>
      <c r="K18" s="213">
        <f t="shared" si="19"/>
        <v>6</v>
      </c>
      <c r="M18" s="210">
        <f t="shared" si="20"/>
        <v>10</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198.8</v>
      </c>
      <c r="Y18" s="467">
        <f t="shared" si="31"/>
        <v>133</v>
      </c>
      <c r="Z18" s="467">
        <f t="shared" si="32"/>
        <v>133</v>
      </c>
      <c r="AA18" s="467">
        <f t="shared" si="33"/>
        <v>66.36</v>
      </c>
      <c r="AB18" s="243"/>
      <c r="AC18" s="467">
        <f t="shared" si="34"/>
        <v>198.8</v>
      </c>
      <c r="AD18" s="467">
        <f t="shared" si="35"/>
        <v>66.36</v>
      </c>
      <c r="AE18" s="467">
        <f t="shared" si="36"/>
        <v>265.16000000000003</v>
      </c>
      <c r="AF18" s="467">
        <f t="shared" si="37"/>
        <v>133</v>
      </c>
      <c r="AG18" s="467">
        <f t="shared" si="38"/>
        <v>331.8</v>
      </c>
      <c r="AH18" s="467">
        <f t="shared" si="39"/>
        <v>199.36</v>
      </c>
      <c r="AI18" s="467">
        <f t="shared" si="40"/>
        <v>398.16</v>
      </c>
      <c r="AJ18" s="467">
        <f t="shared" si="41"/>
        <v>0</v>
      </c>
      <c r="AK18" s="467">
        <f t="shared" si="42"/>
        <v>198.8</v>
      </c>
      <c r="AL18" s="467">
        <f t="shared" si="43"/>
        <v>66.36</v>
      </c>
      <c r="AM18" s="467">
        <f t="shared" si="44"/>
        <v>265.16000000000003</v>
      </c>
      <c r="AN18" s="467">
        <f t="shared" si="45"/>
        <v>133</v>
      </c>
      <c r="AO18" s="467">
        <f t="shared" si="46"/>
        <v>331.8</v>
      </c>
      <c r="AP18" s="467">
        <f t="shared" si="47"/>
        <v>199.36</v>
      </c>
      <c r="AQ18" s="467">
        <f t="shared" si="48"/>
        <v>398.16</v>
      </c>
      <c r="AR18" s="467">
        <f t="shared" si="49"/>
        <v>0</v>
      </c>
      <c r="AS18" s="467">
        <f t="shared" si="50"/>
        <v>198.8</v>
      </c>
      <c r="AT18" s="467">
        <f t="shared" si="51"/>
        <v>66.36</v>
      </c>
      <c r="AU18" s="467">
        <f t="shared" si="52"/>
        <v>265.16000000000003</v>
      </c>
      <c r="AV18" s="467">
        <f t="shared" si="53"/>
        <v>133</v>
      </c>
      <c r="AW18" s="467">
        <f t="shared" si="54"/>
        <v>331.8</v>
      </c>
      <c r="AX18" s="467">
        <f t="shared" si="55"/>
        <v>199.36</v>
      </c>
      <c r="AY18" s="467">
        <f t="shared" si="56"/>
        <v>398.16</v>
      </c>
      <c r="AZ18" s="467">
        <f t="shared" si="57"/>
        <v>0</v>
      </c>
      <c r="BA18" s="467">
        <f t="shared" si="58"/>
        <v>198.8</v>
      </c>
      <c r="BB18" s="467">
        <f t="shared" si="59"/>
        <v>66.36</v>
      </c>
      <c r="BC18" s="467">
        <f t="shared" si="60"/>
        <v>265.16000000000003</v>
      </c>
      <c r="BD18" s="467">
        <f t="shared" si="61"/>
        <v>133</v>
      </c>
      <c r="BE18" s="467">
        <f t="shared" si="62"/>
        <v>331.8</v>
      </c>
      <c r="BF18" s="467">
        <f t="shared" si="63"/>
        <v>199.36</v>
      </c>
      <c r="BG18" s="467">
        <f t="shared" si="64"/>
        <v>398.16</v>
      </c>
    </row>
    <row r="19" spans="1:59">
      <c r="A19" s="213" t="s">
        <v>5317</v>
      </c>
      <c r="B19" s="231">
        <v>457660366</v>
      </c>
      <c r="C19" s="210" t="s">
        <v>5284</v>
      </c>
      <c r="D19" s="210">
        <v>1</v>
      </c>
      <c r="F19" s="239" t="str" cm="1">
        <f t="array" aca="1" ref="F19" ca="1">MID(met2utc(PEPSSI_Commanding[[#This Row],[MET]]),3,15)</f>
        <v>20-203/18:00:48</v>
      </c>
      <c r="G19" s="213" t="str">
        <f t="shared" si="15"/>
        <v>STAT+1</v>
      </c>
      <c r="H19" s="214">
        <f t="shared" si="16"/>
        <v>457660318</v>
      </c>
      <c r="I19" s="214">
        <f t="shared" si="17"/>
        <v>457662167</v>
      </c>
      <c r="J19" s="213">
        <f t="shared" si="18"/>
        <v>5</v>
      </c>
      <c r="K19" s="213">
        <f t="shared" si="19"/>
        <v>5</v>
      </c>
      <c r="M19" s="210">
        <f t="shared" si="20"/>
        <v>10</v>
      </c>
      <c r="N19" s="210">
        <f t="shared" si="21"/>
        <v>10</v>
      </c>
      <c r="O19" s="210">
        <f t="shared" si="22"/>
        <v>300</v>
      </c>
      <c r="P19" s="210">
        <f t="shared" si="23"/>
        <v>1</v>
      </c>
      <c r="Q19" s="210" t="str">
        <f t="shared" si="24"/>
        <v/>
      </c>
      <c r="R19" s="210" t="str">
        <f t="shared" si="25"/>
        <v/>
      </c>
      <c r="S19" s="210" t="str">
        <f t="shared" si="26"/>
        <v/>
      </c>
      <c r="U19" s="467">
        <f t="shared" si="27"/>
        <v>0</v>
      </c>
      <c r="V19" s="467">
        <f t="shared" si="28"/>
        <v>0</v>
      </c>
      <c r="W19" s="467">
        <f t="shared" si="29"/>
        <v>512</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512</v>
      </c>
      <c r="AS19" s="467">
        <f t="shared" si="50"/>
        <v>710.8</v>
      </c>
      <c r="AT19" s="467">
        <f t="shared" si="51"/>
        <v>578.36</v>
      </c>
      <c r="AU19" s="467">
        <f t="shared" si="52"/>
        <v>777.16000000000008</v>
      </c>
      <c r="AV19" s="467">
        <f t="shared" si="53"/>
        <v>645</v>
      </c>
      <c r="AW19" s="467">
        <f t="shared" si="54"/>
        <v>843.8</v>
      </c>
      <c r="AX19" s="467">
        <f t="shared" si="55"/>
        <v>711.36</v>
      </c>
      <c r="AY19" s="467">
        <f t="shared" si="56"/>
        <v>910.16000000000008</v>
      </c>
      <c r="AZ19" s="467">
        <f t="shared" si="57"/>
        <v>512</v>
      </c>
      <c r="BA19" s="467">
        <f t="shared" si="58"/>
        <v>710.8</v>
      </c>
      <c r="BB19" s="467">
        <f t="shared" si="59"/>
        <v>578.36</v>
      </c>
      <c r="BC19" s="467">
        <f t="shared" si="60"/>
        <v>777.16000000000008</v>
      </c>
      <c r="BD19" s="467">
        <f t="shared" si="61"/>
        <v>645</v>
      </c>
      <c r="BE19" s="467">
        <f t="shared" si="62"/>
        <v>843.8</v>
      </c>
      <c r="BF19" s="467">
        <f t="shared" si="63"/>
        <v>711.36</v>
      </c>
      <c r="BG19" s="467">
        <f t="shared" si="64"/>
        <v>910.16000000000008</v>
      </c>
    </row>
    <row r="20" spans="1:59">
      <c r="A20" s="213" t="s">
        <v>5316</v>
      </c>
      <c r="B20" s="231">
        <v>457661849</v>
      </c>
      <c r="C20" s="210" t="s">
        <v>61</v>
      </c>
      <c r="D20" s="210">
        <v>40</v>
      </c>
      <c r="F20" s="239" t="str" cm="1">
        <f t="array" aca="1" ref="F20" ca="1">MID(met2utc(PEPSSI_Commanding[[#This Row],[MET]]),3,15)</f>
        <v>20-203/18:25:31</v>
      </c>
      <c r="G20" s="213" t="str">
        <f t="shared" si="15"/>
        <v>N2+40</v>
      </c>
      <c r="H20" s="214">
        <f t="shared" si="16"/>
        <v>457660318</v>
      </c>
      <c r="I20" s="214">
        <f t="shared" si="17"/>
        <v>457662167</v>
      </c>
      <c r="J20" s="213">
        <f t="shared" si="18"/>
        <v>6</v>
      </c>
      <c r="K20" s="213">
        <f t="shared" si="19"/>
        <v>4</v>
      </c>
      <c r="M20" s="210">
        <f t="shared" si="20"/>
        <v>10</v>
      </c>
      <c r="N20" s="210">
        <f t="shared" si="21"/>
        <v>40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33.25</v>
      </c>
      <c r="Z20" s="467">
        <f t="shared" si="32"/>
        <v>33.25</v>
      </c>
      <c r="AA20" s="467">
        <f t="shared" si="33"/>
        <v>66.36</v>
      </c>
      <c r="AB20" s="243"/>
      <c r="AC20" s="467">
        <f t="shared" si="34"/>
        <v>198.8</v>
      </c>
      <c r="AD20" s="467">
        <f t="shared" si="35"/>
        <v>66.36</v>
      </c>
      <c r="AE20" s="467">
        <f t="shared" si="36"/>
        <v>265.16000000000003</v>
      </c>
      <c r="AF20" s="467">
        <f t="shared" si="37"/>
        <v>33.25</v>
      </c>
      <c r="AG20" s="467">
        <f t="shared" si="38"/>
        <v>232.05</v>
      </c>
      <c r="AH20" s="467">
        <f t="shared" si="39"/>
        <v>99.61</v>
      </c>
      <c r="AI20" s="467">
        <f t="shared" si="40"/>
        <v>298.41000000000003</v>
      </c>
      <c r="AJ20" s="467">
        <f t="shared" si="41"/>
        <v>0</v>
      </c>
      <c r="AK20" s="467">
        <f t="shared" si="42"/>
        <v>198.8</v>
      </c>
      <c r="AL20" s="467">
        <f t="shared" si="43"/>
        <v>66.36</v>
      </c>
      <c r="AM20" s="467">
        <f t="shared" si="44"/>
        <v>265.16000000000003</v>
      </c>
      <c r="AN20" s="467">
        <f t="shared" si="45"/>
        <v>33.25</v>
      </c>
      <c r="AO20" s="467">
        <f t="shared" si="46"/>
        <v>232.05</v>
      </c>
      <c r="AP20" s="467">
        <f t="shared" si="47"/>
        <v>99.61</v>
      </c>
      <c r="AQ20" s="467">
        <f t="shared" si="48"/>
        <v>298.41000000000003</v>
      </c>
      <c r="AR20" s="467">
        <f t="shared" si="49"/>
        <v>512</v>
      </c>
      <c r="AS20" s="467">
        <f t="shared" si="50"/>
        <v>710.8</v>
      </c>
      <c r="AT20" s="467">
        <f t="shared" si="51"/>
        <v>578.36</v>
      </c>
      <c r="AU20" s="467">
        <f t="shared" si="52"/>
        <v>777.16000000000008</v>
      </c>
      <c r="AV20" s="467">
        <f t="shared" si="53"/>
        <v>545.25</v>
      </c>
      <c r="AW20" s="467">
        <f t="shared" si="54"/>
        <v>744.05</v>
      </c>
      <c r="AX20" s="467">
        <f t="shared" si="55"/>
        <v>611.61</v>
      </c>
      <c r="AY20" s="467">
        <f t="shared" si="56"/>
        <v>810.41000000000008</v>
      </c>
      <c r="AZ20" s="467">
        <f t="shared" si="57"/>
        <v>512</v>
      </c>
      <c r="BA20" s="467">
        <f t="shared" si="58"/>
        <v>710.8</v>
      </c>
      <c r="BB20" s="467">
        <f t="shared" si="59"/>
        <v>578.36</v>
      </c>
      <c r="BC20" s="467">
        <f t="shared" si="60"/>
        <v>777.16000000000008</v>
      </c>
      <c r="BD20" s="467">
        <f t="shared" si="61"/>
        <v>545.25</v>
      </c>
      <c r="BE20" s="467">
        <f t="shared" si="62"/>
        <v>744.05</v>
      </c>
      <c r="BF20" s="467">
        <f t="shared" si="63"/>
        <v>611.61</v>
      </c>
      <c r="BG20" s="467">
        <f t="shared" si="64"/>
        <v>810.41000000000008</v>
      </c>
    </row>
    <row r="21" spans="1:59">
      <c r="A21" s="213" t="s">
        <v>5316</v>
      </c>
      <c r="B21" s="231">
        <v>457661850</v>
      </c>
      <c r="C21" s="210" t="s">
        <v>58</v>
      </c>
      <c r="D21" s="210">
        <v>7200</v>
      </c>
      <c r="F21" s="239" t="str" cm="1">
        <f t="array" aca="1" ref="F21" ca="1">MID(met2utc(PEPSSI_Commanding[[#This Row],[MET]]),3,15)</f>
        <v>20-203/18:25:32</v>
      </c>
      <c r="G21" s="213" t="str">
        <f t="shared" si="15"/>
        <v>N3+7200</v>
      </c>
      <c r="H21" s="214">
        <f t="shared" si="16"/>
        <v>457660318</v>
      </c>
      <c r="I21" s="214">
        <f t="shared" si="17"/>
        <v>457662167</v>
      </c>
      <c r="J21" s="213">
        <f t="shared" si="18"/>
        <v>7</v>
      </c>
      <c r="K21" s="213">
        <f t="shared" si="19"/>
        <v>3</v>
      </c>
      <c r="M21" s="210">
        <f t="shared" si="20"/>
        <v>10</v>
      </c>
      <c r="N21" s="210">
        <f t="shared" si="21"/>
        <v>40</v>
      </c>
      <c r="O21" s="210">
        <f t="shared" si="22"/>
        <v>7200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2.7650000000000001</v>
      </c>
      <c r="AB21" s="243"/>
      <c r="AC21" s="467">
        <f t="shared" si="34"/>
        <v>198.8</v>
      </c>
      <c r="AD21" s="467">
        <f t="shared" si="35"/>
        <v>2.7650000000000001</v>
      </c>
      <c r="AE21" s="467">
        <f t="shared" si="36"/>
        <v>201.565</v>
      </c>
      <c r="AF21" s="467">
        <f t="shared" si="37"/>
        <v>33.25</v>
      </c>
      <c r="AG21" s="467">
        <f t="shared" si="38"/>
        <v>232.05</v>
      </c>
      <c r="AH21" s="467">
        <f t="shared" si="39"/>
        <v>36.015000000000001</v>
      </c>
      <c r="AI21" s="467">
        <f t="shared" si="40"/>
        <v>234.815</v>
      </c>
      <c r="AJ21" s="467">
        <f t="shared" si="41"/>
        <v>0</v>
      </c>
      <c r="AK21" s="467">
        <f t="shared" si="42"/>
        <v>198.8</v>
      </c>
      <c r="AL21" s="467">
        <f t="shared" si="43"/>
        <v>2.7650000000000001</v>
      </c>
      <c r="AM21" s="467">
        <f t="shared" si="44"/>
        <v>201.565</v>
      </c>
      <c r="AN21" s="467">
        <f t="shared" si="45"/>
        <v>33.25</v>
      </c>
      <c r="AO21" s="467">
        <f t="shared" si="46"/>
        <v>232.05</v>
      </c>
      <c r="AP21" s="467">
        <f t="shared" si="47"/>
        <v>36.015000000000001</v>
      </c>
      <c r="AQ21" s="467">
        <f t="shared" si="48"/>
        <v>234.815</v>
      </c>
      <c r="AR21" s="467">
        <f t="shared" si="49"/>
        <v>512</v>
      </c>
      <c r="AS21" s="467">
        <f t="shared" si="50"/>
        <v>710.8</v>
      </c>
      <c r="AT21" s="467">
        <f t="shared" si="51"/>
        <v>514.76499999999999</v>
      </c>
      <c r="AU21" s="467">
        <f t="shared" si="52"/>
        <v>713.56500000000005</v>
      </c>
      <c r="AV21" s="467">
        <f t="shared" si="53"/>
        <v>545.25</v>
      </c>
      <c r="AW21" s="467">
        <f t="shared" si="54"/>
        <v>744.05</v>
      </c>
      <c r="AX21" s="467">
        <f t="shared" si="55"/>
        <v>548.01499999999999</v>
      </c>
      <c r="AY21" s="467">
        <f t="shared" si="56"/>
        <v>746.81500000000005</v>
      </c>
      <c r="AZ21" s="467">
        <f t="shared" si="57"/>
        <v>512</v>
      </c>
      <c r="BA21" s="467">
        <f t="shared" si="58"/>
        <v>710.8</v>
      </c>
      <c r="BB21" s="467">
        <f t="shared" si="59"/>
        <v>514.76499999999999</v>
      </c>
      <c r="BC21" s="467">
        <f t="shared" si="60"/>
        <v>713.56500000000005</v>
      </c>
      <c r="BD21" s="467">
        <f t="shared" si="61"/>
        <v>545.25</v>
      </c>
      <c r="BE21" s="467">
        <f t="shared" si="62"/>
        <v>744.05</v>
      </c>
      <c r="BF21" s="467">
        <f t="shared" si="63"/>
        <v>548.01499999999999</v>
      </c>
      <c r="BG21" s="467">
        <f t="shared" si="64"/>
        <v>746.81500000000005</v>
      </c>
    </row>
    <row r="22" spans="1:59">
      <c r="A22" s="213" t="s">
        <v>5316</v>
      </c>
      <c r="B22" s="231">
        <v>457661851</v>
      </c>
      <c r="C22" s="210" t="s">
        <v>1</v>
      </c>
      <c r="D22" s="210">
        <v>3600</v>
      </c>
      <c r="F22" s="239" t="str" cm="1">
        <f t="array" aca="1" ref="F22" ca="1">MID(met2utc(PEPSSI_Commanding[[#This Row],[MET]]),3,15)</f>
        <v>20-203/18:25:33</v>
      </c>
      <c r="G22" s="213" t="str">
        <f t="shared" si="15"/>
        <v>N1+3600</v>
      </c>
      <c r="H22" s="214">
        <f t="shared" si="16"/>
        <v>457660318</v>
      </c>
      <c r="I22" s="214">
        <f t="shared" si="17"/>
        <v>457662167</v>
      </c>
      <c r="J22" s="213">
        <f t="shared" si="18"/>
        <v>8</v>
      </c>
      <c r="K22" s="213">
        <f t="shared" si="19"/>
        <v>2</v>
      </c>
      <c r="M22" s="210">
        <f t="shared" si="20"/>
        <v>3600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0.55222222222222217</v>
      </c>
      <c r="Y22" s="467">
        <f t="shared" si="31"/>
        <v>33.25</v>
      </c>
      <c r="Z22" s="467">
        <f t="shared" si="32"/>
        <v>33.25</v>
      </c>
      <c r="AA22" s="467">
        <f t="shared" si="33"/>
        <v>2.7650000000000001</v>
      </c>
      <c r="AB22" s="243"/>
      <c r="AC22" s="467">
        <f t="shared" si="34"/>
        <v>0.55222222222222217</v>
      </c>
      <c r="AD22" s="467">
        <f t="shared" si="35"/>
        <v>2.7650000000000001</v>
      </c>
      <c r="AE22" s="467">
        <f t="shared" si="36"/>
        <v>3.3172222222222221</v>
      </c>
      <c r="AF22" s="467">
        <f t="shared" si="37"/>
        <v>33.25</v>
      </c>
      <c r="AG22" s="467">
        <f t="shared" si="38"/>
        <v>33.80222222222222</v>
      </c>
      <c r="AH22" s="467">
        <f t="shared" si="39"/>
        <v>36.015000000000001</v>
      </c>
      <c r="AI22" s="467">
        <f t="shared" si="40"/>
        <v>36.56722222222222</v>
      </c>
      <c r="AJ22" s="467">
        <f t="shared" si="41"/>
        <v>0</v>
      </c>
      <c r="AK22" s="467">
        <f t="shared" si="42"/>
        <v>0.55222222222222217</v>
      </c>
      <c r="AL22" s="467">
        <f t="shared" si="43"/>
        <v>2.7650000000000001</v>
      </c>
      <c r="AM22" s="467">
        <f t="shared" si="44"/>
        <v>3.3172222222222221</v>
      </c>
      <c r="AN22" s="467">
        <f t="shared" si="45"/>
        <v>33.25</v>
      </c>
      <c r="AO22" s="467">
        <f t="shared" si="46"/>
        <v>33.80222222222222</v>
      </c>
      <c r="AP22" s="467">
        <f t="shared" si="47"/>
        <v>36.015000000000001</v>
      </c>
      <c r="AQ22" s="467">
        <f t="shared" si="48"/>
        <v>36.56722222222222</v>
      </c>
      <c r="AR22" s="467">
        <f t="shared" si="49"/>
        <v>512</v>
      </c>
      <c r="AS22" s="467">
        <f t="shared" si="50"/>
        <v>512.55222222222221</v>
      </c>
      <c r="AT22" s="467">
        <f t="shared" si="51"/>
        <v>514.76499999999999</v>
      </c>
      <c r="AU22" s="467">
        <f t="shared" si="52"/>
        <v>515.3172222222222</v>
      </c>
      <c r="AV22" s="467">
        <f t="shared" si="53"/>
        <v>545.25</v>
      </c>
      <c r="AW22" s="467">
        <f t="shared" si="54"/>
        <v>545.80222222222221</v>
      </c>
      <c r="AX22" s="467">
        <f t="shared" si="55"/>
        <v>548.01499999999999</v>
      </c>
      <c r="AY22" s="467">
        <f t="shared" si="56"/>
        <v>548.5672222222222</v>
      </c>
      <c r="AZ22" s="467">
        <f t="shared" si="57"/>
        <v>512</v>
      </c>
      <c r="BA22" s="467">
        <f t="shared" si="58"/>
        <v>512.55222222222221</v>
      </c>
      <c r="BB22" s="467">
        <f t="shared" si="59"/>
        <v>514.76499999999999</v>
      </c>
      <c r="BC22" s="467">
        <f t="shared" si="60"/>
        <v>515.3172222222222</v>
      </c>
      <c r="BD22" s="467">
        <f t="shared" si="61"/>
        <v>545.25</v>
      </c>
      <c r="BE22" s="467">
        <f t="shared" si="62"/>
        <v>545.80222222222221</v>
      </c>
      <c r="BF22" s="467">
        <f t="shared" si="63"/>
        <v>548.01499999999999</v>
      </c>
      <c r="BG22" s="467">
        <f t="shared" si="64"/>
        <v>548.5672222222222</v>
      </c>
    </row>
    <row r="23" spans="1:59">
      <c r="A23" s="213" t="s">
        <v>5317</v>
      </c>
      <c r="B23" s="231">
        <v>457661852</v>
      </c>
      <c r="C23" s="210" t="s">
        <v>5284</v>
      </c>
      <c r="D23" s="210">
        <v>300</v>
      </c>
      <c r="F23" s="239" t="str" cm="1">
        <f t="array" aca="1" ref="F23" ca="1">MID(met2utc(PEPSSI_Commanding[[#This Row],[MET]]),3,15)</f>
        <v>20-203/18:25:34</v>
      </c>
      <c r="G23" s="213" t="str">
        <f t="shared" si="15"/>
        <v>STAT+300</v>
      </c>
      <c r="H23" s="214">
        <f t="shared" si="16"/>
        <v>457660318</v>
      </c>
      <c r="I23" s="214">
        <f t="shared" si="17"/>
        <v>457662167</v>
      </c>
      <c r="J23" s="213">
        <f t="shared" si="18"/>
        <v>9</v>
      </c>
      <c r="K23" s="213">
        <f t="shared" si="19"/>
        <v>1</v>
      </c>
      <c r="M23" s="210">
        <f t="shared" si="20"/>
        <v>3600</v>
      </c>
      <c r="N23" s="210">
        <f t="shared" si="21"/>
        <v>40</v>
      </c>
      <c r="O23" s="210">
        <f t="shared" si="22"/>
        <v>7200</v>
      </c>
      <c r="P23" s="210">
        <f t="shared" si="23"/>
        <v>300</v>
      </c>
      <c r="Q23" s="210" t="str">
        <f t="shared" si="24"/>
        <v/>
      </c>
      <c r="R23" s="210" t="str">
        <f t="shared" si="25"/>
        <v/>
      </c>
      <c r="S23" s="210" t="str">
        <f t="shared" si="26"/>
        <v/>
      </c>
      <c r="U23" s="467">
        <f t="shared" si="27"/>
        <v>0</v>
      </c>
      <c r="V23" s="467">
        <f t="shared" si="28"/>
        <v>0</v>
      </c>
      <c r="W23" s="467">
        <f t="shared" si="29"/>
        <v>1.7066666666666668</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1.7066666666666668</v>
      </c>
      <c r="AS23" s="467">
        <f t="shared" si="50"/>
        <v>2.2588888888888889</v>
      </c>
      <c r="AT23" s="467">
        <f t="shared" si="51"/>
        <v>4.4716666666666667</v>
      </c>
      <c r="AU23" s="467">
        <f t="shared" si="52"/>
        <v>5.0238888888888891</v>
      </c>
      <c r="AV23" s="467">
        <f t="shared" si="53"/>
        <v>34.956666666666663</v>
      </c>
      <c r="AW23" s="467">
        <f t="shared" si="54"/>
        <v>35.508888888888883</v>
      </c>
      <c r="AX23" s="467">
        <f t="shared" si="55"/>
        <v>37.721666666666664</v>
      </c>
      <c r="AY23" s="467">
        <f t="shared" si="56"/>
        <v>38.273888888888884</v>
      </c>
      <c r="AZ23" s="467">
        <f t="shared" si="57"/>
        <v>1.7066666666666668</v>
      </c>
      <c r="BA23" s="467">
        <f t="shared" si="58"/>
        <v>2.2588888888888889</v>
      </c>
      <c r="BB23" s="467">
        <f t="shared" si="59"/>
        <v>4.4716666666666667</v>
      </c>
      <c r="BC23" s="467">
        <f t="shared" si="60"/>
        <v>5.0238888888888891</v>
      </c>
      <c r="BD23" s="467">
        <f t="shared" si="61"/>
        <v>34.956666666666663</v>
      </c>
      <c r="BE23" s="467">
        <f t="shared" si="62"/>
        <v>35.508888888888883</v>
      </c>
      <c r="BF23" s="467">
        <f t="shared" si="63"/>
        <v>37.721666666666664</v>
      </c>
      <c r="BG23" s="467">
        <f t="shared" si="64"/>
        <v>38.273888888888884</v>
      </c>
    </row>
    <row r="24" spans="1:59">
      <c r="A24" s="213" t="s">
        <v>5316</v>
      </c>
      <c r="B24" s="231">
        <v>457662167</v>
      </c>
      <c r="C24" s="210" t="s">
        <v>1</v>
      </c>
      <c r="D24" s="210">
        <v>3600</v>
      </c>
      <c r="F24" s="239" t="str" cm="1">
        <f t="array" aca="1" ref="F24" ca="1">MID(met2utc(PEPSSI_Commanding[[#This Row],[MET]]),3,15)</f>
        <v>20-203/18:30:49</v>
      </c>
      <c r="G24" s="213" t="str">
        <f t="shared" si="15"/>
        <v>N1+3600</v>
      </c>
      <c r="H24" s="214">
        <f t="shared" si="16"/>
        <v>457662167</v>
      </c>
      <c r="I24" s="214">
        <f t="shared" si="17"/>
        <v>644923315</v>
      </c>
      <c r="J24" s="213">
        <f t="shared" si="18"/>
        <v>10</v>
      </c>
      <c r="K24" s="213">
        <f t="shared" si="19"/>
        <v>4</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457662170</v>
      </c>
      <c r="C25" s="210" t="s">
        <v>61</v>
      </c>
      <c r="D25" s="210">
        <v>90</v>
      </c>
      <c r="F25" s="239" t="str" cm="1">
        <f t="array" aca="1" ref="F25" ca="1">MID(met2utc(PEPSSI_Commanding[[#This Row],[MET]]),3,15)</f>
        <v>20-203/18:30:52</v>
      </c>
      <c r="G25" s="213" t="str">
        <f t="shared" si="15"/>
        <v>N2+90</v>
      </c>
      <c r="H25" s="214">
        <f t="shared" si="16"/>
        <v>457662167</v>
      </c>
      <c r="I25" s="214">
        <f t="shared" si="17"/>
        <v>644923315</v>
      </c>
      <c r="J25" s="213">
        <f t="shared" si="18"/>
        <v>11</v>
      </c>
      <c r="K25" s="213">
        <f t="shared" si="19"/>
        <v>3</v>
      </c>
      <c r="M25" s="210">
        <f t="shared" si="20"/>
        <v>3600</v>
      </c>
      <c r="N25" s="210">
        <f t="shared" si="21"/>
        <v>90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14.777777777777779</v>
      </c>
      <c r="Z25" s="467">
        <f t="shared" si="32"/>
        <v>14.777777777777779</v>
      </c>
      <c r="AA25" s="467">
        <f t="shared" si="33"/>
        <v>2.7650000000000001</v>
      </c>
      <c r="AB25" s="243"/>
      <c r="AC25" s="467">
        <f t="shared" si="34"/>
        <v>0.55222222222222217</v>
      </c>
      <c r="AD25" s="467">
        <f t="shared" si="35"/>
        <v>2.7650000000000001</v>
      </c>
      <c r="AE25" s="467">
        <f t="shared" si="36"/>
        <v>3.3172222222222221</v>
      </c>
      <c r="AF25" s="467">
        <f t="shared" si="37"/>
        <v>14.777777777777779</v>
      </c>
      <c r="AG25" s="467">
        <f t="shared" si="38"/>
        <v>15.33</v>
      </c>
      <c r="AH25" s="467">
        <f t="shared" si="39"/>
        <v>17.542777777777779</v>
      </c>
      <c r="AI25" s="467">
        <f t="shared" si="40"/>
        <v>18.095000000000002</v>
      </c>
      <c r="AJ25" s="467">
        <f t="shared" si="41"/>
        <v>0</v>
      </c>
      <c r="AK25" s="467">
        <f t="shared" si="42"/>
        <v>0.55222222222222217</v>
      </c>
      <c r="AL25" s="467">
        <f t="shared" si="43"/>
        <v>2.7650000000000001</v>
      </c>
      <c r="AM25" s="467">
        <f t="shared" si="44"/>
        <v>3.3172222222222221</v>
      </c>
      <c r="AN25" s="467">
        <f t="shared" si="45"/>
        <v>14.777777777777779</v>
      </c>
      <c r="AO25" s="467">
        <f t="shared" si="46"/>
        <v>15.33</v>
      </c>
      <c r="AP25" s="467">
        <f t="shared" si="47"/>
        <v>17.542777777777779</v>
      </c>
      <c r="AQ25" s="467">
        <f t="shared" si="48"/>
        <v>18.095000000000002</v>
      </c>
      <c r="AR25" s="467">
        <f t="shared" si="49"/>
        <v>1.7066666666666668</v>
      </c>
      <c r="AS25" s="467">
        <f t="shared" si="50"/>
        <v>2.2588888888888889</v>
      </c>
      <c r="AT25" s="467">
        <f t="shared" si="51"/>
        <v>4.4716666666666667</v>
      </c>
      <c r="AU25" s="467">
        <f t="shared" si="52"/>
        <v>5.0238888888888891</v>
      </c>
      <c r="AV25" s="467">
        <f t="shared" si="53"/>
        <v>16.484444444444446</v>
      </c>
      <c r="AW25" s="467">
        <f t="shared" si="54"/>
        <v>17.036666666666669</v>
      </c>
      <c r="AX25" s="467">
        <f t="shared" si="55"/>
        <v>19.249444444444446</v>
      </c>
      <c r="AY25" s="467">
        <f t="shared" si="56"/>
        <v>19.801666666666669</v>
      </c>
      <c r="AZ25" s="467">
        <f t="shared" si="57"/>
        <v>1.7066666666666668</v>
      </c>
      <c r="BA25" s="467">
        <f t="shared" si="58"/>
        <v>2.2588888888888889</v>
      </c>
      <c r="BB25" s="467">
        <f t="shared" si="59"/>
        <v>4.4716666666666667</v>
      </c>
      <c r="BC25" s="467">
        <f t="shared" si="60"/>
        <v>5.0238888888888891</v>
      </c>
      <c r="BD25" s="467">
        <f t="shared" si="61"/>
        <v>16.484444444444446</v>
      </c>
      <c r="BE25" s="467">
        <f t="shared" si="62"/>
        <v>17.036666666666669</v>
      </c>
      <c r="BF25" s="467">
        <f t="shared" si="63"/>
        <v>19.249444444444446</v>
      </c>
      <c r="BG25" s="467">
        <f t="shared" si="64"/>
        <v>19.801666666666669</v>
      </c>
    </row>
    <row r="26" spans="1:59">
      <c r="A26" s="213" t="s">
        <v>5316</v>
      </c>
      <c r="B26" s="231">
        <v>457662173</v>
      </c>
      <c r="C26" s="210" t="s">
        <v>58</v>
      </c>
      <c r="D26" s="210">
        <v>7200</v>
      </c>
      <c r="F26" s="239" t="str" cm="1">
        <f t="array" aca="1" ref="F26" ca="1">MID(met2utc(PEPSSI_Commanding[[#This Row],[MET]]),3,15)</f>
        <v>20-203/18:30:55</v>
      </c>
      <c r="G26" s="213" t="str">
        <f t="shared" si="15"/>
        <v>N3+7200</v>
      </c>
      <c r="H26" s="214">
        <f t="shared" si="16"/>
        <v>457662167</v>
      </c>
      <c r="I26" s="214">
        <f t="shared" si="17"/>
        <v>644923315</v>
      </c>
      <c r="J26" s="213">
        <f t="shared" si="18"/>
        <v>12</v>
      </c>
      <c r="K26" s="213">
        <f t="shared" si="19"/>
        <v>2</v>
      </c>
      <c r="M26" s="210">
        <f t="shared" si="20"/>
        <v>3600</v>
      </c>
      <c r="N26" s="210">
        <f t="shared" si="21"/>
        <v>90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0.55222222222222217</v>
      </c>
      <c r="Y26" s="467">
        <f t="shared" si="31"/>
        <v>14.777777777777779</v>
      </c>
      <c r="Z26" s="467">
        <f t="shared" si="32"/>
        <v>14.777777777777779</v>
      </c>
      <c r="AA26" s="467">
        <f t="shared" si="33"/>
        <v>2.7650000000000001</v>
      </c>
      <c r="AB26" s="243"/>
      <c r="AC26" s="467">
        <f t="shared" si="34"/>
        <v>0.55222222222222217</v>
      </c>
      <c r="AD26" s="467">
        <f t="shared" si="35"/>
        <v>2.7650000000000001</v>
      </c>
      <c r="AE26" s="467">
        <f t="shared" si="36"/>
        <v>3.3172222222222221</v>
      </c>
      <c r="AF26" s="467">
        <f t="shared" si="37"/>
        <v>14.777777777777779</v>
      </c>
      <c r="AG26" s="467">
        <f t="shared" si="38"/>
        <v>15.33</v>
      </c>
      <c r="AH26" s="467">
        <f t="shared" si="39"/>
        <v>17.542777777777779</v>
      </c>
      <c r="AI26" s="467">
        <f t="shared" si="40"/>
        <v>18.095000000000002</v>
      </c>
      <c r="AJ26" s="467">
        <f t="shared" si="41"/>
        <v>0</v>
      </c>
      <c r="AK26" s="467">
        <f t="shared" si="42"/>
        <v>0.55222222222222217</v>
      </c>
      <c r="AL26" s="467">
        <f t="shared" si="43"/>
        <v>2.7650000000000001</v>
      </c>
      <c r="AM26" s="467">
        <f t="shared" si="44"/>
        <v>3.3172222222222221</v>
      </c>
      <c r="AN26" s="467">
        <f t="shared" si="45"/>
        <v>14.777777777777779</v>
      </c>
      <c r="AO26" s="467">
        <f t="shared" si="46"/>
        <v>15.33</v>
      </c>
      <c r="AP26" s="467">
        <f t="shared" si="47"/>
        <v>17.542777777777779</v>
      </c>
      <c r="AQ26" s="467">
        <f t="shared" si="48"/>
        <v>18.095000000000002</v>
      </c>
      <c r="AR26" s="467">
        <f t="shared" si="49"/>
        <v>1.7066666666666668</v>
      </c>
      <c r="AS26" s="467">
        <f t="shared" si="50"/>
        <v>2.2588888888888889</v>
      </c>
      <c r="AT26" s="467">
        <f t="shared" si="51"/>
        <v>4.4716666666666667</v>
      </c>
      <c r="AU26" s="467">
        <f t="shared" si="52"/>
        <v>5.0238888888888891</v>
      </c>
      <c r="AV26" s="467">
        <f t="shared" si="53"/>
        <v>16.484444444444446</v>
      </c>
      <c r="AW26" s="467">
        <f t="shared" si="54"/>
        <v>17.036666666666669</v>
      </c>
      <c r="AX26" s="467">
        <f t="shared" si="55"/>
        <v>19.249444444444446</v>
      </c>
      <c r="AY26" s="467">
        <f t="shared" si="56"/>
        <v>19.801666666666669</v>
      </c>
      <c r="AZ26" s="467">
        <f t="shared" si="57"/>
        <v>1.7066666666666668</v>
      </c>
      <c r="BA26" s="467">
        <f t="shared" si="58"/>
        <v>2.2588888888888889</v>
      </c>
      <c r="BB26" s="467">
        <f t="shared" si="59"/>
        <v>4.4716666666666667</v>
      </c>
      <c r="BC26" s="467">
        <f t="shared" si="60"/>
        <v>5.0238888888888891</v>
      </c>
      <c r="BD26" s="467">
        <f t="shared" si="61"/>
        <v>16.484444444444446</v>
      </c>
      <c r="BE26" s="467">
        <f t="shared" si="62"/>
        <v>17.036666666666669</v>
      </c>
      <c r="BF26" s="467">
        <f t="shared" si="63"/>
        <v>19.249444444444446</v>
      </c>
      <c r="BG26" s="467">
        <f t="shared" si="64"/>
        <v>19.801666666666669</v>
      </c>
    </row>
    <row r="27" spans="1:59">
      <c r="A27" s="213" t="s">
        <v>5317</v>
      </c>
      <c r="B27" s="231">
        <v>457662176</v>
      </c>
      <c r="C27" s="210" t="s">
        <v>5284</v>
      </c>
      <c r="D27" s="210">
        <v>300</v>
      </c>
      <c r="F27" s="239" t="str" cm="1">
        <f t="array" aca="1" ref="F27" ca="1">MID(met2utc(PEPSSI_Commanding[[#This Row],[MET]]),3,15)</f>
        <v>20-203/18:30:58</v>
      </c>
      <c r="G27" s="213" t="str">
        <f t="shared" si="15"/>
        <v>STAT+300</v>
      </c>
      <c r="H27" s="214">
        <f t="shared" si="16"/>
        <v>457662167</v>
      </c>
      <c r="I27" s="214">
        <f t="shared" si="17"/>
        <v>644923315</v>
      </c>
      <c r="J27" s="213">
        <f t="shared" si="18"/>
        <v>13</v>
      </c>
      <c r="K27" s="213">
        <f t="shared" si="19"/>
        <v>1</v>
      </c>
      <c r="M27" s="210">
        <f t="shared" si="20"/>
        <v>3600</v>
      </c>
      <c r="N27" s="210">
        <f t="shared" si="21"/>
        <v>90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0.55222222222222217</v>
      </c>
      <c r="Y27" s="467">
        <f t="shared" si="31"/>
        <v>14.777777777777779</v>
      </c>
      <c r="Z27" s="467">
        <f t="shared" si="32"/>
        <v>14.777777777777779</v>
      </c>
      <c r="AA27" s="467">
        <f t="shared" si="33"/>
        <v>2.7650000000000001</v>
      </c>
      <c r="AB27" s="243"/>
      <c r="AC27" s="467">
        <f t="shared" si="34"/>
        <v>0.55222222222222217</v>
      </c>
      <c r="AD27" s="467">
        <f t="shared" si="35"/>
        <v>2.7650000000000001</v>
      </c>
      <c r="AE27" s="467">
        <f t="shared" si="36"/>
        <v>3.3172222222222221</v>
      </c>
      <c r="AF27" s="467">
        <f t="shared" si="37"/>
        <v>14.777777777777779</v>
      </c>
      <c r="AG27" s="467">
        <f t="shared" si="38"/>
        <v>15.33</v>
      </c>
      <c r="AH27" s="467">
        <f t="shared" si="39"/>
        <v>17.542777777777779</v>
      </c>
      <c r="AI27" s="467">
        <f t="shared" si="40"/>
        <v>18.095000000000002</v>
      </c>
      <c r="AJ27" s="467">
        <f t="shared" si="41"/>
        <v>0</v>
      </c>
      <c r="AK27" s="467">
        <f t="shared" si="42"/>
        <v>0.55222222222222217</v>
      </c>
      <c r="AL27" s="467">
        <f t="shared" si="43"/>
        <v>2.7650000000000001</v>
      </c>
      <c r="AM27" s="467">
        <f t="shared" si="44"/>
        <v>3.3172222222222221</v>
      </c>
      <c r="AN27" s="467">
        <f t="shared" si="45"/>
        <v>14.777777777777779</v>
      </c>
      <c r="AO27" s="467">
        <f t="shared" si="46"/>
        <v>15.33</v>
      </c>
      <c r="AP27" s="467">
        <f t="shared" si="47"/>
        <v>17.542777777777779</v>
      </c>
      <c r="AQ27" s="467">
        <f t="shared" si="48"/>
        <v>18.095000000000002</v>
      </c>
      <c r="AR27" s="467">
        <f t="shared" si="49"/>
        <v>1.7066666666666668</v>
      </c>
      <c r="AS27" s="467">
        <f t="shared" si="50"/>
        <v>2.2588888888888889</v>
      </c>
      <c r="AT27" s="467">
        <f t="shared" si="51"/>
        <v>4.4716666666666667</v>
      </c>
      <c r="AU27" s="467">
        <f t="shared" si="52"/>
        <v>5.0238888888888891</v>
      </c>
      <c r="AV27" s="467">
        <f t="shared" si="53"/>
        <v>16.484444444444446</v>
      </c>
      <c r="AW27" s="467">
        <f t="shared" si="54"/>
        <v>17.036666666666669</v>
      </c>
      <c r="AX27" s="467">
        <f t="shared" si="55"/>
        <v>19.249444444444446</v>
      </c>
      <c r="AY27" s="467">
        <f t="shared" si="56"/>
        <v>19.801666666666669</v>
      </c>
      <c r="AZ27" s="467">
        <f t="shared" si="57"/>
        <v>1.7066666666666668</v>
      </c>
      <c r="BA27" s="467">
        <f t="shared" si="58"/>
        <v>2.2588888888888889</v>
      </c>
      <c r="BB27" s="467">
        <f t="shared" si="59"/>
        <v>4.4716666666666667</v>
      </c>
      <c r="BC27" s="467">
        <f t="shared" si="60"/>
        <v>5.0238888888888891</v>
      </c>
      <c r="BD27" s="467">
        <f t="shared" si="61"/>
        <v>16.484444444444446</v>
      </c>
      <c r="BE27" s="467">
        <f t="shared" si="62"/>
        <v>17.036666666666669</v>
      </c>
      <c r="BF27" s="467">
        <f t="shared" si="63"/>
        <v>19.249444444444446</v>
      </c>
      <c r="BG27" s="467">
        <f t="shared" si="64"/>
        <v>19.801666666666669</v>
      </c>
    </row>
    <row r="28" spans="1:59">
      <c r="A28" s="213" t="s">
        <v>5314</v>
      </c>
      <c r="B28" s="231">
        <v>644923315</v>
      </c>
      <c r="C28" s="210" t="s">
        <v>433</v>
      </c>
      <c r="F28" s="239" t="str" cm="1">
        <f t="array" aca="1" ref="F28" ca="1">MID(met2utc(PEPSSI_Commanding[[#This Row],[MET]]),3,15)</f>
        <v>26-179/03:29:59</v>
      </c>
      <c r="G28" s="213" t="str">
        <f t="shared" si="15"/>
        <v>ON</v>
      </c>
      <c r="H28" s="214">
        <f t="shared" si="16"/>
        <v>644923315</v>
      </c>
      <c r="I28" s="214">
        <f t="shared" si="17"/>
        <v>644924995</v>
      </c>
      <c r="J28" s="213">
        <f t="shared" si="18"/>
        <v>0</v>
      </c>
      <c r="K28" s="213">
        <f t="shared" si="19"/>
        <v>10</v>
      </c>
      <c r="M28" s="210" t="str">
        <f t="shared" si="20"/>
        <v/>
      </c>
      <c r="N28" s="210" t="str">
        <f t="shared" si="21"/>
        <v/>
      </c>
      <c r="O28" s="210" t="str">
        <f t="shared" si="22"/>
        <v/>
      </c>
      <c r="P28" s="210" t="str">
        <f t="shared" si="23"/>
        <v/>
      </c>
      <c r="Q28" s="210" t="str">
        <f t="shared" si="24"/>
        <v/>
      </c>
      <c r="R28" s="210" t="str">
        <f t="shared" si="25"/>
        <v/>
      </c>
      <c r="S28" s="210" t="str">
        <f t="shared" si="26"/>
        <v/>
      </c>
      <c r="U28" s="467">
        <f t="shared" si="27"/>
        <v>0</v>
      </c>
      <c r="V28" s="467">
        <f t="shared" si="28"/>
        <v>0</v>
      </c>
      <c r="W28" s="467">
        <f t="shared" si="29"/>
        <v>0</v>
      </c>
      <c r="X28" s="467">
        <f t="shared" si="30"/>
        <v>0</v>
      </c>
      <c r="Y28" s="467">
        <f t="shared" si="31"/>
        <v>0</v>
      </c>
      <c r="Z28" s="467">
        <f t="shared" si="32"/>
        <v>0</v>
      </c>
      <c r="AA28" s="467">
        <f t="shared" si="33"/>
        <v>0</v>
      </c>
      <c r="AB28" s="243"/>
      <c r="AC28" s="467">
        <f t="shared" si="34"/>
        <v>0</v>
      </c>
      <c r="AD28" s="467">
        <f t="shared" si="35"/>
        <v>0</v>
      </c>
      <c r="AE28" s="467">
        <f t="shared" si="36"/>
        <v>0</v>
      </c>
      <c r="AF28" s="467">
        <f t="shared" si="37"/>
        <v>0</v>
      </c>
      <c r="AG28" s="467">
        <f t="shared" si="38"/>
        <v>0</v>
      </c>
      <c r="AH28" s="467">
        <f t="shared" si="39"/>
        <v>0</v>
      </c>
      <c r="AI28" s="467">
        <f t="shared" si="40"/>
        <v>0</v>
      </c>
      <c r="AJ28" s="467">
        <f t="shared" si="41"/>
        <v>0</v>
      </c>
      <c r="AK28" s="467">
        <f t="shared" si="42"/>
        <v>0</v>
      </c>
      <c r="AL28" s="467">
        <f t="shared" si="43"/>
        <v>0</v>
      </c>
      <c r="AM28" s="467">
        <f t="shared" si="44"/>
        <v>0</v>
      </c>
      <c r="AN28" s="467">
        <f t="shared" si="45"/>
        <v>0</v>
      </c>
      <c r="AO28" s="467">
        <f t="shared" si="46"/>
        <v>0</v>
      </c>
      <c r="AP28" s="467">
        <f t="shared" si="47"/>
        <v>0</v>
      </c>
      <c r="AQ28" s="467">
        <f t="shared" si="48"/>
        <v>0</v>
      </c>
      <c r="AR28" s="467">
        <f t="shared" si="49"/>
        <v>0</v>
      </c>
      <c r="AS28" s="467">
        <f t="shared" si="50"/>
        <v>0</v>
      </c>
      <c r="AT28" s="467">
        <f t="shared" si="51"/>
        <v>0</v>
      </c>
      <c r="AU28" s="467">
        <f t="shared" si="52"/>
        <v>0</v>
      </c>
      <c r="AV28" s="467">
        <f t="shared" si="53"/>
        <v>0</v>
      </c>
      <c r="AW28" s="467">
        <f t="shared" si="54"/>
        <v>0</v>
      </c>
      <c r="AX28" s="467">
        <f t="shared" si="55"/>
        <v>0</v>
      </c>
      <c r="AY28" s="467">
        <f t="shared" si="56"/>
        <v>0</v>
      </c>
      <c r="AZ28" s="467">
        <f t="shared" si="57"/>
        <v>0</v>
      </c>
      <c r="BA28" s="467">
        <f t="shared" si="58"/>
        <v>0</v>
      </c>
      <c r="BB28" s="467">
        <f t="shared" si="59"/>
        <v>0</v>
      </c>
      <c r="BC28" s="467">
        <f t="shared" si="60"/>
        <v>0</v>
      </c>
      <c r="BD28" s="467">
        <f t="shared" si="61"/>
        <v>0</v>
      </c>
      <c r="BE28" s="467">
        <f t="shared" si="62"/>
        <v>0</v>
      </c>
      <c r="BF28" s="467">
        <f t="shared" si="63"/>
        <v>0</v>
      </c>
      <c r="BG28" s="467">
        <f t="shared" si="64"/>
        <v>0</v>
      </c>
    </row>
    <row r="29" spans="1:59">
      <c r="A29" s="213" t="s">
        <v>5315</v>
      </c>
      <c r="B29" s="231">
        <v>644923360</v>
      </c>
      <c r="C29" s="210" t="s">
        <v>5285</v>
      </c>
      <c r="D29" s="210">
        <v>10</v>
      </c>
      <c r="F29" s="239" t="str" cm="1">
        <f t="array" aca="1" ref="F29" ca="1">MID(met2utc(PEPSSI_Commanding[[#This Row],[MET]]),3,15)</f>
        <v>26-179/03:30:44</v>
      </c>
      <c r="G29" s="213" t="str">
        <f t="shared" si="15"/>
        <v>MAC+10</v>
      </c>
      <c r="H29" s="214">
        <f t="shared" si="16"/>
        <v>644923315</v>
      </c>
      <c r="I29" s="214">
        <f t="shared" si="17"/>
        <v>644924995</v>
      </c>
      <c r="J29" s="213">
        <f t="shared" si="18"/>
        <v>1</v>
      </c>
      <c r="K29" s="213">
        <f t="shared" si="19"/>
        <v>9</v>
      </c>
      <c r="M29" s="210" t="str">
        <f t="shared" si="20"/>
        <v/>
      </c>
      <c r="N29" s="210" t="str">
        <f t="shared" si="21"/>
        <v/>
      </c>
      <c r="O29" s="210" t="str">
        <f t="shared" si="22"/>
        <v/>
      </c>
      <c r="P29" s="210" t="str">
        <f t="shared" si="23"/>
        <v/>
      </c>
      <c r="Q29" s="210" t="str">
        <f t="shared" si="24"/>
        <v/>
      </c>
      <c r="R29" s="210" t="str">
        <f t="shared" si="25"/>
        <v/>
      </c>
      <c r="S29" s="210" t="str">
        <f t="shared" si="26"/>
        <v/>
      </c>
      <c r="U29" s="467">
        <f t="shared" si="27"/>
        <v>0</v>
      </c>
      <c r="V29" s="467">
        <f t="shared" si="28"/>
        <v>0</v>
      </c>
      <c r="W29" s="467">
        <f t="shared" si="29"/>
        <v>0</v>
      </c>
      <c r="X29" s="467">
        <f t="shared" si="30"/>
        <v>0</v>
      </c>
      <c r="Y29" s="467">
        <f t="shared" si="31"/>
        <v>0</v>
      </c>
      <c r="Z29" s="467">
        <f t="shared" si="32"/>
        <v>0</v>
      </c>
      <c r="AA29" s="467">
        <f t="shared" si="33"/>
        <v>0</v>
      </c>
      <c r="AB29" s="243"/>
      <c r="AC29" s="467">
        <f t="shared" si="34"/>
        <v>0</v>
      </c>
      <c r="AD29" s="467">
        <f t="shared" si="35"/>
        <v>0</v>
      </c>
      <c r="AE29" s="467">
        <f t="shared" si="36"/>
        <v>0</v>
      </c>
      <c r="AF29" s="467">
        <f t="shared" si="37"/>
        <v>0</v>
      </c>
      <c r="AG29" s="467">
        <f t="shared" si="38"/>
        <v>0</v>
      </c>
      <c r="AH29" s="467">
        <f t="shared" si="39"/>
        <v>0</v>
      </c>
      <c r="AI29" s="467">
        <f t="shared" si="40"/>
        <v>0</v>
      </c>
      <c r="AJ29" s="467">
        <f t="shared" si="41"/>
        <v>0</v>
      </c>
      <c r="AK29" s="467">
        <f t="shared" si="42"/>
        <v>0</v>
      </c>
      <c r="AL29" s="467">
        <f t="shared" si="43"/>
        <v>0</v>
      </c>
      <c r="AM29" s="467">
        <f t="shared" si="44"/>
        <v>0</v>
      </c>
      <c r="AN29" s="467">
        <f t="shared" si="45"/>
        <v>0</v>
      </c>
      <c r="AO29" s="467">
        <f t="shared" si="46"/>
        <v>0</v>
      </c>
      <c r="AP29" s="467">
        <f t="shared" si="47"/>
        <v>0</v>
      </c>
      <c r="AQ29" s="467">
        <f t="shared" si="48"/>
        <v>0</v>
      </c>
      <c r="AR29" s="467">
        <f t="shared" si="49"/>
        <v>0</v>
      </c>
      <c r="AS29" s="467">
        <f t="shared" si="50"/>
        <v>0</v>
      </c>
      <c r="AT29" s="467">
        <f t="shared" si="51"/>
        <v>0</v>
      </c>
      <c r="AU29" s="467">
        <f t="shared" si="52"/>
        <v>0</v>
      </c>
      <c r="AV29" s="467">
        <f t="shared" si="53"/>
        <v>0</v>
      </c>
      <c r="AW29" s="467">
        <f t="shared" si="54"/>
        <v>0</v>
      </c>
      <c r="AX29" s="467">
        <f t="shared" si="55"/>
        <v>0</v>
      </c>
      <c r="AY29" s="467">
        <f t="shared" si="56"/>
        <v>0</v>
      </c>
      <c r="AZ29" s="467">
        <f t="shared" si="57"/>
        <v>0</v>
      </c>
      <c r="BA29" s="467">
        <f t="shared" si="58"/>
        <v>0</v>
      </c>
      <c r="BB29" s="467">
        <f t="shared" si="59"/>
        <v>0</v>
      </c>
      <c r="BC29" s="467">
        <f t="shared" si="60"/>
        <v>0</v>
      </c>
      <c r="BD29" s="467">
        <f t="shared" si="61"/>
        <v>0</v>
      </c>
      <c r="BE29" s="467">
        <f t="shared" si="62"/>
        <v>0</v>
      </c>
      <c r="BF29" s="467">
        <f t="shared" si="63"/>
        <v>0</v>
      </c>
      <c r="BG29" s="467">
        <f t="shared" si="64"/>
        <v>0</v>
      </c>
    </row>
    <row r="30" spans="1:59">
      <c r="A30" s="213" t="s">
        <v>5316</v>
      </c>
      <c r="B30" s="231">
        <v>644923360</v>
      </c>
      <c r="C30" s="210" t="s">
        <v>61</v>
      </c>
      <c r="D30" s="210">
        <v>10</v>
      </c>
      <c r="F30" s="239" t="str" cm="1">
        <f t="array" aca="1" ref="F30" ca="1">MID(met2utc(PEPSSI_Commanding[[#This Row],[MET]]),3,15)</f>
        <v>26-179/03:30:44</v>
      </c>
      <c r="G30" s="213" t="str">
        <f t="shared" si="15"/>
        <v>N2+10</v>
      </c>
      <c r="H30" s="214">
        <f t="shared" si="16"/>
        <v>644923315</v>
      </c>
      <c r="I30" s="214">
        <f t="shared" si="17"/>
        <v>644924995</v>
      </c>
      <c r="J30" s="213">
        <f t="shared" si="18"/>
        <v>2</v>
      </c>
      <c r="K30" s="213">
        <f t="shared" si="19"/>
        <v>8</v>
      </c>
      <c r="M30" s="210" t="str">
        <f t="shared" si="20"/>
        <v/>
      </c>
      <c r="N30" s="210">
        <f t="shared" si="21"/>
        <v>10</v>
      </c>
      <c r="O30" s="210" t="str">
        <f t="shared" si="22"/>
        <v/>
      </c>
      <c r="P30" s="210" t="str">
        <f t="shared" si="23"/>
        <v/>
      </c>
      <c r="Q30" s="210" t="str">
        <f t="shared" si="24"/>
        <v/>
      </c>
      <c r="R30" s="210" t="str">
        <f t="shared" si="25"/>
        <v/>
      </c>
      <c r="S30" s="210" t="str">
        <f t="shared" si="26"/>
        <v/>
      </c>
      <c r="U30" s="467">
        <f t="shared" si="27"/>
        <v>0</v>
      </c>
      <c r="V30" s="467">
        <f t="shared" si="28"/>
        <v>0</v>
      </c>
      <c r="W30" s="467">
        <f t="shared" si="29"/>
        <v>0</v>
      </c>
      <c r="X30" s="467">
        <f t="shared" si="30"/>
        <v>0</v>
      </c>
      <c r="Y30" s="467">
        <f t="shared" si="31"/>
        <v>133</v>
      </c>
      <c r="Z30" s="467">
        <f t="shared" si="32"/>
        <v>133</v>
      </c>
      <c r="AA30" s="467">
        <f t="shared" si="33"/>
        <v>0</v>
      </c>
      <c r="AB30" s="243"/>
      <c r="AC30" s="467">
        <f t="shared" si="34"/>
        <v>0</v>
      </c>
      <c r="AD30" s="467">
        <f t="shared" si="35"/>
        <v>0</v>
      </c>
      <c r="AE30" s="467">
        <f t="shared" si="36"/>
        <v>0</v>
      </c>
      <c r="AF30" s="467">
        <f t="shared" si="37"/>
        <v>133</v>
      </c>
      <c r="AG30" s="467">
        <f t="shared" si="38"/>
        <v>133</v>
      </c>
      <c r="AH30" s="467">
        <f t="shared" si="39"/>
        <v>133</v>
      </c>
      <c r="AI30" s="467">
        <f t="shared" si="40"/>
        <v>133</v>
      </c>
      <c r="AJ30" s="467">
        <f t="shared" si="41"/>
        <v>0</v>
      </c>
      <c r="AK30" s="467">
        <f t="shared" si="42"/>
        <v>0</v>
      </c>
      <c r="AL30" s="467">
        <f t="shared" si="43"/>
        <v>0</v>
      </c>
      <c r="AM30" s="467">
        <f t="shared" si="44"/>
        <v>0</v>
      </c>
      <c r="AN30" s="467">
        <f t="shared" si="45"/>
        <v>133</v>
      </c>
      <c r="AO30" s="467">
        <f t="shared" si="46"/>
        <v>133</v>
      </c>
      <c r="AP30" s="467">
        <f t="shared" si="47"/>
        <v>133</v>
      </c>
      <c r="AQ30" s="467">
        <f t="shared" si="48"/>
        <v>133</v>
      </c>
      <c r="AR30" s="467">
        <f t="shared" si="49"/>
        <v>0</v>
      </c>
      <c r="AS30" s="467">
        <f t="shared" si="50"/>
        <v>0</v>
      </c>
      <c r="AT30" s="467">
        <f t="shared" si="51"/>
        <v>0</v>
      </c>
      <c r="AU30" s="467">
        <f t="shared" si="52"/>
        <v>0</v>
      </c>
      <c r="AV30" s="467">
        <f t="shared" si="53"/>
        <v>133</v>
      </c>
      <c r="AW30" s="467">
        <f t="shared" si="54"/>
        <v>133</v>
      </c>
      <c r="AX30" s="467">
        <f t="shared" si="55"/>
        <v>133</v>
      </c>
      <c r="AY30" s="467">
        <f t="shared" si="56"/>
        <v>133</v>
      </c>
      <c r="AZ30" s="467">
        <f t="shared" si="57"/>
        <v>0</v>
      </c>
      <c r="BA30" s="467">
        <f t="shared" si="58"/>
        <v>0</v>
      </c>
      <c r="BB30" s="467">
        <f t="shared" si="59"/>
        <v>0</v>
      </c>
      <c r="BC30" s="467">
        <f t="shared" si="60"/>
        <v>0</v>
      </c>
      <c r="BD30" s="467">
        <f t="shared" si="61"/>
        <v>133</v>
      </c>
      <c r="BE30" s="467">
        <f t="shared" si="62"/>
        <v>133</v>
      </c>
      <c r="BF30" s="467">
        <f t="shared" si="63"/>
        <v>133</v>
      </c>
      <c r="BG30" s="467">
        <f t="shared" si="64"/>
        <v>133</v>
      </c>
    </row>
    <row r="31" spans="1:59">
      <c r="A31" s="213" t="s">
        <v>5316</v>
      </c>
      <c r="B31" s="231">
        <v>644923361</v>
      </c>
      <c r="C31" s="210" t="s">
        <v>58</v>
      </c>
      <c r="D31" s="210">
        <v>300</v>
      </c>
      <c r="F31" s="239" t="str" cm="1">
        <f t="array" aca="1" ref="F31" ca="1">MID(met2utc(PEPSSI_Commanding[[#This Row],[MET]]),3,15)</f>
        <v>26-179/03:30:45</v>
      </c>
      <c r="G31" s="213" t="str">
        <f t="shared" si="15"/>
        <v>N3+300</v>
      </c>
      <c r="H31" s="214">
        <f t="shared" si="16"/>
        <v>644923315</v>
      </c>
      <c r="I31" s="214">
        <f t="shared" si="17"/>
        <v>644924995</v>
      </c>
      <c r="J31" s="213">
        <f t="shared" si="18"/>
        <v>3</v>
      </c>
      <c r="K31" s="213">
        <f t="shared" si="19"/>
        <v>7</v>
      </c>
      <c r="M31" s="210" t="str">
        <f t="shared" si="20"/>
        <v/>
      </c>
      <c r="N31" s="210">
        <f t="shared" si="21"/>
        <v>10</v>
      </c>
      <c r="O31" s="210">
        <f t="shared" si="22"/>
        <v>300</v>
      </c>
      <c r="P31" s="210" t="str">
        <f t="shared" si="23"/>
        <v/>
      </c>
      <c r="Q31" s="210" t="str">
        <f t="shared" si="24"/>
        <v/>
      </c>
      <c r="R31" s="210" t="str">
        <f t="shared" si="25"/>
        <v/>
      </c>
      <c r="S31" s="210" t="str">
        <f t="shared" si="26"/>
        <v/>
      </c>
      <c r="U31" s="467">
        <f t="shared" si="27"/>
        <v>0</v>
      </c>
      <c r="V31" s="467">
        <f t="shared" si="28"/>
        <v>0</v>
      </c>
      <c r="W31" s="467">
        <f t="shared" si="29"/>
        <v>0</v>
      </c>
      <c r="X31" s="467">
        <f t="shared" si="30"/>
        <v>0</v>
      </c>
      <c r="Y31" s="467">
        <f t="shared" si="31"/>
        <v>133</v>
      </c>
      <c r="Z31" s="467">
        <f t="shared" si="32"/>
        <v>133</v>
      </c>
      <c r="AA31" s="467">
        <f t="shared" si="33"/>
        <v>66.36</v>
      </c>
      <c r="AB31" s="243"/>
      <c r="AC31" s="467">
        <f t="shared" si="34"/>
        <v>0</v>
      </c>
      <c r="AD31" s="467">
        <f t="shared" si="35"/>
        <v>66.36</v>
      </c>
      <c r="AE31" s="467">
        <f t="shared" si="36"/>
        <v>66.36</v>
      </c>
      <c r="AF31" s="467">
        <f t="shared" si="37"/>
        <v>133</v>
      </c>
      <c r="AG31" s="467">
        <f t="shared" si="38"/>
        <v>133</v>
      </c>
      <c r="AH31" s="467">
        <f t="shared" si="39"/>
        <v>199.36</v>
      </c>
      <c r="AI31" s="467">
        <f t="shared" si="40"/>
        <v>199.36</v>
      </c>
      <c r="AJ31" s="467">
        <f t="shared" si="41"/>
        <v>0</v>
      </c>
      <c r="AK31" s="467">
        <f t="shared" si="42"/>
        <v>0</v>
      </c>
      <c r="AL31" s="467">
        <f t="shared" si="43"/>
        <v>66.36</v>
      </c>
      <c r="AM31" s="467">
        <f t="shared" si="44"/>
        <v>66.36</v>
      </c>
      <c r="AN31" s="467">
        <f t="shared" si="45"/>
        <v>133</v>
      </c>
      <c r="AO31" s="467">
        <f t="shared" si="46"/>
        <v>133</v>
      </c>
      <c r="AP31" s="467">
        <f t="shared" si="47"/>
        <v>199.36</v>
      </c>
      <c r="AQ31" s="467">
        <f t="shared" si="48"/>
        <v>199.36</v>
      </c>
      <c r="AR31" s="467">
        <f t="shared" si="49"/>
        <v>0</v>
      </c>
      <c r="AS31" s="467">
        <f t="shared" si="50"/>
        <v>0</v>
      </c>
      <c r="AT31" s="467">
        <f t="shared" si="51"/>
        <v>66.36</v>
      </c>
      <c r="AU31" s="467">
        <f t="shared" si="52"/>
        <v>66.36</v>
      </c>
      <c r="AV31" s="467">
        <f t="shared" si="53"/>
        <v>133</v>
      </c>
      <c r="AW31" s="467">
        <f t="shared" si="54"/>
        <v>133</v>
      </c>
      <c r="AX31" s="467">
        <f t="shared" si="55"/>
        <v>199.36</v>
      </c>
      <c r="AY31" s="467">
        <f t="shared" si="56"/>
        <v>199.36</v>
      </c>
      <c r="AZ31" s="467">
        <f t="shared" si="57"/>
        <v>0</v>
      </c>
      <c r="BA31" s="467">
        <f t="shared" si="58"/>
        <v>0</v>
      </c>
      <c r="BB31" s="467">
        <f t="shared" si="59"/>
        <v>66.36</v>
      </c>
      <c r="BC31" s="467">
        <f t="shared" si="60"/>
        <v>66.36</v>
      </c>
      <c r="BD31" s="467">
        <f t="shared" si="61"/>
        <v>133</v>
      </c>
      <c r="BE31" s="467">
        <f t="shared" si="62"/>
        <v>133</v>
      </c>
      <c r="BF31" s="467">
        <f t="shared" si="63"/>
        <v>199.36</v>
      </c>
      <c r="BG31" s="467">
        <f t="shared" si="64"/>
        <v>199.36</v>
      </c>
    </row>
    <row r="32" spans="1:59">
      <c r="A32" s="213" t="s">
        <v>5316</v>
      </c>
      <c r="B32" s="231">
        <v>644923362</v>
      </c>
      <c r="C32" s="210" t="s">
        <v>1</v>
      </c>
      <c r="D32" s="210">
        <v>10</v>
      </c>
      <c r="F32" s="239" t="str" cm="1">
        <f t="array" aca="1" ref="F32" ca="1">MID(met2utc(PEPSSI_Commanding[[#This Row],[MET]]),3,15)</f>
        <v>26-179/03:30:46</v>
      </c>
      <c r="G32" s="213" t="str">
        <f t="shared" si="15"/>
        <v>N1+10</v>
      </c>
      <c r="H32" s="214">
        <f t="shared" si="16"/>
        <v>644923315</v>
      </c>
      <c r="I32" s="214">
        <f t="shared" si="17"/>
        <v>644924995</v>
      </c>
      <c r="J32" s="213">
        <f t="shared" si="18"/>
        <v>4</v>
      </c>
      <c r="K32" s="213">
        <f t="shared" si="19"/>
        <v>6</v>
      </c>
      <c r="M32" s="210">
        <f t="shared" si="20"/>
        <v>10</v>
      </c>
      <c r="N32" s="210">
        <f t="shared" si="21"/>
        <v>10</v>
      </c>
      <c r="O32" s="210">
        <f t="shared" si="22"/>
        <v>300</v>
      </c>
      <c r="P32" s="210" t="str">
        <f t="shared" si="23"/>
        <v/>
      </c>
      <c r="Q32" s="210" t="str">
        <f t="shared" si="24"/>
        <v/>
      </c>
      <c r="R32" s="210" t="str">
        <f t="shared" si="25"/>
        <v/>
      </c>
      <c r="S32" s="210" t="str">
        <f t="shared" si="26"/>
        <v/>
      </c>
      <c r="U32" s="467">
        <f t="shared" si="27"/>
        <v>0</v>
      </c>
      <c r="V32" s="467">
        <f t="shared" si="28"/>
        <v>0</v>
      </c>
      <c r="W32" s="467">
        <f t="shared" si="29"/>
        <v>0</v>
      </c>
      <c r="X32" s="467">
        <f t="shared" si="30"/>
        <v>198.8</v>
      </c>
      <c r="Y32" s="467">
        <f t="shared" si="31"/>
        <v>133</v>
      </c>
      <c r="Z32" s="467">
        <f t="shared" si="32"/>
        <v>133</v>
      </c>
      <c r="AA32" s="467">
        <f t="shared" si="33"/>
        <v>66.36</v>
      </c>
      <c r="AB32" s="243"/>
      <c r="AC32" s="467">
        <f t="shared" si="34"/>
        <v>198.8</v>
      </c>
      <c r="AD32" s="467">
        <f t="shared" si="35"/>
        <v>66.36</v>
      </c>
      <c r="AE32" s="467">
        <f t="shared" si="36"/>
        <v>265.16000000000003</v>
      </c>
      <c r="AF32" s="467">
        <f t="shared" si="37"/>
        <v>133</v>
      </c>
      <c r="AG32" s="467">
        <f t="shared" si="38"/>
        <v>331.8</v>
      </c>
      <c r="AH32" s="467">
        <f t="shared" si="39"/>
        <v>199.36</v>
      </c>
      <c r="AI32" s="467">
        <f t="shared" si="40"/>
        <v>398.16</v>
      </c>
      <c r="AJ32" s="467">
        <f t="shared" si="41"/>
        <v>0</v>
      </c>
      <c r="AK32" s="467">
        <f t="shared" si="42"/>
        <v>198.8</v>
      </c>
      <c r="AL32" s="467">
        <f t="shared" si="43"/>
        <v>66.36</v>
      </c>
      <c r="AM32" s="467">
        <f t="shared" si="44"/>
        <v>265.16000000000003</v>
      </c>
      <c r="AN32" s="467">
        <f t="shared" si="45"/>
        <v>133</v>
      </c>
      <c r="AO32" s="467">
        <f t="shared" si="46"/>
        <v>331.8</v>
      </c>
      <c r="AP32" s="467">
        <f t="shared" si="47"/>
        <v>199.36</v>
      </c>
      <c r="AQ32" s="467">
        <f t="shared" si="48"/>
        <v>398.16</v>
      </c>
      <c r="AR32" s="467">
        <f t="shared" si="49"/>
        <v>0</v>
      </c>
      <c r="AS32" s="467">
        <f t="shared" si="50"/>
        <v>198.8</v>
      </c>
      <c r="AT32" s="467">
        <f t="shared" si="51"/>
        <v>66.36</v>
      </c>
      <c r="AU32" s="467">
        <f t="shared" si="52"/>
        <v>265.16000000000003</v>
      </c>
      <c r="AV32" s="467">
        <f t="shared" si="53"/>
        <v>133</v>
      </c>
      <c r="AW32" s="467">
        <f t="shared" si="54"/>
        <v>331.8</v>
      </c>
      <c r="AX32" s="467">
        <f t="shared" si="55"/>
        <v>199.36</v>
      </c>
      <c r="AY32" s="467">
        <f t="shared" si="56"/>
        <v>398.16</v>
      </c>
      <c r="AZ32" s="467">
        <f t="shared" si="57"/>
        <v>0</v>
      </c>
      <c r="BA32" s="467">
        <f t="shared" si="58"/>
        <v>198.8</v>
      </c>
      <c r="BB32" s="467">
        <f t="shared" si="59"/>
        <v>66.36</v>
      </c>
      <c r="BC32" s="467">
        <f t="shared" si="60"/>
        <v>265.16000000000003</v>
      </c>
      <c r="BD32" s="467">
        <f t="shared" si="61"/>
        <v>133</v>
      </c>
      <c r="BE32" s="467">
        <f t="shared" si="62"/>
        <v>331.8</v>
      </c>
      <c r="BF32" s="467">
        <f t="shared" si="63"/>
        <v>199.36</v>
      </c>
      <c r="BG32" s="467">
        <f t="shared" si="64"/>
        <v>398.16</v>
      </c>
    </row>
    <row r="33" spans="1:59">
      <c r="A33" s="213" t="s">
        <v>5317</v>
      </c>
      <c r="B33" s="231">
        <v>644923363</v>
      </c>
      <c r="C33" s="210" t="s">
        <v>5284</v>
      </c>
      <c r="D33" s="210">
        <v>1</v>
      </c>
      <c r="F33" s="239" t="str" cm="1">
        <f t="array" aca="1" ref="F33" ca="1">MID(met2utc(PEPSSI_Commanding[[#This Row],[MET]]),3,15)</f>
        <v>26-179/03:30:47</v>
      </c>
      <c r="G33" s="213" t="str">
        <f t="shared" si="15"/>
        <v>STAT+1</v>
      </c>
      <c r="H33" s="214">
        <f t="shared" si="16"/>
        <v>644923315</v>
      </c>
      <c r="I33" s="214">
        <f t="shared" si="17"/>
        <v>644924995</v>
      </c>
      <c r="J33" s="213">
        <f t="shared" si="18"/>
        <v>5</v>
      </c>
      <c r="K33" s="213">
        <f t="shared" si="19"/>
        <v>5</v>
      </c>
      <c r="M33" s="210">
        <f t="shared" si="20"/>
        <v>10</v>
      </c>
      <c r="N33" s="210">
        <f t="shared" si="21"/>
        <v>10</v>
      </c>
      <c r="O33" s="210">
        <f t="shared" si="22"/>
        <v>300</v>
      </c>
      <c r="P33" s="210">
        <f t="shared" si="23"/>
        <v>1</v>
      </c>
      <c r="Q33" s="210" t="str">
        <f t="shared" si="24"/>
        <v/>
      </c>
      <c r="R33" s="210" t="str">
        <f t="shared" si="25"/>
        <v/>
      </c>
      <c r="S33" s="210" t="str">
        <f t="shared" si="26"/>
        <v/>
      </c>
      <c r="U33" s="467">
        <f t="shared" si="27"/>
        <v>0</v>
      </c>
      <c r="V33" s="467">
        <f t="shared" si="28"/>
        <v>0</v>
      </c>
      <c r="W33" s="467">
        <f t="shared" si="29"/>
        <v>512</v>
      </c>
      <c r="X33" s="467">
        <f t="shared" si="30"/>
        <v>198.8</v>
      </c>
      <c r="Y33" s="467">
        <f t="shared" si="31"/>
        <v>133</v>
      </c>
      <c r="Z33" s="467">
        <f t="shared" si="32"/>
        <v>133</v>
      </c>
      <c r="AA33" s="467">
        <f t="shared" si="33"/>
        <v>66.36</v>
      </c>
      <c r="AB33" s="243"/>
      <c r="AC33" s="467">
        <f t="shared" si="34"/>
        <v>198.8</v>
      </c>
      <c r="AD33" s="467">
        <f t="shared" si="35"/>
        <v>66.36</v>
      </c>
      <c r="AE33" s="467">
        <f t="shared" si="36"/>
        <v>265.16000000000003</v>
      </c>
      <c r="AF33" s="467">
        <f t="shared" si="37"/>
        <v>133</v>
      </c>
      <c r="AG33" s="467">
        <f t="shared" si="38"/>
        <v>331.8</v>
      </c>
      <c r="AH33" s="467">
        <f t="shared" si="39"/>
        <v>199.36</v>
      </c>
      <c r="AI33" s="467">
        <f t="shared" si="40"/>
        <v>398.16</v>
      </c>
      <c r="AJ33" s="467">
        <f t="shared" si="41"/>
        <v>0</v>
      </c>
      <c r="AK33" s="467">
        <f t="shared" si="42"/>
        <v>198.8</v>
      </c>
      <c r="AL33" s="467">
        <f t="shared" si="43"/>
        <v>66.36</v>
      </c>
      <c r="AM33" s="467">
        <f t="shared" si="44"/>
        <v>265.16000000000003</v>
      </c>
      <c r="AN33" s="467">
        <f t="shared" si="45"/>
        <v>133</v>
      </c>
      <c r="AO33" s="467">
        <f t="shared" si="46"/>
        <v>331.8</v>
      </c>
      <c r="AP33" s="467">
        <f t="shared" si="47"/>
        <v>199.36</v>
      </c>
      <c r="AQ33" s="467">
        <f t="shared" si="48"/>
        <v>398.16</v>
      </c>
      <c r="AR33" s="467">
        <f t="shared" si="49"/>
        <v>512</v>
      </c>
      <c r="AS33" s="467">
        <f t="shared" si="50"/>
        <v>710.8</v>
      </c>
      <c r="AT33" s="467">
        <f t="shared" si="51"/>
        <v>578.36</v>
      </c>
      <c r="AU33" s="467">
        <f t="shared" si="52"/>
        <v>777.16000000000008</v>
      </c>
      <c r="AV33" s="467">
        <f t="shared" si="53"/>
        <v>645</v>
      </c>
      <c r="AW33" s="467">
        <f t="shared" si="54"/>
        <v>843.8</v>
      </c>
      <c r="AX33" s="467">
        <f t="shared" si="55"/>
        <v>711.36</v>
      </c>
      <c r="AY33" s="467">
        <f t="shared" si="56"/>
        <v>910.16000000000008</v>
      </c>
      <c r="AZ33" s="467">
        <f t="shared" si="57"/>
        <v>512</v>
      </c>
      <c r="BA33" s="467">
        <f t="shared" si="58"/>
        <v>710.8</v>
      </c>
      <c r="BB33" s="467">
        <f t="shared" si="59"/>
        <v>578.36</v>
      </c>
      <c r="BC33" s="467">
        <f t="shared" si="60"/>
        <v>777.16000000000008</v>
      </c>
      <c r="BD33" s="467">
        <f t="shared" si="61"/>
        <v>645</v>
      </c>
      <c r="BE33" s="467">
        <f t="shared" si="62"/>
        <v>843.8</v>
      </c>
      <c r="BF33" s="467">
        <f t="shared" si="63"/>
        <v>711.36</v>
      </c>
      <c r="BG33" s="467">
        <f t="shared" si="64"/>
        <v>910.16000000000008</v>
      </c>
    </row>
    <row r="34" spans="1:59">
      <c r="A34" s="213" t="s">
        <v>5316</v>
      </c>
      <c r="B34" s="231">
        <v>644924846</v>
      </c>
      <c r="C34" s="210" t="s">
        <v>61</v>
      </c>
      <c r="D34" s="210">
        <v>40</v>
      </c>
      <c r="F34" s="239" t="str" cm="1">
        <f t="array" aca="1" ref="F34" ca="1">MID(met2utc(PEPSSI_Commanding[[#This Row],[MET]]),3,15)</f>
        <v>26-179/03:55:30</v>
      </c>
      <c r="G34" s="213" t="str">
        <f t="shared" si="15"/>
        <v>N2+40</v>
      </c>
      <c r="H34" s="214">
        <f t="shared" si="16"/>
        <v>644923315</v>
      </c>
      <c r="I34" s="214">
        <f t="shared" si="17"/>
        <v>644924995</v>
      </c>
      <c r="J34" s="213">
        <f t="shared" si="18"/>
        <v>6</v>
      </c>
      <c r="K34" s="213">
        <f t="shared" si="19"/>
        <v>4</v>
      </c>
      <c r="M34" s="210">
        <f t="shared" si="20"/>
        <v>10</v>
      </c>
      <c r="N34" s="210">
        <f t="shared" si="21"/>
        <v>40</v>
      </c>
      <c r="O34" s="210">
        <f t="shared" si="22"/>
        <v>300</v>
      </c>
      <c r="P34" s="210">
        <f t="shared" si="23"/>
        <v>1</v>
      </c>
      <c r="Q34" s="210" t="str">
        <f t="shared" si="24"/>
        <v/>
      </c>
      <c r="R34" s="210" t="str">
        <f t="shared" si="25"/>
        <v/>
      </c>
      <c r="S34" s="210" t="str">
        <f t="shared" si="26"/>
        <v/>
      </c>
      <c r="U34" s="467">
        <f t="shared" si="27"/>
        <v>0</v>
      </c>
      <c r="V34" s="467">
        <f t="shared" si="28"/>
        <v>0</v>
      </c>
      <c r="W34" s="467">
        <f t="shared" si="29"/>
        <v>512</v>
      </c>
      <c r="X34" s="467">
        <f t="shared" si="30"/>
        <v>198.8</v>
      </c>
      <c r="Y34" s="467">
        <f t="shared" si="31"/>
        <v>33.25</v>
      </c>
      <c r="Z34" s="467">
        <f t="shared" si="32"/>
        <v>33.25</v>
      </c>
      <c r="AA34" s="467">
        <f t="shared" si="33"/>
        <v>66.36</v>
      </c>
      <c r="AB34" s="243"/>
      <c r="AC34" s="467">
        <f t="shared" si="34"/>
        <v>198.8</v>
      </c>
      <c r="AD34" s="467">
        <f t="shared" si="35"/>
        <v>66.36</v>
      </c>
      <c r="AE34" s="467">
        <f t="shared" si="36"/>
        <v>265.16000000000003</v>
      </c>
      <c r="AF34" s="467">
        <f t="shared" si="37"/>
        <v>33.25</v>
      </c>
      <c r="AG34" s="467">
        <f t="shared" si="38"/>
        <v>232.05</v>
      </c>
      <c r="AH34" s="467">
        <f t="shared" si="39"/>
        <v>99.61</v>
      </c>
      <c r="AI34" s="467">
        <f t="shared" si="40"/>
        <v>298.41000000000003</v>
      </c>
      <c r="AJ34" s="467">
        <f t="shared" si="41"/>
        <v>0</v>
      </c>
      <c r="AK34" s="467">
        <f t="shared" si="42"/>
        <v>198.8</v>
      </c>
      <c r="AL34" s="467">
        <f t="shared" si="43"/>
        <v>66.36</v>
      </c>
      <c r="AM34" s="467">
        <f t="shared" si="44"/>
        <v>265.16000000000003</v>
      </c>
      <c r="AN34" s="467">
        <f t="shared" si="45"/>
        <v>33.25</v>
      </c>
      <c r="AO34" s="467">
        <f t="shared" si="46"/>
        <v>232.05</v>
      </c>
      <c r="AP34" s="467">
        <f t="shared" si="47"/>
        <v>99.61</v>
      </c>
      <c r="AQ34" s="467">
        <f t="shared" si="48"/>
        <v>298.41000000000003</v>
      </c>
      <c r="AR34" s="467">
        <f t="shared" si="49"/>
        <v>512</v>
      </c>
      <c r="AS34" s="467">
        <f t="shared" si="50"/>
        <v>710.8</v>
      </c>
      <c r="AT34" s="467">
        <f t="shared" si="51"/>
        <v>578.36</v>
      </c>
      <c r="AU34" s="467">
        <f t="shared" si="52"/>
        <v>777.16000000000008</v>
      </c>
      <c r="AV34" s="467">
        <f t="shared" si="53"/>
        <v>545.25</v>
      </c>
      <c r="AW34" s="467">
        <f t="shared" si="54"/>
        <v>744.05</v>
      </c>
      <c r="AX34" s="467">
        <f t="shared" si="55"/>
        <v>611.61</v>
      </c>
      <c r="AY34" s="467">
        <f t="shared" si="56"/>
        <v>810.41000000000008</v>
      </c>
      <c r="AZ34" s="467">
        <f t="shared" si="57"/>
        <v>512</v>
      </c>
      <c r="BA34" s="467">
        <f t="shared" si="58"/>
        <v>710.8</v>
      </c>
      <c r="BB34" s="467">
        <f t="shared" si="59"/>
        <v>578.36</v>
      </c>
      <c r="BC34" s="467">
        <f t="shared" si="60"/>
        <v>777.16000000000008</v>
      </c>
      <c r="BD34" s="467">
        <f t="shared" si="61"/>
        <v>545.25</v>
      </c>
      <c r="BE34" s="467">
        <f t="shared" si="62"/>
        <v>744.05</v>
      </c>
      <c r="BF34" s="467">
        <f t="shared" si="63"/>
        <v>611.61</v>
      </c>
      <c r="BG34" s="467">
        <f t="shared" si="64"/>
        <v>810.41000000000008</v>
      </c>
    </row>
    <row r="35" spans="1:59">
      <c r="A35" s="213" t="s">
        <v>5316</v>
      </c>
      <c r="B35" s="231">
        <v>644924847</v>
      </c>
      <c r="C35" s="210" t="s">
        <v>58</v>
      </c>
      <c r="D35" s="210">
        <v>7200</v>
      </c>
      <c r="F35" s="239" t="str" cm="1">
        <f t="array" aca="1" ref="F35" ca="1">MID(met2utc(PEPSSI_Commanding[[#This Row],[MET]]),3,15)</f>
        <v>26-179/03:55:31</v>
      </c>
      <c r="G35" s="213" t="str">
        <f t="shared" si="15"/>
        <v>N3+7200</v>
      </c>
      <c r="H35" s="214">
        <f t="shared" si="16"/>
        <v>644923315</v>
      </c>
      <c r="I35" s="214">
        <f t="shared" si="17"/>
        <v>644924995</v>
      </c>
      <c r="J35" s="213">
        <f t="shared" si="18"/>
        <v>7</v>
      </c>
      <c r="K35" s="213">
        <f t="shared" si="19"/>
        <v>3</v>
      </c>
      <c r="M35" s="210">
        <f t="shared" si="20"/>
        <v>10</v>
      </c>
      <c r="N35" s="210">
        <f t="shared" si="21"/>
        <v>40</v>
      </c>
      <c r="O35" s="210">
        <f t="shared" si="22"/>
        <v>7200</v>
      </c>
      <c r="P35" s="210">
        <f t="shared" si="23"/>
        <v>1</v>
      </c>
      <c r="Q35" s="210" t="str">
        <f t="shared" si="24"/>
        <v/>
      </c>
      <c r="R35" s="210" t="str">
        <f t="shared" si="25"/>
        <v/>
      </c>
      <c r="S35" s="210" t="str">
        <f t="shared" si="26"/>
        <v/>
      </c>
      <c r="U35" s="467">
        <f t="shared" si="27"/>
        <v>0</v>
      </c>
      <c r="V35" s="467">
        <f t="shared" si="28"/>
        <v>0</v>
      </c>
      <c r="W35" s="467">
        <f t="shared" si="29"/>
        <v>512</v>
      </c>
      <c r="X35" s="467">
        <f t="shared" si="30"/>
        <v>198.8</v>
      </c>
      <c r="Y35" s="467">
        <f t="shared" si="31"/>
        <v>33.25</v>
      </c>
      <c r="Z35" s="467">
        <f t="shared" si="32"/>
        <v>33.25</v>
      </c>
      <c r="AA35" s="467">
        <f t="shared" si="33"/>
        <v>2.7650000000000001</v>
      </c>
      <c r="AB35" s="243"/>
      <c r="AC35" s="467">
        <f t="shared" si="34"/>
        <v>198.8</v>
      </c>
      <c r="AD35" s="467">
        <f t="shared" si="35"/>
        <v>2.7650000000000001</v>
      </c>
      <c r="AE35" s="467">
        <f t="shared" si="36"/>
        <v>201.565</v>
      </c>
      <c r="AF35" s="467">
        <f t="shared" si="37"/>
        <v>33.25</v>
      </c>
      <c r="AG35" s="467">
        <f t="shared" si="38"/>
        <v>232.05</v>
      </c>
      <c r="AH35" s="467">
        <f t="shared" si="39"/>
        <v>36.015000000000001</v>
      </c>
      <c r="AI35" s="467">
        <f t="shared" si="40"/>
        <v>234.815</v>
      </c>
      <c r="AJ35" s="467">
        <f t="shared" si="41"/>
        <v>0</v>
      </c>
      <c r="AK35" s="467">
        <f t="shared" si="42"/>
        <v>198.8</v>
      </c>
      <c r="AL35" s="467">
        <f t="shared" si="43"/>
        <v>2.7650000000000001</v>
      </c>
      <c r="AM35" s="467">
        <f t="shared" si="44"/>
        <v>201.565</v>
      </c>
      <c r="AN35" s="467">
        <f t="shared" si="45"/>
        <v>33.25</v>
      </c>
      <c r="AO35" s="467">
        <f t="shared" si="46"/>
        <v>232.05</v>
      </c>
      <c r="AP35" s="467">
        <f t="shared" si="47"/>
        <v>36.015000000000001</v>
      </c>
      <c r="AQ35" s="467">
        <f t="shared" si="48"/>
        <v>234.815</v>
      </c>
      <c r="AR35" s="467">
        <f t="shared" si="49"/>
        <v>512</v>
      </c>
      <c r="AS35" s="467">
        <f t="shared" si="50"/>
        <v>710.8</v>
      </c>
      <c r="AT35" s="467">
        <f t="shared" si="51"/>
        <v>514.76499999999999</v>
      </c>
      <c r="AU35" s="467">
        <f t="shared" si="52"/>
        <v>713.56500000000005</v>
      </c>
      <c r="AV35" s="467">
        <f t="shared" si="53"/>
        <v>545.25</v>
      </c>
      <c r="AW35" s="467">
        <f t="shared" si="54"/>
        <v>744.05</v>
      </c>
      <c r="AX35" s="467">
        <f t="shared" si="55"/>
        <v>548.01499999999999</v>
      </c>
      <c r="AY35" s="467">
        <f t="shared" si="56"/>
        <v>746.81500000000005</v>
      </c>
      <c r="AZ35" s="467">
        <f t="shared" si="57"/>
        <v>512</v>
      </c>
      <c r="BA35" s="467">
        <f t="shared" si="58"/>
        <v>710.8</v>
      </c>
      <c r="BB35" s="467">
        <f t="shared" si="59"/>
        <v>514.76499999999999</v>
      </c>
      <c r="BC35" s="467">
        <f t="shared" si="60"/>
        <v>713.56500000000005</v>
      </c>
      <c r="BD35" s="467">
        <f t="shared" si="61"/>
        <v>545.25</v>
      </c>
      <c r="BE35" s="467">
        <f t="shared" si="62"/>
        <v>744.05</v>
      </c>
      <c r="BF35" s="467">
        <f t="shared" si="63"/>
        <v>548.01499999999999</v>
      </c>
      <c r="BG35" s="467">
        <f t="shared" si="64"/>
        <v>746.81500000000005</v>
      </c>
    </row>
    <row r="36" spans="1:59">
      <c r="A36" s="213" t="s">
        <v>5316</v>
      </c>
      <c r="B36" s="231">
        <v>644924848</v>
      </c>
      <c r="C36" s="210" t="s">
        <v>1</v>
      </c>
      <c r="D36" s="210">
        <v>3600</v>
      </c>
      <c r="F36" s="239" t="str" cm="1">
        <f t="array" aca="1" ref="F36" ca="1">MID(met2utc(PEPSSI_Commanding[[#This Row],[MET]]),3,15)</f>
        <v>26-179/03:55:32</v>
      </c>
      <c r="G36" s="213" t="str">
        <f t="shared" si="15"/>
        <v>N1+3600</v>
      </c>
      <c r="H36" s="214">
        <f t="shared" si="16"/>
        <v>644923315</v>
      </c>
      <c r="I36" s="214">
        <f t="shared" si="17"/>
        <v>644924995</v>
      </c>
      <c r="J36" s="213">
        <f t="shared" si="18"/>
        <v>8</v>
      </c>
      <c r="K36" s="213">
        <f t="shared" si="19"/>
        <v>2</v>
      </c>
      <c r="M36" s="210">
        <f t="shared" si="20"/>
        <v>3600</v>
      </c>
      <c r="N36" s="210">
        <f t="shared" si="21"/>
        <v>40</v>
      </c>
      <c r="O36" s="210">
        <f t="shared" si="22"/>
        <v>7200</v>
      </c>
      <c r="P36" s="210">
        <f t="shared" si="23"/>
        <v>1</v>
      </c>
      <c r="Q36" s="210" t="str">
        <f t="shared" si="24"/>
        <v/>
      </c>
      <c r="R36" s="210" t="str">
        <f t="shared" si="25"/>
        <v/>
      </c>
      <c r="S36" s="210" t="str">
        <f t="shared" si="26"/>
        <v/>
      </c>
      <c r="U36" s="467">
        <f t="shared" si="27"/>
        <v>0</v>
      </c>
      <c r="V36" s="467">
        <f t="shared" si="28"/>
        <v>0</v>
      </c>
      <c r="W36" s="467">
        <f t="shared" si="29"/>
        <v>512</v>
      </c>
      <c r="X36" s="467">
        <f t="shared" si="30"/>
        <v>0.55222222222222217</v>
      </c>
      <c r="Y36" s="467">
        <f t="shared" si="31"/>
        <v>33.25</v>
      </c>
      <c r="Z36" s="467">
        <f t="shared" si="32"/>
        <v>33.25</v>
      </c>
      <c r="AA36" s="467">
        <f t="shared" si="33"/>
        <v>2.7650000000000001</v>
      </c>
      <c r="AB36" s="243"/>
      <c r="AC36" s="467">
        <f t="shared" si="34"/>
        <v>0.55222222222222217</v>
      </c>
      <c r="AD36" s="467">
        <f t="shared" si="35"/>
        <v>2.7650000000000001</v>
      </c>
      <c r="AE36" s="467">
        <f t="shared" si="36"/>
        <v>3.3172222222222221</v>
      </c>
      <c r="AF36" s="467">
        <f t="shared" si="37"/>
        <v>33.25</v>
      </c>
      <c r="AG36" s="467">
        <f t="shared" si="38"/>
        <v>33.80222222222222</v>
      </c>
      <c r="AH36" s="467">
        <f t="shared" si="39"/>
        <v>36.015000000000001</v>
      </c>
      <c r="AI36" s="467">
        <f t="shared" si="40"/>
        <v>36.56722222222222</v>
      </c>
      <c r="AJ36" s="467">
        <f t="shared" si="41"/>
        <v>0</v>
      </c>
      <c r="AK36" s="467">
        <f t="shared" si="42"/>
        <v>0.55222222222222217</v>
      </c>
      <c r="AL36" s="467">
        <f t="shared" si="43"/>
        <v>2.7650000000000001</v>
      </c>
      <c r="AM36" s="467">
        <f t="shared" si="44"/>
        <v>3.3172222222222221</v>
      </c>
      <c r="AN36" s="467">
        <f t="shared" si="45"/>
        <v>33.25</v>
      </c>
      <c r="AO36" s="467">
        <f t="shared" si="46"/>
        <v>33.80222222222222</v>
      </c>
      <c r="AP36" s="467">
        <f t="shared" si="47"/>
        <v>36.015000000000001</v>
      </c>
      <c r="AQ36" s="467">
        <f t="shared" si="48"/>
        <v>36.56722222222222</v>
      </c>
      <c r="AR36" s="467">
        <f t="shared" si="49"/>
        <v>512</v>
      </c>
      <c r="AS36" s="467">
        <f t="shared" si="50"/>
        <v>512.55222222222221</v>
      </c>
      <c r="AT36" s="467">
        <f t="shared" si="51"/>
        <v>514.76499999999999</v>
      </c>
      <c r="AU36" s="467">
        <f t="shared" si="52"/>
        <v>515.3172222222222</v>
      </c>
      <c r="AV36" s="467">
        <f t="shared" si="53"/>
        <v>545.25</v>
      </c>
      <c r="AW36" s="467">
        <f t="shared" si="54"/>
        <v>545.80222222222221</v>
      </c>
      <c r="AX36" s="467">
        <f t="shared" si="55"/>
        <v>548.01499999999999</v>
      </c>
      <c r="AY36" s="467">
        <f t="shared" si="56"/>
        <v>548.5672222222222</v>
      </c>
      <c r="AZ36" s="467">
        <f t="shared" si="57"/>
        <v>512</v>
      </c>
      <c r="BA36" s="467">
        <f t="shared" si="58"/>
        <v>512.55222222222221</v>
      </c>
      <c r="BB36" s="467">
        <f t="shared" si="59"/>
        <v>514.76499999999999</v>
      </c>
      <c r="BC36" s="467">
        <f t="shared" si="60"/>
        <v>515.3172222222222</v>
      </c>
      <c r="BD36" s="467">
        <f t="shared" si="61"/>
        <v>545.25</v>
      </c>
      <c r="BE36" s="467">
        <f t="shared" si="62"/>
        <v>545.80222222222221</v>
      </c>
      <c r="BF36" s="467">
        <f t="shared" si="63"/>
        <v>548.01499999999999</v>
      </c>
      <c r="BG36" s="467">
        <f t="shared" si="64"/>
        <v>548.5672222222222</v>
      </c>
    </row>
    <row r="37" spans="1:59">
      <c r="A37" s="213" t="s">
        <v>5317</v>
      </c>
      <c r="B37" s="231">
        <v>644924849</v>
      </c>
      <c r="C37" s="210" t="s">
        <v>5284</v>
      </c>
      <c r="D37" s="210">
        <v>300</v>
      </c>
      <c r="F37" s="239" t="str" cm="1">
        <f t="array" aca="1" ref="F37" ca="1">MID(met2utc(PEPSSI_Commanding[[#This Row],[MET]]),3,15)</f>
        <v>26-179/03:55:33</v>
      </c>
      <c r="G37" s="213" t="str">
        <f t="shared" si="15"/>
        <v>STAT+300</v>
      </c>
      <c r="H37" s="214">
        <f t="shared" si="16"/>
        <v>644923315</v>
      </c>
      <c r="I37" s="214">
        <f t="shared" si="17"/>
        <v>644924995</v>
      </c>
      <c r="J37" s="213">
        <f t="shared" si="18"/>
        <v>9</v>
      </c>
      <c r="K37" s="213">
        <f t="shared" si="19"/>
        <v>1</v>
      </c>
      <c r="M37" s="210">
        <f t="shared" si="20"/>
        <v>3600</v>
      </c>
      <c r="N37" s="210">
        <f t="shared" si="21"/>
        <v>40</v>
      </c>
      <c r="O37" s="210">
        <f t="shared" si="22"/>
        <v>7200</v>
      </c>
      <c r="P37" s="210">
        <f t="shared" si="23"/>
        <v>300</v>
      </c>
      <c r="Q37" s="210" t="str">
        <f t="shared" si="24"/>
        <v/>
      </c>
      <c r="R37" s="210" t="str">
        <f t="shared" si="25"/>
        <v/>
      </c>
      <c r="S37" s="210" t="str">
        <f t="shared" si="26"/>
        <v/>
      </c>
      <c r="U37" s="467">
        <f t="shared" si="27"/>
        <v>0</v>
      </c>
      <c r="V37" s="467">
        <f t="shared" si="28"/>
        <v>0</v>
      </c>
      <c r="W37" s="467">
        <f t="shared" si="29"/>
        <v>1.7066666666666668</v>
      </c>
      <c r="X37" s="467">
        <f t="shared" si="30"/>
        <v>0.55222222222222217</v>
      </c>
      <c r="Y37" s="467">
        <f t="shared" si="31"/>
        <v>33.25</v>
      </c>
      <c r="Z37" s="467">
        <f t="shared" si="32"/>
        <v>33.25</v>
      </c>
      <c r="AA37" s="467">
        <f t="shared" si="33"/>
        <v>2.7650000000000001</v>
      </c>
      <c r="AB37" s="243"/>
      <c r="AC37" s="467">
        <f t="shared" si="34"/>
        <v>0.55222222222222217</v>
      </c>
      <c r="AD37" s="467">
        <f t="shared" si="35"/>
        <v>2.7650000000000001</v>
      </c>
      <c r="AE37" s="467">
        <f t="shared" si="36"/>
        <v>3.3172222222222221</v>
      </c>
      <c r="AF37" s="467">
        <f t="shared" si="37"/>
        <v>33.25</v>
      </c>
      <c r="AG37" s="467">
        <f t="shared" si="38"/>
        <v>33.80222222222222</v>
      </c>
      <c r="AH37" s="467">
        <f t="shared" si="39"/>
        <v>36.015000000000001</v>
      </c>
      <c r="AI37" s="467">
        <f t="shared" si="40"/>
        <v>36.56722222222222</v>
      </c>
      <c r="AJ37" s="467">
        <f t="shared" si="41"/>
        <v>0</v>
      </c>
      <c r="AK37" s="467">
        <f t="shared" si="42"/>
        <v>0.55222222222222217</v>
      </c>
      <c r="AL37" s="467">
        <f t="shared" si="43"/>
        <v>2.7650000000000001</v>
      </c>
      <c r="AM37" s="467">
        <f t="shared" si="44"/>
        <v>3.3172222222222221</v>
      </c>
      <c r="AN37" s="467">
        <f t="shared" si="45"/>
        <v>33.25</v>
      </c>
      <c r="AO37" s="467">
        <f t="shared" si="46"/>
        <v>33.80222222222222</v>
      </c>
      <c r="AP37" s="467">
        <f t="shared" si="47"/>
        <v>36.015000000000001</v>
      </c>
      <c r="AQ37" s="467">
        <f t="shared" si="48"/>
        <v>36.56722222222222</v>
      </c>
      <c r="AR37" s="467">
        <f t="shared" si="49"/>
        <v>1.7066666666666668</v>
      </c>
      <c r="AS37" s="467">
        <f t="shared" si="50"/>
        <v>2.2588888888888889</v>
      </c>
      <c r="AT37" s="467">
        <f t="shared" si="51"/>
        <v>4.4716666666666667</v>
      </c>
      <c r="AU37" s="467">
        <f t="shared" si="52"/>
        <v>5.0238888888888891</v>
      </c>
      <c r="AV37" s="467">
        <f t="shared" si="53"/>
        <v>34.956666666666663</v>
      </c>
      <c r="AW37" s="467">
        <f t="shared" si="54"/>
        <v>35.508888888888883</v>
      </c>
      <c r="AX37" s="467">
        <f t="shared" si="55"/>
        <v>37.721666666666664</v>
      </c>
      <c r="AY37" s="467">
        <f t="shared" si="56"/>
        <v>38.273888888888884</v>
      </c>
      <c r="AZ37" s="467">
        <f t="shared" si="57"/>
        <v>1.7066666666666668</v>
      </c>
      <c r="BA37" s="467">
        <f t="shared" si="58"/>
        <v>2.2588888888888889</v>
      </c>
      <c r="BB37" s="467">
        <f t="shared" si="59"/>
        <v>4.4716666666666667</v>
      </c>
      <c r="BC37" s="467">
        <f t="shared" si="60"/>
        <v>5.0238888888888891</v>
      </c>
      <c r="BD37" s="467">
        <f t="shared" si="61"/>
        <v>34.956666666666663</v>
      </c>
      <c r="BE37" s="467">
        <f t="shared" si="62"/>
        <v>35.508888888888883</v>
      </c>
      <c r="BF37" s="467">
        <f t="shared" si="63"/>
        <v>37.721666666666664</v>
      </c>
      <c r="BG37" s="467">
        <f t="shared" si="64"/>
        <v>38.273888888888884</v>
      </c>
    </row>
    <row r="38" spans="1:59">
      <c r="A38" s="213" t="s">
        <v>5316</v>
      </c>
      <c r="B38" s="231">
        <v>644924995</v>
      </c>
      <c r="C38" s="210" t="s">
        <v>61</v>
      </c>
      <c r="D38" s="210">
        <v>360</v>
      </c>
      <c r="F38" s="239" t="str" cm="1">
        <f t="array" aca="1" ref="F38" ca="1">MID(met2utc(PEPSSI_Commanding[[#This Row],[MET]]),3,15)</f>
        <v>26-179/03:57:59</v>
      </c>
      <c r="G38" s="213" t="str">
        <f t="shared" si="15"/>
        <v>N2+360</v>
      </c>
      <c r="H38" s="214">
        <f t="shared" si="16"/>
        <v>644924995</v>
      </c>
      <c r="I38" s="214">
        <f t="shared" si="17"/>
        <v>646883515</v>
      </c>
      <c r="J38" s="213">
        <f t="shared" si="18"/>
        <v>10</v>
      </c>
      <c r="K38" s="213">
        <f t="shared" si="19"/>
        <v>7</v>
      </c>
      <c r="M38" s="210">
        <f t="shared" si="20"/>
        <v>3600</v>
      </c>
      <c r="N38" s="210">
        <f t="shared" si="21"/>
        <v>360</v>
      </c>
      <c r="O38" s="210">
        <f t="shared" si="22"/>
        <v>7200</v>
      </c>
      <c r="P38" s="210">
        <f t="shared" si="23"/>
        <v>300</v>
      </c>
      <c r="Q38" s="210" t="str">
        <f t="shared" si="24"/>
        <v/>
      </c>
      <c r="R38" s="210" t="str">
        <f t="shared" si="25"/>
        <v/>
      </c>
      <c r="S38" s="210" t="str">
        <f t="shared" si="26"/>
        <v/>
      </c>
      <c r="U38" s="467">
        <f t="shared" si="27"/>
        <v>0</v>
      </c>
      <c r="V38" s="467">
        <f t="shared" si="28"/>
        <v>0</v>
      </c>
      <c r="W38" s="467">
        <f t="shared" si="29"/>
        <v>1.7066666666666668</v>
      </c>
      <c r="X38" s="467">
        <f t="shared" si="30"/>
        <v>0.55222222222222217</v>
      </c>
      <c r="Y38" s="467">
        <f t="shared" si="31"/>
        <v>3.6944444444444446</v>
      </c>
      <c r="Z38" s="467">
        <f t="shared" si="32"/>
        <v>3.6944444444444446</v>
      </c>
      <c r="AA38" s="467">
        <f t="shared" si="33"/>
        <v>2.7650000000000001</v>
      </c>
      <c r="AB38" s="243"/>
      <c r="AC38" s="467">
        <f t="shared" si="34"/>
        <v>0.55222222222222217</v>
      </c>
      <c r="AD38" s="467">
        <f t="shared" si="35"/>
        <v>2.7650000000000001</v>
      </c>
      <c r="AE38" s="467">
        <f t="shared" si="36"/>
        <v>3.3172222222222221</v>
      </c>
      <c r="AF38" s="467">
        <f t="shared" si="37"/>
        <v>3.6944444444444446</v>
      </c>
      <c r="AG38" s="467">
        <f t="shared" si="38"/>
        <v>4.246666666666667</v>
      </c>
      <c r="AH38" s="467">
        <f t="shared" si="39"/>
        <v>6.4594444444444452</v>
      </c>
      <c r="AI38" s="467">
        <f t="shared" si="40"/>
        <v>7.0116666666666676</v>
      </c>
      <c r="AJ38" s="467">
        <f t="shared" si="41"/>
        <v>0</v>
      </c>
      <c r="AK38" s="467">
        <f t="shared" si="42"/>
        <v>0.55222222222222217</v>
      </c>
      <c r="AL38" s="467">
        <f t="shared" si="43"/>
        <v>2.7650000000000001</v>
      </c>
      <c r="AM38" s="467">
        <f t="shared" si="44"/>
        <v>3.3172222222222221</v>
      </c>
      <c r="AN38" s="467">
        <f t="shared" si="45"/>
        <v>3.6944444444444446</v>
      </c>
      <c r="AO38" s="467">
        <f t="shared" si="46"/>
        <v>4.246666666666667</v>
      </c>
      <c r="AP38" s="467">
        <f t="shared" si="47"/>
        <v>6.4594444444444452</v>
      </c>
      <c r="AQ38" s="467">
        <f t="shared" si="48"/>
        <v>7.0116666666666676</v>
      </c>
      <c r="AR38" s="467">
        <f t="shared" si="49"/>
        <v>1.7066666666666668</v>
      </c>
      <c r="AS38" s="467">
        <f t="shared" si="50"/>
        <v>2.2588888888888889</v>
      </c>
      <c r="AT38" s="467">
        <f t="shared" si="51"/>
        <v>4.4716666666666667</v>
      </c>
      <c r="AU38" s="467">
        <f t="shared" si="52"/>
        <v>5.0238888888888891</v>
      </c>
      <c r="AV38" s="467">
        <f t="shared" si="53"/>
        <v>5.4011111111111116</v>
      </c>
      <c r="AW38" s="467">
        <f t="shared" si="54"/>
        <v>5.953333333333334</v>
      </c>
      <c r="AX38" s="467">
        <f t="shared" si="55"/>
        <v>8.1661111111111122</v>
      </c>
      <c r="AY38" s="467">
        <f t="shared" si="56"/>
        <v>8.7183333333333337</v>
      </c>
      <c r="AZ38" s="467">
        <f t="shared" si="57"/>
        <v>1.7066666666666668</v>
      </c>
      <c r="BA38" s="467">
        <f t="shared" si="58"/>
        <v>2.2588888888888889</v>
      </c>
      <c r="BB38" s="467">
        <f t="shared" si="59"/>
        <v>4.4716666666666667</v>
      </c>
      <c r="BC38" s="467">
        <f t="shared" si="60"/>
        <v>5.0238888888888891</v>
      </c>
      <c r="BD38" s="467">
        <f t="shared" si="61"/>
        <v>5.4011111111111116</v>
      </c>
      <c r="BE38" s="467">
        <f t="shared" si="62"/>
        <v>5.953333333333334</v>
      </c>
      <c r="BF38" s="467">
        <f t="shared" si="63"/>
        <v>8.1661111111111122</v>
      </c>
      <c r="BG38" s="467">
        <f t="shared" si="64"/>
        <v>8.7183333333333337</v>
      </c>
    </row>
    <row r="39" spans="1:59">
      <c r="A39" s="213" t="s">
        <v>5316</v>
      </c>
      <c r="B39" s="231">
        <v>644924998</v>
      </c>
      <c r="C39" s="210" t="s">
        <v>1</v>
      </c>
      <c r="D39" s="210">
        <v>360</v>
      </c>
      <c r="F39" s="239" t="str" cm="1">
        <f t="array" aca="1" ref="F39" ca="1">MID(met2utc(PEPSSI_Commanding[[#This Row],[MET]]),3,15)</f>
        <v>26-179/03:58:02</v>
      </c>
      <c r="G39" s="213" t="str">
        <f t="shared" si="15"/>
        <v>N1+360</v>
      </c>
      <c r="H39" s="214">
        <f t="shared" si="16"/>
        <v>644924995</v>
      </c>
      <c r="I39" s="214">
        <f t="shared" si="17"/>
        <v>646883515</v>
      </c>
      <c r="J39" s="213">
        <f t="shared" si="18"/>
        <v>11</v>
      </c>
      <c r="K39" s="213">
        <f t="shared" si="19"/>
        <v>6</v>
      </c>
      <c r="M39" s="210">
        <f t="shared" si="20"/>
        <v>360</v>
      </c>
      <c r="N39" s="210">
        <f t="shared" si="21"/>
        <v>360</v>
      </c>
      <c r="O39" s="210">
        <f t="shared" si="22"/>
        <v>7200</v>
      </c>
      <c r="P39" s="210">
        <f t="shared" si="23"/>
        <v>300</v>
      </c>
      <c r="Q39" s="210" t="str">
        <f t="shared" si="24"/>
        <v/>
      </c>
      <c r="R39" s="210" t="str">
        <f t="shared" si="25"/>
        <v/>
      </c>
      <c r="S39" s="210" t="str">
        <f t="shared" si="26"/>
        <v/>
      </c>
      <c r="U39" s="467">
        <f t="shared" si="27"/>
        <v>0</v>
      </c>
      <c r="V39" s="467">
        <f t="shared" si="28"/>
        <v>0</v>
      </c>
      <c r="W39" s="467">
        <f t="shared" si="29"/>
        <v>1.7066666666666668</v>
      </c>
      <c r="X39" s="467">
        <f t="shared" si="30"/>
        <v>5.5222222222222221</v>
      </c>
      <c r="Y39" s="467">
        <f t="shared" si="31"/>
        <v>3.6944444444444446</v>
      </c>
      <c r="Z39" s="467">
        <f t="shared" si="32"/>
        <v>3.6944444444444446</v>
      </c>
      <c r="AA39" s="467">
        <f t="shared" si="33"/>
        <v>2.7650000000000001</v>
      </c>
      <c r="AB39" s="243"/>
      <c r="AC39" s="467">
        <f t="shared" si="34"/>
        <v>5.5222222222222221</v>
      </c>
      <c r="AD39" s="467">
        <f t="shared" si="35"/>
        <v>2.7650000000000001</v>
      </c>
      <c r="AE39" s="467">
        <f t="shared" si="36"/>
        <v>8.2872222222222227</v>
      </c>
      <c r="AF39" s="467">
        <f t="shared" si="37"/>
        <v>3.6944444444444446</v>
      </c>
      <c r="AG39" s="467">
        <f t="shared" si="38"/>
        <v>9.2166666666666668</v>
      </c>
      <c r="AH39" s="467">
        <f t="shared" si="39"/>
        <v>6.4594444444444452</v>
      </c>
      <c r="AI39" s="467">
        <f t="shared" si="40"/>
        <v>11.981666666666667</v>
      </c>
      <c r="AJ39" s="467">
        <f t="shared" si="41"/>
        <v>0</v>
      </c>
      <c r="AK39" s="467">
        <f t="shared" si="42"/>
        <v>5.5222222222222221</v>
      </c>
      <c r="AL39" s="467">
        <f t="shared" si="43"/>
        <v>2.7650000000000001</v>
      </c>
      <c r="AM39" s="467">
        <f t="shared" si="44"/>
        <v>8.2872222222222227</v>
      </c>
      <c r="AN39" s="467">
        <f t="shared" si="45"/>
        <v>3.6944444444444446</v>
      </c>
      <c r="AO39" s="467">
        <f t="shared" si="46"/>
        <v>9.2166666666666668</v>
      </c>
      <c r="AP39" s="467">
        <f t="shared" si="47"/>
        <v>6.4594444444444452</v>
      </c>
      <c r="AQ39" s="467">
        <f t="shared" si="48"/>
        <v>11.981666666666667</v>
      </c>
      <c r="AR39" s="467">
        <f t="shared" si="49"/>
        <v>1.7066666666666668</v>
      </c>
      <c r="AS39" s="467">
        <f t="shared" si="50"/>
        <v>7.2288888888888891</v>
      </c>
      <c r="AT39" s="467">
        <f t="shared" si="51"/>
        <v>4.4716666666666667</v>
      </c>
      <c r="AU39" s="467">
        <f t="shared" si="52"/>
        <v>9.9938888888888897</v>
      </c>
      <c r="AV39" s="467">
        <f t="shared" si="53"/>
        <v>5.4011111111111116</v>
      </c>
      <c r="AW39" s="467">
        <f t="shared" si="54"/>
        <v>10.923333333333334</v>
      </c>
      <c r="AX39" s="467">
        <f t="shared" si="55"/>
        <v>8.1661111111111122</v>
      </c>
      <c r="AY39" s="467">
        <f t="shared" si="56"/>
        <v>13.688333333333334</v>
      </c>
      <c r="AZ39" s="467">
        <f t="shared" si="57"/>
        <v>1.7066666666666668</v>
      </c>
      <c r="BA39" s="467">
        <f t="shared" si="58"/>
        <v>7.2288888888888891</v>
      </c>
      <c r="BB39" s="467">
        <f t="shared" si="59"/>
        <v>4.4716666666666667</v>
      </c>
      <c r="BC39" s="467">
        <f t="shared" si="60"/>
        <v>9.9938888888888897</v>
      </c>
      <c r="BD39" s="467">
        <f t="shared" si="61"/>
        <v>5.4011111111111116</v>
      </c>
      <c r="BE39" s="467">
        <f t="shared" si="62"/>
        <v>10.923333333333334</v>
      </c>
      <c r="BF39" s="467">
        <f t="shared" si="63"/>
        <v>8.1661111111111122</v>
      </c>
      <c r="BG39" s="467">
        <f t="shared" si="64"/>
        <v>13.688333333333334</v>
      </c>
    </row>
    <row r="40" spans="1:59">
      <c r="A40" s="213" t="s">
        <v>5316</v>
      </c>
      <c r="B40" s="231">
        <v>644925001</v>
      </c>
      <c r="C40" s="210" t="s">
        <v>58</v>
      </c>
      <c r="D40" s="210">
        <v>900</v>
      </c>
      <c r="F40" s="239" t="str" cm="1">
        <f t="array" aca="1" ref="F40" ca="1">MID(met2utc(PEPSSI_Commanding[[#This Row],[MET]]),3,15)</f>
        <v>26-179/03:58:05</v>
      </c>
      <c r="G40" s="213" t="str">
        <f t="shared" si="15"/>
        <v>N3+900</v>
      </c>
      <c r="H40" s="214">
        <f t="shared" si="16"/>
        <v>644924995</v>
      </c>
      <c r="I40" s="214">
        <f t="shared" si="17"/>
        <v>646883515</v>
      </c>
      <c r="J40" s="213">
        <f t="shared" si="18"/>
        <v>12</v>
      </c>
      <c r="K40" s="213">
        <f t="shared" si="19"/>
        <v>5</v>
      </c>
      <c r="M40" s="210">
        <f t="shared" si="20"/>
        <v>360</v>
      </c>
      <c r="N40" s="210">
        <f t="shared" si="21"/>
        <v>360</v>
      </c>
      <c r="O40" s="210">
        <f t="shared" si="22"/>
        <v>900</v>
      </c>
      <c r="P40" s="210">
        <f t="shared" si="23"/>
        <v>300</v>
      </c>
      <c r="Q40" s="210" t="str">
        <f t="shared" si="24"/>
        <v/>
      </c>
      <c r="R40" s="210" t="str">
        <f t="shared" si="25"/>
        <v/>
      </c>
      <c r="S40" s="210" t="str">
        <f t="shared" si="26"/>
        <v/>
      </c>
      <c r="U40" s="467">
        <f t="shared" si="27"/>
        <v>0</v>
      </c>
      <c r="V40" s="467">
        <f t="shared" si="28"/>
        <v>0</v>
      </c>
      <c r="W40" s="467">
        <f t="shared" si="29"/>
        <v>1.7066666666666668</v>
      </c>
      <c r="X40" s="467">
        <f t="shared" si="30"/>
        <v>5.5222222222222221</v>
      </c>
      <c r="Y40" s="467">
        <f t="shared" si="31"/>
        <v>3.6944444444444446</v>
      </c>
      <c r="Z40" s="467">
        <f t="shared" si="32"/>
        <v>3.6944444444444446</v>
      </c>
      <c r="AA40" s="467">
        <f t="shared" si="33"/>
        <v>22.12</v>
      </c>
      <c r="AB40" s="243"/>
      <c r="AC40" s="467">
        <f t="shared" si="34"/>
        <v>5.5222222222222221</v>
      </c>
      <c r="AD40" s="467">
        <f t="shared" si="35"/>
        <v>22.12</v>
      </c>
      <c r="AE40" s="467">
        <f t="shared" si="36"/>
        <v>27.642222222222223</v>
      </c>
      <c r="AF40" s="467">
        <f t="shared" si="37"/>
        <v>3.6944444444444446</v>
      </c>
      <c r="AG40" s="467">
        <f t="shared" si="38"/>
        <v>9.2166666666666668</v>
      </c>
      <c r="AH40" s="467">
        <f t="shared" si="39"/>
        <v>25.814444444444447</v>
      </c>
      <c r="AI40" s="467">
        <f t="shared" si="40"/>
        <v>31.33666666666667</v>
      </c>
      <c r="AJ40" s="467">
        <f t="shared" si="41"/>
        <v>0</v>
      </c>
      <c r="AK40" s="467">
        <f t="shared" si="42"/>
        <v>5.5222222222222221</v>
      </c>
      <c r="AL40" s="467">
        <f t="shared" si="43"/>
        <v>22.12</v>
      </c>
      <c r="AM40" s="467">
        <f t="shared" si="44"/>
        <v>27.642222222222223</v>
      </c>
      <c r="AN40" s="467">
        <f t="shared" si="45"/>
        <v>3.6944444444444446</v>
      </c>
      <c r="AO40" s="467">
        <f t="shared" si="46"/>
        <v>9.2166666666666668</v>
      </c>
      <c r="AP40" s="467">
        <f t="shared" si="47"/>
        <v>25.814444444444447</v>
      </c>
      <c r="AQ40" s="467">
        <f t="shared" si="48"/>
        <v>31.33666666666667</v>
      </c>
      <c r="AR40" s="467">
        <f t="shared" si="49"/>
        <v>1.7066666666666668</v>
      </c>
      <c r="AS40" s="467">
        <f t="shared" si="50"/>
        <v>7.2288888888888891</v>
      </c>
      <c r="AT40" s="467">
        <f t="shared" si="51"/>
        <v>23.826666666666668</v>
      </c>
      <c r="AU40" s="467">
        <f t="shared" si="52"/>
        <v>29.34888888888889</v>
      </c>
      <c r="AV40" s="467">
        <f t="shared" si="53"/>
        <v>5.4011111111111116</v>
      </c>
      <c r="AW40" s="467">
        <f t="shared" si="54"/>
        <v>10.923333333333334</v>
      </c>
      <c r="AX40" s="467">
        <f t="shared" si="55"/>
        <v>27.521111111111111</v>
      </c>
      <c r="AY40" s="467">
        <f t="shared" si="56"/>
        <v>33.043333333333337</v>
      </c>
      <c r="AZ40" s="467">
        <f t="shared" si="57"/>
        <v>1.7066666666666668</v>
      </c>
      <c r="BA40" s="467">
        <f t="shared" si="58"/>
        <v>7.2288888888888891</v>
      </c>
      <c r="BB40" s="467">
        <f t="shared" si="59"/>
        <v>23.826666666666668</v>
      </c>
      <c r="BC40" s="467">
        <f t="shared" si="60"/>
        <v>29.34888888888889</v>
      </c>
      <c r="BD40" s="467">
        <f t="shared" si="61"/>
        <v>5.4011111111111116</v>
      </c>
      <c r="BE40" s="467">
        <f t="shared" si="62"/>
        <v>10.923333333333334</v>
      </c>
      <c r="BF40" s="467">
        <f t="shared" si="63"/>
        <v>27.521111111111111</v>
      </c>
      <c r="BG40" s="467">
        <f t="shared" si="64"/>
        <v>33.043333333333337</v>
      </c>
    </row>
    <row r="41" spans="1:59">
      <c r="A41" s="213" t="s">
        <v>5317</v>
      </c>
      <c r="B41" s="231">
        <v>644925004</v>
      </c>
      <c r="C41" s="210" t="s">
        <v>5284</v>
      </c>
      <c r="D41" s="210">
        <v>1800</v>
      </c>
      <c r="F41" s="239" t="str" cm="1">
        <f t="array" aca="1" ref="F41" ca="1">MID(met2utc(PEPSSI_Commanding[[#This Row],[MET]]),3,15)</f>
        <v>26-179/03:58:08</v>
      </c>
      <c r="G41" s="213" t="str">
        <f t="shared" si="15"/>
        <v>STAT+1800</v>
      </c>
      <c r="H41" s="214">
        <f t="shared" si="16"/>
        <v>644924995</v>
      </c>
      <c r="I41" s="214">
        <f t="shared" si="17"/>
        <v>646883515</v>
      </c>
      <c r="J41" s="213">
        <f t="shared" si="18"/>
        <v>13</v>
      </c>
      <c r="K41" s="213">
        <f t="shared" si="19"/>
        <v>4</v>
      </c>
      <c r="M41" s="210">
        <f t="shared" si="20"/>
        <v>360</v>
      </c>
      <c r="N41" s="210">
        <f t="shared" si="21"/>
        <v>360</v>
      </c>
      <c r="O41" s="210">
        <f t="shared" si="22"/>
        <v>900</v>
      </c>
      <c r="P41" s="210">
        <f t="shared" si="23"/>
        <v>1800</v>
      </c>
      <c r="Q41" s="210" t="str">
        <f t="shared" si="24"/>
        <v/>
      </c>
      <c r="R41" s="210" t="str">
        <f t="shared" si="25"/>
        <v/>
      </c>
      <c r="S41" s="210" t="str">
        <f t="shared" si="26"/>
        <v/>
      </c>
      <c r="U41" s="467">
        <f t="shared" si="27"/>
        <v>0</v>
      </c>
      <c r="V41" s="467">
        <f t="shared" si="28"/>
        <v>0</v>
      </c>
      <c r="W41" s="467">
        <f t="shared" si="29"/>
        <v>0.28444444444444444</v>
      </c>
      <c r="X41" s="467">
        <f t="shared" si="30"/>
        <v>5.5222222222222221</v>
      </c>
      <c r="Y41" s="467">
        <f t="shared" si="31"/>
        <v>3.6944444444444446</v>
      </c>
      <c r="Z41" s="467">
        <f t="shared" si="32"/>
        <v>3.6944444444444446</v>
      </c>
      <c r="AA41" s="467">
        <f t="shared" si="33"/>
        <v>22.12</v>
      </c>
      <c r="AB41" s="243"/>
      <c r="AC41" s="467">
        <f t="shared" si="34"/>
        <v>5.5222222222222221</v>
      </c>
      <c r="AD41" s="467">
        <f t="shared" si="35"/>
        <v>22.12</v>
      </c>
      <c r="AE41" s="467">
        <f t="shared" si="36"/>
        <v>27.642222222222223</v>
      </c>
      <c r="AF41" s="467">
        <f t="shared" si="37"/>
        <v>3.6944444444444446</v>
      </c>
      <c r="AG41" s="467">
        <f t="shared" si="38"/>
        <v>9.2166666666666668</v>
      </c>
      <c r="AH41" s="467">
        <f t="shared" si="39"/>
        <v>25.814444444444447</v>
      </c>
      <c r="AI41" s="467">
        <f t="shared" si="40"/>
        <v>31.33666666666667</v>
      </c>
      <c r="AJ41" s="467">
        <f t="shared" si="41"/>
        <v>0</v>
      </c>
      <c r="AK41" s="467">
        <f t="shared" si="42"/>
        <v>5.5222222222222221</v>
      </c>
      <c r="AL41" s="467">
        <f t="shared" si="43"/>
        <v>22.12</v>
      </c>
      <c r="AM41" s="467">
        <f t="shared" si="44"/>
        <v>27.642222222222223</v>
      </c>
      <c r="AN41" s="467">
        <f t="shared" si="45"/>
        <v>3.6944444444444446</v>
      </c>
      <c r="AO41" s="467">
        <f t="shared" si="46"/>
        <v>9.2166666666666668</v>
      </c>
      <c r="AP41" s="467">
        <f t="shared" si="47"/>
        <v>25.814444444444447</v>
      </c>
      <c r="AQ41" s="467">
        <f t="shared" si="48"/>
        <v>31.33666666666667</v>
      </c>
      <c r="AR41" s="467">
        <f t="shared" si="49"/>
        <v>0.28444444444444444</v>
      </c>
      <c r="AS41" s="467">
        <f t="shared" si="50"/>
        <v>5.8066666666666666</v>
      </c>
      <c r="AT41" s="467">
        <f t="shared" si="51"/>
        <v>22.404444444444444</v>
      </c>
      <c r="AU41" s="467">
        <f t="shared" si="52"/>
        <v>27.926666666666666</v>
      </c>
      <c r="AV41" s="467">
        <f t="shared" si="53"/>
        <v>3.9788888888888891</v>
      </c>
      <c r="AW41" s="467">
        <f t="shared" si="54"/>
        <v>9.5011111111111113</v>
      </c>
      <c r="AX41" s="467">
        <f t="shared" si="55"/>
        <v>26.09888888888889</v>
      </c>
      <c r="AY41" s="467">
        <f t="shared" si="56"/>
        <v>31.621111111111112</v>
      </c>
      <c r="AZ41" s="467">
        <f t="shared" si="57"/>
        <v>0.28444444444444444</v>
      </c>
      <c r="BA41" s="467">
        <f t="shared" si="58"/>
        <v>5.8066666666666666</v>
      </c>
      <c r="BB41" s="467">
        <f t="shared" si="59"/>
        <v>22.404444444444444</v>
      </c>
      <c r="BC41" s="467">
        <f t="shared" si="60"/>
        <v>27.926666666666666</v>
      </c>
      <c r="BD41" s="467">
        <f t="shared" si="61"/>
        <v>3.9788888888888891</v>
      </c>
      <c r="BE41" s="467">
        <f t="shared" si="62"/>
        <v>9.5011111111111113</v>
      </c>
      <c r="BF41" s="467">
        <f t="shared" si="63"/>
        <v>26.09888888888889</v>
      </c>
      <c r="BG41" s="467">
        <f t="shared" si="64"/>
        <v>31.621111111111112</v>
      </c>
    </row>
    <row r="42" spans="1:59">
      <c r="A42" s="213" t="s">
        <v>5315</v>
      </c>
      <c r="B42" s="231">
        <v>644925055</v>
      </c>
      <c r="C42" s="210" t="s">
        <v>5285</v>
      </c>
      <c r="D42" s="210">
        <v>102</v>
      </c>
      <c r="F42" s="239" t="str" cm="1">
        <f t="array" aca="1" ref="F42" ca="1">MID(met2utc(PEPSSI_Commanding[[#This Row],[MET]]),3,15)</f>
        <v>26-179/03:58:59</v>
      </c>
      <c r="G42" s="213" t="str">
        <f t="shared" si="15"/>
        <v>MAC+102</v>
      </c>
      <c r="H42" s="214">
        <f t="shared" si="16"/>
        <v>644924995</v>
      </c>
      <c r="I42" s="214">
        <f t="shared" si="17"/>
        <v>646883515</v>
      </c>
      <c r="J42" s="213">
        <f t="shared" si="18"/>
        <v>14</v>
      </c>
      <c r="K42" s="213">
        <f t="shared" si="19"/>
        <v>3</v>
      </c>
      <c r="M42" s="210">
        <f t="shared" si="20"/>
        <v>360</v>
      </c>
      <c r="N42" s="210">
        <f t="shared" si="21"/>
        <v>360</v>
      </c>
      <c r="O42" s="210">
        <f t="shared" si="22"/>
        <v>900</v>
      </c>
      <c r="P42" s="210">
        <f t="shared" si="23"/>
        <v>1800</v>
      </c>
      <c r="Q42" s="210" t="str">
        <f t="shared" si="24"/>
        <v/>
      </c>
      <c r="R42" s="210" t="str">
        <f t="shared" si="25"/>
        <v/>
      </c>
      <c r="S42" s="210" t="str">
        <f t="shared" si="26"/>
        <v>102</v>
      </c>
      <c r="U42" s="467">
        <f t="shared" si="27"/>
        <v>0</v>
      </c>
      <c r="V42" s="467">
        <f t="shared" si="28"/>
        <v>0</v>
      </c>
      <c r="W42" s="467">
        <f t="shared" si="29"/>
        <v>0.28444444444444444</v>
      </c>
      <c r="X42" s="467">
        <f t="shared" si="30"/>
        <v>5.5222222222222221</v>
      </c>
      <c r="Y42" s="467">
        <f t="shared" si="31"/>
        <v>3.6944444444444446</v>
      </c>
      <c r="Z42" s="467">
        <f t="shared" si="32"/>
        <v>3.6944444444444446</v>
      </c>
      <c r="AA42" s="467">
        <f t="shared" si="33"/>
        <v>22.12</v>
      </c>
      <c r="AB42" s="243"/>
      <c r="AC42" s="467">
        <f t="shared" si="34"/>
        <v>5.5222222222222221</v>
      </c>
      <c r="AD42" s="467">
        <f t="shared" si="35"/>
        <v>22.12</v>
      </c>
      <c r="AE42" s="467">
        <f t="shared" si="36"/>
        <v>27.642222222222223</v>
      </c>
      <c r="AF42" s="467">
        <f t="shared" si="37"/>
        <v>3.6944444444444446</v>
      </c>
      <c r="AG42" s="467">
        <f t="shared" si="38"/>
        <v>9.2166666666666668</v>
      </c>
      <c r="AH42" s="467">
        <f t="shared" si="39"/>
        <v>25.814444444444447</v>
      </c>
      <c r="AI42" s="467">
        <f t="shared" si="40"/>
        <v>31.33666666666667</v>
      </c>
      <c r="AJ42" s="467">
        <f t="shared" si="41"/>
        <v>0</v>
      </c>
      <c r="AK42" s="467">
        <f t="shared" si="42"/>
        <v>5.5222222222222221</v>
      </c>
      <c r="AL42" s="467">
        <f t="shared" si="43"/>
        <v>22.12</v>
      </c>
      <c r="AM42" s="467">
        <f t="shared" si="44"/>
        <v>27.642222222222223</v>
      </c>
      <c r="AN42" s="467">
        <f t="shared" si="45"/>
        <v>3.6944444444444446</v>
      </c>
      <c r="AO42" s="467">
        <f t="shared" si="46"/>
        <v>9.2166666666666668</v>
      </c>
      <c r="AP42" s="467">
        <f t="shared" si="47"/>
        <v>25.814444444444447</v>
      </c>
      <c r="AQ42" s="467">
        <f t="shared" si="48"/>
        <v>31.33666666666667</v>
      </c>
      <c r="AR42" s="467">
        <f t="shared" si="49"/>
        <v>0.28444444444444444</v>
      </c>
      <c r="AS42" s="467">
        <f t="shared" si="50"/>
        <v>5.8066666666666666</v>
      </c>
      <c r="AT42" s="467">
        <f t="shared" si="51"/>
        <v>22.404444444444444</v>
      </c>
      <c r="AU42" s="467">
        <f t="shared" si="52"/>
        <v>27.926666666666666</v>
      </c>
      <c r="AV42" s="467">
        <f t="shared" si="53"/>
        <v>3.9788888888888891</v>
      </c>
      <c r="AW42" s="467">
        <f t="shared" si="54"/>
        <v>9.5011111111111113</v>
      </c>
      <c r="AX42" s="467">
        <f t="shared" si="55"/>
        <v>26.09888888888889</v>
      </c>
      <c r="AY42" s="467">
        <f t="shared" si="56"/>
        <v>31.621111111111112</v>
      </c>
      <c r="AZ42" s="467">
        <f t="shared" si="57"/>
        <v>0.28444444444444444</v>
      </c>
      <c r="BA42" s="467">
        <f t="shared" si="58"/>
        <v>5.8066666666666666</v>
      </c>
      <c r="BB42" s="467">
        <f t="shared" si="59"/>
        <v>22.404444444444444</v>
      </c>
      <c r="BC42" s="467">
        <f t="shared" si="60"/>
        <v>27.926666666666666</v>
      </c>
      <c r="BD42" s="467">
        <f t="shared" si="61"/>
        <v>3.9788888888888891</v>
      </c>
      <c r="BE42" s="467">
        <f t="shared" si="62"/>
        <v>9.5011111111111113</v>
      </c>
      <c r="BF42" s="467">
        <f t="shared" si="63"/>
        <v>26.09888888888889</v>
      </c>
      <c r="BG42" s="467">
        <f t="shared" si="64"/>
        <v>31.621111111111112</v>
      </c>
    </row>
    <row r="43" spans="1:59">
      <c r="A43" s="213" t="s">
        <v>5315</v>
      </c>
      <c r="B43" s="231">
        <v>644925655</v>
      </c>
      <c r="C43" s="210" t="s">
        <v>5285</v>
      </c>
      <c r="D43" s="210">
        <v>104</v>
      </c>
      <c r="F43" s="239" t="str" cm="1">
        <f t="array" aca="1" ref="F43" ca="1">MID(met2utc(PEPSSI_Commanding[[#This Row],[MET]]),3,15)</f>
        <v>26-179/04:08:59</v>
      </c>
      <c r="G43" s="213" t="str">
        <f t="shared" si="15"/>
        <v>MAC+104</v>
      </c>
      <c r="H43" s="214">
        <f t="shared" si="16"/>
        <v>644924995</v>
      </c>
      <c r="I43" s="214">
        <f t="shared" si="17"/>
        <v>646883515</v>
      </c>
      <c r="J43" s="213">
        <f t="shared" si="18"/>
        <v>15</v>
      </c>
      <c r="K43" s="213">
        <f t="shared" si="19"/>
        <v>2</v>
      </c>
      <c r="M43" s="210">
        <f t="shared" si="20"/>
        <v>360</v>
      </c>
      <c r="N43" s="210">
        <f t="shared" si="21"/>
        <v>2</v>
      </c>
      <c r="O43" s="210">
        <f t="shared" si="22"/>
        <v>900</v>
      </c>
      <c r="P43" s="210">
        <f t="shared" si="23"/>
        <v>1800</v>
      </c>
      <c r="Q43" s="210" t="str">
        <f t="shared" si="24"/>
        <v>disabled</v>
      </c>
      <c r="R43" s="210" t="str">
        <f t="shared" si="25"/>
        <v/>
      </c>
      <c r="S43" s="210" t="str">
        <f t="shared" si="26"/>
        <v>102</v>
      </c>
      <c r="U43" s="467">
        <f t="shared" si="27"/>
        <v>0</v>
      </c>
      <c r="V43" s="467">
        <f t="shared" si="28"/>
        <v>0</v>
      </c>
      <c r="W43" s="467">
        <f t="shared" si="29"/>
        <v>0.28444444444444444</v>
      </c>
      <c r="X43" s="467">
        <f t="shared" si="30"/>
        <v>5.5222222222222221</v>
      </c>
      <c r="Y43" s="467">
        <f t="shared" si="31"/>
        <v>0</v>
      </c>
      <c r="Z43" s="467">
        <f t="shared" si="32"/>
        <v>0</v>
      </c>
      <c r="AA43" s="467">
        <f t="shared" si="33"/>
        <v>22.12</v>
      </c>
      <c r="AB43" s="243"/>
      <c r="AC43" s="467">
        <f t="shared" si="34"/>
        <v>5.5222222222222221</v>
      </c>
      <c r="AD43" s="467">
        <f t="shared" si="35"/>
        <v>22.12</v>
      </c>
      <c r="AE43" s="467">
        <f t="shared" si="36"/>
        <v>27.642222222222223</v>
      </c>
      <c r="AF43" s="467">
        <f t="shared" si="37"/>
        <v>0</v>
      </c>
      <c r="AG43" s="467">
        <f t="shared" si="38"/>
        <v>5.5222222222222221</v>
      </c>
      <c r="AH43" s="467">
        <f t="shared" si="39"/>
        <v>22.12</v>
      </c>
      <c r="AI43" s="467">
        <f t="shared" si="40"/>
        <v>27.642222222222223</v>
      </c>
      <c r="AJ43" s="467">
        <f t="shared" si="41"/>
        <v>0</v>
      </c>
      <c r="AK43" s="467">
        <f t="shared" si="42"/>
        <v>5.5222222222222221</v>
      </c>
      <c r="AL43" s="467">
        <f t="shared" si="43"/>
        <v>22.12</v>
      </c>
      <c r="AM43" s="467">
        <f t="shared" si="44"/>
        <v>27.642222222222223</v>
      </c>
      <c r="AN43" s="467">
        <f t="shared" si="45"/>
        <v>0</v>
      </c>
      <c r="AO43" s="467">
        <f t="shared" si="46"/>
        <v>5.5222222222222221</v>
      </c>
      <c r="AP43" s="467">
        <f t="shared" si="47"/>
        <v>22.12</v>
      </c>
      <c r="AQ43" s="467">
        <f t="shared" si="48"/>
        <v>27.642222222222223</v>
      </c>
      <c r="AR43" s="467">
        <f t="shared" si="49"/>
        <v>0.28444444444444444</v>
      </c>
      <c r="AS43" s="467">
        <f t="shared" si="50"/>
        <v>5.8066666666666666</v>
      </c>
      <c r="AT43" s="467">
        <f t="shared" si="51"/>
        <v>22.404444444444444</v>
      </c>
      <c r="AU43" s="467">
        <f t="shared" si="52"/>
        <v>27.926666666666666</v>
      </c>
      <c r="AV43" s="467">
        <f t="shared" si="53"/>
        <v>0.28444444444444444</v>
      </c>
      <c r="AW43" s="467">
        <f t="shared" si="54"/>
        <v>5.8066666666666666</v>
      </c>
      <c r="AX43" s="467">
        <f t="shared" si="55"/>
        <v>22.404444444444444</v>
      </c>
      <c r="AY43" s="467">
        <f t="shared" si="56"/>
        <v>27.926666666666666</v>
      </c>
      <c r="AZ43" s="467">
        <f t="shared" si="57"/>
        <v>0.28444444444444444</v>
      </c>
      <c r="BA43" s="467">
        <f t="shared" si="58"/>
        <v>5.8066666666666666</v>
      </c>
      <c r="BB43" s="467">
        <f t="shared" si="59"/>
        <v>22.404444444444444</v>
      </c>
      <c r="BC43" s="467">
        <f t="shared" si="60"/>
        <v>27.926666666666666</v>
      </c>
      <c r="BD43" s="467">
        <f t="shared" si="61"/>
        <v>0.28444444444444444</v>
      </c>
      <c r="BE43" s="467">
        <f t="shared" si="62"/>
        <v>5.8066666666666666</v>
      </c>
      <c r="BF43" s="467">
        <f t="shared" si="63"/>
        <v>22.404444444444444</v>
      </c>
      <c r="BG43" s="467">
        <f t="shared" si="64"/>
        <v>27.926666666666666</v>
      </c>
    </row>
    <row r="44" spans="1:59">
      <c r="A44" s="213" t="s">
        <v>5315</v>
      </c>
      <c r="B44" s="231">
        <v>644926255</v>
      </c>
      <c r="C44" s="210" t="s">
        <v>5285</v>
      </c>
      <c r="D44" s="210">
        <v>105</v>
      </c>
      <c r="F44" s="239" t="str" cm="1">
        <f t="array" aca="1" ref="F44" ca="1">MID(met2utc(PEPSSI_Commanding[[#This Row],[MET]]),3,15)</f>
        <v>26-179/04:18:59</v>
      </c>
      <c r="G44" s="213" t="str">
        <f t="shared" si="15"/>
        <v>MAC+105</v>
      </c>
      <c r="H44" s="214">
        <f t="shared" si="16"/>
        <v>644924995</v>
      </c>
      <c r="I44" s="214">
        <f t="shared" si="17"/>
        <v>646883515</v>
      </c>
      <c r="J44" s="213">
        <f t="shared" si="18"/>
        <v>16</v>
      </c>
      <c r="K44" s="213">
        <f t="shared" si="19"/>
        <v>1</v>
      </c>
      <c r="M44" s="210">
        <f t="shared" si="20"/>
        <v>360</v>
      </c>
      <c r="N44" s="210">
        <f t="shared" si="21"/>
        <v>2</v>
      </c>
      <c r="O44" s="210">
        <f t="shared" si="22"/>
        <v>900</v>
      </c>
      <c r="P44" s="210">
        <f t="shared" si="23"/>
        <v>1800</v>
      </c>
      <c r="Q44" s="210" t="str">
        <f t="shared" si="24"/>
        <v/>
      </c>
      <c r="R44" s="210">
        <f t="shared" si="25"/>
        <v>300</v>
      </c>
      <c r="S44" s="210" t="str">
        <f t="shared" si="26"/>
        <v>102</v>
      </c>
      <c r="U44" s="467">
        <f t="shared" si="27"/>
        <v>4.40625</v>
      </c>
      <c r="V44" s="467">
        <f t="shared" si="28"/>
        <v>18.28125</v>
      </c>
      <c r="W44" s="467">
        <f t="shared" si="29"/>
        <v>0.28444444444444444</v>
      </c>
      <c r="X44" s="467">
        <f t="shared" si="30"/>
        <v>5.5222222222222221</v>
      </c>
      <c r="Y44" s="467">
        <f t="shared" si="31"/>
        <v>665</v>
      </c>
      <c r="Z44" s="467">
        <f t="shared" si="32"/>
        <v>4.6180555555555554</v>
      </c>
      <c r="AA44" s="467">
        <f t="shared" si="33"/>
        <v>22.12</v>
      </c>
      <c r="AB44" s="243"/>
      <c r="AC44" s="467">
        <f t="shared" si="34"/>
        <v>5.5222222222222221</v>
      </c>
      <c r="AD44" s="467">
        <f t="shared" si="35"/>
        <v>40.401250000000005</v>
      </c>
      <c r="AE44" s="467">
        <f t="shared" si="36"/>
        <v>45.92347222222223</v>
      </c>
      <c r="AF44" s="467">
        <f t="shared" si="37"/>
        <v>4.6180555555555554</v>
      </c>
      <c r="AG44" s="467">
        <f t="shared" si="38"/>
        <v>10.140277777777778</v>
      </c>
      <c r="AH44" s="467">
        <f t="shared" si="39"/>
        <v>45.019305555555562</v>
      </c>
      <c r="AI44" s="467">
        <f t="shared" si="40"/>
        <v>50.541527777777787</v>
      </c>
      <c r="AJ44" s="467">
        <f t="shared" si="41"/>
        <v>4.40625</v>
      </c>
      <c r="AK44" s="467">
        <f t="shared" si="42"/>
        <v>9.9284722222222221</v>
      </c>
      <c r="AL44" s="467">
        <f t="shared" si="43"/>
        <v>44.807500000000005</v>
      </c>
      <c r="AM44" s="467">
        <f t="shared" si="44"/>
        <v>50.32972222222223</v>
      </c>
      <c r="AN44" s="467">
        <f t="shared" si="45"/>
        <v>9.0243055555555554</v>
      </c>
      <c r="AO44" s="467">
        <f t="shared" si="46"/>
        <v>14.546527777777778</v>
      </c>
      <c r="AP44" s="467">
        <f t="shared" si="47"/>
        <v>49.425555555555562</v>
      </c>
      <c r="AQ44" s="467">
        <f t="shared" si="48"/>
        <v>54.947777777777787</v>
      </c>
      <c r="AR44" s="467">
        <f t="shared" si="49"/>
        <v>0.28444444444444444</v>
      </c>
      <c r="AS44" s="467">
        <f t="shared" si="50"/>
        <v>5.8066666666666666</v>
      </c>
      <c r="AT44" s="467">
        <f t="shared" si="51"/>
        <v>40.685694444444451</v>
      </c>
      <c r="AU44" s="467">
        <f t="shared" si="52"/>
        <v>46.207916666666677</v>
      </c>
      <c r="AV44" s="467">
        <f t="shared" si="53"/>
        <v>4.9024999999999999</v>
      </c>
      <c r="AW44" s="467">
        <f t="shared" si="54"/>
        <v>10.424722222222222</v>
      </c>
      <c r="AX44" s="467">
        <f t="shared" si="55"/>
        <v>45.303750000000008</v>
      </c>
      <c r="AY44" s="467">
        <f t="shared" si="56"/>
        <v>50.825972222222234</v>
      </c>
      <c r="AZ44" s="467">
        <f t="shared" si="57"/>
        <v>4.6906944444444445</v>
      </c>
      <c r="BA44" s="467">
        <f t="shared" si="58"/>
        <v>10.212916666666667</v>
      </c>
      <c r="BB44" s="467">
        <f t="shared" si="59"/>
        <v>45.091944444444451</v>
      </c>
      <c r="BC44" s="467">
        <f t="shared" si="60"/>
        <v>50.614166666666677</v>
      </c>
      <c r="BD44" s="467">
        <f t="shared" si="61"/>
        <v>9.3087499999999999</v>
      </c>
      <c r="BE44" s="467">
        <f t="shared" si="62"/>
        <v>14.830972222222222</v>
      </c>
      <c r="BF44" s="467">
        <f t="shared" si="63"/>
        <v>49.710000000000008</v>
      </c>
      <c r="BG44" s="467">
        <f t="shared" si="64"/>
        <v>55.232222222222234</v>
      </c>
    </row>
    <row r="45" spans="1:59">
      <c r="A45" s="213" t="s">
        <v>5315</v>
      </c>
      <c r="B45" s="231">
        <v>646883515</v>
      </c>
      <c r="C45" s="210" t="s">
        <v>5285</v>
      </c>
      <c r="D45" s="210">
        <v>111</v>
      </c>
      <c r="F45" s="239" t="str" cm="1">
        <f t="array" aca="1" ref="F45" ca="1">MID(met2utc(PEPSSI_Commanding[[#This Row],[MET]]),3,15)</f>
        <v>26-201/19:59:59</v>
      </c>
      <c r="G45" s="213" t="str">
        <f t="shared" si="15"/>
        <v>MAC+111</v>
      </c>
      <c r="H45" s="214">
        <f t="shared" si="16"/>
        <v>646883515</v>
      </c>
      <c r="I45" s="214">
        <f t="shared" si="17"/>
        <v>644923315</v>
      </c>
      <c r="J45" s="213">
        <f t="shared" si="18"/>
        <v>17</v>
      </c>
      <c r="K45" s="213">
        <f t="shared" si="19"/>
        <v>7</v>
      </c>
      <c r="M45" s="210">
        <f t="shared" si="20"/>
        <v>360</v>
      </c>
      <c r="N45" s="210">
        <f t="shared" si="21"/>
        <v>2</v>
      </c>
      <c r="O45" s="210">
        <f t="shared" si="22"/>
        <v>900</v>
      </c>
      <c r="P45" s="210">
        <f t="shared" si="23"/>
        <v>1800</v>
      </c>
      <c r="Q45" s="210" t="str">
        <f t="shared" si="24"/>
        <v>disabled</v>
      </c>
      <c r="R45" s="210" t="str">
        <f t="shared" si="25"/>
        <v/>
      </c>
      <c r="S45" s="210" t="str">
        <f t="shared" si="26"/>
        <v>102</v>
      </c>
      <c r="U45" s="467">
        <f t="shared" si="27"/>
        <v>0</v>
      </c>
      <c r="V45" s="467">
        <f t="shared" si="28"/>
        <v>0</v>
      </c>
      <c r="W45" s="467">
        <f t="shared" si="29"/>
        <v>0.28444444444444444</v>
      </c>
      <c r="X45" s="467">
        <f t="shared" si="30"/>
        <v>5.5222222222222221</v>
      </c>
      <c r="Y45" s="467">
        <f t="shared" si="31"/>
        <v>0</v>
      </c>
      <c r="Z45" s="467">
        <f t="shared" si="32"/>
        <v>0</v>
      </c>
      <c r="AA45" s="467">
        <f t="shared" si="33"/>
        <v>22.12</v>
      </c>
      <c r="AB45" s="243"/>
      <c r="AC45" s="467">
        <f t="shared" si="34"/>
        <v>5.5222222222222221</v>
      </c>
      <c r="AD45" s="467">
        <f t="shared" si="35"/>
        <v>22.12</v>
      </c>
      <c r="AE45" s="467">
        <f t="shared" si="36"/>
        <v>27.642222222222223</v>
      </c>
      <c r="AF45" s="467">
        <f t="shared" si="37"/>
        <v>0</v>
      </c>
      <c r="AG45" s="467">
        <f t="shared" si="38"/>
        <v>5.5222222222222221</v>
      </c>
      <c r="AH45" s="467">
        <f t="shared" si="39"/>
        <v>22.12</v>
      </c>
      <c r="AI45" s="467">
        <f t="shared" si="40"/>
        <v>27.642222222222223</v>
      </c>
      <c r="AJ45" s="467">
        <f t="shared" si="41"/>
        <v>0</v>
      </c>
      <c r="AK45" s="467">
        <f t="shared" si="42"/>
        <v>5.5222222222222221</v>
      </c>
      <c r="AL45" s="467">
        <f t="shared" si="43"/>
        <v>22.12</v>
      </c>
      <c r="AM45" s="467">
        <f t="shared" si="44"/>
        <v>27.642222222222223</v>
      </c>
      <c r="AN45" s="467">
        <f t="shared" si="45"/>
        <v>0</v>
      </c>
      <c r="AO45" s="467">
        <f t="shared" si="46"/>
        <v>5.5222222222222221</v>
      </c>
      <c r="AP45" s="467">
        <f t="shared" si="47"/>
        <v>22.12</v>
      </c>
      <c r="AQ45" s="467">
        <f t="shared" si="48"/>
        <v>27.642222222222223</v>
      </c>
      <c r="AR45" s="467">
        <f t="shared" si="49"/>
        <v>0.28444444444444444</v>
      </c>
      <c r="AS45" s="467">
        <f t="shared" si="50"/>
        <v>5.8066666666666666</v>
      </c>
      <c r="AT45" s="467">
        <f t="shared" si="51"/>
        <v>22.404444444444444</v>
      </c>
      <c r="AU45" s="467">
        <f t="shared" si="52"/>
        <v>27.926666666666666</v>
      </c>
      <c r="AV45" s="467">
        <f t="shared" si="53"/>
        <v>0.28444444444444444</v>
      </c>
      <c r="AW45" s="467">
        <f t="shared" si="54"/>
        <v>5.8066666666666666</v>
      </c>
      <c r="AX45" s="467">
        <f t="shared" si="55"/>
        <v>22.404444444444444</v>
      </c>
      <c r="AY45" s="467">
        <f t="shared" si="56"/>
        <v>27.926666666666666</v>
      </c>
      <c r="AZ45" s="467">
        <f t="shared" si="57"/>
        <v>0.28444444444444444</v>
      </c>
      <c r="BA45" s="467">
        <f t="shared" si="58"/>
        <v>5.8066666666666666</v>
      </c>
      <c r="BB45" s="467">
        <f t="shared" si="59"/>
        <v>22.404444444444444</v>
      </c>
      <c r="BC45" s="467">
        <f t="shared" si="60"/>
        <v>27.926666666666666</v>
      </c>
      <c r="BD45" s="467">
        <f t="shared" si="61"/>
        <v>0.28444444444444444</v>
      </c>
      <c r="BE45" s="467">
        <f t="shared" si="62"/>
        <v>5.8066666666666666</v>
      </c>
      <c r="BF45" s="467">
        <f t="shared" si="63"/>
        <v>22.404444444444444</v>
      </c>
      <c r="BG45" s="467">
        <f t="shared" si="64"/>
        <v>27.926666666666666</v>
      </c>
    </row>
    <row r="46" spans="1:59">
      <c r="A46" s="213" t="s">
        <v>5316</v>
      </c>
      <c r="B46" s="231">
        <v>646884115</v>
      </c>
      <c r="C46" s="210" t="s">
        <v>61</v>
      </c>
      <c r="D46" s="210">
        <v>360</v>
      </c>
      <c r="F46" s="239" t="str" cm="1">
        <f t="array" aca="1" ref="F46" ca="1">MID(met2utc(PEPSSI_Commanding[[#This Row],[MET]]),3,15)</f>
        <v>26-201/20:09:59</v>
      </c>
      <c r="G46" s="213" t="str">
        <f t="shared" ref="G46:G68" si="65">_xlfn.TEXTJOIN("+",TRUE,$C46:$D46)</f>
        <v>N2+360</v>
      </c>
      <c r="H46" s="214">
        <f t="shared" ref="H46:H68" si="66">IF($C46="ON",$B46,IF(RIGHT($H45,9)="MET Start","",IF(AND($K46&lt;&gt;0,$K45=1),$B46,$H45)))</f>
        <v>646883515</v>
      </c>
      <c r="I46" s="214">
        <f t="shared" ref="I46:I68" si="67">IF($C46="OFF",$B46,IF($B47="",$B46+31500000,IF($K46=1,$B47,I47)))</f>
        <v>644923315</v>
      </c>
      <c r="J46" s="213">
        <f t="shared" ref="J46:J68" si="68">IF($G46="ON",0,IF(OR(J45="",LEFT(J45,6)="Offset"),"",J45+1))</f>
        <v>18</v>
      </c>
      <c r="K46" s="213">
        <f t="shared" ref="K46:K68" si="69">IF($G46="OFF",0,IF(AND($J47&lt;&gt;0,$J46&lt;&gt;9,$G47&lt;&gt;"MAC+111",($B47-$B46)&lt;7200),K47+1,1))</f>
        <v>6</v>
      </c>
      <c r="M46" s="210">
        <f t="shared" ref="M46:M68" si="70">IF($C46="ON","",IF($C46="N1",$D46,IF(M45="N1","",M45)))</f>
        <v>360</v>
      </c>
      <c r="N46" s="210">
        <f t="shared" ref="N46:N68" si="71">IF($C46="ON","",IF($C46="N2",$D46,IF($G46="MAC+103",3,IF($G46="MAC+104",2,IF(N45="N2","",N45)))))</f>
        <v>360</v>
      </c>
      <c r="O46" s="210">
        <f t="shared" ref="O46:O68" si="72">IF($C46="ON","",IF($C46="N3",$D46,IF(O45="N3","",O45)))</f>
        <v>900</v>
      </c>
      <c r="P46" s="210">
        <f t="shared" ref="P46:P68" si="73">IF($C46="ON","",IF($C46="STAT",$D46,IF(P45="STAT","",P45)))</f>
        <v>1800</v>
      </c>
      <c r="Q46" s="210" t="str">
        <f t="shared" ref="Q46:Q68" si="74">IF(OR($C46="ON",$G46="MAC+101",AND($C46="MAC",105&lt;=$D46,$D46&lt;=110)),"",IF(OR($G46="MAC+103",$G46="MAC+104",$G46="MAC+111"),"disabled",IF(Q45="N2 disabled","",Q45)))</f>
        <v>disabled</v>
      </c>
      <c r="R46" s="210" t="str">
        <f t="shared" ref="R46:R68" si="75">IF(OR($G46="ON",$G46="MAC+111"),"",IF($G46="MAC+105",300,IF(OR($G46="MAC+106",$G46="MAC+101"),600,IF($G46="MAC+107",840,IF($G46="MAC+108",1200,IF($G46="MAC+109",1800,IF($G46="MAC+110",43200,IF(LEFT(R45,4)="105-","",R45))))))))</f>
        <v/>
      </c>
      <c r="S46" s="210" t="str">
        <f t="shared" ref="S46:S68" si="76">IF($C46="ON","",IF($G46="MAC+102","102",IF(RIGHT(S45,1)="?","",S45)))</f>
        <v>102</v>
      </c>
      <c r="U46" s="467">
        <f t="shared" ref="U46:U68" si="77">IF(OR($N46="",$R46=""),0,U$1/64/$N46)</f>
        <v>0</v>
      </c>
      <c r="V46" s="467">
        <f t="shared" ref="V46:V68" si="78">IF(OR($N46="",$R46=""),0,V$1/64/$N46)</f>
        <v>0</v>
      </c>
      <c r="W46" s="467">
        <f t="shared" ref="W46:W68" si="79">IF($P46="",0,W$1/$P46)</f>
        <v>0.28444444444444444</v>
      </c>
      <c r="X46" s="467">
        <f t="shared" ref="X46:X68" si="80">IF($M46="",0,X$1/$M46)</f>
        <v>5.5222222222222221</v>
      </c>
      <c r="Y46" s="467">
        <f t="shared" ref="Y46:Y68" si="81">IF(OR($N46="",$Q46&lt;&gt;""),0,Y$1/$N46)</f>
        <v>0</v>
      </c>
      <c r="Z46" s="467">
        <f t="shared" ref="Z46:Z77" si="82">IF($N46="",0,IF($R46="",1,R46/43200)*Y46)</f>
        <v>0</v>
      </c>
      <c r="AA46" s="467">
        <f t="shared" ref="AA46:AA68" si="83">IF($O46="",0,AA$1/$O46)</f>
        <v>22.12</v>
      </c>
      <c r="AB46" s="243"/>
      <c r="AC46" s="467">
        <f t="shared" ref="AC46:AC68" si="84">IF(AC$3&lt;&gt;"",$W46,0)+IF(AC$4&lt;&gt;"",$U46,0)+IF(AC$5&lt;&gt;"",$Z46+IF($S46&lt;&gt;"102",$V46,0),0)+IF(AC$6&lt;&gt;"",$AA46+IF($S46="102",$V46,0),0)+IF(AC$7&lt;&gt;"",$X46,0)</f>
        <v>5.5222222222222221</v>
      </c>
      <c r="AD46" s="467">
        <f t="shared" ref="AD46:AD68" si="85">IF(AD$3&lt;&gt;"",$W46,0)+IF(AD$4&lt;&gt;"",$U46,0)+IF(AD$5&lt;&gt;"",$Z46+IF($S46&lt;&gt;"102",$V46,0),0)+IF(AD$6&lt;&gt;"",$AA46+IF($S46="102",$V46,0),0)+IF(AD$7&lt;&gt;"",$X46,0)</f>
        <v>22.12</v>
      </c>
      <c r="AE46" s="467">
        <f t="shared" ref="AE46:AE68" si="86">IF(AE$3&lt;&gt;"",$W46,0)+IF(AE$4&lt;&gt;"",$U46,0)+IF(AE$5&lt;&gt;"",$Z46+IF($S46&lt;&gt;"102",$V46,0),0)+IF(AE$6&lt;&gt;"",$AA46+IF($S46="102",$V46,0),0)+IF(AE$7&lt;&gt;"",$X46,0)</f>
        <v>27.642222222222223</v>
      </c>
      <c r="AF46" s="467">
        <f t="shared" ref="AF46:AF68" si="87">IF(AF$3&lt;&gt;"",$W46,0)+IF(AF$4&lt;&gt;"",$U46,0)+IF(AF$5&lt;&gt;"",$Z46+IF($S46&lt;&gt;"102",$V46,0),0)+IF(AF$6&lt;&gt;"",$AA46+IF($S46="102",$V46,0),0)+IF(AF$7&lt;&gt;"",$X46,0)</f>
        <v>0</v>
      </c>
      <c r="AG46" s="467">
        <f t="shared" ref="AG46:AG68" si="88">IF(AG$3&lt;&gt;"",$W46,0)+IF(AG$4&lt;&gt;"",$U46,0)+IF(AG$5&lt;&gt;"",$Z46+IF($S46&lt;&gt;"102",$V46,0),0)+IF(AG$6&lt;&gt;"",$AA46+IF($S46="102",$V46,0),0)+IF(AG$7&lt;&gt;"",$X46,0)</f>
        <v>5.5222222222222221</v>
      </c>
      <c r="AH46" s="467">
        <f t="shared" ref="AH46:AH68" si="89">IF(AH$3&lt;&gt;"",$W46,0)+IF(AH$4&lt;&gt;"",$U46,0)+IF(AH$5&lt;&gt;"",$Z46+IF($S46&lt;&gt;"102",$V46,0),0)+IF(AH$6&lt;&gt;"",$AA46+IF($S46="102",$V46,0),0)+IF(AH$7&lt;&gt;"",$X46,0)</f>
        <v>22.12</v>
      </c>
      <c r="AI46" s="467">
        <f t="shared" ref="AI46:AI68" si="90">IF(AI$3&lt;&gt;"",$W46,0)+IF(AI$4&lt;&gt;"",$U46,0)+IF(AI$5&lt;&gt;"",$Z46+IF($S46&lt;&gt;"102",$V46,0),0)+IF(AI$6&lt;&gt;"",$AA46+IF($S46="102",$V46,0),0)+IF(AI$7&lt;&gt;"",$X46,0)</f>
        <v>27.642222222222223</v>
      </c>
      <c r="AJ46" s="467">
        <f t="shared" ref="AJ46:AJ68" si="91">IF(AJ$3&lt;&gt;"",$W46,0)+IF(AJ$4&lt;&gt;"",$U46,0)+IF(AJ$5&lt;&gt;"",$Z46+IF($S46&lt;&gt;"102",$V46,0),0)+IF(AJ$6&lt;&gt;"",$AA46+IF($S46="102",$V46,0),0)+IF(AJ$7&lt;&gt;"",$X46,0)</f>
        <v>0</v>
      </c>
      <c r="AK46" s="467">
        <f t="shared" ref="AK46:AK68" si="92">IF(AK$3&lt;&gt;"",$W46,0)+IF(AK$4&lt;&gt;"",$U46,0)+IF(AK$5&lt;&gt;"",$Z46+IF($S46&lt;&gt;"102",$V46,0),0)+IF(AK$6&lt;&gt;"",$AA46+IF($S46="102",$V46,0),0)+IF(AK$7&lt;&gt;"",$X46,0)</f>
        <v>5.5222222222222221</v>
      </c>
      <c r="AL46" s="467">
        <f t="shared" ref="AL46:AL68" si="93">IF(AL$3&lt;&gt;"",$W46,0)+IF(AL$4&lt;&gt;"",$U46,0)+IF(AL$5&lt;&gt;"",$Z46+IF($S46&lt;&gt;"102",$V46,0),0)+IF(AL$6&lt;&gt;"",$AA46+IF($S46="102",$V46,0),0)+IF(AL$7&lt;&gt;"",$X46,0)</f>
        <v>22.12</v>
      </c>
      <c r="AM46" s="467">
        <f t="shared" ref="AM46:AM68" si="94">IF(AM$3&lt;&gt;"",$W46,0)+IF(AM$4&lt;&gt;"",$U46,0)+IF(AM$5&lt;&gt;"",$Z46+IF($S46&lt;&gt;"102",$V46,0),0)+IF(AM$6&lt;&gt;"",$AA46+IF($S46="102",$V46,0),0)+IF(AM$7&lt;&gt;"",$X46,0)</f>
        <v>27.642222222222223</v>
      </c>
      <c r="AN46" s="467">
        <f t="shared" ref="AN46:AN68" si="95">IF(AN$3&lt;&gt;"",$W46,0)+IF(AN$4&lt;&gt;"",$U46,0)+IF(AN$5&lt;&gt;"",$Z46+IF($S46&lt;&gt;"102",$V46,0),0)+IF(AN$6&lt;&gt;"",$AA46+IF($S46="102",$V46,0),0)+IF(AN$7&lt;&gt;"",$X46,0)</f>
        <v>0</v>
      </c>
      <c r="AO46" s="467">
        <f t="shared" ref="AO46:AO68" si="96">IF(AO$3&lt;&gt;"",$W46,0)+IF(AO$4&lt;&gt;"",$U46,0)+IF(AO$5&lt;&gt;"",$Z46+IF($S46&lt;&gt;"102",$V46,0),0)+IF(AO$6&lt;&gt;"",$AA46+IF($S46="102",$V46,0),0)+IF(AO$7&lt;&gt;"",$X46,0)</f>
        <v>5.5222222222222221</v>
      </c>
      <c r="AP46" s="467">
        <f t="shared" ref="AP46:AP68" si="97">IF(AP$3&lt;&gt;"",$W46,0)+IF(AP$4&lt;&gt;"",$U46,0)+IF(AP$5&lt;&gt;"",$Z46+IF($S46&lt;&gt;"102",$V46,0),0)+IF(AP$6&lt;&gt;"",$AA46+IF($S46="102",$V46,0),0)+IF(AP$7&lt;&gt;"",$X46,0)</f>
        <v>22.12</v>
      </c>
      <c r="AQ46" s="467">
        <f t="shared" ref="AQ46:AQ68" si="98">IF(AQ$3&lt;&gt;"",$W46,0)+IF(AQ$4&lt;&gt;"",$U46,0)+IF(AQ$5&lt;&gt;"",$Z46+IF($S46&lt;&gt;"102",$V46,0),0)+IF(AQ$6&lt;&gt;"",$AA46+IF($S46="102",$V46,0),0)+IF(AQ$7&lt;&gt;"",$X46,0)</f>
        <v>27.642222222222223</v>
      </c>
      <c r="AR46" s="467">
        <f t="shared" ref="AR46:AR68" si="99">IF(AR$3&lt;&gt;"",$W46,0)+IF(AR$4&lt;&gt;"",$U46,0)+IF(AR$5&lt;&gt;"",$Z46+IF($S46&lt;&gt;"102",$V46,0),0)+IF(AR$6&lt;&gt;"",$AA46+IF($S46="102",$V46,0),0)+IF(AR$7&lt;&gt;"",$X46,0)</f>
        <v>0.28444444444444444</v>
      </c>
      <c r="AS46" s="467">
        <f t="shared" ref="AS46:AS68" si="100">IF(AS$3&lt;&gt;"",$W46,0)+IF(AS$4&lt;&gt;"",$U46,0)+IF(AS$5&lt;&gt;"",$Z46+IF($S46&lt;&gt;"102",$V46,0),0)+IF(AS$6&lt;&gt;"",$AA46+IF($S46="102",$V46,0),0)+IF(AS$7&lt;&gt;"",$X46,0)</f>
        <v>5.8066666666666666</v>
      </c>
      <c r="AT46" s="467">
        <f t="shared" ref="AT46:AT68" si="101">IF(AT$3&lt;&gt;"",$W46,0)+IF(AT$4&lt;&gt;"",$U46,0)+IF(AT$5&lt;&gt;"",$Z46+IF($S46&lt;&gt;"102",$V46,0),0)+IF(AT$6&lt;&gt;"",$AA46+IF($S46="102",$V46,0),0)+IF(AT$7&lt;&gt;"",$X46,0)</f>
        <v>22.404444444444444</v>
      </c>
      <c r="AU46" s="467">
        <f t="shared" ref="AU46:AU68" si="102">IF(AU$3&lt;&gt;"",$W46,0)+IF(AU$4&lt;&gt;"",$U46,0)+IF(AU$5&lt;&gt;"",$Z46+IF($S46&lt;&gt;"102",$V46,0),0)+IF(AU$6&lt;&gt;"",$AA46+IF($S46="102",$V46,0),0)+IF(AU$7&lt;&gt;"",$X46,0)</f>
        <v>27.926666666666666</v>
      </c>
      <c r="AV46" s="467">
        <f t="shared" ref="AV46:AV68" si="103">IF(AV$3&lt;&gt;"",$W46,0)+IF(AV$4&lt;&gt;"",$U46,0)+IF(AV$5&lt;&gt;"",$Z46+IF($S46&lt;&gt;"102",$V46,0),0)+IF(AV$6&lt;&gt;"",$AA46+IF($S46="102",$V46,0),0)+IF(AV$7&lt;&gt;"",$X46,0)</f>
        <v>0.28444444444444444</v>
      </c>
      <c r="AW46" s="467">
        <f t="shared" ref="AW46:AW68" si="104">IF(AW$3&lt;&gt;"",$W46,0)+IF(AW$4&lt;&gt;"",$U46,0)+IF(AW$5&lt;&gt;"",$Z46+IF($S46&lt;&gt;"102",$V46,0),0)+IF(AW$6&lt;&gt;"",$AA46+IF($S46="102",$V46,0),0)+IF(AW$7&lt;&gt;"",$X46,0)</f>
        <v>5.8066666666666666</v>
      </c>
      <c r="AX46" s="467">
        <f t="shared" ref="AX46:AX68" si="105">IF(AX$3&lt;&gt;"",$W46,0)+IF(AX$4&lt;&gt;"",$U46,0)+IF(AX$5&lt;&gt;"",$Z46+IF($S46&lt;&gt;"102",$V46,0),0)+IF(AX$6&lt;&gt;"",$AA46+IF($S46="102",$V46,0),0)+IF(AX$7&lt;&gt;"",$X46,0)</f>
        <v>22.404444444444444</v>
      </c>
      <c r="AY46" s="467">
        <f t="shared" ref="AY46:AY68" si="106">IF(AY$3&lt;&gt;"",$W46,0)+IF(AY$4&lt;&gt;"",$U46,0)+IF(AY$5&lt;&gt;"",$Z46+IF($S46&lt;&gt;"102",$V46,0),0)+IF(AY$6&lt;&gt;"",$AA46+IF($S46="102",$V46,0),0)+IF(AY$7&lt;&gt;"",$X46,0)</f>
        <v>27.926666666666666</v>
      </c>
      <c r="AZ46" s="467">
        <f t="shared" ref="AZ46:AZ68" si="107">IF(AZ$3&lt;&gt;"",$W46,0)+IF(AZ$4&lt;&gt;"",$U46,0)+IF(AZ$5&lt;&gt;"",$Z46+IF($S46&lt;&gt;"102",$V46,0),0)+IF(AZ$6&lt;&gt;"",$AA46+IF($S46="102",$V46,0),0)+IF(AZ$7&lt;&gt;"",$X46,0)</f>
        <v>0.28444444444444444</v>
      </c>
      <c r="BA46" s="467">
        <f t="shared" ref="BA46:BA68" si="108">IF(BA$3&lt;&gt;"",$W46,0)+IF(BA$4&lt;&gt;"",$U46,0)+IF(BA$5&lt;&gt;"",$Z46+IF($S46&lt;&gt;"102",$V46,0),0)+IF(BA$6&lt;&gt;"",$AA46+IF($S46="102",$V46,0),0)+IF(BA$7&lt;&gt;"",$X46,0)</f>
        <v>5.8066666666666666</v>
      </c>
      <c r="BB46" s="467">
        <f t="shared" ref="BB46:BB68" si="109">IF(BB$3&lt;&gt;"",$W46,0)+IF(BB$4&lt;&gt;"",$U46,0)+IF(BB$5&lt;&gt;"",$Z46+IF($S46&lt;&gt;"102",$V46,0),0)+IF(BB$6&lt;&gt;"",$AA46+IF($S46="102",$V46,0),0)+IF(BB$7&lt;&gt;"",$X46,0)</f>
        <v>22.404444444444444</v>
      </c>
      <c r="BC46" s="467">
        <f t="shared" ref="BC46:BC68" si="110">IF(BC$3&lt;&gt;"",$W46,0)+IF(BC$4&lt;&gt;"",$U46,0)+IF(BC$5&lt;&gt;"",$Z46+IF($S46&lt;&gt;"102",$V46,0),0)+IF(BC$6&lt;&gt;"",$AA46+IF($S46="102",$V46,0),0)+IF(BC$7&lt;&gt;"",$X46,0)</f>
        <v>27.926666666666666</v>
      </c>
      <c r="BD46" s="467">
        <f t="shared" ref="BD46:BD68" si="111">IF(BD$3&lt;&gt;"",$W46,0)+IF(BD$4&lt;&gt;"",$U46,0)+IF(BD$5&lt;&gt;"",$Z46+IF($S46&lt;&gt;"102",$V46,0),0)+IF(BD$6&lt;&gt;"",$AA46+IF($S46="102",$V46,0),0)+IF(BD$7&lt;&gt;"",$X46,0)</f>
        <v>0.28444444444444444</v>
      </c>
      <c r="BE46" s="467">
        <f t="shared" ref="BE46:BE68" si="112">IF(BE$3&lt;&gt;"",$W46,0)+IF(BE$4&lt;&gt;"",$U46,0)+IF(BE$5&lt;&gt;"",$Z46+IF($S46&lt;&gt;"102",$V46,0),0)+IF(BE$6&lt;&gt;"",$AA46+IF($S46="102",$V46,0),0)+IF(BE$7&lt;&gt;"",$X46,0)</f>
        <v>5.8066666666666666</v>
      </c>
      <c r="BF46" s="467">
        <f t="shared" ref="BF46:BF68" si="113">IF(BF$3&lt;&gt;"",$W46,0)+IF(BF$4&lt;&gt;"",$U46,0)+IF(BF$5&lt;&gt;"",$Z46+IF($S46&lt;&gt;"102",$V46,0),0)+IF(BF$6&lt;&gt;"",$AA46+IF($S46="102",$V46,0),0)+IF(BF$7&lt;&gt;"",$X46,0)</f>
        <v>22.404444444444444</v>
      </c>
      <c r="BG46" s="467">
        <f t="shared" ref="BG46:BG68" si="114">IF(BG$3&lt;&gt;"",$W46,0)+IF(BG$4&lt;&gt;"",$U46,0)+IF(BG$5&lt;&gt;"",$Z46+IF($S46&lt;&gt;"102",$V46,0),0)+IF(BG$6&lt;&gt;"",$AA46+IF($S46="102",$V46,0),0)+IF(BG$7&lt;&gt;"",$X46,0)</f>
        <v>27.926666666666666</v>
      </c>
    </row>
    <row r="47" spans="1:59">
      <c r="A47" s="213" t="s">
        <v>5316</v>
      </c>
      <c r="B47" s="231">
        <v>646884118</v>
      </c>
      <c r="C47" s="210" t="s">
        <v>1</v>
      </c>
      <c r="D47" s="210">
        <v>360</v>
      </c>
      <c r="F47" s="239" t="str" cm="1">
        <f t="array" aca="1" ref="F47" ca="1">MID(met2utc(PEPSSI_Commanding[[#This Row],[MET]]),3,15)</f>
        <v>26-201/20:10:02</v>
      </c>
      <c r="G47" s="213" t="str">
        <f t="shared" si="65"/>
        <v>N1+360</v>
      </c>
      <c r="H47" s="214">
        <f t="shared" si="66"/>
        <v>646883515</v>
      </c>
      <c r="I47" s="214">
        <f t="shared" si="67"/>
        <v>644923315</v>
      </c>
      <c r="J47" s="213">
        <f t="shared" si="68"/>
        <v>19</v>
      </c>
      <c r="K47" s="213">
        <f t="shared" si="69"/>
        <v>5</v>
      </c>
      <c r="M47" s="210">
        <f t="shared" si="70"/>
        <v>360</v>
      </c>
      <c r="N47" s="210">
        <f t="shared" si="71"/>
        <v>360</v>
      </c>
      <c r="O47" s="210">
        <f t="shared" si="72"/>
        <v>900</v>
      </c>
      <c r="P47" s="210">
        <f t="shared" si="73"/>
        <v>1800</v>
      </c>
      <c r="Q47" s="210" t="str">
        <f t="shared" si="74"/>
        <v>disabled</v>
      </c>
      <c r="R47" s="210" t="str">
        <f t="shared" si="75"/>
        <v/>
      </c>
      <c r="S47" s="210" t="str">
        <f t="shared" si="76"/>
        <v>102</v>
      </c>
      <c r="U47" s="467">
        <f t="shared" si="77"/>
        <v>0</v>
      </c>
      <c r="V47" s="467">
        <f t="shared" si="78"/>
        <v>0</v>
      </c>
      <c r="W47" s="467">
        <f t="shared" si="79"/>
        <v>0.28444444444444444</v>
      </c>
      <c r="X47" s="467">
        <f t="shared" si="80"/>
        <v>5.5222222222222221</v>
      </c>
      <c r="Y47" s="467">
        <f t="shared" si="81"/>
        <v>0</v>
      </c>
      <c r="Z47" s="467">
        <f t="shared" si="82"/>
        <v>0</v>
      </c>
      <c r="AA47" s="467">
        <f t="shared" si="83"/>
        <v>22.12</v>
      </c>
      <c r="AB47" s="243"/>
      <c r="AC47" s="467">
        <f t="shared" si="84"/>
        <v>5.5222222222222221</v>
      </c>
      <c r="AD47" s="467">
        <f t="shared" si="85"/>
        <v>22.12</v>
      </c>
      <c r="AE47" s="467">
        <f t="shared" si="86"/>
        <v>27.642222222222223</v>
      </c>
      <c r="AF47" s="467">
        <f t="shared" si="87"/>
        <v>0</v>
      </c>
      <c r="AG47" s="467">
        <f t="shared" si="88"/>
        <v>5.5222222222222221</v>
      </c>
      <c r="AH47" s="467">
        <f t="shared" si="89"/>
        <v>22.12</v>
      </c>
      <c r="AI47" s="467">
        <f t="shared" si="90"/>
        <v>27.642222222222223</v>
      </c>
      <c r="AJ47" s="467">
        <f t="shared" si="91"/>
        <v>0</v>
      </c>
      <c r="AK47" s="467">
        <f t="shared" si="92"/>
        <v>5.5222222222222221</v>
      </c>
      <c r="AL47" s="467">
        <f t="shared" si="93"/>
        <v>22.12</v>
      </c>
      <c r="AM47" s="467">
        <f t="shared" si="94"/>
        <v>27.642222222222223</v>
      </c>
      <c r="AN47" s="467">
        <f t="shared" si="95"/>
        <v>0</v>
      </c>
      <c r="AO47" s="467">
        <f t="shared" si="96"/>
        <v>5.5222222222222221</v>
      </c>
      <c r="AP47" s="467">
        <f t="shared" si="97"/>
        <v>22.12</v>
      </c>
      <c r="AQ47" s="467">
        <f t="shared" si="98"/>
        <v>27.642222222222223</v>
      </c>
      <c r="AR47" s="467">
        <f t="shared" si="99"/>
        <v>0.28444444444444444</v>
      </c>
      <c r="AS47" s="467">
        <f t="shared" si="100"/>
        <v>5.8066666666666666</v>
      </c>
      <c r="AT47" s="467">
        <f t="shared" si="101"/>
        <v>22.404444444444444</v>
      </c>
      <c r="AU47" s="467">
        <f t="shared" si="102"/>
        <v>27.926666666666666</v>
      </c>
      <c r="AV47" s="467">
        <f t="shared" si="103"/>
        <v>0.28444444444444444</v>
      </c>
      <c r="AW47" s="467">
        <f t="shared" si="104"/>
        <v>5.8066666666666666</v>
      </c>
      <c r="AX47" s="467">
        <f t="shared" si="105"/>
        <v>22.404444444444444</v>
      </c>
      <c r="AY47" s="467">
        <f t="shared" si="106"/>
        <v>27.926666666666666</v>
      </c>
      <c r="AZ47" s="467">
        <f t="shared" si="107"/>
        <v>0.28444444444444444</v>
      </c>
      <c r="BA47" s="467">
        <f t="shared" si="108"/>
        <v>5.8066666666666666</v>
      </c>
      <c r="BB47" s="467">
        <f t="shared" si="109"/>
        <v>22.404444444444444</v>
      </c>
      <c r="BC47" s="467">
        <f t="shared" si="110"/>
        <v>27.926666666666666</v>
      </c>
      <c r="BD47" s="467">
        <f t="shared" si="111"/>
        <v>0.28444444444444444</v>
      </c>
      <c r="BE47" s="467">
        <f t="shared" si="112"/>
        <v>5.8066666666666666</v>
      </c>
      <c r="BF47" s="467">
        <f t="shared" si="113"/>
        <v>22.404444444444444</v>
      </c>
      <c r="BG47" s="467">
        <f t="shared" si="114"/>
        <v>27.926666666666666</v>
      </c>
    </row>
    <row r="48" spans="1:59">
      <c r="A48" s="213" t="s">
        <v>5316</v>
      </c>
      <c r="B48" s="231">
        <v>646884121</v>
      </c>
      <c r="C48" s="210" t="s">
        <v>58</v>
      </c>
      <c r="D48" s="210">
        <v>7200</v>
      </c>
      <c r="F48" s="239" t="str" cm="1">
        <f t="array" aca="1" ref="F48" ca="1">MID(met2utc(PEPSSI_Commanding[[#This Row],[MET]]),3,15)</f>
        <v>26-201/20:10:05</v>
      </c>
      <c r="G48" s="213" t="str">
        <f t="shared" si="65"/>
        <v>N3+7200</v>
      </c>
      <c r="H48" s="214">
        <f t="shared" si="66"/>
        <v>646883515</v>
      </c>
      <c r="I48" s="214">
        <f t="shared" si="67"/>
        <v>644923315</v>
      </c>
      <c r="J48" s="213">
        <f t="shared" si="68"/>
        <v>20</v>
      </c>
      <c r="K48" s="213">
        <f t="shared" si="69"/>
        <v>4</v>
      </c>
      <c r="M48" s="210">
        <f t="shared" si="70"/>
        <v>360</v>
      </c>
      <c r="N48" s="210">
        <f t="shared" si="71"/>
        <v>360</v>
      </c>
      <c r="O48" s="210">
        <f t="shared" si="72"/>
        <v>7200</v>
      </c>
      <c r="P48" s="210">
        <f t="shared" si="73"/>
        <v>1800</v>
      </c>
      <c r="Q48" s="210" t="str">
        <f t="shared" si="74"/>
        <v>disabled</v>
      </c>
      <c r="R48" s="210" t="str">
        <f t="shared" si="75"/>
        <v/>
      </c>
      <c r="S48" s="210" t="str">
        <f t="shared" si="76"/>
        <v>102</v>
      </c>
      <c r="U48" s="467">
        <f t="shared" si="77"/>
        <v>0</v>
      </c>
      <c r="V48" s="467">
        <f t="shared" si="78"/>
        <v>0</v>
      </c>
      <c r="W48" s="467">
        <f t="shared" si="79"/>
        <v>0.28444444444444444</v>
      </c>
      <c r="X48" s="467">
        <f t="shared" si="80"/>
        <v>5.5222222222222221</v>
      </c>
      <c r="Y48" s="467">
        <f t="shared" si="81"/>
        <v>0</v>
      </c>
      <c r="Z48" s="467">
        <f t="shared" si="82"/>
        <v>0</v>
      </c>
      <c r="AA48" s="467">
        <f t="shared" si="83"/>
        <v>2.7650000000000001</v>
      </c>
      <c r="AB48" s="243"/>
      <c r="AC48" s="467">
        <f t="shared" si="84"/>
        <v>5.5222222222222221</v>
      </c>
      <c r="AD48" s="467">
        <f t="shared" si="85"/>
        <v>2.7650000000000001</v>
      </c>
      <c r="AE48" s="467">
        <f t="shared" si="86"/>
        <v>8.2872222222222227</v>
      </c>
      <c r="AF48" s="467">
        <f t="shared" si="87"/>
        <v>0</v>
      </c>
      <c r="AG48" s="467">
        <f t="shared" si="88"/>
        <v>5.5222222222222221</v>
      </c>
      <c r="AH48" s="467">
        <f t="shared" si="89"/>
        <v>2.7650000000000001</v>
      </c>
      <c r="AI48" s="467">
        <f t="shared" si="90"/>
        <v>8.2872222222222227</v>
      </c>
      <c r="AJ48" s="467">
        <f t="shared" si="91"/>
        <v>0</v>
      </c>
      <c r="AK48" s="467">
        <f t="shared" si="92"/>
        <v>5.5222222222222221</v>
      </c>
      <c r="AL48" s="467">
        <f t="shared" si="93"/>
        <v>2.7650000000000001</v>
      </c>
      <c r="AM48" s="467">
        <f t="shared" si="94"/>
        <v>8.2872222222222227</v>
      </c>
      <c r="AN48" s="467">
        <f t="shared" si="95"/>
        <v>0</v>
      </c>
      <c r="AO48" s="467">
        <f t="shared" si="96"/>
        <v>5.5222222222222221</v>
      </c>
      <c r="AP48" s="467">
        <f t="shared" si="97"/>
        <v>2.7650000000000001</v>
      </c>
      <c r="AQ48" s="467">
        <f t="shared" si="98"/>
        <v>8.2872222222222227</v>
      </c>
      <c r="AR48" s="467">
        <f t="shared" si="99"/>
        <v>0.28444444444444444</v>
      </c>
      <c r="AS48" s="467">
        <f t="shared" si="100"/>
        <v>5.8066666666666666</v>
      </c>
      <c r="AT48" s="467">
        <f t="shared" si="101"/>
        <v>3.0494444444444446</v>
      </c>
      <c r="AU48" s="467">
        <f t="shared" si="102"/>
        <v>8.5716666666666672</v>
      </c>
      <c r="AV48" s="467">
        <f t="shared" si="103"/>
        <v>0.28444444444444444</v>
      </c>
      <c r="AW48" s="467">
        <f t="shared" si="104"/>
        <v>5.8066666666666666</v>
      </c>
      <c r="AX48" s="467">
        <f t="shared" si="105"/>
        <v>3.0494444444444446</v>
      </c>
      <c r="AY48" s="467">
        <f t="shared" si="106"/>
        <v>8.5716666666666672</v>
      </c>
      <c r="AZ48" s="467">
        <f t="shared" si="107"/>
        <v>0.28444444444444444</v>
      </c>
      <c r="BA48" s="467">
        <f t="shared" si="108"/>
        <v>5.8066666666666666</v>
      </c>
      <c r="BB48" s="467">
        <f t="shared" si="109"/>
        <v>3.0494444444444446</v>
      </c>
      <c r="BC48" s="467">
        <f t="shared" si="110"/>
        <v>8.5716666666666672</v>
      </c>
      <c r="BD48" s="467">
        <f t="shared" si="111"/>
        <v>0.28444444444444444</v>
      </c>
      <c r="BE48" s="467">
        <f t="shared" si="112"/>
        <v>5.8066666666666666</v>
      </c>
      <c r="BF48" s="467">
        <f t="shared" si="113"/>
        <v>3.0494444444444446</v>
      </c>
      <c r="BG48" s="467">
        <f t="shared" si="114"/>
        <v>8.5716666666666672</v>
      </c>
    </row>
    <row r="49" spans="1:59">
      <c r="A49" s="213" t="s">
        <v>5317</v>
      </c>
      <c r="B49" s="231">
        <v>646884124</v>
      </c>
      <c r="C49" s="210" t="s">
        <v>5284</v>
      </c>
      <c r="D49" s="210">
        <v>1800</v>
      </c>
      <c r="F49" s="239" t="str" cm="1">
        <f t="array" aca="1" ref="F49" ca="1">MID(met2utc(PEPSSI_Commanding[[#This Row],[MET]]),3,15)</f>
        <v>26-201/20:10:08</v>
      </c>
      <c r="G49" s="213" t="str">
        <f t="shared" si="65"/>
        <v>STAT+1800</v>
      </c>
      <c r="H49" s="214">
        <f t="shared" si="66"/>
        <v>646883515</v>
      </c>
      <c r="I49" s="214">
        <f t="shared" si="67"/>
        <v>644923315</v>
      </c>
      <c r="J49" s="213">
        <f t="shared" si="68"/>
        <v>21</v>
      </c>
      <c r="K49" s="213">
        <f t="shared" si="69"/>
        <v>3</v>
      </c>
      <c r="M49" s="210">
        <f t="shared" si="70"/>
        <v>360</v>
      </c>
      <c r="N49" s="210">
        <f t="shared" si="71"/>
        <v>360</v>
      </c>
      <c r="O49" s="210">
        <f t="shared" si="72"/>
        <v>7200</v>
      </c>
      <c r="P49" s="210">
        <f t="shared" si="73"/>
        <v>1800</v>
      </c>
      <c r="Q49" s="210" t="str">
        <f t="shared" si="74"/>
        <v>disabled</v>
      </c>
      <c r="R49" s="210" t="str">
        <f t="shared" si="75"/>
        <v/>
      </c>
      <c r="S49" s="210" t="str">
        <f t="shared" si="76"/>
        <v>102</v>
      </c>
      <c r="U49" s="467">
        <f t="shared" si="77"/>
        <v>0</v>
      </c>
      <c r="V49" s="467">
        <f t="shared" si="78"/>
        <v>0</v>
      </c>
      <c r="W49" s="467">
        <f t="shared" si="79"/>
        <v>0.28444444444444444</v>
      </c>
      <c r="X49" s="467">
        <f t="shared" si="80"/>
        <v>5.5222222222222221</v>
      </c>
      <c r="Y49" s="467">
        <f t="shared" si="81"/>
        <v>0</v>
      </c>
      <c r="Z49" s="467">
        <f t="shared" si="82"/>
        <v>0</v>
      </c>
      <c r="AA49" s="467">
        <f t="shared" si="83"/>
        <v>2.7650000000000001</v>
      </c>
      <c r="AB49" s="243"/>
      <c r="AC49" s="467">
        <f t="shared" si="84"/>
        <v>5.5222222222222221</v>
      </c>
      <c r="AD49" s="467">
        <f t="shared" si="85"/>
        <v>2.7650000000000001</v>
      </c>
      <c r="AE49" s="467">
        <f t="shared" si="86"/>
        <v>8.2872222222222227</v>
      </c>
      <c r="AF49" s="467">
        <f t="shared" si="87"/>
        <v>0</v>
      </c>
      <c r="AG49" s="467">
        <f t="shared" si="88"/>
        <v>5.5222222222222221</v>
      </c>
      <c r="AH49" s="467">
        <f t="shared" si="89"/>
        <v>2.7650000000000001</v>
      </c>
      <c r="AI49" s="467">
        <f t="shared" si="90"/>
        <v>8.2872222222222227</v>
      </c>
      <c r="AJ49" s="467">
        <f t="shared" si="91"/>
        <v>0</v>
      </c>
      <c r="AK49" s="467">
        <f t="shared" si="92"/>
        <v>5.5222222222222221</v>
      </c>
      <c r="AL49" s="467">
        <f t="shared" si="93"/>
        <v>2.7650000000000001</v>
      </c>
      <c r="AM49" s="467">
        <f t="shared" si="94"/>
        <v>8.2872222222222227</v>
      </c>
      <c r="AN49" s="467">
        <f t="shared" si="95"/>
        <v>0</v>
      </c>
      <c r="AO49" s="467">
        <f t="shared" si="96"/>
        <v>5.5222222222222221</v>
      </c>
      <c r="AP49" s="467">
        <f t="shared" si="97"/>
        <v>2.7650000000000001</v>
      </c>
      <c r="AQ49" s="467">
        <f t="shared" si="98"/>
        <v>8.2872222222222227</v>
      </c>
      <c r="AR49" s="467">
        <f t="shared" si="99"/>
        <v>0.28444444444444444</v>
      </c>
      <c r="AS49" s="467">
        <f t="shared" si="100"/>
        <v>5.8066666666666666</v>
      </c>
      <c r="AT49" s="467">
        <f t="shared" si="101"/>
        <v>3.0494444444444446</v>
      </c>
      <c r="AU49" s="467">
        <f t="shared" si="102"/>
        <v>8.5716666666666672</v>
      </c>
      <c r="AV49" s="467">
        <f t="shared" si="103"/>
        <v>0.28444444444444444</v>
      </c>
      <c r="AW49" s="467">
        <f t="shared" si="104"/>
        <v>5.8066666666666666</v>
      </c>
      <c r="AX49" s="467">
        <f t="shared" si="105"/>
        <v>3.0494444444444446</v>
      </c>
      <c r="AY49" s="467">
        <f t="shared" si="106"/>
        <v>8.5716666666666672</v>
      </c>
      <c r="AZ49" s="467">
        <f t="shared" si="107"/>
        <v>0.28444444444444444</v>
      </c>
      <c r="BA49" s="467">
        <f t="shared" si="108"/>
        <v>5.8066666666666666</v>
      </c>
      <c r="BB49" s="467">
        <f t="shared" si="109"/>
        <v>3.0494444444444446</v>
      </c>
      <c r="BC49" s="467">
        <f t="shared" si="110"/>
        <v>8.5716666666666672</v>
      </c>
      <c r="BD49" s="467">
        <f t="shared" si="111"/>
        <v>0.28444444444444444</v>
      </c>
      <c r="BE49" s="467">
        <f t="shared" si="112"/>
        <v>5.8066666666666666</v>
      </c>
      <c r="BF49" s="467">
        <f t="shared" si="113"/>
        <v>3.0494444444444446</v>
      </c>
      <c r="BG49" s="467">
        <f t="shared" si="114"/>
        <v>8.5716666666666672</v>
      </c>
    </row>
    <row r="50" spans="1:59">
      <c r="A50" s="213" t="s">
        <v>5315</v>
      </c>
      <c r="B50" s="231">
        <v>646884715</v>
      </c>
      <c r="C50" s="210" t="s">
        <v>5285</v>
      </c>
      <c r="D50" s="210">
        <v>103</v>
      </c>
      <c r="F50" s="239" t="str" cm="1">
        <f t="array" aca="1" ref="F50" ca="1">MID(met2utc(PEPSSI_Commanding[[#This Row],[MET]]),3,15)</f>
        <v>26-201/20:19:59</v>
      </c>
      <c r="G50" s="213" t="str">
        <f t="shared" si="65"/>
        <v>MAC+103</v>
      </c>
      <c r="H50" s="214">
        <f t="shared" si="66"/>
        <v>646883515</v>
      </c>
      <c r="I50" s="214">
        <f t="shared" si="67"/>
        <v>644923315</v>
      </c>
      <c r="J50" s="213">
        <f t="shared" si="68"/>
        <v>22</v>
      </c>
      <c r="K50" s="213">
        <f t="shared" si="69"/>
        <v>2</v>
      </c>
      <c r="M50" s="210">
        <f t="shared" si="70"/>
        <v>360</v>
      </c>
      <c r="N50" s="210">
        <f t="shared" si="71"/>
        <v>3</v>
      </c>
      <c r="O50" s="210">
        <f t="shared" si="72"/>
        <v>7200</v>
      </c>
      <c r="P50" s="210">
        <f t="shared" si="73"/>
        <v>1800</v>
      </c>
      <c r="Q50" s="210" t="str">
        <f t="shared" si="74"/>
        <v>disabled</v>
      </c>
      <c r="R50" s="210" t="str">
        <f t="shared" si="75"/>
        <v/>
      </c>
      <c r="S50" s="210" t="str">
        <f t="shared" si="76"/>
        <v>102</v>
      </c>
      <c r="U50" s="467">
        <f t="shared" si="77"/>
        <v>0</v>
      </c>
      <c r="V50" s="467">
        <f t="shared" si="78"/>
        <v>0</v>
      </c>
      <c r="W50" s="467">
        <f t="shared" si="79"/>
        <v>0.28444444444444444</v>
      </c>
      <c r="X50" s="467">
        <f t="shared" si="80"/>
        <v>5.5222222222222221</v>
      </c>
      <c r="Y50" s="467">
        <f t="shared" si="81"/>
        <v>0</v>
      </c>
      <c r="Z50" s="467">
        <f t="shared" si="82"/>
        <v>0</v>
      </c>
      <c r="AA50" s="467">
        <f t="shared" si="83"/>
        <v>2.7650000000000001</v>
      </c>
      <c r="AB50" s="243"/>
      <c r="AC50" s="467">
        <f t="shared" si="84"/>
        <v>5.5222222222222221</v>
      </c>
      <c r="AD50" s="467">
        <f t="shared" si="85"/>
        <v>2.7650000000000001</v>
      </c>
      <c r="AE50" s="467">
        <f t="shared" si="86"/>
        <v>8.2872222222222227</v>
      </c>
      <c r="AF50" s="467">
        <f t="shared" si="87"/>
        <v>0</v>
      </c>
      <c r="AG50" s="467">
        <f t="shared" si="88"/>
        <v>5.5222222222222221</v>
      </c>
      <c r="AH50" s="467">
        <f t="shared" si="89"/>
        <v>2.7650000000000001</v>
      </c>
      <c r="AI50" s="467">
        <f t="shared" si="90"/>
        <v>8.2872222222222227</v>
      </c>
      <c r="AJ50" s="467">
        <f t="shared" si="91"/>
        <v>0</v>
      </c>
      <c r="AK50" s="467">
        <f t="shared" si="92"/>
        <v>5.5222222222222221</v>
      </c>
      <c r="AL50" s="467">
        <f t="shared" si="93"/>
        <v>2.7650000000000001</v>
      </c>
      <c r="AM50" s="467">
        <f t="shared" si="94"/>
        <v>8.2872222222222227</v>
      </c>
      <c r="AN50" s="467">
        <f t="shared" si="95"/>
        <v>0</v>
      </c>
      <c r="AO50" s="467">
        <f t="shared" si="96"/>
        <v>5.5222222222222221</v>
      </c>
      <c r="AP50" s="467">
        <f t="shared" si="97"/>
        <v>2.7650000000000001</v>
      </c>
      <c r="AQ50" s="467">
        <f t="shared" si="98"/>
        <v>8.2872222222222227</v>
      </c>
      <c r="AR50" s="467">
        <f t="shared" si="99"/>
        <v>0.28444444444444444</v>
      </c>
      <c r="AS50" s="467">
        <f t="shared" si="100"/>
        <v>5.8066666666666666</v>
      </c>
      <c r="AT50" s="467">
        <f t="shared" si="101"/>
        <v>3.0494444444444446</v>
      </c>
      <c r="AU50" s="467">
        <f t="shared" si="102"/>
        <v>8.5716666666666672</v>
      </c>
      <c r="AV50" s="467">
        <f t="shared" si="103"/>
        <v>0.28444444444444444</v>
      </c>
      <c r="AW50" s="467">
        <f t="shared" si="104"/>
        <v>5.8066666666666666</v>
      </c>
      <c r="AX50" s="467">
        <f t="shared" si="105"/>
        <v>3.0494444444444446</v>
      </c>
      <c r="AY50" s="467">
        <f t="shared" si="106"/>
        <v>8.5716666666666672</v>
      </c>
      <c r="AZ50" s="467">
        <f t="shared" si="107"/>
        <v>0.28444444444444444</v>
      </c>
      <c r="BA50" s="467">
        <f t="shared" si="108"/>
        <v>5.8066666666666666</v>
      </c>
      <c r="BB50" s="467">
        <f t="shared" si="109"/>
        <v>3.0494444444444446</v>
      </c>
      <c r="BC50" s="467">
        <f t="shared" si="110"/>
        <v>8.5716666666666672</v>
      </c>
      <c r="BD50" s="467">
        <f t="shared" si="111"/>
        <v>0.28444444444444444</v>
      </c>
      <c r="BE50" s="467">
        <f t="shared" si="112"/>
        <v>5.8066666666666666</v>
      </c>
      <c r="BF50" s="467">
        <f t="shared" si="113"/>
        <v>3.0494444444444446</v>
      </c>
      <c r="BG50" s="467">
        <f t="shared" si="114"/>
        <v>8.5716666666666672</v>
      </c>
    </row>
    <row r="51" spans="1:59">
      <c r="A51" s="213" t="s">
        <v>5315</v>
      </c>
      <c r="B51" s="231">
        <v>646885315</v>
      </c>
      <c r="C51" s="210" t="s">
        <v>5285</v>
      </c>
      <c r="D51" s="210">
        <v>109</v>
      </c>
      <c r="F51" s="239" t="str" cm="1">
        <f t="array" aca="1" ref="F51" ca="1">MID(met2utc(PEPSSI_Commanding[[#This Row],[MET]]),3,15)</f>
        <v>26-201/20:29:59</v>
      </c>
      <c r="G51" s="213" t="str">
        <f t="shared" si="65"/>
        <v>MAC+109</v>
      </c>
      <c r="H51" s="214">
        <f t="shared" si="66"/>
        <v>646883515</v>
      </c>
      <c r="I51" s="214">
        <f t="shared" si="67"/>
        <v>644923315</v>
      </c>
      <c r="J51" s="213">
        <f t="shared" si="68"/>
        <v>23</v>
      </c>
      <c r="K51" s="213">
        <f t="shared" si="69"/>
        <v>1</v>
      </c>
      <c r="M51" s="210">
        <f t="shared" si="70"/>
        <v>360</v>
      </c>
      <c r="N51" s="210">
        <f t="shared" si="71"/>
        <v>3</v>
      </c>
      <c r="O51" s="210">
        <f t="shared" si="72"/>
        <v>7200</v>
      </c>
      <c r="P51" s="210">
        <f t="shared" si="73"/>
        <v>1800</v>
      </c>
      <c r="Q51" s="210" t="str">
        <f t="shared" si="74"/>
        <v/>
      </c>
      <c r="R51" s="210">
        <f t="shared" si="75"/>
        <v>1800</v>
      </c>
      <c r="S51" s="210" t="str">
        <f t="shared" si="76"/>
        <v>102</v>
      </c>
      <c r="U51" s="467">
        <f t="shared" si="77"/>
        <v>2.9375</v>
      </c>
      <c r="V51" s="467">
        <f t="shared" si="78"/>
        <v>12.1875</v>
      </c>
      <c r="W51" s="467">
        <f t="shared" si="79"/>
        <v>0.28444444444444444</v>
      </c>
      <c r="X51" s="467">
        <f t="shared" si="80"/>
        <v>5.5222222222222221</v>
      </c>
      <c r="Y51" s="467">
        <f t="shared" si="81"/>
        <v>443.33333333333331</v>
      </c>
      <c r="Z51" s="467">
        <f t="shared" si="82"/>
        <v>18.472222222222221</v>
      </c>
      <c r="AA51" s="467">
        <f t="shared" si="83"/>
        <v>2.7650000000000001</v>
      </c>
      <c r="AB51" s="243"/>
      <c r="AC51" s="467">
        <f t="shared" si="84"/>
        <v>5.5222222222222221</v>
      </c>
      <c r="AD51" s="467">
        <f t="shared" si="85"/>
        <v>14.952500000000001</v>
      </c>
      <c r="AE51" s="467">
        <f t="shared" si="86"/>
        <v>20.474722222222223</v>
      </c>
      <c r="AF51" s="467">
        <f t="shared" si="87"/>
        <v>18.472222222222221</v>
      </c>
      <c r="AG51" s="467">
        <f t="shared" si="88"/>
        <v>23.994444444444444</v>
      </c>
      <c r="AH51" s="467">
        <f t="shared" si="89"/>
        <v>33.424722222222222</v>
      </c>
      <c r="AI51" s="467">
        <f t="shared" si="90"/>
        <v>38.946944444444441</v>
      </c>
      <c r="AJ51" s="467">
        <f t="shared" si="91"/>
        <v>2.9375</v>
      </c>
      <c r="AK51" s="467">
        <f t="shared" si="92"/>
        <v>8.4597222222222221</v>
      </c>
      <c r="AL51" s="467">
        <f t="shared" si="93"/>
        <v>17.89</v>
      </c>
      <c r="AM51" s="467">
        <f t="shared" si="94"/>
        <v>23.412222222222223</v>
      </c>
      <c r="AN51" s="467">
        <f t="shared" si="95"/>
        <v>21.409722222222221</v>
      </c>
      <c r="AO51" s="467">
        <f t="shared" si="96"/>
        <v>26.931944444444444</v>
      </c>
      <c r="AP51" s="467">
        <f t="shared" si="97"/>
        <v>36.362222222222222</v>
      </c>
      <c r="AQ51" s="467">
        <f t="shared" si="98"/>
        <v>41.884444444444441</v>
      </c>
      <c r="AR51" s="467">
        <f t="shared" si="99"/>
        <v>0.28444444444444444</v>
      </c>
      <c r="AS51" s="467">
        <f t="shared" si="100"/>
        <v>5.8066666666666666</v>
      </c>
      <c r="AT51" s="467">
        <f t="shared" si="101"/>
        <v>15.236944444444445</v>
      </c>
      <c r="AU51" s="467">
        <f t="shared" si="102"/>
        <v>20.759166666666665</v>
      </c>
      <c r="AV51" s="467">
        <f t="shared" si="103"/>
        <v>18.756666666666664</v>
      </c>
      <c r="AW51" s="467">
        <f t="shared" si="104"/>
        <v>24.278888888888886</v>
      </c>
      <c r="AX51" s="467">
        <f t="shared" si="105"/>
        <v>33.709166666666661</v>
      </c>
      <c r="AY51" s="467">
        <f t="shared" si="106"/>
        <v>39.231388888888887</v>
      </c>
      <c r="AZ51" s="467">
        <f t="shared" si="107"/>
        <v>3.2219444444444445</v>
      </c>
      <c r="BA51" s="467">
        <f t="shared" si="108"/>
        <v>8.7441666666666666</v>
      </c>
      <c r="BB51" s="467">
        <f t="shared" si="109"/>
        <v>18.174444444444447</v>
      </c>
      <c r="BC51" s="467">
        <f t="shared" si="110"/>
        <v>23.696666666666669</v>
      </c>
      <c r="BD51" s="467">
        <f t="shared" si="111"/>
        <v>21.694166666666668</v>
      </c>
      <c r="BE51" s="467">
        <f t="shared" si="112"/>
        <v>27.21638888888889</v>
      </c>
      <c r="BF51" s="467">
        <f t="shared" si="113"/>
        <v>36.646666666666668</v>
      </c>
      <c r="BG51" s="467">
        <f t="shared" si="114"/>
        <v>42.168888888888887</v>
      </c>
    </row>
    <row r="52" spans="1:59">
      <c r="A52" s="213" t="s">
        <v>5314</v>
      </c>
      <c r="B52" s="231">
        <v>644923315</v>
      </c>
      <c r="C52" s="210" t="s">
        <v>433</v>
      </c>
      <c r="F52" s="239" t="str" cm="1">
        <f t="array" aca="1" ref="F52" ca="1">MID(met2utc(PEPSSI_Commanding[[#This Row],[MET]]),3,15)</f>
        <v>26-179/03:29:59</v>
      </c>
      <c r="G52" s="213" t="str">
        <f t="shared" si="65"/>
        <v>ON</v>
      </c>
      <c r="H52" s="214">
        <f t="shared" si="66"/>
        <v>644923315</v>
      </c>
      <c r="I52" s="214">
        <f t="shared" si="67"/>
        <v>644924995</v>
      </c>
      <c r="J52" s="213">
        <f t="shared" si="68"/>
        <v>0</v>
      </c>
      <c r="K52" s="213">
        <f t="shared" si="69"/>
        <v>10</v>
      </c>
      <c r="M52" s="210" t="str">
        <f t="shared" si="70"/>
        <v/>
      </c>
      <c r="N52" s="210" t="str">
        <f t="shared" si="71"/>
        <v/>
      </c>
      <c r="O52" s="210" t="str">
        <f t="shared" si="72"/>
        <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0</v>
      </c>
      <c r="Z52" s="467">
        <f t="shared" si="82"/>
        <v>0</v>
      </c>
      <c r="AA52" s="467">
        <f t="shared" si="83"/>
        <v>0</v>
      </c>
      <c r="AB52" s="243"/>
      <c r="AC52" s="467">
        <f t="shared" si="84"/>
        <v>0</v>
      </c>
      <c r="AD52" s="467">
        <f t="shared" si="85"/>
        <v>0</v>
      </c>
      <c r="AE52" s="467">
        <f t="shared" si="86"/>
        <v>0</v>
      </c>
      <c r="AF52" s="467">
        <f t="shared" si="87"/>
        <v>0</v>
      </c>
      <c r="AG52" s="467">
        <f t="shared" si="88"/>
        <v>0</v>
      </c>
      <c r="AH52" s="467">
        <f t="shared" si="89"/>
        <v>0</v>
      </c>
      <c r="AI52" s="467">
        <f t="shared" si="90"/>
        <v>0</v>
      </c>
      <c r="AJ52" s="467">
        <f t="shared" si="91"/>
        <v>0</v>
      </c>
      <c r="AK52" s="467">
        <f t="shared" si="92"/>
        <v>0</v>
      </c>
      <c r="AL52" s="467">
        <f t="shared" si="93"/>
        <v>0</v>
      </c>
      <c r="AM52" s="467">
        <f t="shared" si="94"/>
        <v>0</v>
      </c>
      <c r="AN52" s="467">
        <f t="shared" si="95"/>
        <v>0</v>
      </c>
      <c r="AO52" s="467">
        <f t="shared" si="96"/>
        <v>0</v>
      </c>
      <c r="AP52" s="467">
        <f t="shared" si="97"/>
        <v>0</v>
      </c>
      <c r="AQ52" s="467">
        <f t="shared" si="98"/>
        <v>0</v>
      </c>
      <c r="AR52" s="467">
        <f t="shared" si="99"/>
        <v>0</v>
      </c>
      <c r="AS52" s="467">
        <f t="shared" si="100"/>
        <v>0</v>
      </c>
      <c r="AT52" s="467">
        <f t="shared" si="101"/>
        <v>0</v>
      </c>
      <c r="AU52" s="467">
        <f t="shared" si="102"/>
        <v>0</v>
      </c>
      <c r="AV52" s="467">
        <f t="shared" si="103"/>
        <v>0</v>
      </c>
      <c r="AW52" s="467">
        <f t="shared" si="104"/>
        <v>0</v>
      </c>
      <c r="AX52" s="467">
        <f t="shared" si="105"/>
        <v>0</v>
      </c>
      <c r="AY52" s="467">
        <f t="shared" si="106"/>
        <v>0</v>
      </c>
      <c r="AZ52" s="467">
        <f t="shared" si="107"/>
        <v>0</v>
      </c>
      <c r="BA52" s="467">
        <f t="shared" si="108"/>
        <v>0</v>
      </c>
      <c r="BB52" s="467">
        <f t="shared" si="109"/>
        <v>0</v>
      </c>
      <c r="BC52" s="467">
        <f t="shared" si="110"/>
        <v>0</v>
      </c>
      <c r="BD52" s="467">
        <f t="shared" si="111"/>
        <v>0</v>
      </c>
      <c r="BE52" s="467">
        <f t="shared" si="112"/>
        <v>0</v>
      </c>
      <c r="BF52" s="467">
        <f t="shared" si="113"/>
        <v>0</v>
      </c>
      <c r="BG52" s="467">
        <f t="shared" si="114"/>
        <v>0</v>
      </c>
    </row>
    <row r="53" spans="1:59">
      <c r="A53" s="213" t="s">
        <v>5315</v>
      </c>
      <c r="B53" s="231">
        <v>644923360</v>
      </c>
      <c r="C53" s="210" t="s">
        <v>5285</v>
      </c>
      <c r="D53" s="210">
        <v>10</v>
      </c>
      <c r="F53" s="239" t="str" cm="1">
        <f t="array" aca="1" ref="F53" ca="1">MID(met2utc(PEPSSI_Commanding[[#This Row],[MET]]),3,15)</f>
        <v>26-179/03:30:44</v>
      </c>
      <c r="G53" s="213" t="str">
        <f t="shared" si="65"/>
        <v>MAC+10</v>
      </c>
      <c r="H53" s="214">
        <f t="shared" si="66"/>
        <v>644923315</v>
      </c>
      <c r="I53" s="214">
        <f t="shared" si="67"/>
        <v>644924995</v>
      </c>
      <c r="J53" s="213">
        <f t="shared" si="68"/>
        <v>1</v>
      </c>
      <c r="K53" s="213">
        <f t="shared" si="69"/>
        <v>9</v>
      </c>
      <c r="M53" s="210" t="str">
        <f t="shared" si="70"/>
        <v/>
      </c>
      <c r="N53" s="210" t="str">
        <f t="shared" si="71"/>
        <v/>
      </c>
      <c r="O53" s="210" t="str">
        <f t="shared" si="72"/>
        <v/>
      </c>
      <c r="P53" s="210" t="str">
        <f t="shared" si="73"/>
        <v/>
      </c>
      <c r="Q53" s="210" t="str">
        <f t="shared" si="74"/>
        <v/>
      </c>
      <c r="R53" s="210" t="str">
        <f t="shared" si="75"/>
        <v/>
      </c>
      <c r="S53" s="210" t="str">
        <f t="shared" si="76"/>
        <v/>
      </c>
      <c r="U53" s="467">
        <f t="shared" si="77"/>
        <v>0</v>
      </c>
      <c r="V53" s="467">
        <f t="shared" si="78"/>
        <v>0</v>
      </c>
      <c r="W53" s="467">
        <f t="shared" si="79"/>
        <v>0</v>
      </c>
      <c r="X53" s="467">
        <f t="shared" si="80"/>
        <v>0</v>
      </c>
      <c r="Y53" s="467">
        <f t="shared" si="81"/>
        <v>0</v>
      </c>
      <c r="Z53" s="467">
        <f t="shared" si="82"/>
        <v>0</v>
      </c>
      <c r="AA53" s="467">
        <f t="shared" si="83"/>
        <v>0</v>
      </c>
      <c r="AB53" s="243"/>
      <c r="AC53" s="467">
        <f t="shared" si="84"/>
        <v>0</v>
      </c>
      <c r="AD53" s="467">
        <f t="shared" si="85"/>
        <v>0</v>
      </c>
      <c r="AE53" s="467">
        <f t="shared" si="86"/>
        <v>0</v>
      </c>
      <c r="AF53" s="467">
        <f t="shared" si="87"/>
        <v>0</v>
      </c>
      <c r="AG53" s="467">
        <f t="shared" si="88"/>
        <v>0</v>
      </c>
      <c r="AH53" s="467">
        <f t="shared" si="89"/>
        <v>0</v>
      </c>
      <c r="AI53" s="467">
        <f t="shared" si="90"/>
        <v>0</v>
      </c>
      <c r="AJ53" s="467">
        <f t="shared" si="91"/>
        <v>0</v>
      </c>
      <c r="AK53" s="467">
        <f t="shared" si="92"/>
        <v>0</v>
      </c>
      <c r="AL53" s="467">
        <f t="shared" si="93"/>
        <v>0</v>
      </c>
      <c r="AM53" s="467">
        <f t="shared" si="94"/>
        <v>0</v>
      </c>
      <c r="AN53" s="467">
        <f t="shared" si="95"/>
        <v>0</v>
      </c>
      <c r="AO53" s="467">
        <f t="shared" si="96"/>
        <v>0</v>
      </c>
      <c r="AP53" s="467">
        <f t="shared" si="97"/>
        <v>0</v>
      </c>
      <c r="AQ53" s="467">
        <f t="shared" si="98"/>
        <v>0</v>
      </c>
      <c r="AR53" s="467">
        <f t="shared" si="99"/>
        <v>0</v>
      </c>
      <c r="AS53" s="467">
        <f t="shared" si="100"/>
        <v>0</v>
      </c>
      <c r="AT53" s="467">
        <f t="shared" si="101"/>
        <v>0</v>
      </c>
      <c r="AU53" s="467">
        <f t="shared" si="102"/>
        <v>0</v>
      </c>
      <c r="AV53" s="467">
        <f t="shared" si="103"/>
        <v>0</v>
      </c>
      <c r="AW53" s="467">
        <f t="shared" si="104"/>
        <v>0</v>
      </c>
      <c r="AX53" s="467">
        <f t="shared" si="105"/>
        <v>0</v>
      </c>
      <c r="AY53" s="467">
        <f t="shared" si="106"/>
        <v>0</v>
      </c>
      <c r="AZ53" s="467">
        <f t="shared" si="107"/>
        <v>0</v>
      </c>
      <c r="BA53" s="467">
        <f t="shared" si="108"/>
        <v>0</v>
      </c>
      <c r="BB53" s="467">
        <f t="shared" si="109"/>
        <v>0</v>
      </c>
      <c r="BC53" s="467">
        <f t="shared" si="110"/>
        <v>0</v>
      </c>
      <c r="BD53" s="467">
        <f t="shared" si="111"/>
        <v>0</v>
      </c>
      <c r="BE53" s="467">
        <f t="shared" si="112"/>
        <v>0</v>
      </c>
      <c r="BF53" s="467">
        <f t="shared" si="113"/>
        <v>0</v>
      </c>
      <c r="BG53" s="467">
        <f t="shared" si="114"/>
        <v>0</v>
      </c>
    </row>
    <row r="54" spans="1:59">
      <c r="A54" s="213" t="s">
        <v>5316</v>
      </c>
      <c r="B54" s="231">
        <v>644923360</v>
      </c>
      <c r="C54" s="210" t="s">
        <v>61</v>
      </c>
      <c r="D54" s="210">
        <v>10</v>
      </c>
      <c r="F54" s="239" t="str" cm="1">
        <f t="array" aca="1" ref="F54" ca="1">MID(met2utc(PEPSSI_Commanding[[#This Row],[MET]]),3,15)</f>
        <v>26-179/03:30:44</v>
      </c>
      <c r="G54" s="213" t="str">
        <f t="shared" si="65"/>
        <v>N2+10</v>
      </c>
      <c r="H54" s="214">
        <f t="shared" si="66"/>
        <v>644923315</v>
      </c>
      <c r="I54" s="214">
        <f t="shared" si="67"/>
        <v>644924995</v>
      </c>
      <c r="J54" s="213">
        <f t="shared" si="68"/>
        <v>2</v>
      </c>
      <c r="K54" s="213">
        <f t="shared" si="69"/>
        <v>8</v>
      </c>
      <c r="M54" s="210" t="str">
        <f t="shared" si="70"/>
        <v/>
      </c>
      <c r="N54" s="210">
        <f t="shared" si="71"/>
        <v>10</v>
      </c>
      <c r="O54" s="210" t="str">
        <f t="shared" si="72"/>
        <v/>
      </c>
      <c r="P54" s="210" t="str">
        <f t="shared" si="73"/>
        <v/>
      </c>
      <c r="Q54" s="210" t="str">
        <f t="shared" si="74"/>
        <v/>
      </c>
      <c r="R54" s="210" t="str">
        <f t="shared" si="75"/>
        <v/>
      </c>
      <c r="S54" s="210" t="str">
        <f t="shared" si="76"/>
        <v/>
      </c>
      <c r="U54" s="467">
        <f t="shared" si="77"/>
        <v>0</v>
      </c>
      <c r="V54" s="467">
        <f t="shared" si="78"/>
        <v>0</v>
      </c>
      <c r="W54" s="467">
        <f t="shared" si="79"/>
        <v>0</v>
      </c>
      <c r="X54" s="467">
        <f t="shared" si="80"/>
        <v>0</v>
      </c>
      <c r="Y54" s="467">
        <f t="shared" si="81"/>
        <v>133</v>
      </c>
      <c r="Z54" s="467">
        <f t="shared" si="82"/>
        <v>133</v>
      </c>
      <c r="AA54" s="467">
        <f t="shared" si="83"/>
        <v>0</v>
      </c>
      <c r="AB54" s="243"/>
      <c r="AC54" s="467">
        <f t="shared" si="84"/>
        <v>0</v>
      </c>
      <c r="AD54" s="467">
        <f t="shared" si="85"/>
        <v>0</v>
      </c>
      <c r="AE54" s="467">
        <f t="shared" si="86"/>
        <v>0</v>
      </c>
      <c r="AF54" s="467">
        <f t="shared" si="87"/>
        <v>133</v>
      </c>
      <c r="AG54" s="467">
        <f t="shared" si="88"/>
        <v>133</v>
      </c>
      <c r="AH54" s="467">
        <f t="shared" si="89"/>
        <v>133</v>
      </c>
      <c r="AI54" s="467">
        <f t="shared" si="90"/>
        <v>133</v>
      </c>
      <c r="AJ54" s="467">
        <f t="shared" si="91"/>
        <v>0</v>
      </c>
      <c r="AK54" s="467">
        <f t="shared" si="92"/>
        <v>0</v>
      </c>
      <c r="AL54" s="467">
        <f t="shared" si="93"/>
        <v>0</v>
      </c>
      <c r="AM54" s="467">
        <f t="shared" si="94"/>
        <v>0</v>
      </c>
      <c r="AN54" s="467">
        <f t="shared" si="95"/>
        <v>133</v>
      </c>
      <c r="AO54" s="467">
        <f t="shared" si="96"/>
        <v>133</v>
      </c>
      <c r="AP54" s="467">
        <f t="shared" si="97"/>
        <v>133</v>
      </c>
      <c r="AQ54" s="467">
        <f t="shared" si="98"/>
        <v>133</v>
      </c>
      <c r="AR54" s="467">
        <f t="shared" si="99"/>
        <v>0</v>
      </c>
      <c r="AS54" s="467">
        <f t="shared" si="100"/>
        <v>0</v>
      </c>
      <c r="AT54" s="467">
        <f t="shared" si="101"/>
        <v>0</v>
      </c>
      <c r="AU54" s="467">
        <f t="shared" si="102"/>
        <v>0</v>
      </c>
      <c r="AV54" s="467">
        <f t="shared" si="103"/>
        <v>133</v>
      </c>
      <c r="AW54" s="467">
        <f t="shared" si="104"/>
        <v>133</v>
      </c>
      <c r="AX54" s="467">
        <f t="shared" si="105"/>
        <v>133</v>
      </c>
      <c r="AY54" s="467">
        <f t="shared" si="106"/>
        <v>133</v>
      </c>
      <c r="AZ54" s="467">
        <f t="shared" si="107"/>
        <v>0</v>
      </c>
      <c r="BA54" s="467">
        <f t="shared" si="108"/>
        <v>0</v>
      </c>
      <c r="BB54" s="467">
        <f t="shared" si="109"/>
        <v>0</v>
      </c>
      <c r="BC54" s="467">
        <f t="shared" si="110"/>
        <v>0</v>
      </c>
      <c r="BD54" s="467">
        <f t="shared" si="111"/>
        <v>133</v>
      </c>
      <c r="BE54" s="467">
        <f t="shared" si="112"/>
        <v>133</v>
      </c>
      <c r="BF54" s="467">
        <f t="shared" si="113"/>
        <v>133</v>
      </c>
      <c r="BG54" s="467">
        <f t="shared" si="114"/>
        <v>133</v>
      </c>
    </row>
    <row r="55" spans="1:59">
      <c r="A55" s="213" t="s">
        <v>5316</v>
      </c>
      <c r="B55" s="231">
        <v>644923361</v>
      </c>
      <c r="C55" s="210" t="s">
        <v>58</v>
      </c>
      <c r="D55" s="210">
        <v>300</v>
      </c>
      <c r="F55" s="239" t="str" cm="1">
        <f t="array" aca="1" ref="F55" ca="1">MID(met2utc(PEPSSI_Commanding[[#This Row],[MET]]),3,15)</f>
        <v>26-179/03:30:45</v>
      </c>
      <c r="G55" s="213" t="str">
        <f t="shared" si="65"/>
        <v>N3+300</v>
      </c>
      <c r="H55" s="214">
        <f t="shared" si="66"/>
        <v>644923315</v>
      </c>
      <c r="I55" s="214">
        <f t="shared" si="67"/>
        <v>644924995</v>
      </c>
      <c r="J55" s="213">
        <f t="shared" si="68"/>
        <v>3</v>
      </c>
      <c r="K55" s="213">
        <f t="shared" si="69"/>
        <v>7</v>
      </c>
      <c r="M55" s="210" t="str">
        <f t="shared" si="70"/>
        <v/>
      </c>
      <c r="N55" s="210">
        <f t="shared" si="71"/>
        <v>10</v>
      </c>
      <c r="O55" s="210">
        <f t="shared" si="72"/>
        <v>300</v>
      </c>
      <c r="P55" s="210" t="str">
        <f t="shared" si="73"/>
        <v/>
      </c>
      <c r="Q55" s="210" t="str">
        <f t="shared" si="74"/>
        <v/>
      </c>
      <c r="R55" s="210" t="str">
        <f t="shared" si="75"/>
        <v/>
      </c>
      <c r="S55" s="210" t="str">
        <f t="shared" si="76"/>
        <v/>
      </c>
      <c r="U55" s="467">
        <f t="shared" si="77"/>
        <v>0</v>
      </c>
      <c r="V55" s="467">
        <f t="shared" si="78"/>
        <v>0</v>
      </c>
      <c r="W55" s="467">
        <f t="shared" si="79"/>
        <v>0</v>
      </c>
      <c r="X55" s="467">
        <f t="shared" si="80"/>
        <v>0</v>
      </c>
      <c r="Y55" s="467">
        <f t="shared" si="81"/>
        <v>133</v>
      </c>
      <c r="Z55" s="467">
        <f t="shared" si="82"/>
        <v>133</v>
      </c>
      <c r="AA55" s="467">
        <f t="shared" si="83"/>
        <v>66.36</v>
      </c>
      <c r="AB55" s="243"/>
      <c r="AC55" s="467">
        <f t="shared" si="84"/>
        <v>0</v>
      </c>
      <c r="AD55" s="467">
        <f t="shared" si="85"/>
        <v>66.36</v>
      </c>
      <c r="AE55" s="467">
        <f t="shared" si="86"/>
        <v>66.36</v>
      </c>
      <c r="AF55" s="467">
        <f t="shared" si="87"/>
        <v>133</v>
      </c>
      <c r="AG55" s="467">
        <f t="shared" si="88"/>
        <v>133</v>
      </c>
      <c r="AH55" s="467">
        <f t="shared" si="89"/>
        <v>199.36</v>
      </c>
      <c r="AI55" s="467">
        <f t="shared" si="90"/>
        <v>199.36</v>
      </c>
      <c r="AJ55" s="467">
        <f t="shared" si="91"/>
        <v>0</v>
      </c>
      <c r="AK55" s="467">
        <f t="shared" si="92"/>
        <v>0</v>
      </c>
      <c r="AL55" s="467">
        <f t="shared" si="93"/>
        <v>66.36</v>
      </c>
      <c r="AM55" s="467">
        <f t="shared" si="94"/>
        <v>66.36</v>
      </c>
      <c r="AN55" s="467">
        <f t="shared" si="95"/>
        <v>133</v>
      </c>
      <c r="AO55" s="467">
        <f t="shared" si="96"/>
        <v>133</v>
      </c>
      <c r="AP55" s="467">
        <f t="shared" si="97"/>
        <v>199.36</v>
      </c>
      <c r="AQ55" s="467">
        <f t="shared" si="98"/>
        <v>199.36</v>
      </c>
      <c r="AR55" s="467">
        <f t="shared" si="99"/>
        <v>0</v>
      </c>
      <c r="AS55" s="467">
        <f t="shared" si="100"/>
        <v>0</v>
      </c>
      <c r="AT55" s="467">
        <f t="shared" si="101"/>
        <v>66.36</v>
      </c>
      <c r="AU55" s="467">
        <f t="shared" si="102"/>
        <v>66.36</v>
      </c>
      <c r="AV55" s="467">
        <f t="shared" si="103"/>
        <v>133</v>
      </c>
      <c r="AW55" s="467">
        <f t="shared" si="104"/>
        <v>133</v>
      </c>
      <c r="AX55" s="467">
        <f t="shared" si="105"/>
        <v>199.36</v>
      </c>
      <c r="AY55" s="467">
        <f t="shared" si="106"/>
        <v>199.36</v>
      </c>
      <c r="AZ55" s="467">
        <f t="shared" si="107"/>
        <v>0</v>
      </c>
      <c r="BA55" s="467">
        <f t="shared" si="108"/>
        <v>0</v>
      </c>
      <c r="BB55" s="467">
        <f t="shared" si="109"/>
        <v>66.36</v>
      </c>
      <c r="BC55" s="467">
        <f t="shared" si="110"/>
        <v>66.36</v>
      </c>
      <c r="BD55" s="467">
        <f t="shared" si="111"/>
        <v>133</v>
      </c>
      <c r="BE55" s="467">
        <f t="shared" si="112"/>
        <v>133</v>
      </c>
      <c r="BF55" s="467">
        <f t="shared" si="113"/>
        <v>199.36</v>
      </c>
      <c r="BG55" s="467">
        <f t="shared" si="114"/>
        <v>199.36</v>
      </c>
    </row>
    <row r="56" spans="1:59">
      <c r="A56" s="213" t="s">
        <v>5316</v>
      </c>
      <c r="B56" s="231">
        <v>644923362</v>
      </c>
      <c r="C56" s="210" t="s">
        <v>1</v>
      </c>
      <c r="D56" s="210">
        <v>10</v>
      </c>
      <c r="F56" s="239" t="str" cm="1">
        <f t="array" aca="1" ref="F56" ca="1">MID(met2utc(PEPSSI_Commanding[[#This Row],[MET]]),3,15)</f>
        <v>26-179/03:30:46</v>
      </c>
      <c r="G56" s="213" t="str">
        <f t="shared" si="65"/>
        <v>N1+10</v>
      </c>
      <c r="H56" s="214">
        <f t="shared" si="66"/>
        <v>644923315</v>
      </c>
      <c r="I56" s="214">
        <f t="shared" si="67"/>
        <v>644924995</v>
      </c>
      <c r="J56" s="213">
        <f t="shared" si="68"/>
        <v>4</v>
      </c>
      <c r="K56" s="213">
        <f t="shared" si="69"/>
        <v>6</v>
      </c>
      <c r="M56" s="210">
        <f t="shared" si="70"/>
        <v>10</v>
      </c>
      <c r="N56" s="210">
        <f t="shared" si="71"/>
        <v>10</v>
      </c>
      <c r="O56" s="210">
        <f t="shared" si="72"/>
        <v>300</v>
      </c>
      <c r="P56" s="210" t="str">
        <f t="shared" si="73"/>
        <v/>
      </c>
      <c r="Q56" s="210" t="str">
        <f t="shared" si="74"/>
        <v/>
      </c>
      <c r="R56" s="210" t="str">
        <f t="shared" si="75"/>
        <v/>
      </c>
      <c r="S56" s="210" t="str">
        <f t="shared" si="76"/>
        <v/>
      </c>
      <c r="U56" s="467">
        <f t="shared" si="77"/>
        <v>0</v>
      </c>
      <c r="V56" s="467">
        <f t="shared" si="78"/>
        <v>0</v>
      </c>
      <c r="W56" s="467">
        <f t="shared" si="79"/>
        <v>0</v>
      </c>
      <c r="X56" s="467">
        <f t="shared" si="80"/>
        <v>198.8</v>
      </c>
      <c r="Y56" s="467">
        <f t="shared" si="81"/>
        <v>133</v>
      </c>
      <c r="Z56" s="467">
        <f t="shared" si="82"/>
        <v>133</v>
      </c>
      <c r="AA56" s="467">
        <f t="shared" si="83"/>
        <v>66.36</v>
      </c>
      <c r="AB56" s="243"/>
      <c r="AC56" s="467">
        <f t="shared" si="84"/>
        <v>198.8</v>
      </c>
      <c r="AD56" s="467">
        <f t="shared" si="85"/>
        <v>66.36</v>
      </c>
      <c r="AE56" s="467">
        <f t="shared" si="86"/>
        <v>265.16000000000003</v>
      </c>
      <c r="AF56" s="467">
        <f t="shared" si="87"/>
        <v>133</v>
      </c>
      <c r="AG56" s="467">
        <f t="shared" si="88"/>
        <v>331.8</v>
      </c>
      <c r="AH56" s="467">
        <f t="shared" si="89"/>
        <v>199.36</v>
      </c>
      <c r="AI56" s="467">
        <f t="shared" si="90"/>
        <v>398.16</v>
      </c>
      <c r="AJ56" s="467">
        <f t="shared" si="91"/>
        <v>0</v>
      </c>
      <c r="AK56" s="467">
        <f t="shared" si="92"/>
        <v>198.8</v>
      </c>
      <c r="AL56" s="467">
        <f t="shared" si="93"/>
        <v>66.36</v>
      </c>
      <c r="AM56" s="467">
        <f t="shared" si="94"/>
        <v>265.16000000000003</v>
      </c>
      <c r="AN56" s="467">
        <f t="shared" si="95"/>
        <v>133</v>
      </c>
      <c r="AO56" s="467">
        <f t="shared" si="96"/>
        <v>331.8</v>
      </c>
      <c r="AP56" s="467">
        <f t="shared" si="97"/>
        <v>199.36</v>
      </c>
      <c r="AQ56" s="467">
        <f t="shared" si="98"/>
        <v>398.16</v>
      </c>
      <c r="AR56" s="467">
        <f t="shared" si="99"/>
        <v>0</v>
      </c>
      <c r="AS56" s="467">
        <f t="shared" si="100"/>
        <v>198.8</v>
      </c>
      <c r="AT56" s="467">
        <f t="shared" si="101"/>
        <v>66.36</v>
      </c>
      <c r="AU56" s="467">
        <f t="shared" si="102"/>
        <v>265.16000000000003</v>
      </c>
      <c r="AV56" s="467">
        <f t="shared" si="103"/>
        <v>133</v>
      </c>
      <c r="AW56" s="467">
        <f t="shared" si="104"/>
        <v>331.8</v>
      </c>
      <c r="AX56" s="467">
        <f t="shared" si="105"/>
        <v>199.36</v>
      </c>
      <c r="AY56" s="467">
        <f t="shared" si="106"/>
        <v>398.16</v>
      </c>
      <c r="AZ56" s="467">
        <f t="shared" si="107"/>
        <v>0</v>
      </c>
      <c r="BA56" s="467">
        <f t="shared" si="108"/>
        <v>198.8</v>
      </c>
      <c r="BB56" s="467">
        <f t="shared" si="109"/>
        <v>66.36</v>
      </c>
      <c r="BC56" s="467">
        <f t="shared" si="110"/>
        <v>265.16000000000003</v>
      </c>
      <c r="BD56" s="467">
        <f t="shared" si="111"/>
        <v>133</v>
      </c>
      <c r="BE56" s="467">
        <f t="shared" si="112"/>
        <v>331.8</v>
      </c>
      <c r="BF56" s="467">
        <f t="shared" si="113"/>
        <v>199.36</v>
      </c>
      <c r="BG56" s="467">
        <f t="shared" si="114"/>
        <v>398.16</v>
      </c>
    </row>
    <row r="57" spans="1:59">
      <c r="A57" s="213" t="s">
        <v>5317</v>
      </c>
      <c r="B57" s="231">
        <v>644923363</v>
      </c>
      <c r="C57" s="210" t="s">
        <v>5284</v>
      </c>
      <c r="D57" s="210">
        <v>1</v>
      </c>
      <c r="F57" s="239" t="str" cm="1">
        <f t="array" aca="1" ref="F57" ca="1">MID(met2utc(PEPSSI_Commanding[[#This Row],[MET]]),3,15)</f>
        <v>26-179/03:30:47</v>
      </c>
      <c r="G57" s="213" t="str">
        <f t="shared" si="65"/>
        <v>STAT+1</v>
      </c>
      <c r="H57" s="214">
        <f t="shared" si="66"/>
        <v>644923315</v>
      </c>
      <c r="I57" s="214">
        <f t="shared" si="67"/>
        <v>644924995</v>
      </c>
      <c r="J57" s="213">
        <f t="shared" si="68"/>
        <v>5</v>
      </c>
      <c r="K57" s="213">
        <f t="shared" si="69"/>
        <v>5</v>
      </c>
      <c r="M57" s="210">
        <f t="shared" si="70"/>
        <v>10</v>
      </c>
      <c r="N57" s="210">
        <f t="shared" si="71"/>
        <v>10</v>
      </c>
      <c r="O57" s="210">
        <f t="shared" si="72"/>
        <v>300</v>
      </c>
      <c r="P57" s="210">
        <f t="shared" si="73"/>
        <v>1</v>
      </c>
      <c r="Q57" s="210" t="str">
        <f t="shared" si="74"/>
        <v/>
      </c>
      <c r="R57" s="210" t="str">
        <f t="shared" si="75"/>
        <v/>
      </c>
      <c r="S57" s="210" t="str">
        <f t="shared" si="76"/>
        <v/>
      </c>
      <c r="U57" s="467">
        <f t="shared" si="77"/>
        <v>0</v>
      </c>
      <c r="V57" s="467">
        <f t="shared" si="78"/>
        <v>0</v>
      </c>
      <c r="W57" s="467">
        <f t="shared" si="79"/>
        <v>512</v>
      </c>
      <c r="X57" s="467">
        <f t="shared" si="80"/>
        <v>198.8</v>
      </c>
      <c r="Y57" s="467">
        <f t="shared" si="81"/>
        <v>133</v>
      </c>
      <c r="Z57" s="467">
        <f t="shared" si="82"/>
        <v>133</v>
      </c>
      <c r="AA57" s="467">
        <f t="shared" si="83"/>
        <v>66.36</v>
      </c>
      <c r="AB57" s="243"/>
      <c r="AC57" s="467">
        <f t="shared" si="84"/>
        <v>198.8</v>
      </c>
      <c r="AD57" s="467">
        <f t="shared" si="85"/>
        <v>66.36</v>
      </c>
      <c r="AE57" s="467">
        <f t="shared" si="86"/>
        <v>265.16000000000003</v>
      </c>
      <c r="AF57" s="467">
        <f t="shared" si="87"/>
        <v>133</v>
      </c>
      <c r="AG57" s="467">
        <f t="shared" si="88"/>
        <v>331.8</v>
      </c>
      <c r="AH57" s="467">
        <f t="shared" si="89"/>
        <v>199.36</v>
      </c>
      <c r="AI57" s="467">
        <f t="shared" si="90"/>
        <v>398.16</v>
      </c>
      <c r="AJ57" s="467">
        <f t="shared" si="91"/>
        <v>0</v>
      </c>
      <c r="AK57" s="467">
        <f t="shared" si="92"/>
        <v>198.8</v>
      </c>
      <c r="AL57" s="467">
        <f t="shared" si="93"/>
        <v>66.36</v>
      </c>
      <c r="AM57" s="467">
        <f t="shared" si="94"/>
        <v>265.16000000000003</v>
      </c>
      <c r="AN57" s="467">
        <f t="shared" si="95"/>
        <v>133</v>
      </c>
      <c r="AO57" s="467">
        <f t="shared" si="96"/>
        <v>331.8</v>
      </c>
      <c r="AP57" s="467">
        <f t="shared" si="97"/>
        <v>199.36</v>
      </c>
      <c r="AQ57" s="467">
        <f t="shared" si="98"/>
        <v>398.16</v>
      </c>
      <c r="AR57" s="467">
        <f t="shared" si="99"/>
        <v>512</v>
      </c>
      <c r="AS57" s="467">
        <f t="shared" si="100"/>
        <v>710.8</v>
      </c>
      <c r="AT57" s="467">
        <f t="shared" si="101"/>
        <v>578.36</v>
      </c>
      <c r="AU57" s="467">
        <f t="shared" si="102"/>
        <v>777.16000000000008</v>
      </c>
      <c r="AV57" s="467">
        <f t="shared" si="103"/>
        <v>645</v>
      </c>
      <c r="AW57" s="467">
        <f t="shared" si="104"/>
        <v>843.8</v>
      </c>
      <c r="AX57" s="467">
        <f t="shared" si="105"/>
        <v>711.36</v>
      </c>
      <c r="AY57" s="467">
        <f t="shared" si="106"/>
        <v>910.16000000000008</v>
      </c>
      <c r="AZ57" s="467">
        <f t="shared" si="107"/>
        <v>512</v>
      </c>
      <c r="BA57" s="467">
        <f t="shared" si="108"/>
        <v>710.8</v>
      </c>
      <c r="BB57" s="467">
        <f t="shared" si="109"/>
        <v>578.36</v>
      </c>
      <c r="BC57" s="467">
        <f t="shared" si="110"/>
        <v>777.16000000000008</v>
      </c>
      <c r="BD57" s="467">
        <f t="shared" si="111"/>
        <v>645</v>
      </c>
      <c r="BE57" s="467">
        <f t="shared" si="112"/>
        <v>843.8</v>
      </c>
      <c r="BF57" s="467">
        <f t="shared" si="113"/>
        <v>711.36</v>
      </c>
      <c r="BG57" s="467">
        <f t="shared" si="114"/>
        <v>910.16000000000008</v>
      </c>
    </row>
    <row r="58" spans="1:59">
      <c r="A58" s="213" t="s">
        <v>5316</v>
      </c>
      <c r="B58" s="231">
        <v>644924846</v>
      </c>
      <c r="C58" s="210" t="s">
        <v>61</v>
      </c>
      <c r="D58" s="210">
        <v>40</v>
      </c>
      <c r="F58" s="239" t="str" cm="1">
        <f t="array" aca="1" ref="F58" ca="1">MID(met2utc(PEPSSI_Commanding[[#This Row],[MET]]),3,15)</f>
        <v>26-179/03:55:30</v>
      </c>
      <c r="G58" s="213" t="str">
        <f t="shared" si="65"/>
        <v>N2+40</v>
      </c>
      <c r="H58" s="214">
        <f t="shared" si="66"/>
        <v>644923315</v>
      </c>
      <c r="I58" s="214">
        <f t="shared" si="67"/>
        <v>644924995</v>
      </c>
      <c r="J58" s="213">
        <f t="shared" si="68"/>
        <v>6</v>
      </c>
      <c r="K58" s="213">
        <f t="shared" si="69"/>
        <v>4</v>
      </c>
      <c r="M58" s="210">
        <f t="shared" si="70"/>
        <v>10</v>
      </c>
      <c r="N58" s="210">
        <f t="shared" si="71"/>
        <v>40</v>
      </c>
      <c r="O58" s="210">
        <f t="shared" si="72"/>
        <v>300</v>
      </c>
      <c r="P58" s="210">
        <f t="shared" si="73"/>
        <v>1</v>
      </c>
      <c r="Q58" s="210" t="str">
        <f t="shared" si="74"/>
        <v/>
      </c>
      <c r="R58" s="210" t="str">
        <f t="shared" si="75"/>
        <v/>
      </c>
      <c r="S58" s="210" t="str">
        <f t="shared" si="76"/>
        <v/>
      </c>
      <c r="U58" s="467">
        <f t="shared" si="77"/>
        <v>0</v>
      </c>
      <c r="V58" s="467">
        <f t="shared" si="78"/>
        <v>0</v>
      </c>
      <c r="W58" s="467">
        <f t="shared" si="79"/>
        <v>512</v>
      </c>
      <c r="X58" s="467">
        <f t="shared" si="80"/>
        <v>198.8</v>
      </c>
      <c r="Y58" s="467">
        <f t="shared" si="81"/>
        <v>33.25</v>
      </c>
      <c r="Z58" s="467">
        <f t="shared" si="82"/>
        <v>33.25</v>
      </c>
      <c r="AA58" s="467">
        <f t="shared" si="83"/>
        <v>66.36</v>
      </c>
      <c r="AB58" s="243"/>
      <c r="AC58" s="467">
        <f t="shared" si="84"/>
        <v>198.8</v>
      </c>
      <c r="AD58" s="467">
        <f t="shared" si="85"/>
        <v>66.36</v>
      </c>
      <c r="AE58" s="467">
        <f t="shared" si="86"/>
        <v>265.16000000000003</v>
      </c>
      <c r="AF58" s="467">
        <f t="shared" si="87"/>
        <v>33.25</v>
      </c>
      <c r="AG58" s="467">
        <f t="shared" si="88"/>
        <v>232.05</v>
      </c>
      <c r="AH58" s="467">
        <f t="shared" si="89"/>
        <v>99.61</v>
      </c>
      <c r="AI58" s="467">
        <f t="shared" si="90"/>
        <v>298.41000000000003</v>
      </c>
      <c r="AJ58" s="467">
        <f t="shared" si="91"/>
        <v>0</v>
      </c>
      <c r="AK58" s="467">
        <f t="shared" si="92"/>
        <v>198.8</v>
      </c>
      <c r="AL58" s="467">
        <f t="shared" si="93"/>
        <v>66.36</v>
      </c>
      <c r="AM58" s="467">
        <f t="shared" si="94"/>
        <v>265.16000000000003</v>
      </c>
      <c r="AN58" s="467">
        <f t="shared" si="95"/>
        <v>33.25</v>
      </c>
      <c r="AO58" s="467">
        <f t="shared" si="96"/>
        <v>232.05</v>
      </c>
      <c r="AP58" s="467">
        <f t="shared" si="97"/>
        <v>99.61</v>
      </c>
      <c r="AQ58" s="467">
        <f t="shared" si="98"/>
        <v>298.41000000000003</v>
      </c>
      <c r="AR58" s="467">
        <f t="shared" si="99"/>
        <v>512</v>
      </c>
      <c r="AS58" s="467">
        <f t="shared" si="100"/>
        <v>710.8</v>
      </c>
      <c r="AT58" s="467">
        <f t="shared" si="101"/>
        <v>578.36</v>
      </c>
      <c r="AU58" s="467">
        <f t="shared" si="102"/>
        <v>777.16000000000008</v>
      </c>
      <c r="AV58" s="467">
        <f t="shared" si="103"/>
        <v>545.25</v>
      </c>
      <c r="AW58" s="467">
        <f t="shared" si="104"/>
        <v>744.05</v>
      </c>
      <c r="AX58" s="467">
        <f t="shared" si="105"/>
        <v>611.61</v>
      </c>
      <c r="AY58" s="467">
        <f t="shared" si="106"/>
        <v>810.41000000000008</v>
      </c>
      <c r="AZ58" s="467">
        <f t="shared" si="107"/>
        <v>512</v>
      </c>
      <c r="BA58" s="467">
        <f t="shared" si="108"/>
        <v>710.8</v>
      </c>
      <c r="BB58" s="467">
        <f t="shared" si="109"/>
        <v>578.36</v>
      </c>
      <c r="BC58" s="467">
        <f t="shared" si="110"/>
        <v>777.16000000000008</v>
      </c>
      <c r="BD58" s="467">
        <f t="shared" si="111"/>
        <v>545.25</v>
      </c>
      <c r="BE58" s="467">
        <f t="shared" si="112"/>
        <v>744.05</v>
      </c>
      <c r="BF58" s="467">
        <f t="shared" si="113"/>
        <v>611.61</v>
      </c>
      <c r="BG58" s="467">
        <f t="shared" si="114"/>
        <v>810.41000000000008</v>
      </c>
    </row>
    <row r="59" spans="1:59">
      <c r="A59" s="213" t="s">
        <v>5316</v>
      </c>
      <c r="B59" s="231">
        <v>644924847</v>
      </c>
      <c r="C59" s="210" t="s">
        <v>58</v>
      </c>
      <c r="D59" s="210">
        <v>7200</v>
      </c>
      <c r="F59" s="239" t="str" cm="1">
        <f t="array" aca="1" ref="F59" ca="1">MID(met2utc(PEPSSI_Commanding[[#This Row],[MET]]),3,15)</f>
        <v>26-179/03:55:31</v>
      </c>
      <c r="G59" s="213" t="str">
        <f t="shared" si="65"/>
        <v>N3+7200</v>
      </c>
      <c r="H59" s="214">
        <f t="shared" si="66"/>
        <v>644923315</v>
      </c>
      <c r="I59" s="214">
        <f t="shared" si="67"/>
        <v>644924995</v>
      </c>
      <c r="J59" s="213">
        <f t="shared" si="68"/>
        <v>7</v>
      </c>
      <c r="K59" s="213">
        <f t="shared" si="69"/>
        <v>3</v>
      </c>
      <c r="M59" s="210">
        <f t="shared" si="70"/>
        <v>10</v>
      </c>
      <c r="N59" s="210">
        <f t="shared" si="71"/>
        <v>40</v>
      </c>
      <c r="O59" s="210">
        <f t="shared" si="72"/>
        <v>7200</v>
      </c>
      <c r="P59" s="210">
        <f t="shared" si="73"/>
        <v>1</v>
      </c>
      <c r="Q59" s="210" t="str">
        <f t="shared" si="74"/>
        <v/>
      </c>
      <c r="R59" s="210" t="str">
        <f t="shared" si="75"/>
        <v/>
      </c>
      <c r="S59" s="210" t="str">
        <f t="shared" si="76"/>
        <v/>
      </c>
      <c r="U59" s="467">
        <f t="shared" si="77"/>
        <v>0</v>
      </c>
      <c r="V59" s="467">
        <f t="shared" si="78"/>
        <v>0</v>
      </c>
      <c r="W59" s="467">
        <f t="shared" si="79"/>
        <v>512</v>
      </c>
      <c r="X59" s="467">
        <f t="shared" si="80"/>
        <v>198.8</v>
      </c>
      <c r="Y59" s="467">
        <f t="shared" si="81"/>
        <v>33.25</v>
      </c>
      <c r="Z59" s="467">
        <f t="shared" si="82"/>
        <v>33.25</v>
      </c>
      <c r="AA59" s="467">
        <f t="shared" si="83"/>
        <v>2.7650000000000001</v>
      </c>
      <c r="AB59" s="243"/>
      <c r="AC59" s="467">
        <f t="shared" si="84"/>
        <v>198.8</v>
      </c>
      <c r="AD59" s="467">
        <f t="shared" si="85"/>
        <v>2.7650000000000001</v>
      </c>
      <c r="AE59" s="467">
        <f t="shared" si="86"/>
        <v>201.565</v>
      </c>
      <c r="AF59" s="467">
        <f t="shared" si="87"/>
        <v>33.25</v>
      </c>
      <c r="AG59" s="467">
        <f t="shared" si="88"/>
        <v>232.05</v>
      </c>
      <c r="AH59" s="467">
        <f t="shared" si="89"/>
        <v>36.015000000000001</v>
      </c>
      <c r="AI59" s="467">
        <f t="shared" si="90"/>
        <v>234.815</v>
      </c>
      <c r="AJ59" s="467">
        <f t="shared" si="91"/>
        <v>0</v>
      </c>
      <c r="AK59" s="467">
        <f t="shared" si="92"/>
        <v>198.8</v>
      </c>
      <c r="AL59" s="467">
        <f t="shared" si="93"/>
        <v>2.7650000000000001</v>
      </c>
      <c r="AM59" s="467">
        <f t="shared" si="94"/>
        <v>201.565</v>
      </c>
      <c r="AN59" s="467">
        <f t="shared" si="95"/>
        <v>33.25</v>
      </c>
      <c r="AO59" s="467">
        <f t="shared" si="96"/>
        <v>232.05</v>
      </c>
      <c r="AP59" s="467">
        <f t="shared" si="97"/>
        <v>36.015000000000001</v>
      </c>
      <c r="AQ59" s="467">
        <f t="shared" si="98"/>
        <v>234.815</v>
      </c>
      <c r="AR59" s="467">
        <f t="shared" si="99"/>
        <v>512</v>
      </c>
      <c r="AS59" s="467">
        <f t="shared" si="100"/>
        <v>710.8</v>
      </c>
      <c r="AT59" s="467">
        <f t="shared" si="101"/>
        <v>514.76499999999999</v>
      </c>
      <c r="AU59" s="467">
        <f t="shared" si="102"/>
        <v>713.56500000000005</v>
      </c>
      <c r="AV59" s="467">
        <f t="shared" si="103"/>
        <v>545.25</v>
      </c>
      <c r="AW59" s="467">
        <f t="shared" si="104"/>
        <v>744.05</v>
      </c>
      <c r="AX59" s="467">
        <f t="shared" si="105"/>
        <v>548.01499999999999</v>
      </c>
      <c r="AY59" s="467">
        <f t="shared" si="106"/>
        <v>746.81500000000005</v>
      </c>
      <c r="AZ59" s="467">
        <f t="shared" si="107"/>
        <v>512</v>
      </c>
      <c r="BA59" s="467">
        <f t="shared" si="108"/>
        <v>710.8</v>
      </c>
      <c r="BB59" s="467">
        <f t="shared" si="109"/>
        <v>514.76499999999999</v>
      </c>
      <c r="BC59" s="467">
        <f t="shared" si="110"/>
        <v>713.56500000000005</v>
      </c>
      <c r="BD59" s="467">
        <f t="shared" si="111"/>
        <v>545.25</v>
      </c>
      <c r="BE59" s="467">
        <f t="shared" si="112"/>
        <v>744.05</v>
      </c>
      <c r="BF59" s="467">
        <f t="shared" si="113"/>
        <v>548.01499999999999</v>
      </c>
      <c r="BG59" s="467">
        <f t="shared" si="114"/>
        <v>746.81500000000005</v>
      </c>
    </row>
    <row r="60" spans="1:59">
      <c r="A60" s="213" t="s">
        <v>5316</v>
      </c>
      <c r="B60" s="231">
        <v>644924848</v>
      </c>
      <c r="C60" s="210" t="s">
        <v>1</v>
      </c>
      <c r="D60" s="210">
        <v>3600</v>
      </c>
      <c r="F60" s="239" t="str" cm="1">
        <f t="array" aca="1" ref="F60" ca="1">MID(met2utc(PEPSSI_Commanding[[#This Row],[MET]]),3,15)</f>
        <v>26-179/03:55:32</v>
      </c>
      <c r="G60" s="213" t="str">
        <f t="shared" si="65"/>
        <v>N1+3600</v>
      </c>
      <c r="H60" s="214">
        <f t="shared" si="66"/>
        <v>644923315</v>
      </c>
      <c r="I60" s="214">
        <f t="shared" si="67"/>
        <v>644924995</v>
      </c>
      <c r="J60" s="213">
        <f t="shared" si="68"/>
        <v>8</v>
      </c>
      <c r="K60" s="213">
        <f t="shared" si="69"/>
        <v>2</v>
      </c>
      <c r="M60" s="210">
        <f t="shared" si="70"/>
        <v>3600</v>
      </c>
      <c r="N60" s="210">
        <f t="shared" si="71"/>
        <v>40</v>
      </c>
      <c r="O60" s="210">
        <f t="shared" si="72"/>
        <v>7200</v>
      </c>
      <c r="P60" s="210">
        <f t="shared" si="73"/>
        <v>1</v>
      </c>
      <c r="Q60" s="210" t="str">
        <f t="shared" si="74"/>
        <v/>
      </c>
      <c r="R60" s="210" t="str">
        <f t="shared" si="75"/>
        <v/>
      </c>
      <c r="S60" s="210" t="str">
        <f t="shared" si="76"/>
        <v/>
      </c>
      <c r="U60" s="467">
        <f t="shared" si="77"/>
        <v>0</v>
      </c>
      <c r="V60" s="467">
        <f t="shared" si="78"/>
        <v>0</v>
      </c>
      <c r="W60" s="467">
        <f t="shared" si="79"/>
        <v>512</v>
      </c>
      <c r="X60" s="467">
        <f t="shared" si="80"/>
        <v>0.55222222222222217</v>
      </c>
      <c r="Y60" s="467">
        <f t="shared" si="81"/>
        <v>33.25</v>
      </c>
      <c r="Z60" s="467">
        <f t="shared" si="82"/>
        <v>33.25</v>
      </c>
      <c r="AA60" s="467">
        <f t="shared" si="83"/>
        <v>2.7650000000000001</v>
      </c>
      <c r="AB60" s="243"/>
      <c r="AC60" s="467">
        <f t="shared" si="84"/>
        <v>0.55222222222222217</v>
      </c>
      <c r="AD60" s="467">
        <f t="shared" si="85"/>
        <v>2.7650000000000001</v>
      </c>
      <c r="AE60" s="467">
        <f t="shared" si="86"/>
        <v>3.3172222222222221</v>
      </c>
      <c r="AF60" s="467">
        <f t="shared" si="87"/>
        <v>33.25</v>
      </c>
      <c r="AG60" s="467">
        <f t="shared" si="88"/>
        <v>33.80222222222222</v>
      </c>
      <c r="AH60" s="467">
        <f t="shared" si="89"/>
        <v>36.015000000000001</v>
      </c>
      <c r="AI60" s="467">
        <f t="shared" si="90"/>
        <v>36.56722222222222</v>
      </c>
      <c r="AJ60" s="467">
        <f t="shared" si="91"/>
        <v>0</v>
      </c>
      <c r="AK60" s="467">
        <f t="shared" si="92"/>
        <v>0.55222222222222217</v>
      </c>
      <c r="AL60" s="467">
        <f t="shared" si="93"/>
        <v>2.7650000000000001</v>
      </c>
      <c r="AM60" s="467">
        <f t="shared" si="94"/>
        <v>3.3172222222222221</v>
      </c>
      <c r="AN60" s="467">
        <f t="shared" si="95"/>
        <v>33.25</v>
      </c>
      <c r="AO60" s="467">
        <f t="shared" si="96"/>
        <v>33.80222222222222</v>
      </c>
      <c r="AP60" s="467">
        <f t="shared" si="97"/>
        <v>36.015000000000001</v>
      </c>
      <c r="AQ60" s="467">
        <f t="shared" si="98"/>
        <v>36.56722222222222</v>
      </c>
      <c r="AR60" s="467">
        <f t="shared" si="99"/>
        <v>512</v>
      </c>
      <c r="AS60" s="467">
        <f t="shared" si="100"/>
        <v>512.55222222222221</v>
      </c>
      <c r="AT60" s="467">
        <f t="shared" si="101"/>
        <v>514.76499999999999</v>
      </c>
      <c r="AU60" s="467">
        <f t="shared" si="102"/>
        <v>515.3172222222222</v>
      </c>
      <c r="AV60" s="467">
        <f t="shared" si="103"/>
        <v>545.25</v>
      </c>
      <c r="AW60" s="467">
        <f t="shared" si="104"/>
        <v>545.80222222222221</v>
      </c>
      <c r="AX60" s="467">
        <f t="shared" si="105"/>
        <v>548.01499999999999</v>
      </c>
      <c r="AY60" s="467">
        <f t="shared" si="106"/>
        <v>548.5672222222222</v>
      </c>
      <c r="AZ60" s="467">
        <f t="shared" si="107"/>
        <v>512</v>
      </c>
      <c r="BA60" s="467">
        <f t="shared" si="108"/>
        <v>512.55222222222221</v>
      </c>
      <c r="BB60" s="467">
        <f t="shared" si="109"/>
        <v>514.76499999999999</v>
      </c>
      <c r="BC60" s="467">
        <f t="shared" si="110"/>
        <v>515.3172222222222</v>
      </c>
      <c r="BD60" s="467">
        <f t="shared" si="111"/>
        <v>545.25</v>
      </c>
      <c r="BE60" s="467">
        <f t="shared" si="112"/>
        <v>545.80222222222221</v>
      </c>
      <c r="BF60" s="467">
        <f t="shared" si="113"/>
        <v>548.01499999999999</v>
      </c>
      <c r="BG60" s="467">
        <f t="shared" si="114"/>
        <v>548.5672222222222</v>
      </c>
    </row>
    <row r="61" spans="1:59">
      <c r="A61" s="213" t="s">
        <v>5317</v>
      </c>
      <c r="B61" s="231">
        <v>644924849</v>
      </c>
      <c r="C61" s="210" t="s">
        <v>5284</v>
      </c>
      <c r="D61" s="210">
        <v>300</v>
      </c>
      <c r="F61" s="239" t="str" cm="1">
        <f t="array" aca="1" ref="F61" ca="1">MID(met2utc(PEPSSI_Commanding[[#This Row],[MET]]),3,15)</f>
        <v>26-179/03:55:33</v>
      </c>
      <c r="G61" s="213" t="str">
        <f t="shared" si="65"/>
        <v>STAT+300</v>
      </c>
      <c r="H61" s="214">
        <f t="shared" si="66"/>
        <v>644923315</v>
      </c>
      <c r="I61" s="214">
        <f t="shared" si="67"/>
        <v>644924995</v>
      </c>
      <c r="J61" s="213">
        <f t="shared" si="68"/>
        <v>9</v>
      </c>
      <c r="K61" s="213">
        <f t="shared" si="69"/>
        <v>1</v>
      </c>
      <c r="M61" s="210">
        <f t="shared" si="70"/>
        <v>3600</v>
      </c>
      <c r="N61" s="210">
        <f t="shared" si="71"/>
        <v>40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0.55222222222222217</v>
      </c>
      <c r="Y61" s="467">
        <f t="shared" si="81"/>
        <v>33.25</v>
      </c>
      <c r="Z61" s="467">
        <f t="shared" si="82"/>
        <v>33.25</v>
      </c>
      <c r="AA61" s="467">
        <f t="shared" si="83"/>
        <v>2.7650000000000001</v>
      </c>
      <c r="AB61" s="243"/>
      <c r="AC61" s="467">
        <f t="shared" si="84"/>
        <v>0.55222222222222217</v>
      </c>
      <c r="AD61" s="467">
        <f t="shared" si="85"/>
        <v>2.7650000000000001</v>
      </c>
      <c r="AE61" s="467">
        <f t="shared" si="86"/>
        <v>3.3172222222222221</v>
      </c>
      <c r="AF61" s="467">
        <f t="shared" si="87"/>
        <v>33.25</v>
      </c>
      <c r="AG61" s="467">
        <f t="shared" si="88"/>
        <v>33.80222222222222</v>
      </c>
      <c r="AH61" s="467">
        <f t="shared" si="89"/>
        <v>36.015000000000001</v>
      </c>
      <c r="AI61" s="467">
        <f t="shared" si="90"/>
        <v>36.56722222222222</v>
      </c>
      <c r="AJ61" s="467">
        <f t="shared" si="91"/>
        <v>0</v>
      </c>
      <c r="AK61" s="467">
        <f t="shared" si="92"/>
        <v>0.55222222222222217</v>
      </c>
      <c r="AL61" s="467">
        <f t="shared" si="93"/>
        <v>2.7650000000000001</v>
      </c>
      <c r="AM61" s="467">
        <f t="shared" si="94"/>
        <v>3.3172222222222221</v>
      </c>
      <c r="AN61" s="467">
        <f t="shared" si="95"/>
        <v>33.25</v>
      </c>
      <c r="AO61" s="467">
        <f t="shared" si="96"/>
        <v>33.80222222222222</v>
      </c>
      <c r="AP61" s="467">
        <f t="shared" si="97"/>
        <v>36.015000000000001</v>
      </c>
      <c r="AQ61" s="467">
        <f t="shared" si="98"/>
        <v>36.56722222222222</v>
      </c>
      <c r="AR61" s="467">
        <f t="shared" si="99"/>
        <v>1.7066666666666668</v>
      </c>
      <c r="AS61" s="467">
        <f t="shared" si="100"/>
        <v>2.2588888888888889</v>
      </c>
      <c r="AT61" s="467">
        <f t="shared" si="101"/>
        <v>4.4716666666666667</v>
      </c>
      <c r="AU61" s="467">
        <f t="shared" si="102"/>
        <v>5.0238888888888891</v>
      </c>
      <c r="AV61" s="467">
        <f t="shared" si="103"/>
        <v>34.956666666666663</v>
      </c>
      <c r="AW61" s="467">
        <f t="shared" si="104"/>
        <v>35.508888888888883</v>
      </c>
      <c r="AX61" s="467">
        <f t="shared" si="105"/>
        <v>37.721666666666664</v>
      </c>
      <c r="AY61" s="467">
        <f t="shared" si="106"/>
        <v>38.273888888888884</v>
      </c>
      <c r="AZ61" s="467">
        <f t="shared" si="107"/>
        <v>1.7066666666666668</v>
      </c>
      <c r="BA61" s="467">
        <f t="shared" si="108"/>
        <v>2.2588888888888889</v>
      </c>
      <c r="BB61" s="467">
        <f t="shared" si="109"/>
        <v>4.4716666666666667</v>
      </c>
      <c r="BC61" s="467">
        <f t="shared" si="110"/>
        <v>5.0238888888888891</v>
      </c>
      <c r="BD61" s="467">
        <f t="shared" si="111"/>
        <v>34.956666666666663</v>
      </c>
      <c r="BE61" s="467">
        <f t="shared" si="112"/>
        <v>35.508888888888883</v>
      </c>
      <c r="BF61" s="467">
        <f t="shared" si="113"/>
        <v>37.721666666666664</v>
      </c>
      <c r="BG61" s="467">
        <f t="shared" si="114"/>
        <v>38.273888888888884</v>
      </c>
    </row>
    <row r="62" spans="1:59">
      <c r="A62" s="213" t="s">
        <v>5316</v>
      </c>
      <c r="B62" s="231">
        <v>644924995</v>
      </c>
      <c r="C62" s="210" t="s">
        <v>61</v>
      </c>
      <c r="D62" s="210">
        <v>360</v>
      </c>
      <c r="F62" s="239" t="str" cm="1">
        <f t="array" aca="1" ref="F62" ca="1">MID(met2utc(PEPSSI_Commanding[[#This Row],[MET]]),3,15)</f>
        <v>26-179/03:57:59</v>
      </c>
      <c r="G62" s="213" t="str">
        <f t="shared" si="65"/>
        <v>N2+360</v>
      </c>
      <c r="H62" s="214">
        <f t="shared" si="66"/>
        <v>644924995</v>
      </c>
      <c r="I62" s="214">
        <f t="shared" si="67"/>
        <v>676426255</v>
      </c>
      <c r="J62" s="213">
        <f t="shared" si="68"/>
        <v>10</v>
      </c>
      <c r="K62" s="213">
        <f t="shared" si="69"/>
        <v>7</v>
      </c>
      <c r="M62" s="210">
        <f t="shared" si="70"/>
        <v>3600</v>
      </c>
      <c r="N62" s="210">
        <f t="shared" si="71"/>
        <v>360</v>
      </c>
      <c r="O62" s="210">
        <f t="shared" si="72"/>
        <v>7200</v>
      </c>
      <c r="P62" s="210">
        <f t="shared" si="73"/>
        <v>300</v>
      </c>
      <c r="Q62" s="210" t="str">
        <f t="shared" si="74"/>
        <v/>
      </c>
      <c r="R62" s="210" t="str">
        <f t="shared" si="75"/>
        <v/>
      </c>
      <c r="S62" s="210" t="str">
        <f t="shared" si="76"/>
        <v/>
      </c>
      <c r="U62" s="467">
        <f t="shared" si="77"/>
        <v>0</v>
      </c>
      <c r="V62" s="467">
        <f t="shared" si="78"/>
        <v>0</v>
      </c>
      <c r="W62" s="467">
        <f t="shared" si="79"/>
        <v>1.7066666666666668</v>
      </c>
      <c r="X62" s="467">
        <f t="shared" si="80"/>
        <v>0.55222222222222217</v>
      </c>
      <c r="Y62" s="467">
        <f t="shared" si="81"/>
        <v>3.6944444444444446</v>
      </c>
      <c r="Z62" s="467">
        <f t="shared" si="82"/>
        <v>3.6944444444444446</v>
      </c>
      <c r="AA62" s="467">
        <f t="shared" si="83"/>
        <v>2.7650000000000001</v>
      </c>
      <c r="AB62" s="243"/>
      <c r="AC62" s="467">
        <f t="shared" si="84"/>
        <v>0.55222222222222217</v>
      </c>
      <c r="AD62" s="467">
        <f t="shared" si="85"/>
        <v>2.7650000000000001</v>
      </c>
      <c r="AE62" s="467">
        <f t="shared" si="86"/>
        <v>3.3172222222222221</v>
      </c>
      <c r="AF62" s="467">
        <f t="shared" si="87"/>
        <v>3.6944444444444446</v>
      </c>
      <c r="AG62" s="467">
        <f t="shared" si="88"/>
        <v>4.246666666666667</v>
      </c>
      <c r="AH62" s="467">
        <f t="shared" si="89"/>
        <v>6.4594444444444452</v>
      </c>
      <c r="AI62" s="467">
        <f t="shared" si="90"/>
        <v>7.0116666666666676</v>
      </c>
      <c r="AJ62" s="467">
        <f t="shared" si="91"/>
        <v>0</v>
      </c>
      <c r="AK62" s="467">
        <f t="shared" si="92"/>
        <v>0.55222222222222217</v>
      </c>
      <c r="AL62" s="467">
        <f t="shared" si="93"/>
        <v>2.7650000000000001</v>
      </c>
      <c r="AM62" s="467">
        <f t="shared" si="94"/>
        <v>3.3172222222222221</v>
      </c>
      <c r="AN62" s="467">
        <f t="shared" si="95"/>
        <v>3.6944444444444446</v>
      </c>
      <c r="AO62" s="467">
        <f t="shared" si="96"/>
        <v>4.246666666666667</v>
      </c>
      <c r="AP62" s="467">
        <f t="shared" si="97"/>
        <v>6.4594444444444452</v>
      </c>
      <c r="AQ62" s="467">
        <f t="shared" si="98"/>
        <v>7.0116666666666676</v>
      </c>
      <c r="AR62" s="467">
        <f t="shared" si="99"/>
        <v>1.7066666666666668</v>
      </c>
      <c r="AS62" s="467">
        <f t="shared" si="100"/>
        <v>2.2588888888888889</v>
      </c>
      <c r="AT62" s="467">
        <f t="shared" si="101"/>
        <v>4.4716666666666667</v>
      </c>
      <c r="AU62" s="467">
        <f t="shared" si="102"/>
        <v>5.0238888888888891</v>
      </c>
      <c r="AV62" s="467">
        <f t="shared" si="103"/>
        <v>5.4011111111111116</v>
      </c>
      <c r="AW62" s="467">
        <f t="shared" si="104"/>
        <v>5.953333333333334</v>
      </c>
      <c r="AX62" s="467">
        <f t="shared" si="105"/>
        <v>8.1661111111111122</v>
      </c>
      <c r="AY62" s="467">
        <f t="shared" si="106"/>
        <v>8.7183333333333337</v>
      </c>
      <c r="AZ62" s="467">
        <f t="shared" si="107"/>
        <v>1.7066666666666668</v>
      </c>
      <c r="BA62" s="467">
        <f t="shared" si="108"/>
        <v>2.2588888888888889</v>
      </c>
      <c r="BB62" s="467">
        <f t="shared" si="109"/>
        <v>4.4716666666666667</v>
      </c>
      <c r="BC62" s="467">
        <f t="shared" si="110"/>
        <v>5.0238888888888891</v>
      </c>
      <c r="BD62" s="467">
        <f t="shared" si="111"/>
        <v>5.4011111111111116</v>
      </c>
      <c r="BE62" s="467">
        <f t="shared" si="112"/>
        <v>5.953333333333334</v>
      </c>
      <c r="BF62" s="467">
        <f t="shared" si="113"/>
        <v>8.1661111111111122</v>
      </c>
      <c r="BG62" s="467">
        <f t="shared" si="114"/>
        <v>8.7183333333333337</v>
      </c>
    </row>
    <row r="63" spans="1:59">
      <c r="A63" s="213" t="s">
        <v>5316</v>
      </c>
      <c r="B63" s="231">
        <v>644924998</v>
      </c>
      <c r="C63" s="210" t="s">
        <v>1</v>
      </c>
      <c r="D63" s="210">
        <v>360</v>
      </c>
      <c r="F63" s="239" t="str" cm="1">
        <f t="array" aca="1" ref="F63" ca="1">MID(met2utc(PEPSSI_Commanding[[#This Row],[MET]]),3,15)</f>
        <v>26-179/03:58:02</v>
      </c>
      <c r="G63" s="213" t="str">
        <f t="shared" si="65"/>
        <v>N1+360</v>
      </c>
      <c r="H63" s="214">
        <f t="shared" si="66"/>
        <v>644924995</v>
      </c>
      <c r="I63" s="214">
        <f t="shared" si="67"/>
        <v>676426255</v>
      </c>
      <c r="J63" s="213">
        <f t="shared" si="68"/>
        <v>11</v>
      </c>
      <c r="K63" s="213">
        <f t="shared" si="69"/>
        <v>6</v>
      </c>
      <c r="M63" s="210">
        <f t="shared" si="70"/>
        <v>360</v>
      </c>
      <c r="N63" s="210">
        <f t="shared" si="71"/>
        <v>360</v>
      </c>
      <c r="O63" s="210">
        <f t="shared" si="72"/>
        <v>7200</v>
      </c>
      <c r="P63" s="210">
        <f t="shared" si="73"/>
        <v>300</v>
      </c>
      <c r="Q63" s="210" t="str">
        <f t="shared" si="74"/>
        <v/>
      </c>
      <c r="R63" s="210" t="str">
        <f t="shared" si="75"/>
        <v/>
      </c>
      <c r="S63" s="210" t="str">
        <f t="shared" si="76"/>
        <v/>
      </c>
      <c r="U63" s="467">
        <f t="shared" si="77"/>
        <v>0</v>
      </c>
      <c r="V63" s="467">
        <f t="shared" si="78"/>
        <v>0</v>
      </c>
      <c r="W63" s="467">
        <f t="shared" si="79"/>
        <v>1.7066666666666668</v>
      </c>
      <c r="X63" s="467">
        <f t="shared" si="80"/>
        <v>5.5222222222222221</v>
      </c>
      <c r="Y63" s="467">
        <f t="shared" si="81"/>
        <v>3.6944444444444446</v>
      </c>
      <c r="Z63" s="467">
        <f t="shared" si="82"/>
        <v>3.6944444444444446</v>
      </c>
      <c r="AA63" s="467">
        <f t="shared" si="83"/>
        <v>2.7650000000000001</v>
      </c>
      <c r="AB63" s="243"/>
      <c r="AC63" s="467">
        <f t="shared" si="84"/>
        <v>5.5222222222222221</v>
      </c>
      <c r="AD63" s="467">
        <f t="shared" si="85"/>
        <v>2.7650000000000001</v>
      </c>
      <c r="AE63" s="467">
        <f t="shared" si="86"/>
        <v>8.2872222222222227</v>
      </c>
      <c r="AF63" s="467">
        <f t="shared" si="87"/>
        <v>3.6944444444444446</v>
      </c>
      <c r="AG63" s="467">
        <f t="shared" si="88"/>
        <v>9.2166666666666668</v>
      </c>
      <c r="AH63" s="467">
        <f t="shared" si="89"/>
        <v>6.4594444444444452</v>
      </c>
      <c r="AI63" s="467">
        <f t="shared" si="90"/>
        <v>11.981666666666667</v>
      </c>
      <c r="AJ63" s="467">
        <f t="shared" si="91"/>
        <v>0</v>
      </c>
      <c r="AK63" s="467">
        <f t="shared" si="92"/>
        <v>5.5222222222222221</v>
      </c>
      <c r="AL63" s="467">
        <f t="shared" si="93"/>
        <v>2.7650000000000001</v>
      </c>
      <c r="AM63" s="467">
        <f t="shared" si="94"/>
        <v>8.2872222222222227</v>
      </c>
      <c r="AN63" s="467">
        <f t="shared" si="95"/>
        <v>3.6944444444444446</v>
      </c>
      <c r="AO63" s="467">
        <f t="shared" si="96"/>
        <v>9.2166666666666668</v>
      </c>
      <c r="AP63" s="467">
        <f t="shared" si="97"/>
        <v>6.4594444444444452</v>
      </c>
      <c r="AQ63" s="467">
        <f t="shared" si="98"/>
        <v>11.981666666666667</v>
      </c>
      <c r="AR63" s="467">
        <f t="shared" si="99"/>
        <v>1.7066666666666668</v>
      </c>
      <c r="AS63" s="467">
        <f t="shared" si="100"/>
        <v>7.2288888888888891</v>
      </c>
      <c r="AT63" s="467">
        <f t="shared" si="101"/>
        <v>4.4716666666666667</v>
      </c>
      <c r="AU63" s="467">
        <f t="shared" si="102"/>
        <v>9.9938888888888897</v>
      </c>
      <c r="AV63" s="467">
        <f t="shared" si="103"/>
        <v>5.4011111111111116</v>
      </c>
      <c r="AW63" s="467">
        <f t="shared" si="104"/>
        <v>10.923333333333334</v>
      </c>
      <c r="AX63" s="467">
        <f t="shared" si="105"/>
        <v>8.1661111111111122</v>
      </c>
      <c r="AY63" s="467">
        <f t="shared" si="106"/>
        <v>13.688333333333334</v>
      </c>
      <c r="AZ63" s="467">
        <f t="shared" si="107"/>
        <v>1.7066666666666668</v>
      </c>
      <c r="BA63" s="467">
        <f t="shared" si="108"/>
        <v>7.2288888888888891</v>
      </c>
      <c r="BB63" s="467">
        <f t="shared" si="109"/>
        <v>4.4716666666666667</v>
      </c>
      <c r="BC63" s="467">
        <f t="shared" si="110"/>
        <v>9.9938888888888897</v>
      </c>
      <c r="BD63" s="467">
        <f t="shared" si="111"/>
        <v>5.4011111111111116</v>
      </c>
      <c r="BE63" s="467">
        <f t="shared" si="112"/>
        <v>10.923333333333334</v>
      </c>
      <c r="BF63" s="467">
        <f t="shared" si="113"/>
        <v>8.1661111111111122</v>
      </c>
      <c r="BG63" s="467">
        <f t="shared" si="114"/>
        <v>13.688333333333334</v>
      </c>
    </row>
    <row r="64" spans="1:59">
      <c r="A64" s="213" t="s">
        <v>5316</v>
      </c>
      <c r="B64" s="231">
        <v>644925001</v>
      </c>
      <c r="C64" s="210" t="s">
        <v>58</v>
      </c>
      <c r="D64" s="210">
        <v>900</v>
      </c>
      <c r="F64" s="239" t="str" cm="1">
        <f t="array" aca="1" ref="F64" ca="1">MID(met2utc(PEPSSI_Commanding[[#This Row],[MET]]),3,15)</f>
        <v>26-179/03:58:05</v>
      </c>
      <c r="G64" s="213" t="str">
        <f t="shared" si="65"/>
        <v>N3+900</v>
      </c>
      <c r="H64" s="214">
        <f t="shared" si="66"/>
        <v>644924995</v>
      </c>
      <c r="I64" s="214">
        <f t="shared" si="67"/>
        <v>676426255</v>
      </c>
      <c r="J64" s="213">
        <f t="shared" si="68"/>
        <v>12</v>
      </c>
      <c r="K64" s="213">
        <f t="shared" si="69"/>
        <v>5</v>
      </c>
      <c r="M64" s="210">
        <f t="shared" si="70"/>
        <v>360</v>
      </c>
      <c r="N64" s="210">
        <f t="shared" si="71"/>
        <v>360</v>
      </c>
      <c r="O64" s="210">
        <f t="shared" si="72"/>
        <v>900</v>
      </c>
      <c r="P64" s="210">
        <f t="shared" si="73"/>
        <v>300</v>
      </c>
      <c r="Q64" s="210" t="str">
        <f t="shared" si="74"/>
        <v/>
      </c>
      <c r="R64" s="210" t="str">
        <f t="shared" si="75"/>
        <v/>
      </c>
      <c r="S64" s="210" t="str">
        <f t="shared" si="76"/>
        <v/>
      </c>
      <c r="U64" s="467">
        <f t="shared" si="77"/>
        <v>0</v>
      </c>
      <c r="V64" s="467">
        <f t="shared" si="78"/>
        <v>0</v>
      </c>
      <c r="W64" s="467">
        <f t="shared" si="79"/>
        <v>1.7066666666666668</v>
      </c>
      <c r="X64" s="467">
        <f t="shared" si="80"/>
        <v>5.5222222222222221</v>
      </c>
      <c r="Y64" s="467">
        <f t="shared" si="81"/>
        <v>3.6944444444444446</v>
      </c>
      <c r="Z64" s="467">
        <f t="shared" si="82"/>
        <v>3.6944444444444446</v>
      </c>
      <c r="AA64" s="467">
        <f t="shared" si="83"/>
        <v>22.12</v>
      </c>
      <c r="AB64" s="243"/>
      <c r="AC64" s="467">
        <f t="shared" si="84"/>
        <v>5.5222222222222221</v>
      </c>
      <c r="AD64" s="467">
        <f t="shared" si="85"/>
        <v>22.12</v>
      </c>
      <c r="AE64" s="467">
        <f t="shared" si="86"/>
        <v>27.642222222222223</v>
      </c>
      <c r="AF64" s="467">
        <f t="shared" si="87"/>
        <v>3.6944444444444446</v>
      </c>
      <c r="AG64" s="467">
        <f t="shared" si="88"/>
        <v>9.2166666666666668</v>
      </c>
      <c r="AH64" s="467">
        <f t="shared" si="89"/>
        <v>25.814444444444447</v>
      </c>
      <c r="AI64" s="467">
        <f t="shared" si="90"/>
        <v>31.33666666666667</v>
      </c>
      <c r="AJ64" s="467">
        <f t="shared" si="91"/>
        <v>0</v>
      </c>
      <c r="AK64" s="467">
        <f t="shared" si="92"/>
        <v>5.5222222222222221</v>
      </c>
      <c r="AL64" s="467">
        <f t="shared" si="93"/>
        <v>22.12</v>
      </c>
      <c r="AM64" s="467">
        <f t="shared" si="94"/>
        <v>27.642222222222223</v>
      </c>
      <c r="AN64" s="467">
        <f t="shared" si="95"/>
        <v>3.6944444444444446</v>
      </c>
      <c r="AO64" s="467">
        <f t="shared" si="96"/>
        <v>9.2166666666666668</v>
      </c>
      <c r="AP64" s="467">
        <f t="shared" si="97"/>
        <v>25.814444444444447</v>
      </c>
      <c r="AQ64" s="467">
        <f t="shared" si="98"/>
        <v>31.33666666666667</v>
      </c>
      <c r="AR64" s="467">
        <f t="shared" si="99"/>
        <v>1.7066666666666668</v>
      </c>
      <c r="AS64" s="467">
        <f t="shared" si="100"/>
        <v>7.2288888888888891</v>
      </c>
      <c r="AT64" s="467">
        <f t="shared" si="101"/>
        <v>23.826666666666668</v>
      </c>
      <c r="AU64" s="467">
        <f t="shared" si="102"/>
        <v>29.34888888888889</v>
      </c>
      <c r="AV64" s="467">
        <f t="shared" si="103"/>
        <v>5.4011111111111116</v>
      </c>
      <c r="AW64" s="467">
        <f t="shared" si="104"/>
        <v>10.923333333333334</v>
      </c>
      <c r="AX64" s="467">
        <f t="shared" si="105"/>
        <v>27.521111111111111</v>
      </c>
      <c r="AY64" s="467">
        <f t="shared" si="106"/>
        <v>33.043333333333337</v>
      </c>
      <c r="AZ64" s="467">
        <f t="shared" si="107"/>
        <v>1.7066666666666668</v>
      </c>
      <c r="BA64" s="467">
        <f t="shared" si="108"/>
        <v>7.2288888888888891</v>
      </c>
      <c r="BB64" s="467">
        <f t="shared" si="109"/>
        <v>23.826666666666668</v>
      </c>
      <c r="BC64" s="467">
        <f t="shared" si="110"/>
        <v>29.34888888888889</v>
      </c>
      <c r="BD64" s="467">
        <f t="shared" si="111"/>
        <v>5.4011111111111116</v>
      </c>
      <c r="BE64" s="467">
        <f t="shared" si="112"/>
        <v>10.923333333333334</v>
      </c>
      <c r="BF64" s="467">
        <f t="shared" si="113"/>
        <v>27.521111111111111</v>
      </c>
      <c r="BG64" s="467">
        <f t="shared" si="114"/>
        <v>33.043333333333337</v>
      </c>
    </row>
    <row r="65" spans="1:59">
      <c r="A65" s="213" t="s">
        <v>5317</v>
      </c>
      <c r="B65" s="231">
        <v>644925004</v>
      </c>
      <c r="C65" s="210" t="s">
        <v>5284</v>
      </c>
      <c r="D65" s="210">
        <v>1800</v>
      </c>
      <c r="F65" s="239" t="str" cm="1">
        <f t="array" aca="1" ref="F65" ca="1">MID(met2utc(PEPSSI_Commanding[[#This Row],[MET]]),3,15)</f>
        <v>26-179/03:58:08</v>
      </c>
      <c r="G65" s="213" t="str">
        <f t="shared" si="65"/>
        <v>STAT+1800</v>
      </c>
      <c r="H65" s="214">
        <f t="shared" si="66"/>
        <v>644924995</v>
      </c>
      <c r="I65" s="214">
        <f t="shared" si="67"/>
        <v>676426255</v>
      </c>
      <c r="J65" s="213">
        <f t="shared" si="68"/>
        <v>13</v>
      </c>
      <c r="K65" s="213">
        <f t="shared" si="69"/>
        <v>4</v>
      </c>
      <c r="M65" s="210">
        <f t="shared" si="70"/>
        <v>360</v>
      </c>
      <c r="N65" s="210">
        <f t="shared" si="71"/>
        <v>360</v>
      </c>
      <c r="O65" s="210">
        <f t="shared" si="72"/>
        <v>900</v>
      </c>
      <c r="P65" s="210">
        <f t="shared" si="73"/>
        <v>1800</v>
      </c>
      <c r="Q65" s="210" t="str">
        <f t="shared" si="74"/>
        <v/>
      </c>
      <c r="R65" s="210" t="str">
        <f t="shared" si="75"/>
        <v/>
      </c>
      <c r="S65" s="210" t="str">
        <f t="shared" si="76"/>
        <v/>
      </c>
      <c r="U65" s="467">
        <f t="shared" si="77"/>
        <v>0</v>
      </c>
      <c r="V65" s="467">
        <f t="shared" si="78"/>
        <v>0</v>
      </c>
      <c r="W65" s="467">
        <f t="shared" si="79"/>
        <v>0.28444444444444444</v>
      </c>
      <c r="X65" s="467">
        <f t="shared" si="80"/>
        <v>5.5222222222222221</v>
      </c>
      <c r="Y65" s="467">
        <f t="shared" si="81"/>
        <v>3.6944444444444446</v>
      </c>
      <c r="Z65" s="467">
        <f t="shared" si="82"/>
        <v>3.6944444444444446</v>
      </c>
      <c r="AA65" s="467">
        <f t="shared" si="83"/>
        <v>22.12</v>
      </c>
      <c r="AB65" s="243"/>
      <c r="AC65" s="467">
        <f t="shared" si="84"/>
        <v>5.5222222222222221</v>
      </c>
      <c r="AD65" s="467">
        <f t="shared" si="85"/>
        <v>22.12</v>
      </c>
      <c r="AE65" s="467">
        <f t="shared" si="86"/>
        <v>27.642222222222223</v>
      </c>
      <c r="AF65" s="467">
        <f t="shared" si="87"/>
        <v>3.6944444444444446</v>
      </c>
      <c r="AG65" s="467">
        <f t="shared" si="88"/>
        <v>9.2166666666666668</v>
      </c>
      <c r="AH65" s="467">
        <f t="shared" si="89"/>
        <v>25.814444444444447</v>
      </c>
      <c r="AI65" s="467">
        <f t="shared" si="90"/>
        <v>31.33666666666667</v>
      </c>
      <c r="AJ65" s="467">
        <f t="shared" si="91"/>
        <v>0</v>
      </c>
      <c r="AK65" s="467">
        <f t="shared" si="92"/>
        <v>5.5222222222222221</v>
      </c>
      <c r="AL65" s="467">
        <f t="shared" si="93"/>
        <v>22.12</v>
      </c>
      <c r="AM65" s="467">
        <f t="shared" si="94"/>
        <v>27.642222222222223</v>
      </c>
      <c r="AN65" s="467">
        <f t="shared" si="95"/>
        <v>3.6944444444444446</v>
      </c>
      <c r="AO65" s="467">
        <f t="shared" si="96"/>
        <v>9.2166666666666668</v>
      </c>
      <c r="AP65" s="467">
        <f t="shared" si="97"/>
        <v>25.814444444444447</v>
      </c>
      <c r="AQ65" s="467">
        <f t="shared" si="98"/>
        <v>31.33666666666667</v>
      </c>
      <c r="AR65" s="467">
        <f t="shared" si="99"/>
        <v>0.28444444444444444</v>
      </c>
      <c r="AS65" s="467">
        <f t="shared" si="100"/>
        <v>5.8066666666666666</v>
      </c>
      <c r="AT65" s="467">
        <f t="shared" si="101"/>
        <v>22.404444444444444</v>
      </c>
      <c r="AU65" s="467">
        <f t="shared" si="102"/>
        <v>27.926666666666666</v>
      </c>
      <c r="AV65" s="467">
        <f t="shared" si="103"/>
        <v>3.9788888888888891</v>
      </c>
      <c r="AW65" s="467">
        <f t="shared" si="104"/>
        <v>9.5011111111111113</v>
      </c>
      <c r="AX65" s="467">
        <f t="shared" si="105"/>
        <v>26.09888888888889</v>
      </c>
      <c r="AY65" s="467">
        <f t="shared" si="106"/>
        <v>31.621111111111112</v>
      </c>
      <c r="AZ65" s="467">
        <f t="shared" si="107"/>
        <v>0.28444444444444444</v>
      </c>
      <c r="BA65" s="467">
        <f t="shared" si="108"/>
        <v>5.8066666666666666</v>
      </c>
      <c r="BB65" s="467">
        <f t="shared" si="109"/>
        <v>22.404444444444444</v>
      </c>
      <c r="BC65" s="467">
        <f t="shared" si="110"/>
        <v>27.926666666666666</v>
      </c>
      <c r="BD65" s="467">
        <f t="shared" si="111"/>
        <v>3.9788888888888891</v>
      </c>
      <c r="BE65" s="467">
        <f t="shared" si="112"/>
        <v>9.5011111111111113</v>
      </c>
      <c r="BF65" s="467">
        <f t="shared" si="113"/>
        <v>26.09888888888889</v>
      </c>
      <c r="BG65" s="467">
        <f t="shared" si="114"/>
        <v>31.621111111111112</v>
      </c>
    </row>
    <row r="66" spans="1:59">
      <c r="A66" s="213" t="s">
        <v>5315</v>
      </c>
      <c r="B66" s="231">
        <v>644925055</v>
      </c>
      <c r="C66" s="210" t="s">
        <v>5285</v>
      </c>
      <c r="D66" s="210">
        <v>102</v>
      </c>
      <c r="F66" s="239" t="str" cm="1">
        <f t="array" aca="1" ref="F66" ca="1">MID(met2utc(PEPSSI_Commanding[[#This Row],[MET]]),3,15)</f>
        <v>26-179/03:58:59</v>
      </c>
      <c r="G66" s="213" t="str">
        <f t="shared" si="65"/>
        <v>MAC+102</v>
      </c>
      <c r="H66" s="214">
        <f t="shared" si="66"/>
        <v>644924995</v>
      </c>
      <c r="I66" s="214">
        <f t="shared" si="67"/>
        <v>676426255</v>
      </c>
      <c r="J66" s="213">
        <f t="shared" si="68"/>
        <v>14</v>
      </c>
      <c r="K66" s="213">
        <f t="shared" si="69"/>
        <v>3</v>
      </c>
      <c r="M66" s="210">
        <f t="shared" si="70"/>
        <v>360</v>
      </c>
      <c r="N66" s="210">
        <f t="shared" si="71"/>
        <v>360</v>
      </c>
      <c r="O66" s="210">
        <f t="shared" si="72"/>
        <v>900</v>
      </c>
      <c r="P66" s="210">
        <f t="shared" si="73"/>
        <v>1800</v>
      </c>
      <c r="Q66" s="210" t="str">
        <f t="shared" si="74"/>
        <v/>
      </c>
      <c r="R66" s="210" t="str">
        <f t="shared" si="75"/>
        <v/>
      </c>
      <c r="S66" s="210" t="str">
        <f t="shared" si="76"/>
        <v>102</v>
      </c>
      <c r="U66" s="467">
        <f t="shared" si="77"/>
        <v>0</v>
      </c>
      <c r="V66" s="467">
        <f t="shared" si="78"/>
        <v>0</v>
      </c>
      <c r="W66" s="467">
        <f t="shared" si="79"/>
        <v>0.28444444444444444</v>
      </c>
      <c r="X66" s="467">
        <f t="shared" si="80"/>
        <v>5.5222222222222221</v>
      </c>
      <c r="Y66" s="467">
        <f t="shared" si="81"/>
        <v>3.6944444444444446</v>
      </c>
      <c r="Z66" s="467">
        <f t="shared" si="82"/>
        <v>3.6944444444444446</v>
      </c>
      <c r="AA66" s="467">
        <f t="shared" si="83"/>
        <v>22.12</v>
      </c>
      <c r="AB66" s="243"/>
      <c r="AC66" s="467">
        <f t="shared" si="84"/>
        <v>5.5222222222222221</v>
      </c>
      <c r="AD66" s="467">
        <f t="shared" si="85"/>
        <v>22.12</v>
      </c>
      <c r="AE66" s="467">
        <f t="shared" si="86"/>
        <v>27.642222222222223</v>
      </c>
      <c r="AF66" s="467">
        <f t="shared" si="87"/>
        <v>3.6944444444444446</v>
      </c>
      <c r="AG66" s="467">
        <f t="shared" si="88"/>
        <v>9.2166666666666668</v>
      </c>
      <c r="AH66" s="467">
        <f t="shared" si="89"/>
        <v>25.814444444444447</v>
      </c>
      <c r="AI66" s="467">
        <f t="shared" si="90"/>
        <v>31.33666666666667</v>
      </c>
      <c r="AJ66" s="467">
        <f t="shared" si="91"/>
        <v>0</v>
      </c>
      <c r="AK66" s="467">
        <f t="shared" si="92"/>
        <v>5.5222222222222221</v>
      </c>
      <c r="AL66" s="467">
        <f t="shared" si="93"/>
        <v>22.12</v>
      </c>
      <c r="AM66" s="467">
        <f t="shared" si="94"/>
        <v>27.642222222222223</v>
      </c>
      <c r="AN66" s="467">
        <f t="shared" si="95"/>
        <v>3.6944444444444446</v>
      </c>
      <c r="AO66" s="467">
        <f t="shared" si="96"/>
        <v>9.2166666666666668</v>
      </c>
      <c r="AP66" s="467">
        <f t="shared" si="97"/>
        <v>25.814444444444447</v>
      </c>
      <c r="AQ66" s="467">
        <f t="shared" si="98"/>
        <v>31.33666666666667</v>
      </c>
      <c r="AR66" s="467">
        <f t="shared" si="99"/>
        <v>0.28444444444444444</v>
      </c>
      <c r="AS66" s="467">
        <f t="shared" si="100"/>
        <v>5.8066666666666666</v>
      </c>
      <c r="AT66" s="467">
        <f t="shared" si="101"/>
        <v>22.404444444444444</v>
      </c>
      <c r="AU66" s="467">
        <f t="shared" si="102"/>
        <v>27.926666666666666</v>
      </c>
      <c r="AV66" s="467">
        <f t="shared" si="103"/>
        <v>3.9788888888888891</v>
      </c>
      <c r="AW66" s="467">
        <f t="shared" si="104"/>
        <v>9.5011111111111113</v>
      </c>
      <c r="AX66" s="467">
        <f t="shared" si="105"/>
        <v>26.09888888888889</v>
      </c>
      <c r="AY66" s="467">
        <f t="shared" si="106"/>
        <v>31.621111111111112</v>
      </c>
      <c r="AZ66" s="467">
        <f t="shared" si="107"/>
        <v>0.28444444444444444</v>
      </c>
      <c r="BA66" s="467">
        <f t="shared" si="108"/>
        <v>5.8066666666666666</v>
      </c>
      <c r="BB66" s="467">
        <f t="shared" si="109"/>
        <v>22.404444444444444</v>
      </c>
      <c r="BC66" s="467">
        <f t="shared" si="110"/>
        <v>27.926666666666666</v>
      </c>
      <c r="BD66" s="467">
        <f t="shared" si="111"/>
        <v>3.9788888888888891</v>
      </c>
      <c r="BE66" s="467">
        <f t="shared" si="112"/>
        <v>9.5011111111111113</v>
      </c>
      <c r="BF66" s="467">
        <f t="shared" si="113"/>
        <v>26.09888888888889</v>
      </c>
      <c r="BG66" s="467">
        <f t="shared" si="114"/>
        <v>31.621111111111112</v>
      </c>
    </row>
    <row r="67" spans="1:59">
      <c r="A67" s="213" t="s">
        <v>5315</v>
      </c>
      <c r="B67" s="231">
        <v>644925655</v>
      </c>
      <c r="C67" s="210" t="s">
        <v>5285</v>
      </c>
      <c r="D67" s="210">
        <v>104</v>
      </c>
      <c r="F67" s="239" t="str" cm="1">
        <f t="array" aca="1" ref="F67" ca="1">MID(met2utc(PEPSSI_Commanding[[#This Row],[MET]]),3,15)</f>
        <v>26-179/04:08:59</v>
      </c>
      <c r="G67" s="213" t="str">
        <f t="shared" si="65"/>
        <v>MAC+104</v>
      </c>
      <c r="H67" s="214">
        <f t="shared" si="66"/>
        <v>644924995</v>
      </c>
      <c r="I67" s="214">
        <f t="shared" si="67"/>
        <v>676426255</v>
      </c>
      <c r="J67" s="213">
        <f t="shared" si="68"/>
        <v>15</v>
      </c>
      <c r="K67" s="213">
        <f t="shared" si="69"/>
        <v>2</v>
      </c>
      <c r="M67" s="210">
        <f t="shared" si="70"/>
        <v>360</v>
      </c>
      <c r="N67" s="210">
        <f t="shared" si="71"/>
        <v>2</v>
      </c>
      <c r="O67" s="210">
        <f t="shared" si="72"/>
        <v>900</v>
      </c>
      <c r="P67" s="210">
        <f t="shared" si="73"/>
        <v>1800</v>
      </c>
      <c r="Q67" s="210" t="str">
        <f t="shared" si="74"/>
        <v>disabled</v>
      </c>
      <c r="R67" s="210" t="str">
        <f t="shared" si="75"/>
        <v/>
      </c>
      <c r="S67" s="210" t="str">
        <f t="shared" si="76"/>
        <v>102</v>
      </c>
      <c r="U67" s="467">
        <f t="shared" si="77"/>
        <v>0</v>
      </c>
      <c r="V67" s="467">
        <f t="shared" si="78"/>
        <v>0</v>
      </c>
      <c r="W67" s="467">
        <f t="shared" si="79"/>
        <v>0.28444444444444444</v>
      </c>
      <c r="X67" s="467">
        <f t="shared" si="80"/>
        <v>5.5222222222222221</v>
      </c>
      <c r="Y67" s="467">
        <f t="shared" si="81"/>
        <v>0</v>
      </c>
      <c r="Z67" s="467">
        <f t="shared" si="82"/>
        <v>0</v>
      </c>
      <c r="AA67" s="467">
        <f t="shared" si="83"/>
        <v>22.12</v>
      </c>
      <c r="AB67" s="243"/>
      <c r="AC67" s="467">
        <f t="shared" si="84"/>
        <v>5.5222222222222221</v>
      </c>
      <c r="AD67" s="467">
        <f t="shared" si="85"/>
        <v>22.12</v>
      </c>
      <c r="AE67" s="467">
        <f t="shared" si="86"/>
        <v>27.642222222222223</v>
      </c>
      <c r="AF67" s="467">
        <f t="shared" si="87"/>
        <v>0</v>
      </c>
      <c r="AG67" s="467">
        <f t="shared" si="88"/>
        <v>5.5222222222222221</v>
      </c>
      <c r="AH67" s="467">
        <f t="shared" si="89"/>
        <v>22.12</v>
      </c>
      <c r="AI67" s="467">
        <f t="shared" si="90"/>
        <v>27.642222222222223</v>
      </c>
      <c r="AJ67" s="467">
        <f t="shared" si="91"/>
        <v>0</v>
      </c>
      <c r="AK67" s="467">
        <f t="shared" si="92"/>
        <v>5.5222222222222221</v>
      </c>
      <c r="AL67" s="467">
        <f t="shared" si="93"/>
        <v>22.12</v>
      </c>
      <c r="AM67" s="467">
        <f t="shared" si="94"/>
        <v>27.642222222222223</v>
      </c>
      <c r="AN67" s="467">
        <f t="shared" si="95"/>
        <v>0</v>
      </c>
      <c r="AO67" s="467">
        <f t="shared" si="96"/>
        <v>5.5222222222222221</v>
      </c>
      <c r="AP67" s="467">
        <f t="shared" si="97"/>
        <v>22.12</v>
      </c>
      <c r="AQ67" s="467">
        <f t="shared" si="98"/>
        <v>27.642222222222223</v>
      </c>
      <c r="AR67" s="467">
        <f t="shared" si="99"/>
        <v>0.28444444444444444</v>
      </c>
      <c r="AS67" s="467">
        <f t="shared" si="100"/>
        <v>5.8066666666666666</v>
      </c>
      <c r="AT67" s="467">
        <f t="shared" si="101"/>
        <v>22.404444444444444</v>
      </c>
      <c r="AU67" s="467">
        <f t="shared" si="102"/>
        <v>27.926666666666666</v>
      </c>
      <c r="AV67" s="467">
        <f t="shared" si="103"/>
        <v>0.28444444444444444</v>
      </c>
      <c r="AW67" s="467">
        <f t="shared" si="104"/>
        <v>5.8066666666666666</v>
      </c>
      <c r="AX67" s="467">
        <f t="shared" si="105"/>
        <v>22.404444444444444</v>
      </c>
      <c r="AY67" s="467">
        <f t="shared" si="106"/>
        <v>27.926666666666666</v>
      </c>
      <c r="AZ67" s="467">
        <f t="shared" si="107"/>
        <v>0.28444444444444444</v>
      </c>
      <c r="BA67" s="467">
        <f t="shared" si="108"/>
        <v>5.8066666666666666</v>
      </c>
      <c r="BB67" s="467">
        <f t="shared" si="109"/>
        <v>22.404444444444444</v>
      </c>
      <c r="BC67" s="467">
        <f t="shared" si="110"/>
        <v>27.926666666666666</v>
      </c>
      <c r="BD67" s="467">
        <f t="shared" si="111"/>
        <v>0.28444444444444444</v>
      </c>
      <c r="BE67" s="467">
        <f t="shared" si="112"/>
        <v>5.8066666666666666</v>
      </c>
      <c r="BF67" s="467">
        <f t="shared" si="113"/>
        <v>22.404444444444444</v>
      </c>
      <c r="BG67" s="467">
        <f t="shared" si="114"/>
        <v>27.926666666666666</v>
      </c>
    </row>
    <row r="68" spans="1:59">
      <c r="A68" s="213" t="s">
        <v>5315</v>
      </c>
      <c r="B68" s="231">
        <v>644926255</v>
      </c>
      <c r="C68" s="210" t="s">
        <v>5285</v>
      </c>
      <c r="D68" s="210">
        <v>105</v>
      </c>
      <c r="F68" s="239" t="str" cm="1">
        <f t="array" aca="1" ref="F68" ca="1">MID(met2utc(PEPSSI_Commanding[[#This Row],[MET]]),3,15)</f>
        <v>26-179/04:18:59</v>
      </c>
      <c r="G68" s="213" t="str">
        <f t="shared" si="65"/>
        <v>MAC+105</v>
      </c>
      <c r="H68" s="214">
        <f t="shared" si="66"/>
        <v>644924995</v>
      </c>
      <c r="I68" s="214">
        <f t="shared" si="67"/>
        <v>676426255</v>
      </c>
      <c r="J68" s="213">
        <f t="shared" si="68"/>
        <v>16</v>
      </c>
      <c r="K68" s="213">
        <f t="shared" si="69"/>
        <v>1</v>
      </c>
      <c r="M68" s="210">
        <f t="shared" si="70"/>
        <v>360</v>
      </c>
      <c r="N68" s="210">
        <f t="shared" si="71"/>
        <v>2</v>
      </c>
      <c r="O68" s="210">
        <f t="shared" si="72"/>
        <v>900</v>
      </c>
      <c r="P68" s="210">
        <f t="shared" si="73"/>
        <v>1800</v>
      </c>
      <c r="Q68" s="210" t="str">
        <f t="shared" si="74"/>
        <v/>
      </c>
      <c r="R68" s="210">
        <f t="shared" si="75"/>
        <v>300</v>
      </c>
      <c r="S68" s="210" t="str">
        <f t="shared" si="76"/>
        <v>102</v>
      </c>
      <c r="U68" s="467">
        <f t="shared" si="77"/>
        <v>4.40625</v>
      </c>
      <c r="V68" s="467">
        <f t="shared" si="78"/>
        <v>18.28125</v>
      </c>
      <c r="W68" s="467">
        <f t="shared" si="79"/>
        <v>0.28444444444444444</v>
      </c>
      <c r="X68" s="467">
        <f t="shared" si="80"/>
        <v>5.5222222222222221</v>
      </c>
      <c r="Y68" s="467">
        <f t="shared" si="81"/>
        <v>665</v>
      </c>
      <c r="Z68" s="467">
        <f t="shared" si="82"/>
        <v>4.6180555555555554</v>
      </c>
      <c r="AA68" s="467">
        <f t="shared" si="83"/>
        <v>22.12</v>
      </c>
      <c r="AB68" s="243"/>
      <c r="AC68" s="467">
        <f t="shared" si="84"/>
        <v>5.5222222222222221</v>
      </c>
      <c r="AD68" s="467">
        <f t="shared" si="85"/>
        <v>40.401250000000005</v>
      </c>
      <c r="AE68" s="467">
        <f t="shared" si="86"/>
        <v>45.92347222222223</v>
      </c>
      <c r="AF68" s="467">
        <f t="shared" si="87"/>
        <v>4.6180555555555554</v>
      </c>
      <c r="AG68" s="467">
        <f t="shared" si="88"/>
        <v>10.140277777777778</v>
      </c>
      <c r="AH68" s="467">
        <f t="shared" si="89"/>
        <v>45.019305555555562</v>
      </c>
      <c r="AI68" s="467">
        <f t="shared" si="90"/>
        <v>50.541527777777787</v>
      </c>
      <c r="AJ68" s="467">
        <f t="shared" si="91"/>
        <v>4.40625</v>
      </c>
      <c r="AK68" s="467">
        <f t="shared" si="92"/>
        <v>9.9284722222222221</v>
      </c>
      <c r="AL68" s="467">
        <f t="shared" si="93"/>
        <v>44.807500000000005</v>
      </c>
      <c r="AM68" s="467">
        <f t="shared" si="94"/>
        <v>50.32972222222223</v>
      </c>
      <c r="AN68" s="467">
        <f t="shared" si="95"/>
        <v>9.0243055555555554</v>
      </c>
      <c r="AO68" s="467">
        <f t="shared" si="96"/>
        <v>14.546527777777778</v>
      </c>
      <c r="AP68" s="467">
        <f t="shared" si="97"/>
        <v>49.425555555555562</v>
      </c>
      <c r="AQ68" s="467">
        <f t="shared" si="98"/>
        <v>54.947777777777787</v>
      </c>
      <c r="AR68" s="467">
        <f t="shared" si="99"/>
        <v>0.28444444444444444</v>
      </c>
      <c r="AS68" s="467">
        <f t="shared" si="100"/>
        <v>5.8066666666666666</v>
      </c>
      <c r="AT68" s="467">
        <f t="shared" si="101"/>
        <v>40.685694444444451</v>
      </c>
      <c r="AU68" s="467">
        <f t="shared" si="102"/>
        <v>46.207916666666677</v>
      </c>
      <c r="AV68" s="467">
        <f t="shared" si="103"/>
        <v>4.9024999999999999</v>
      </c>
      <c r="AW68" s="467">
        <f t="shared" si="104"/>
        <v>10.424722222222222</v>
      </c>
      <c r="AX68" s="467">
        <f t="shared" si="105"/>
        <v>45.303750000000008</v>
      </c>
      <c r="AY68" s="467">
        <f t="shared" si="106"/>
        <v>50.825972222222234</v>
      </c>
      <c r="AZ68" s="467">
        <f t="shared" si="107"/>
        <v>4.6906944444444445</v>
      </c>
      <c r="BA68" s="467">
        <f t="shared" si="108"/>
        <v>10.212916666666667</v>
      </c>
      <c r="BB68" s="467">
        <f t="shared" si="109"/>
        <v>45.091944444444451</v>
      </c>
      <c r="BC68" s="467">
        <f t="shared" si="110"/>
        <v>50.614166666666677</v>
      </c>
      <c r="BD68" s="467">
        <f t="shared" si="111"/>
        <v>9.3087499999999999</v>
      </c>
      <c r="BE68" s="467">
        <f t="shared" si="112"/>
        <v>14.830972222222222</v>
      </c>
      <c r="BF68" s="467">
        <f t="shared" si="113"/>
        <v>49.710000000000008</v>
      </c>
      <c r="BG68" s="467">
        <f t="shared" si="114"/>
        <v>55.232222222222234</v>
      </c>
    </row>
    <row r="101" spans="81:81">
      <c r="CC101" s="248"/>
    </row>
  </sheetData>
  <conditionalFormatting sqref="AC1:BG1048576">
    <cfRule type="expression" dxfId="36" priority="4">
      <formula>AC$12&lt;&gt;""</formula>
    </cfRule>
  </conditionalFormatting>
  <conditionalFormatting sqref="AD8:BG8">
    <cfRule type="expression" dxfId="35" priority="5">
      <formula>AD8&lt;&gt;(AC8+1)</formula>
    </cfRule>
  </conditionalFormatting>
  <conditionalFormatting sqref="A14:BG1048576">
    <cfRule type="expression" dxfId="34" priority="6">
      <formula>OR($C14="ON",FALSE)</formula>
    </cfRule>
  </conditionalFormatting>
  <conditionalFormatting sqref="A68:BG1048422 A14:BG66">
    <cfRule type="expression" dxfId="33" priority="3">
      <formula>OR($G14="OFF",AND($G15&lt;&gt;"OFF",$K14=1))</formula>
    </cfRule>
  </conditionalFormatting>
  <conditionalFormatting sqref="A14:D1048576">
    <cfRule type="expression" dxfId="32" priority="7">
      <formula>AND($J14&lt;&gt;"",$J14&lt;=9)</formula>
    </cfRule>
  </conditionalFormatting>
  <conditionalFormatting sqref="A67:BG67">
    <cfRule type="expression" dxfId="31"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7.140625" style="3" customWidth="1"/>
    <col min="28" max="28" width="5.5703125" style="525" bestFit="1" customWidth="1"/>
    <col min="29" max="29" width="6.140625" style="525" bestFit="1" customWidth="1"/>
    <col min="30" max="30" width="3.42578125" style="20" customWidth="1"/>
    <col min="31" max="31" width="3.7109375" style="20" customWidth="1"/>
    <col min="32" max="32" width="3" style="20" customWidth="1"/>
    <col min="33" max="33" width="3.42578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L2" s="3"/>
      <c r="N2" s="20"/>
      <c r="O2" s="3"/>
      <c r="R2" s="6" t="s">
        <v>1166</v>
      </c>
      <c r="S2" s="270">
        <f>'SWAP Data Volumns'!K108</f>
        <v>0.5056665308181959</v>
      </c>
      <c r="T2" s="18" t="s">
        <v>5875</v>
      </c>
      <c r="U2" s="519">
        <f>1.579/0.000008</f>
        <v>197375</v>
      </c>
      <c r="V2" s="520" t="s">
        <v>5831</v>
      </c>
      <c r="Y2"/>
      <c r="Z2"/>
      <c r="AA2"/>
      <c r="AC2" s="100"/>
      <c r="AD2"/>
      <c r="AE2"/>
      <c r="AF2"/>
      <c r="AG2"/>
      <c r="AH2" s="18"/>
      <c r="AI2" s="18"/>
    </row>
    <row r="3" spans="1:40">
      <c r="A3"/>
      <c r="B3" s="3"/>
      <c r="C3" s="3"/>
      <c r="D3" s="3"/>
      <c r="E3" s="3"/>
      <c r="F3" s="3"/>
      <c r="G3" s="3"/>
      <c r="H3" s="3"/>
      <c r="I3" s="3"/>
      <c r="L3" s="3"/>
      <c r="N3" s="20"/>
      <c r="O3" s="3"/>
      <c r="R3" s="6" t="s">
        <v>1196</v>
      </c>
      <c r="S3" s="270">
        <f>'SWAP Data Volumns'!K99</f>
        <v>0.80996710526315774</v>
      </c>
      <c r="T3" s="18" t="s">
        <v>5844</v>
      </c>
      <c r="Y3"/>
      <c r="Z3"/>
      <c r="AA3"/>
      <c r="AC3" s="100"/>
      <c r="AD3"/>
      <c r="AE3"/>
      <c r="AF3"/>
      <c r="AG3"/>
      <c r="AH3" s="18"/>
      <c r="AI3" s="18"/>
    </row>
    <row r="4" spans="1:40">
      <c r="A4"/>
      <c r="B4" s="3"/>
      <c r="C4" s="3"/>
      <c r="D4" s="3"/>
      <c r="E4" s="3"/>
      <c r="F4" s="3"/>
      <c r="G4" s="3"/>
      <c r="H4" s="3"/>
      <c r="I4" s="3"/>
      <c r="L4" s="3"/>
      <c r="N4" s="20"/>
      <c r="O4" s="3"/>
      <c r="R4" s="6" t="s">
        <v>1068</v>
      </c>
      <c r="S4" s="270">
        <f>'SWAP Data Volumns'!K90</f>
        <v>1.4028285692679976</v>
      </c>
      <c r="T4" s="18" t="s">
        <v>5876</v>
      </c>
      <c r="Y4"/>
      <c r="Z4"/>
      <c r="AA4"/>
      <c r="AC4" s="100"/>
      <c r="AD4"/>
      <c r="AE4"/>
      <c r="AF4"/>
      <c r="AG4"/>
      <c r="AH4" s="18"/>
      <c r="AI4" s="18"/>
    </row>
    <row r="5" spans="1:40">
      <c r="A5"/>
      <c r="B5" s="3"/>
      <c r="C5" s="3"/>
      <c r="D5" s="3"/>
      <c r="E5" s="3"/>
      <c r="F5" s="3"/>
      <c r="G5" s="3"/>
      <c r="H5" s="3"/>
      <c r="I5" s="3"/>
      <c r="L5" s="3"/>
      <c r="N5" s="20"/>
      <c r="O5" s="3"/>
      <c r="R5" s="6" t="s">
        <v>1165</v>
      </c>
      <c r="S5" s="270">
        <f>'SWAP Data Volumns'!K72</f>
        <v>3.6959320175438592</v>
      </c>
      <c r="T5" s="18" t="s">
        <v>5877</v>
      </c>
      <c r="Y5"/>
      <c r="Z5"/>
      <c r="AA5"/>
      <c r="AC5" s="100"/>
      <c r="AD5"/>
      <c r="AE5"/>
      <c r="AF5"/>
      <c r="AG5"/>
      <c r="AH5" s="18"/>
      <c r="AI5" s="18"/>
    </row>
    <row r="6" spans="1:40">
      <c r="A6"/>
      <c r="B6" s="3"/>
      <c r="C6" s="3"/>
      <c r="D6" s="3"/>
      <c r="E6" s="3"/>
      <c r="F6" s="3"/>
      <c r="G6" s="3"/>
      <c r="H6" s="3"/>
      <c r="I6" s="3"/>
      <c r="L6" s="3"/>
      <c r="N6" s="20"/>
      <c r="O6" s="3"/>
      <c r="S6" s="527">
        <f>$S2-(0.0144*1000000/(8*86400))</f>
        <v>0.48483319748486259</v>
      </c>
      <c r="T6" s="18" t="s">
        <v>5874</v>
      </c>
      <c r="Y6"/>
      <c r="Z6"/>
      <c r="AA6"/>
      <c r="AC6" s="100"/>
      <c r="AD6"/>
      <c r="AE6"/>
      <c r="AF6"/>
      <c r="AG6"/>
      <c r="AH6" s="18"/>
      <c r="AI6" s="18"/>
    </row>
    <row r="7" spans="1:40">
      <c r="A7"/>
      <c r="B7" s="3"/>
      <c r="C7" s="3"/>
      <c r="D7" s="3"/>
      <c r="E7" s="3"/>
      <c r="F7" s="3"/>
      <c r="G7" s="3"/>
      <c r="H7" s="3"/>
      <c r="I7" s="3"/>
      <c r="L7" s="3"/>
      <c r="N7" s="20"/>
      <c r="O7" s="3"/>
      <c r="S7" s="527">
        <f t="shared" ref="S7:S9" si="0">$S3-(0.0144*1000000/(8*86400))</f>
        <v>0.78913377192982437</v>
      </c>
      <c r="T7" s="18" t="s">
        <v>5871</v>
      </c>
      <c r="Y7"/>
      <c r="Z7"/>
      <c r="AA7"/>
      <c r="AC7" s="100"/>
      <c r="AD7"/>
      <c r="AE7"/>
      <c r="AF7"/>
      <c r="AG7"/>
      <c r="AH7" s="18"/>
      <c r="AI7" s="18"/>
    </row>
    <row r="8" spans="1:40">
      <c r="A8"/>
      <c r="B8" s="3"/>
      <c r="C8" s="3"/>
      <c r="D8" s="3"/>
      <c r="E8" s="3"/>
      <c r="F8" s="3"/>
      <c r="G8" s="3"/>
      <c r="H8" s="3"/>
      <c r="I8" s="3"/>
      <c r="L8" s="3"/>
      <c r="N8" s="20"/>
      <c r="O8" s="3"/>
      <c r="S8" s="527">
        <f t="shared" si="0"/>
        <v>1.3819952359346643</v>
      </c>
      <c r="T8" s="18" t="s">
        <v>5873</v>
      </c>
      <c r="Y8"/>
      <c r="Z8"/>
      <c r="AA8"/>
      <c r="AC8" s="100"/>
      <c r="AD8"/>
      <c r="AE8"/>
      <c r="AF8"/>
      <c r="AG8"/>
      <c r="AH8" s="18"/>
      <c r="AI8" s="18"/>
    </row>
    <row r="9" spans="1:40">
      <c r="A9"/>
      <c r="B9" s="3"/>
      <c r="C9" s="3"/>
      <c r="D9" s="3"/>
      <c r="E9" s="3"/>
      <c r="F9" s="3"/>
      <c r="G9" s="3"/>
      <c r="H9" s="3"/>
      <c r="I9" s="3"/>
      <c r="L9" s="3"/>
      <c r="N9" s="20"/>
      <c r="O9" s="3"/>
      <c r="S9" s="527">
        <f t="shared" si="0"/>
        <v>3.6750986842105258</v>
      </c>
      <c r="T9" s="18" t="s">
        <v>5872</v>
      </c>
      <c r="Y9"/>
      <c r="Z9"/>
      <c r="AA9"/>
      <c r="AC9" s="100"/>
      <c r="AD9"/>
      <c r="AE9"/>
      <c r="AF9"/>
      <c r="AG9"/>
      <c r="AH9" s="18"/>
      <c r="AI9" s="18"/>
    </row>
    <row r="10" spans="1:40">
      <c r="A10"/>
      <c r="B10" s="3"/>
      <c r="C10" s="3"/>
      <c r="D10" s="3"/>
      <c r="E10" s="3"/>
      <c r="F10" s="3"/>
      <c r="G10" s="3"/>
      <c r="H10" s="3"/>
      <c r="I10" s="3"/>
      <c r="L10" s="3"/>
      <c r="N10" s="20"/>
      <c r="O10" s="3"/>
      <c r="S10" s="516" t="s">
        <v>5843</v>
      </c>
      <c r="T10" s="527" t="str">
        <f>""</f>
        <v/>
      </c>
      <c r="Y10"/>
      <c r="Z10"/>
      <c r="AA10"/>
      <c r="AC10" s="100"/>
      <c r="AD10"/>
      <c r="AE10"/>
      <c r="AF10"/>
      <c r="AG10"/>
      <c r="AH10" s="18"/>
      <c r="AI10" s="18"/>
    </row>
    <row r="11" spans="1:40">
      <c r="A11"/>
      <c r="B11" s="3"/>
      <c r="C11" s="3"/>
      <c r="D11" s="3"/>
      <c r="E11" s="3"/>
      <c r="F11" s="3"/>
      <c r="G11" s="3"/>
      <c r="H11" s="3"/>
      <c r="I11" s="3"/>
      <c r="K11" s="18" t="str">
        <f>$T$10</f>
        <v/>
      </c>
      <c r="L11" s="3"/>
      <c r="N11" s="20"/>
      <c r="O11" s="3"/>
      <c r="P11" s="6" t="s">
        <v>5851</v>
      </c>
      <c r="Q11" s="516">
        <f>$R11-$W11/devrate($E11:$K11,$R11)</f>
        <v>-1</v>
      </c>
      <c r="R11" s="526">
        <v>-1</v>
      </c>
      <c r="Y11" t="s">
        <v>5839</v>
      </c>
      <c r="Z11" t="s">
        <v>5852</v>
      </c>
      <c r="AA11"/>
      <c r="AC11" s="100"/>
      <c r="AD11"/>
      <c r="AE11"/>
      <c r="AF11"/>
      <c r="AG11"/>
      <c r="AH11" s="18"/>
      <c r="AI11" s="18"/>
    </row>
    <row r="12" spans="1:40">
      <c r="A12"/>
      <c r="B12" s="3"/>
      <c r="C12" s="3"/>
      <c r="D12" s="3"/>
      <c r="E12" s="3"/>
      <c r="F12" s="3"/>
      <c r="G12" s="3"/>
      <c r="H12" s="3"/>
      <c r="I12" s="3"/>
      <c r="L12" s="3"/>
      <c r="N12" s="20"/>
      <c r="O12" s="3"/>
      <c r="Q12" s="526">
        <v>-1</v>
      </c>
      <c r="R12" s="526">
        <f>$Q12+$W12/devrate($E12:$K12,$Q12)</f>
        <v>-1</v>
      </c>
      <c r="S12" s="513" t="s">
        <v>5850</v>
      </c>
      <c r="Y12" t="s">
        <v>5839</v>
      </c>
      <c r="Z12" t="s">
        <v>5845</v>
      </c>
      <c r="AA12"/>
      <c r="AC12" s="100"/>
      <c r="AD12"/>
      <c r="AE12"/>
      <c r="AF12"/>
      <c r="AG12"/>
      <c r="AH12" s="18"/>
      <c r="AI12" s="18"/>
    </row>
    <row r="15" spans="1:40">
      <c r="P15" s="3">
        <v>25207</v>
      </c>
      <c r="AH15" s="513" t="s">
        <v>5810</v>
      </c>
      <c r="AN15" s="6" t="s">
        <v>5789</v>
      </c>
    </row>
    <row r="16" spans="1:40" s="454" customFormat="1" ht="45">
      <c r="A16" s="523"/>
      <c r="B16" s="523"/>
      <c r="C16" s="523"/>
      <c r="D16" s="523"/>
      <c r="E16" s="523" t="str">
        <f>$E$1</f>
        <v>HSK3</v>
      </c>
      <c r="F16" s="523" t="str">
        <f>$F$1</f>
        <v>DT1</v>
      </c>
      <c r="G16" s="523" t="str">
        <f>$G$1</f>
        <v>DT2</v>
      </c>
      <c r="H16" s="523" t="str">
        <f>$H$1</f>
        <v>DT3</v>
      </c>
      <c r="I16" s="523" t="str">
        <f>$I$1</f>
        <v>DT4</v>
      </c>
      <c r="J16" s="514" t="str">
        <f>$J$1</f>
        <v>SDT1HSK4</v>
      </c>
      <c r="K16" s="528"/>
      <c r="L16" s="523"/>
      <c r="M16" s="523"/>
      <c r="N16" s="514"/>
      <c r="O16" s="523"/>
      <c r="P16" s="514" t="str">
        <f t="shared" ref="P16:X16" si="1">P$1</f>
        <v>track</v>
      </c>
      <c r="Q16" s="517" t="str">
        <f t="shared" si="1"/>
        <v>start met</v>
      </c>
      <c r="R16" s="517" t="str">
        <f t="shared" si="1"/>
        <v>end met</v>
      </c>
      <c r="S16" s="517" t="str">
        <f t="shared" si="1"/>
        <v>seconds</v>
      </c>
      <c r="T16" s="517" t="str">
        <f t="shared" si="1"/>
        <v>calculated bytes</v>
      </c>
      <c r="U16" s="517" t="str">
        <f t="shared" si="1"/>
        <v>pwr on</v>
      </c>
      <c r="V16" s="517" t="str">
        <f t="shared" si="1"/>
        <v>total calc bytes</v>
      </c>
      <c r="W16" s="517" t="str">
        <f t="shared" si="1"/>
        <v>bytes avail</v>
      </c>
      <c r="X16" s="517" t="str">
        <f t="shared" si="1"/>
        <v>difference</v>
      </c>
      <c r="Y16" s="523"/>
      <c r="Z16" s="523"/>
      <c r="AA16" s="529" t="s">
        <v>5888</v>
      </c>
      <c r="AB16" s="524" t="str">
        <f ca="1">_xlfn.CONCAT("PEP",CHAR(10),"Mbit",CHAR(10),TEXT(SUM(AB17:AB35),"0.00"))</f>
        <v>PEP
Mbit
56.66</v>
      </c>
      <c r="AC16" s="524" t="str">
        <f ca="1">_xlfn.CONCAT("SWA",CHAR(10),"Mbit",CHAR(10),TEXT(SUM(AC17:AC35),"0.00"))</f>
        <v>SWA
Mbit
0.00</v>
      </c>
      <c r="AD16" s="523"/>
      <c r="AE16" s="523"/>
      <c r="AF16" s="523"/>
      <c r="AG16" s="523"/>
      <c r="AH16" s="521" t="s">
        <v>5790</v>
      </c>
      <c r="AI16" s="521" t="s">
        <v>5791</v>
      </c>
      <c r="AJ16" s="522" t="s">
        <v>5792</v>
      </c>
      <c r="AK16" s="522" t="s">
        <v>5793</v>
      </c>
      <c r="AL16" s="522" t="s">
        <v>5794</v>
      </c>
      <c r="AM16" s="522" t="s">
        <v>5795</v>
      </c>
      <c r="AN16" s="522">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25-289/15:53</v>
      </c>
      <c r="N17" s="3" t="s">
        <v>5863</v>
      </c>
      <c r="O17" s="20" t="str">
        <f>MID(deltautc($AI17),6,9)</f>
        <v>209/22:54</v>
      </c>
      <c r="P17" s="3" t="str">
        <f>MID(AH17,5,5)</f>
        <v>209_2</v>
      </c>
      <c r="Q17" s="518">
        <v>622935950.93747699</v>
      </c>
      <c r="R17" s="20">
        <f>$Q17+$W17/devrate($E17:$K17,$Q17)</f>
        <v>622935950.93747699</v>
      </c>
      <c r="S17" s="20">
        <f t="shared" ref="S17:S30" si="5">R17-Q17</f>
        <v>0</v>
      </c>
      <c r="T17" s="20">
        <f t="shared" ref="T17:T30" ca="1" si="6">S17*IF(OR(EXACT($Y17,"PEP"),EXACT($Y17,"SWA")),devrate(E17:K17,$Q17),0)</f>
        <v>0</v>
      </c>
      <c r="U17" s="20">
        <f>0</f>
        <v>0</v>
      </c>
      <c r="V17" s="20">
        <f t="shared" ref="V17:V30" ca="1" si="7">T17+IF($Y17="PEP",$U17*$U$2,0)</f>
        <v>0</v>
      </c>
      <c r="W17" s="20">
        <f>AN17*1000000/8</f>
        <v>33654.6</v>
      </c>
      <c r="X17" s="20">
        <f t="shared" ref="X17:X30" ca="1" si="8">W17-V17</f>
        <v>33654.6</v>
      </c>
      <c r="Y17" s="20" t="str">
        <f t="shared" ref="Y17:Y30" ca="1" si="9">IF($L17&lt;&gt;"",IF($M17&lt;&gt;"",IF(_xlfn.XOR(_xlfn.TEXTJOIN("",TRUE,$E17:$I17)&lt;&gt;"",_xlfn.TEXTJOIN("",TRUE,$J17:$K17)&lt;&gt;""),IF(_xlfn.TEXTJOIN("",TRUE,$J17:$K17)="","PEP","SWA"),""),""),"")</f>
        <v>PEP</v>
      </c>
      <c r="Z17" s="20" t="s">
        <v>5852</v>
      </c>
      <c r="AA17" s="3">
        <f>IF(ISNUMBER($AN17),AN17,"")</f>
        <v>0.2692368</v>
      </c>
      <c r="AB17" s="525">
        <f t="shared" ref="AB17:AB30" ca="1" si="10">IF(AND(ISNUMBER(V17),EXACT(Y17,"PEP")),V17*8/1000000,"")</f>
        <v>0</v>
      </c>
      <c r="AC17" s="525" t="str">
        <f t="shared" ref="AC17:AC30" ca="1" si="11">IF(AND(ISNUMBER(V17),EXACT(Y17,"SWA")),V17*8/1000000,"")</f>
        <v/>
      </c>
      <c r="AH17" s="513" t="s">
        <v>766</v>
      </c>
      <c r="AI17" s="513"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25-289/15:53</v>
      </c>
      <c r="M18" s="20" t="str">
        <f t="shared" ca="1" si="4"/>
        <v>25-290/07:05</v>
      </c>
      <c r="N18" s="3" t="s">
        <v>5864</v>
      </c>
      <c r="O18" s="20" t="str">
        <f>MID(deltautc($AI18),6,9)</f>
        <v>210/20:49</v>
      </c>
      <c r="P18" s="3" t="str">
        <f>MID(AH18,5,5)</f>
        <v>210_2</v>
      </c>
      <c r="Q18" s="518">
        <f>R17+(-1)</f>
        <v>622935949.93747699</v>
      </c>
      <c r="R18" s="20">
        <f>$Q18+54677</f>
        <v>622990626.93747699</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5845</v>
      </c>
      <c r="AA18" s="3">
        <f t="shared" ref="AA18:AA31" si="12">IF(ISNUMBER($AN18),AN18,"")</f>
        <v>7.1033004000000002</v>
      </c>
      <c r="AB18" s="525">
        <f t="shared" ca="1" si="10"/>
        <v>0.18137575944444445</v>
      </c>
      <c r="AC18" s="525" t="str">
        <f t="shared" ca="1" si="11"/>
        <v/>
      </c>
      <c r="AH18" s="513" t="s">
        <v>772</v>
      </c>
      <c r="AI18" s="513"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25-290/07:05</v>
      </c>
      <c r="M19" s="20" t="str">
        <f t="shared" ca="1" si="4"/>
        <v>25-290/20:58</v>
      </c>
      <c r="N19" s="3" t="s">
        <v>5865</v>
      </c>
      <c r="O19" s="20" t="s">
        <v>5846</v>
      </c>
      <c r="Q19" s="518">
        <f t="shared" ref="Q19:Q24" si="13">R18+(-1)</f>
        <v>622990625.93747699</v>
      </c>
      <c r="R19" s="20">
        <f>Q19+50000</f>
        <v>623040625.93747699</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5845</v>
      </c>
      <c r="AA19" s="3" t="str">
        <f t="shared" si="12"/>
        <v/>
      </c>
      <c r="AB19" s="525">
        <f t="shared" ca="1" si="10"/>
        <v>0.1658611111111111</v>
      </c>
      <c r="AC19" s="525" t="str">
        <f t="shared" ca="1" si="11"/>
        <v/>
      </c>
      <c r="AN19" s="3"/>
    </row>
    <row r="20" spans="5:40">
      <c r="F20" s="20" t="s">
        <v>49</v>
      </c>
      <c r="G20" s="20" t="s">
        <v>50</v>
      </c>
      <c r="J20" s="3" t="str">
        <f t="shared" si="2"/>
        <v/>
      </c>
      <c r="L20" s="20" t="str">
        <f t="shared" ca="1" si="3"/>
        <v>25-290/20:58</v>
      </c>
      <c r="M20" s="20" t="str">
        <f t="shared" ca="1" si="4"/>
        <v>25-291/03:55</v>
      </c>
      <c r="N20" s="3" t="s">
        <v>5866</v>
      </c>
      <c r="O20" s="20" t="s">
        <v>5846</v>
      </c>
      <c r="Q20" s="518">
        <f t="shared" si="13"/>
        <v>623040624.93747699</v>
      </c>
      <c r="R20" s="20">
        <f>Q20+25000</f>
        <v>623065624.93747699</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5845</v>
      </c>
      <c r="AA20" s="3" t="str">
        <f t="shared" si="12"/>
        <v/>
      </c>
      <c r="AB20" s="525">
        <f t="shared" ca="1" si="10"/>
        <v>8.2930555555555549E-2</v>
      </c>
      <c r="AC20" s="525" t="str">
        <f t="shared" ca="1" si="11"/>
        <v/>
      </c>
      <c r="AN20" s="3"/>
    </row>
    <row r="21" spans="5:40">
      <c r="F21" s="20" t="s">
        <v>49</v>
      </c>
      <c r="G21" s="20" t="s">
        <v>50</v>
      </c>
      <c r="J21" s="3" t="str">
        <f t="shared" si="2"/>
        <v/>
      </c>
      <c r="L21" s="20" t="str">
        <f t="shared" ca="1" si="3"/>
        <v>25-291/03:55</v>
      </c>
      <c r="M21" s="20" t="str">
        <f t="shared" ca="1" si="4"/>
        <v>25-291/07:23</v>
      </c>
      <c r="N21" s="3" t="s">
        <v>5867</v>
      </c>
      <c r="O21" s="20" t="s">
        <v>5846</v>
      </c>
      <c r="Q21" s="518">
        <f t="shared" si="13"/>
        <v>623065623.93747699</v>
      </c>
      <c r="R21" s="20">
        <f>Q21+12500</f>
        <v>623078123.93747699</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5845</v>
      </c>
      <c r="AA21" s="3" t="str">
        <f t="shared" si="12"/>
        <v/>
      </c>
      <c r="AB21" s="525">
        <f t="shared" ca="1" si="10"/>
        <v>4.1465277777777775E-2</v>
      </c>
      <c r="AC21" s="525" t="str">
        <f t="shared" ca="1" si="11"/>
        <v/>
      </c>
      <c r="AN21" s="3"/>
    </row>
    <row r="22" spans="5:40">
      <c r="F22" s="20" t="s">
        <v>49</v>
      </c>
      <c r="G22" s="20" t="s">
        <v>50</v>
      </c>
      <c r="J22" s="3" t="str">
        <f t="shared" si="2"/>
        <v/>
      </c>
      <c r="L22" s="20" t="str">
        <f t="shared" ca="1" si="3"/>
        <v>25-291/07:23</v>
      </c>
      <c r="M22" s="20" t="str">
        <f t="shared" ca="1" si="4"/>
        <v>25-314/10:42</v>
      </c>
      <c r="N22" s="3" t="s">
        <v>5868</v>
      </c>
      <c r="O22" s="20" t="s">
        <v>5846</v>
      </c>
      <c r="Q22" s="518">
        <f t="shared" si="13"/>
        <v>623078122.93747699</v>
      </c>
      <c r="R22" s="20">
        <f ca="1">$Q22+$W22/devrate($E22:$K22,$Q22)</f>
        <v>625077285.86713707</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5">
        <f t="shared" ca="1" si="10"/>
        <v>6.6316676961113048</v>
      </c>
      <c r="AC22" s="525" t="str">
        <f t="shared" ca="1" si="11"/>
        <v/>
      </c>
      <c r="AN22" s="3"/>
    </row>
    <row r="23" spans="5:40">
      <c r="G23" s="20" t="s">
        <v>50</v>
      </c>
      <c r="H23" s="20" t="s">
        <v>53</v>
      </c>
      <c r="J23" s="3" t="str">
        <f t="shared" si="2"/>
        <v/>
      </c>
      <c r="L23" s="20" t="str">
        <f t="shared" ca="1" si="3"/>
        <v>25-314/10:42</v>
      </c>
      <c r="M23" s="20" t="str">
        <f t="shared" ca="1" si="4"/>
        <v>25-319/00:13</v>
      </c>
      <c r="N23" s="3" t="s">
        <v>5863</v>
      </c>
      <c r="O23" s="20" t="str">
        <f t="shared" ref="O23:O30" si="14">MID(deltautc($AI23),6,9)</f>
        <v>211/13:39</v>
      </c>
      <c r="P23" s="3" t="str">
        <f t="shared" ref="P23:P30" si="15">MID(AH23,5,5)</f>
        <v>211_1</v>
      </c>
      <c r="Q23" s="518">
        <f t="shared" ca="1" si="13"/>
        <v>625077284.86713707</v>
      </c>
      <c r="R23" s="20">
        <f ca="1">$Q23+$W23/devrate($E23:$K23,$Q23)</f>
        <v>625471538.25662947</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5">
        <f t="shared" ca="1" si="10"/>
        <v>6.9162996000007109</v>
      </c>
      <c r="AC23" s="525" t="str">
        <f t="shared" ca="1" si="11"/>
        <v/>
      </c>
      <c r="AH23" s="513" t="s">
        <v>39</v>
      </c>
      <c r="AI23" s="513" t="s">
        <v>5800</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25-319/00:13</v>
      </c>
      <c r="M24" s="20" t="str">
        <f t="shared" ca="1" si="4"/>
        <v>25-319/17:48</v>
      </c>
      <c r="N24" s="3" t="s">
        <v>5863</v>
      </c>
      <c r="O24" s="20" t="str">
        <f t="shared" si="14"/>
        <v>212/08:19</v>
      </c>
      <c r="P24" s="3" t="str">
        <f t="shared" si="15"/>
        <v>212_1</v>
      </c>
      <c r="Q24" s="518">
        <f t="shared" ca="1" si="13"/>
        <v>625471537.25662947</v>
      </c>
      <c r="R24" s="20">
        <f ca="1">$Q24+$W24/devrate($E24:$K24,$Q24)</f>
        <v>625534834.35136628</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5">
        <f t="shared" ca="1" si="10"/>
        <v>0.93539039999959206</v>
      </c>
      <c r="AC24" s="525" t="str">
        <f t="shared" ca="1" si="11"/>
        <v/>
      </c>
      <c r="AH24" s="513" t="s">
        <v>779</v>
      </c>
      <c r="AI24" s="513" t="s">
        <v>5801</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25-289/15:53</v>
      </c>
      <c r="N25" s="3" t="s">
        <v>5863</v>
      </c>
      <c r="O25" s="20" t="str">
        <f t="shared" si="14"/>
        <v>212/20:54</v>
      </c>
      <c r="P25" s="3" t="str">
        <f t="shared" si="15"/>
        <v>212_2</v>
      </c>
      <c r="Q25" s="526">
        <v>622935950.93747699</v>
      </c>
      <c r="R25" s="20">
        <f t="shared" ref="R25:R29" si="18">$Q25+$W25/devrate($E25:$K25,$Q25)</f>
        <v>622935950.93747699</v>
      </c>
      <c r="S25" s="20">
        <f t="shared" si="5"/>
        <v>0</v>
      </c>
      <c r="T25" s="20">
        <f t="shared" ca="1" si="6"/>
        <v>0</v>
      </c>
      <c r="U25" s="20">
        <f>0</f>
        <v>0</v>
      </c>
      <c r="V25" s="20">
        <f t="shared" ca="1" si="7"/>
        <v>0</v>
      </c>
      <c r="W25" s="20">
        <f t="shared" si="16"/>
        <v>1150204.6500000001</v>
      </c>
      <c r="X25" s="20">
        <f t="shared" ca="1" si="8"/>
        <v>1150204.6500000001</v>
      </c>
      <c r="Y25" s="20" t="str">
        <f t="shared" ca="1" si="9"/>
        <v>SWA</v>
      </c>
      <c r="AA25" s="3">
        <f t="shared" si="12"/>
        <v>9.2016372000000004</v>
      </c>
      <c r="AB25" s="525" t="str">
        <f t="shared" ca="1" si="10"/>
        <v/>
      </c>
      <c r="AC25" s="525">
        <f t="shared" ca="1" si="11"/>
        <v>0</v>
      </c>
      <c r="AH25" s="513" t="s">
        <v>783</v>
      </c>
      <c r="AI25" s="513" t="s">
        <v>5802</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25-319/17:48</v>
      </c>
      <c r="M26" s="20" t="str">
        <f t="shared" ca="1" si="4"/>
        <v>25-340/09:55</v>
      </c>
      <c r="N26" s="3" t="s">
        <v>5863</v>
      </c>
      <c r="O26" s="20" t="str">
        <f t="shared" si="14"/>
        <v>213/11:49</v>
      </c>
      <c r="P26" s="3" t="str">
        <f t="shared" si="15"/>
        <v>213_1</v>
      </c>
      <c r="Q26" s="518">
        <f ca="1">R24+(-1)</f>
        <v>625534833.35136628</v>
      </c>
      <c r="R26" s="20">
        <f t="shared" ca="1" si="18"/>
        <v>627320825.87597096</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5">
        <f t="shared" ca="1" si="10"/>
        <v>8.9726280000000571</v>
      </c>
      <c r="AC26" s="525" t="str">
        <f t="shared" ca="1" si="11"/>
        <v/>
      </c>
      <c r="AH26" s="513" t="s">
        <v>40</v>
      </c>
      <c r="AI26" s="513" t="s">
        <v>5803</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25-340/09:55</v>
      </c>
      <c r="M27" s="20" t="str">
        <f t="shared" ca="1" si="4"/>
        <v>25-346/09:43</v>
      </c>
      <c r="N27" s="3" t="s">
        <v>5863</v>
      </c>
      <c r="O27" s="20" t="str">
        <f t="shared" si="14"/>
        <v>215/17:43</v>
      </c>
      <c r="P27" s="3" t="str">
        <f t="shared" si="15"/>
        <v>215_1</v>
      </c>
      <c r="Q27" s="518">
        <f t="shared" ref="Q27:Q28" ca="1" si="20">R26+(-1)</f>
        <v>627320824.87597096</v>
      </c>
      <c r="R27" s="20">
        <f t="shared" ca="1" si="18"/>
        <v>627838553.15450096</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5">
        <f t="shared" ca="1" si="10"/>
        <v>9.3682932000003802</v>
      </c>
      <c r="AC27" s="525" t="str">
        <f t="shared" ca="1" si="11"/>
        <v/>
      </c>
      <c r="AH27" s="513" t="s">
        <v>795</v>
      </c>
      <c r="AI27" s="513" t="s">
        <v>5804</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25-346/09:43</v>
      </c>
      <c r="M28" s="20" t="str">
        <f t="shared" ca="1" si="4"/>
        <v>25-361/12:30</v>
      </c>
      <c r="N28" s="3" t="s">
        <v>5863</v>
      </c>
      <c r="O28" s="20" t="str">
        <f t="shared" si="14"/>
        <v>216/11:48</v>
      </c>
      <c r="P28" s="3" t="str">
        <f t="shared" si="15"/>
        <v>216_1</v>
      </c>
      <c r="Q28" s="518">
        <f t="shared" ca="1" si="20"/>
        <v>627838552.15450096</v>
      </c>
      <c r="R28" s="20">
        <f t="shared" ca="1" si="18"/>
        <v>629144560.64929152</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5">
        <f t="shared" ca="1" si="10"/>
        <v>22.911016800000738</v>
      </c>
      <c r="AC28" s="525" t="str">
        <f t="shared" ca="1" si="11"/>
        <v/>
      </c>
      <c r="AH28" s="513" t="s">
        <v>797</v>
      </c>
      <c r="AI28" s="513" t="s">
        <v>5805</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25-289/15:53</v>
      </c>
      <c r="M29" s="20" t="str">
        <f t="shared" ca="1" si="4"/>
        <v>25-289/15:53</v>
      </c>
      <c r="N29" s="3" t="s">
        <v>5863</v>
      </c>
      <c r="O29" s="20" t="str">
        <f t="shared" si="14"/>
        <v>217/20:13</v>
      </c>
      <c r="P29" s="3" t="str">
        <f t="shared" si="15"/>
        <v>217_2</v>
      </c>
      <c r="Q29" s="526">
        <f>R25+(-3)</f>
        <v>622935947.93747699</v>
      </c>
      <c r="R29" s="20">
        <f t="shared" si="18"/>
        <v>622935947.93747699</v>
      </c>
      <c r="S29" s="20">
        <f t="shared" si="5"/>
        <v>0</v>
      </c>
      <c r="T29" s="20">
        <f t="shared" ca="1" si="6"/>
        <v>0</v>
      </c>
      <c r="U29" s="20">
        <f>0</f>
        <v>0</v>
      </c>
      <c r="V29" s="20">
        <f t="shared" ca="1" si="7"/>
        <v>0</v>
      </c>
      <c r="W29" s="20">
        <f t="shared" si="16"/>
        <v>884026.49999999988</v>
      </c>
      <c r="X29" s="20">
        <f t="shared" ca="1" si="8"/>
        <v>884026.49999999988</v>
      </c>
      <c r="Y29" s="20" t="str">
        <f t="shared" ca="1" si="9"/>
        <v>SWA</v>
      </c>
      <c r="AA29" s="3">
        <f t="shared" si="12"/>
        <v>7.0722119999999995</v>
      </c>
      <c r="AB29" s="525" t="str">
        <f t="shared" ca="1" si="10"/>
        <v/>
      </c>
      <c r="AC29" s="525">
        <f t="shared" ca="1" si="11"/>
        <v>0</v>
      </c>
      <c r="AH29" s="513" t="s">
        <v>804</v>
      </c>
      <c r="AI29" s="513" t="s">
        <v>5806</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25-289/15:53</v>
      </c>
      <c r="M30" s="20" t="str">
        <f t="shared" ca="1" si="4"/>
        <v>25-289/15:53</v>
      </c>
      <c r="N30" s="3" t="s">
        <v>5870</v>
      </c>
      <c r="O30" s="20" t="str">
        <f t="shared" si="14"/>
        <v>218/19:43</v>
      </c>
      <c r="P30" s="3" t="str">
        <f t="shared" si="15"/>
        <v>218_1</v>
      </c>
      <c r="Q30" s="526">
        <f>R29+(-3)</f>
        <v>622935944.93747699</v>
      </c>
      <c r="R30" s="20">
        <f>$Q30+$W30/devrate($E30:$K30,$Q30)/2</f>
        <v>622935944.93747699</v>
      </c>
      <c r="S30" s="20">
        <f t="shared" si="5"/>
        <v>0</v>
      </c>
      <c r="T30" s="20">
        <f t="shared" ca="1" si="6"/>
        <v>0</v>
      </c>
      <c r="U30" s="20">
        <f>0</f>
        <v>0</v>
      </c>
      <c r="V30" s="20">
        <f t="shared" ca="1" si="7"/>
        <v>0</v>
      </c>
      <c r="W30" s="20">
        <f t="shared" si="16"/>
        <v>56746.2</v>
      </c>
      <c r="X30" s="20">
        <f t="shared" ca="1" si="8"/>
        <v>56746.2</v>
      </c>
      <c r="Y30" s="20" t="str">
        <f t="shared" ca="1" si="9"/>
        <v>SWA</v>
      </c>
      <c r="Z30" s="20" t="s">
        <v>5845</v>
      </c>
      <c r="AA30" s="3">
        <f t="shared" si="12"/>
        <v>0.45396959999999997</v>
      </c>
      <c r="AB30" s="525" t="str">
        <f t="shared" ca="1" si="10"/>
        <v/>
      </c>
      <c r="AC30" s="525">
        <f t="shared" ca="1" si="11"/>
        <v>0</v>
      </c>
      <c r="AH30" s="513" t="s">
        <v>809</v>
      </c>
      <c r="AI30" s="513" t="s">
        <v>5807</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25-361/12:30</v>
      </c>
      <c r="M31" s="20" t="str">
        <f t="shared" ca="1" si="4"/>
        <v>25-361/18:52</v>
      </c>
      <c r="N31" s="3" t="s">
        <v>5869</v>
      </c>
      <c r="O31" s="20" t="s">
        <v>5846</v>
      </c>
      <c r="Q31" s="518">
        <f ca="1">R28+(-1)</f>
        <v>629144559.64929152</v>
      </c>
      <c r="R31" s="20">
        <f ca="1">Q31+W31/devrate(E31:K31,Q31)</f>
        <v>629167485.4770838</v>
      </c>
      <c r="S31" s="20">
        <f ca="1">R31-Q31</f>
        <v>22925.827792286873</v>
      </c>
      <c r="T31" s="20">
        <f ca="1">S31*IF(OR(EXACT($Y31,"PEP"),EXACT($Y31,"SWA")),devrate(E31:K31,$Q31),0)</f>
        <v>56746.200000033408</v>
      </c>
      <c r="U31" s="20">
        <f>0</f>
        <v>0</v>
      </c>
      <c r="V31" s="20">
        <f ca="1">T31+IF($Y31="PEP",$U31*$U$2,0)</f>
        <v>56746.200000033408</v>
      </c>
      <c r="W31" s="20">
        <f ca="1">X30</f>
        <v>56746.2</v>
      </c>
      <c r="X31" s="20">
        <f ca="1">W31-V31</f>
        <v>-3.3411197364330292E-8</v>
      </c>
      <c r="Y31" s="20" t="str">
        <f ca="1">IF($L31&lt;&gt;"",IF($M31&lt;&gt;"",IF(_xlfn.XOR(_xlfn.TEXTJOIN("",TRUE,$E31:$I31)&lt;&gt;"",_xlfn.TEXTJOIN("",TRUE,$J31:$K31)&lt;&gt;""),IF(_xlfn.TEXTJOIN("",TRUE,$J31:$K31)="","PEP","SWA"),""),""),"")</f>
        <v>PEP</v>
      </c>
      <c r="AA31" s="3" t="str">
        <f t="shared" si="12"/>
        <v/>
      </c>
      <c r="AB31" s="525">
        <f ca="1">IF(AND(ISNUMBER(V31),EXACT(Y31,"PEP")),V31*8/1000000,"")</f>
        <v>0.45396960000026726</v>
      </c>
      <c r="AC31" s="525" t="str">
        <f ca="1">IF(AND(ISNUMBER(V31),EXACT(Y31,"SWA")),V31*8/1000000,"")</f>
        <v/>
      </c>
      <c r="AN31" s="3"/>
    </row>
    <row r="32" spans="5:40">
      <c r="AH32" s="513" t="s">
        <v>5796</v>
      </c>
    </row>
    <row r="33" spans="1:40">
      <c r="AH33" s="513" t="s">
        <v>5808</v>
      </c>
    </row>
    <row r="34" spans="1:40">
      <c r="AH34" s="513" t="s">
        <v>5809</v>
      </c>
    </row>
    <row r="35" spans="1:40">
      <c r="AH35" s="513" t="s">
        <v>5797</v>
      </c>
    </row>
    <row r="39" spans="1:40" s="454" customFormat="1">
      <c r="A39" s="523"/>
      <c r="B39" s="20"/>
      <c r="C39" s="20"/>
      <c r="D39" s="20"/>
      <c r="E39" s="20"/>
      <c r="F39" s="20"/>
      <c r="G39" s="20"/>
      <c r="H39" s="20"/>
      <c r="I39" s="20"/>
      <c r="J39" s="3"/>
      <c r="K39" s="18"/>
      <c r="L39" s="20"/>
      <c r="M39" s="20"/>
      <c r="N39" s="3"/>
      <c r="O39" s="20"/>
      <c r="P39" s="3"/>
      <c r="Q39" s="516"/>
      <c r="R39" s="516"/>
      <c r="S39" s="516"/>
      <c r="T39" s="516"/>
      <c r="U39" s="516"/>
      <c r="V39" s="516"/>
      <c r="W39" s="516"/>
      <c r="X39" s="516"/>
      <c r="Y39" s="20"/>
      <c r="Z39" s="20"/>
      <c r="AA39" s="3"/>
      <c r="AB39" s="532"/>
      <c r="AC39" s="532"/>
      <c r="AD39" s="20"/>
      <c r="AE39" s="20"/>
      <c r="AF39" s="20"/>
      <c r="AG39" s="20"/>
      <c r="AH39" s="513"/>
      <c r="AI39" s="513"/>
      <c r="AJ39" s="6"/>
      <c r="AK39" s="6"/>
      <c r="AL39" s="6"/>
      <c r="AM39" s="6"/>
      <c r="AN39" s="6"/>
    </row>
    <row r="40" spans="1:40" s="454" customFormat="1">
      <c r="A40" s="523"/>
      <c r="B40" s="523"/>
      <c r="C40" s="523"/>
      <c r="D40" s="523"/>
      <c r="E40" s="523"/>
      <c r="F40" s="523"/>
      <c r="G40" s="523"/>
      <c r="H40" s="523"/>
      <c r="I40" s="523"/>
      <c r="J40" s="514"/>
      <c r="K40" s="528"/>
      <c r="L40" s="523"/>
      <c r="M40" s="523"/>
      <c r="N40" s="514"/>
      <c r="O40" s="523"/>
      <c r="P40" s="514"/>
      <c r="Q40" s="517"/>
      <c r="R40" s="523"/>
      <c r="S40" s="523"/>
      <c r="T40" s="523"/>
      <c r="U40" s="523"/>
      <c r="V40" s="523"/>
      <c r="W40" s="523"/>
      <c r="X40" s="523"/>
      <c r="Y40" s="523"/>
      <c r="Z40" s="523"/>
      <c r="AA40" s="530"/>
      <c r="AB40" s="531"/>
      <c r="AC40" s="531"/>
      <c r="AD40" s="523"/>
      <c r="AE40" s="523"/>
      <c r="AF40" s="523"/>
      <c r="AG40" s="523"/>
      <c r="AH40" s="521"/>
      <c r="AI40" s="521"/>
      <c r="AJ40" s="522"/>
      <c r="AK40" s="522"/>
      <c r="AL40" s="522"/>
      <c r="AM40" s="522"/>
      <c r="AN40" s="514"/>
    </row>
    <row r="41" spans="1:40" s="454" customFormat="1">
      <c r="A41" s="523"/>
      <c r="B41" s="20"/>
      <c r="C41" s="20"/>
      <c r="D41" s="20"/>
      <c r="E41" s="20"/>
      <c r="F41" s="20"/>
      <c r="G41" s="20"/>
      <c r="H41" s="20"/>
      <c r="I41" s="20"/>
      <c r="J41" s="3"/>
      <c r="K41" s="18"/>
      <c r="L41" s="20"/>
      <c r="M41" s="20"/>
      <c r="N41" s="3"/>
      <c r="O41" s="20"/>
      <c r="P41" s="3"/>
      <c r="Q41" s="516"/>
      <c r="R41" s="20"/>
      <c r="S41" s="20"/>
      <c r="T41" s="20"/>
      <c r="U41" s="20"/>
      <c r="V41" s="20"/>
      <c r="W41" s="20"/>
      <c r="X41" s="20"/>
      <c r="Y41" s="20"/>
      <c r="Z41" s="20"/>
      <c r="AA41" s="3"/>
      <c r="AB41" s="532"/>
      <c r="AC41" s="532"/>
      <c r="AD41" s="20"/>
      <c r="AE41" s="20"/>
      <c r="AF41" s="20"/>
      <c r="AG41" s="20"/>
      <c r="AH41" s="513"/>
      <c r="AI41" s="513"/>
      <c r="AJ41" s="6"/>
      <c r="AK41" s="6"/>
      <c r="AL41" s="6"/>
      <c r="AM41" s="6"/>
      <c r="AN41" s="3"/>
    </row>
    <row r="42" spans="1:40">
      <c r="Q42" s="518"/>
      <c r="R42" s="20"/>
      <c r="S42" s="20"/>
      <c r="T42" s="20"/>
      <c r="U42" s="20"/>
      <c r="V42" s="20"/>
      <c r="W42" s="20"/>
      <c r="X42" s="20"/>
      <c r="AN42" s="3"/>
    </row>
    <row r="43" spans="1:40">
      <c r="Q43" s="526"/>
      <c r="R43" s="20"/>
      <c r="S43" s="20"/>
      <c r="T43" s="20"/>
      <c r="U43" s="20"/>
      <c r="V43" s="20"/>
      <c r="W43" s="20"/>
      <c r="X43" s="20"/>
      <c r="AN43" s="3"/>
    </row>
    <row r="44" spans="1:40">
      <c r="Q44" s="526"/>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30" priority="6" stopIfTrue="1">
      <formula>IF($A1&lt;&gt;"=$E:$J",NOT(OR(EXACT(E1,""),EXACT(E1,E$1),EXACT(E1,LEFT(E$1,4)))))</formula>
    </cfRule>
  </conditionalFormatting>
  <conditionalFormatting sqref="P1:X1048576">
    <cfRule type="expression" dxfId="29" priority="9" stopIfTrue="1">
      <formula>IF($A1&lt;&gt;"=$P:$X",EXACT(P$1,P1))</formula>
    </cfRule>
  </conditionalFormatting>
  <conditionalFormatting sqref="X1:X1048576">
    <cfRule type="expression" dxfId="28" priority="11">
      <formula>IF($A1&lt;&gt;"=$X:$X",IF(ISNUMBER(X1),IF(X1&gt;0.1,TRUE)))</formula>
    </cfRule>
  </conditionalFormatting>
  <conditionalFormatting sqref="O1:P1048576 E1:K1048576">
    <cfRule type="expression" dxfId="27" priority="5" stopIfTrue="1">
      <formula>IF($A1&lt;&gt;"=$O:$P,E:$K",AND(_xlfn.XOR(_xlfn.TEXTJOIN("",TRUE,$E1:$I1)&lt;&gt;"",_xlfn.TEXTJOIN("",TRUE,$J1:$K1)&lt;&gt;""),$O1="",$P1=""))</formula>
    </cfRule>
  </conditionalFormatting>
  <conditionalFormatting sqref="X1:X1048576 Q1:T1048576">
    <cfRule type="expression" dxfId="26" priority="19">
      <formula>IF($A1&lt;&gt;"=$X:$X,$Q:$T",OR(EXACT($Y1,"SWA"),EXACT($Y1,"PEP")))</formula>
    </cfRule>
  </conditionalFormatting>
  <conditionalFormatting sqref="P1:P1048576">
    <cfRule type="expression" dxfId="25" priority="1" stopIfTrue="1">
      <formula>IF($A1&lt;&gt;"=$P:$P",AND(ISNUMBER(P1),P1&gt;20000,P1&lt;100000))</formula>
    </cfRule>
    <cfRule type="expression" dxfId="24" priority="32">
      <formula>IF($A1&lt;&gt;"=$P:$P",OR(EXACT($Y1,"SWA"),EXACT($Y1,"PEP")))</formula>
    </cfRule>
  </conditionalFormatting>
  <conditionalFormatting sqref="O1:O1048576 Y1:Y1048576">
    <cfRule type="expression" dxfId="23" priority="10">
      <formula>IF($A1&lt;&gt;"=$O:$O,$Y:$Y",OR(EXACT($Y1,"PEP"),EXACT($Y1,"SWA")))</formula>
    </cfRule>
  </conditionalFormatting>
  <conditionalFormatting sqref="Q1:Q1048576">
    <cfRule type="expression" dxfId="22" priority="12">
      <formula>IF($A1&lt;&gt;"=$Q:$Q",AND(OR(EXACT($Y1,"SWA"),EXACT($Y1,"PEP")),EXACT(LEFT($Z1,1),"S")))</formula>
    </cfRule>
  </conditionalFormatting>
  <conditionalFormatting sqref="R1:R1048576">
    <cfRule type="expression" dxfId="21" priority="18">
      <formula>IF($A1&lt;&gt;"=$R:$R",AND(OR(EXACT($Y1,"SWA"),EXACT($Y1,"PEP")),EXACT(RIGHT($Z1,1),"E")))</formula>
    </cfRule>
  </conditionalFormatting>
  <conditionalFormatting sqref="L1:M1048576">
    <cfRule type="expression" dxfId="20" priority="7" stopIfTrue="1">
      <formula>IF($A1&lt;&gt;"=$L:$M",EXACT($Y1,"PEP"))</formula>
    </cfRule>
    <cfRule type="expression" dxfId="19" priority="8" stopIfTrue="1">
      <formula>IF($A1&lt;&gt;"=$L:$M",EXACT($Y1,"SWA"))</formula>
    </cfRule>
  </conditionalFormatting>
  <conditionalFormatting sqref="C1:K1048576">
    <cfRule type="expression" dxfId="18" priority="3" stopIfTrue="1">
      <formula>IF($A1&lt;&gt;"=$C:$K",_xlfn.TEXTJOIN("",FALSE,$E1:$J1)="HSK3DT1DT2DT3DT4SDT1HSK4")</formula>
    </cfRule>
    <cfRule type="expression" dxfId="17" priority="4" stopIfTrue="1">
      <formula>IF($A1&lt;&gt;"=$C:$K",AND(_xlfn.TEXTJOIN("",FALSE,$E1:$I1) &lt;&gt;"",_xlfn.TEXTJOIN("",FALSE,$J1:$K1) &lt;&gt; ""))</formula>
    </cfRule>
  </conditionalFormatting>
  <conditionalFormatting sqref="AA1:AA1048576">
    <cfRule type="expression" dxfId="16" priority="131">
      <formula>IF($A1&lt;&gt;"=$AA:$AA",ISNUMBER($AA1))</formula>
    </cfRule>
  </conditionalFormatting>
  <conditionalFormatting sqref="W1:W1048576">
    <cfRule type="expression" dxfId="15"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3" ht="15.75" customHeight="1">
      <c r="B145" s="6" t="s">
        <v>1267</v>
      </c>
      <c r="C145" t="s">
        <v>5861</v>
      </c>
    </row>
    <row r="146" spans="1:3">
      <c r="B146" s="6"/>
    </row>
    <row r="147" spans="1:3">
      <c r="B147" t="s">
        <v>5878</v>
      </c>
    </row>
    <row r="148" spans="1:3" ht="15.75" customHeight="1">
      <c r="B148" s="6" t="s">
        <v>1267</v>
      </c>
      <c r="C148" t="s">
        <v>5879</v>
      </c>
    </row>
    <row r="149" spans="1:3" ht="15.75" customHeight="1">
      <c r="B149" s="6" t="s">
        <v>1267</v>
      </c>
      <c r="C149" t="s">
        <v>5880</v>
      </c>
    </row>
    <row r="150" spans="1:3" ht="15.75" customHeight="1">
      <c r="B150" s="6" t="s">
        <v>1267</v>
      </c>
      <c r="C150" t="s">
        <v>5881</v>
      </c>
    </row>
    <row r="151" spans="1:3" ht="15.75" customHeight="1">
      <c r="B151" s="6" t="s">
        <v>1267</v>
      </c>
      <c r="C151" t="s">
        <v>5882</v>
      </c>
    </row>
    <row r="152" spans="1:3" ht="15.75" customHeight="1">
      <c r="B152" s="6" t="s">
        <v>1267</v>
      </c>
      <c r="C152" t="s">
        <v>5883</v>
      </c>
    </row>
    <row r="153" spans="1:3" ht="15.75" customHeight="1">
      <c r="B153" s="6" t="s">
        <v>1267</v>
      </c>
      <c r="C153" t="s">
        <v>5884</v>
      </c>
    </row>
    <row r="154" spans="1:3">
      <c r="B154" s="6"/>
    </row>
    <row r="155" spans="1:3">
      <c r="B155" t="s">
        <v>5886</v>
      </c>
    </row>
    <row r="156" spans="1:3" ht="15.75" customHeight="1">
      <c r="B156" s="6" t="s">
        <v>1267</v>
      </c>
      <c r="C156" t="s">
        <v>5887</v>
      </c>
    </row>
    <row r="157" spans="1:3" ht="15.75" customHeight="1">
      <c r="B157" s="6" t="s">
        <v>1267</v>
      </c>
      <c r="C157" t="s">
        <v>5885</v>
      </c>
    </row>
    <row r="158" spans="1:3" ht="15.75" customHeight="1">
      <c r="B158" s="6"/>
    </row>
    <row r="160" spans="1:3" s="202" customFormat="1">
      <c r="A160" s="201" t="s">
        <v>1278</v>
      </c>
    </row>
    <row r="161" spans="1:5">
      <c r="A161" s="198"/>
    </row>
    <row r="162" spans="1:5">
      <c r="B162" s="254" t="s">
        <v>5379</v>
      </c>
      <c r="C162" s="254"/>
      <c r="D162" s="254"/>
      <c r="E162" s="254"/>
    </row>
    <row r="163" spans="1:5">
      <c r="B163" s="6" t="s">
        <v>1267</v>
      </c>
      <c r="C163" t="s">
        <v>5382</v>
      </c>
    </row>
    <row r="164" spans="1:5">
      <c r="B164" s="6" t="s">
        <v>1267</v>
      </c>
      <c r="C164" s="253" t="s">
        <v>1279</v>
      </c>
    </row>
    <row r="165" spans="1:5">
      <c r="B165" s="6" t="s">
        <v>1267</v>
      </c>
      <c r="C165" s="253" t="s">
        <v>1287</v>
      </c>
    </row>
    <row r="166" spans="1:5">
      <c r="B166" s="6" t="s">
        <v>1267</v>
      </c>
      <c r="C166" s="253" t="s">
        <v>1288</v>
      </c>
    </row>
    <row r="167" spans="1:5">
      <c r="B167" s="6"/>
    </row>
    <row r="168" spans="1:5">
      <c r="B168" t="s">
        <v>5384</v>
      </c>
    </row>
    <row r="169" spans="1:5">
      <c r="B169" s="6" t="s">
        <v>1267</v>
      </c>
      <c r="C169" t="s">
        <v>5389</v>
      </c>
    </row>
    <row r="170" spans="1:5">
      <c r="B170" s="6" t="s">
        <v>1267</v>
      </c>
      <c r="C170" t="s">
        <v>5383</v>
      </c>
    </row>
    <row r="171" spans="1:5">
      <c r="B171" s="6" t="s">
        <v>1267</v>
      </c>
      <c r="C171" t="s">
        <v>5378</v>
      </c>
    </row>
    <row r="172" spans="1:5">
      <c r="B172" s="6" t="s">
        <v>1267</v>
      </c>
      <c r="C172" s="18" t="s">
        <v>1280</v>
      </c>
    </row>
    <row r="173" spans="1:5">
      <c r="B173" s="6"/>
      <c r="C173" s="6" t="s">
        <v>1267</v>
      </c>
      <c r="D173" t="s">
        <v>1285</v>
      </c>
    </row>
    <row r="174" spans="1:5">
      <c r="D174" s="6" t="s">
        <v>1267</v>
      </c>
      <c r="E174" t="s">
        <v>1282</v>
      </c>
    </row>
    <row r="175" spans="1:5">
      <c r="D175" s="6" t="s">
        <v>1267</v>
      </c>
      <c r="E175" t="s">
        <v>5380</v>
      </c>
    </row>
    <row r="176" spans="1:5">
      <c r="D176" s="6" t="s">
        <v>1267</v>
      </c>
      <c r="E176" t="s">
        <v>5390</v>
      </c>
    </row>
    <row r="177" spans="1:5">
      <c r="D177" s="6" t="s">
        <v>1267</v>
      </c>
      <c r="E177" t="s">
        <v>1283</v>
      </c>
    </row>
    <row r="178" spans="1:5">
      <c r="D178" s="6" t="s">
        <v>1267</v>
      </c>
      <c r="E178" t="s">
        <v>1284</v>
      </c>
    </row>
    <row r="179" spans="1:5">
      <c r="C179" s="6" t="s">
        <v>1267</v>
      </c>
      <c r="D179" t="s">
        <v>1281</v>
      </c>
    </row>
    <row r="181" spans="1:5">
      <c r="B181" t="s">
        <v>5381</v>
      </c>
    </row>
    <row r="182" spans="1:5">
      <c r="B182" s="6" t="s">
        <v>1267</v>
      </c>
      <c r="C182" t="s">
        <v>1286</v>
      </c>
    </row>
    <row r="184" spans="1:5">
      <c r="B184" t="s">
        <v>5385</v>
      </c>
    </row>
    <row r="185" spans="1:5">
      <c r="B185" s="6" t="s">
        <v>1267</v>
      </c>
      <c r="C185" t="s">
        <v>5386</v>
      </c>
    </row>
    <row r="186" spans="1:5">
      <c r="B186" s="6" t="s">
        <v>5387</v>
      </c>
      <c r="C186" t="s">
        <v>5388</v>
      </c>
    </row>
    <row r="188" spans="1:5" s="202" customFormat="1">
      <c r="A188" s="201" t="s">
        <v>1277</v>
      </c>
    </row>
    <row r="189" spans="1:5">
      <c r="A189" s="198"/>
    </row>
    <row r="190" spans="1:5">
      <c r="B190" t="s">
        <v>1290</v>
      </c>
    </row>
    <row r="191" spans="1:5">
      <c r="B191" t="s">
        <v>1289</v>
      </c>
    </row>
    <row r="194" spans="1:24" s="202" customFormat="1">
      <c r="A194" s="202" t="s">
        <v>5727</v>
      </c>
    </row>
    <row r="195" spans="1:24" ht="15.75" thickBot="1"/>
    <row r="196" spans="1:24">
      <c r="H196" s="306" t="s">
        <v>5715</v>
      </c>
      <c r="I196" s="436"/>
      <c r="J196" s="433"/>
      <c r="K196" s="433"/>
      <c r="L196" s="433"/>
      <c r="M196" s="433"/>
      <c r="N196" s="433"/>
      <c r="O196" s="433"/>
      <c r="P196" s="433"/>
      <c r="Q196" s="433"/>
      <c r="R196" s="434"/>
    </row>
    <row r="197" spans="1:24">
      <c r="H197" s="307"/>
      <c r="R197" s="169"/>
    </row>
    <row r="198" spans="1:24">
      <c r="H198" s="307"/>
      <c r="M198" s="3" t="s">
        <v>5718</v>
      </c>
      <c r="R198" s="169"/>
    </row>
    <row r="199" spans="1:24" ht="15.75" thickBot="1">
      <c r="H199" s="307"/>
      <c r="R199" s="169"/>
    </row>
    <row r="200" spans="1:24" ht="15" customHeight="1">
      <c r="H200" s="307"/>
      <c r="I200" s="306"/>
      <c r="J200" s="432"/>
      <c r="K200" s="442" t="s">
        <v>5430</v>
      </c>
      <c r="L200" s="443" t="s">
        <v>5430</v>
      </c>
      <c r="M200" s="443" t="s">
        <v>5430</v>
      </c>
      <c r="N200" s="444" t="s">
        <v>5714</v>
      </c>
      <c r="O200" s="446" t="s">
        <v>5714</v>
      </c>
      <c r="P200" s="445" t="s">
        <v>5714</v>
      </c>
      <c r="Q200" s="455" t="s">
        <v>5714</v>
      </c>
      <c r="R200" s="463"/>
      <c r="S200" s="534" t="s">
        <v>5719</v>
      </c>
      <c r="T200" s="534"/>
      <c r="U200" s="534"/>
      <c r="V200" s="534"/>
      <c r="W200" s="534"/>
      <c r="X200" s="535"/>
    </row>
    <row r="201" spans="1:24">
      <c r="H201" s="307"/>
      <c r="I201" s="438" t="s">
        <v>5282</v>
      </c>
      <c r="J201" s="439" t="s">
        <v>5308</v>
      </c>
      <c r="K201" s="317" t="s">
        <v>5431</v>
      </c>
      <c r="L201" s="318" t="s">
        <v>5431</v>
      </c>
      <c r="M201" s="318" t="s">
        <v>5431</v>
      </c>
      <c r="N201" s="317" t="s">
        <v>5431</v>
      </c>
      <c r="O201" s="447" t="s">
        <v>5431</v>
      </c>
      <c r="P201" s="318" t="s">
        <v>5431</v>
      </c>
      <c r="Q201" s="320" t="s">
        <v>5431</v>
      </c>
      <c r="R201" s="169"/>
      <c r="S201" s="536"/>
      <c r="T201" s="536"/>
      <c r="U201" s="536"/>
      <c r="V201" s="536"/>
      <c r="W201" s="536"/>
      <c r="X201" s="537"/>
    </row>
    <row r="202" spans="1:24">
      <c r="H202" s="307"/>
      <c r="I202" s="438" t="s">
        <v>5282</v>
      </c>
      <c r="J202" s="439" t="s">
        <v>5308</v>
      </c>
      <c r="K202" s="319" t="s">
        <v>5431</v>
      </c>
      <c r="L202" s="431" t="s">
        <v>5431</v>
      </c>
      <c r="M202" s="431" t="s">
        <v>5431</v>
      </c>
      <c r="N202" s="319" t="s">
        <v>5431</v>
      </c>
      <c r="O202" s="448" t="s">
        <v>5431</v>
      </c>
      <c r="P202" s="431" t="s">
        <v>5431</v>
      </c>
      <c r="Q202" s="321" t="s">
        <v>5431</v>
      </c>
      <c r="R202" s="169"/>
    </row>
    <row r="203" spans="1:24">
      <c r="H203" s="307"/>
      <c r="I203" s="450" t="s">
        <v>5282</v>
      </c>
      <c r="J203" s="451" t="s">
        <v>5308</v>
      </c>
      <c r="K203" s="451" t="s">
        <v>5431</v>
      </c>
      <c r="L203" s="452" t="s">
        <v>5431</v>
      </c>
      <c r="M203" s="452" t="s">
        <v>5431</v>
      </c>
      <c r="N203" s="451" t="s">
        <v>5431</v>
      </c>
      <c r="O203" s="453" t="s">
        <v>5431</v>
      </c>
      <c r="P203" s="452" t="s">
        <v>5431</v>
      </c>
      <c r="Q203" s="452" t="s">
        <v>5431</v>
      </c>
      <c r="R203" s="169"/>
    </row>
    <row r="204" spans="1:24">
      <c r="H204" s="307"/>
      <c r="I204" s="438" t="s">
        <v>5282</v>
      </c>
      <c r="J204" s="439" t="s">
        <v>5308</v>
      </c>
      <c r="K204" s="319" t="s">
        <v>5431</v>
      </c>
      <c r="L204" s="431" t="s">
        <v>5431</v>
      </c>
      <c r="M204" s="431" t="s">
        <v>5431</v>
      </c>
      <c r="N204" s="319" t="s">
        <v>5431</v>
      </c>
      <c r="O204" s="448" t="s">
        <v>5431</v>
      </c>
      <c r="P204" s="431" t="s">
        <v>5431</v>
      </c>
      <c r="Q204" s="321" t="s">
        <v>5431</v>
      </c>
      <c r="R204" s="169"/>
    </row>
    <row r="205" spans="1:24" ht="15.75" thickBot="1">
      <c r="H205" s="307"/>
      <c r="I205" s="440" t="s">
        <v>5282</v>
      </c>
      <c r="J205" s="441" t="s">
        <v>5308</v>
      </c>
      <c r="K205" s="322" t="s">
        <v>5431</v>
      </c>
      <c r="L205" s="323" t="s">
        <v>5431</v>
      </c>
      <c r="M205" s="323" t="s">
        <v>5431</v>
      </c>
      <c r="N205" s="322" t="s">
        <v>5431</v>
      </c>
      <c r="O205" s="449" t="s">
        <v>5431</v>
      </c>
      <c r="P205" s="323" t="s">
        <v>5431</v>
      </c>
      <c r="Q205" s="324" t="s">
        <v>5431</v>
      </c>
      <c r="R205" s="169"/>
    </row>
    <row r="206" spans="1:24" ht="15.75" thickBot="1">
      <c r="H206" s="310"/>
      <c r="I206" s="461"/>
      <c r="J206" s="462"/>
      <c r="K206" s="311"/>
      <c r="L206" s="311"/>
      <c r="M206" s="311"/>
      <c r="N206" s="437"/>
      <c r="O206" s="311"/>
      <c r="P206" s="311"/>
      <c r="Q206" s="311"/>
      <c r="R206" s="435"/>
    </row>
    <row r="207" spans="1:24" ht="18.75" customHeight="1">
      <c r="B207" s="456"/>
      <c r="C207" s="457"/>
      <c r="D207" s="457"/>
      <c r="E207" s="457"/>
      <c r="F207" s="457"/>
      <c r="G207" s="457"/>
      <c r="H207" s="458"/>
      <c r="I207" s="459" t="s">
        <v>5717</v>
      </c>
      <c r="J207" s="460" t="s">
        <v>5716</v>
      </c>
    </row>
    <row r="209" spans="1:23" ht="15" customHeight="1">
      <c r="B209" s="6" t="s">
        <v>1267</v>
      </c>
      <c r="C209" s="18" t="s">
        <v>5721</v>
      </c>
      <c r="R209" s="538" t="s">
        <v>5720</v>
      </c>
      <c r="S209" s="539"/>
      <c r="T209" s="539"/>
      <c r="U209" s="539"/>
      <c r="V209" s="540"/>
      <c r="W209" s="454"/>
    </row>
    <row r="210" spans="1:23">
      <c r="B210" s="6" t="s">
        <v>1267</v>
      </c>
      <c r="C210" s="18" t="s">
        <v>5722</v>
      </c>
      <c r="R210" s="541"/>
      <c r="S210" s="542"/>
      <c r="T210" s="542"/>
      <c r="U210" s="542"/>
      <c r="V210" s="543"/>
      <c r="W210" s="454"/>
    </row>
    <row r="211" spans="1:23">
      <c r="B211" s="6" t="s">
        <v>1267</v>
      </c>
      <c r="C211" s="18" t="s">
        <v>5723</v>
      </c>
      <c r="R211" s="544"/>
      <c r="S211" s="545"/>
      <c r="T211" s="545"/>
      <c r="U211" s="545"/>
      <c r="V211" s="546"/>
      <c r="W211" s="454"/>
    </row>
    <row r="212" spans="1:23">
      <c r="C212" s="6" t="s">
        <v>5387</v>
      </c>
      <c r="D212" t="s">
        <v>5726</v>
      </c>
    </row>
    <row r="213" spans="1:23">
      <c r="C213" s="6" t="s">
        <v>5387</v>
      </c>
      <c r="D213" t="s">
        <v>5724</v>
      </c>
    </row>
    <row r="214" spans="1:23">
      <c r="B214" s="6" t="s">
        <v>1267</v>
      </c>
      <c r="C214" s="18" t="s">
        <v>5728</v>
      </c>
    </row>
    <row r="215" spans="1:23">
      <c r="C215" s="6" t="s">
        <v>5387</v>
      </c>
      <c r="D215" t="s">
        <v>5725</v>
      </c>
    </row>
    <row r="216" spans="1:23">
      <c r="C216" s="6" t="s">
        <v>5387</v>
      </c>
      <c r="D216" t="s">
        <v>5730</v>
      </c>
      <c r="U216" s="464"/>
    </row>
    <row r="217" spans="1:23">
      <c r="B217" s="6" t="s">
        <v>1267</v>
      </c>
      <c r="C217" s="18" t="s">
        <v>5729</v>
      </c>
    </row>
    <row r="220" spans="1:23" s="202" customFormat="1">
      <c r="A220" s="468" t="s">
        <v>5753</v>
      </c>
      <c r="B220" s="468"/>
      <c r="C220" s="468"/>
      <c r="D220" s="468"/>
      <c r="E220" s="468"/>
      <c r="F220" s="468"/>
      <c r="G220" s="468"/>
      <c r="H220" s="468"/>
      <c r="I220" s="468"/>
      <c r="J220" s="468"/>
      <c r="K220" s="468"/>
      <c r="L220" s="468"/>
      <c r="M220" s="468"/>
      <c r="N220" s="468"/>
      <c r="O220" s="468"/>
      <c r="P220" s="468"/>
      <c r="Q220" s="468"/>
      <c r="R220" s="468"/>
    </row>
    <row r="221" spans="1:23">
      <c r="A221" s="469"/>
      <c r="B221" s="469"/>
      <c r="C221" s="469"/>
      <c r="D221" s="469"/>
      <c r="E221" s="469"/>
      <c r="F221" s="469"/>
      <c r="G221" s="469"/>
      <c r="H221" s="469"/>
      <c r="I221" s="469"/>
      <c r="J221" s="469"/>
      <c r="K221" s="469"/>
      <c r="L221" s="469"/>
      <c r="M221" s="469"/>
      <c r="N221" s="469"/>
      <c r="O221" s="469"/>
      <c r="P221" s="469"/>
      <c r="Q221" s="469"/>
      <c r="R221" s="469"/>
    </row>
    <row r="222" spans="1:23">
      <c r="A222" s="469"/>
      <c r="B222" s="470" t="s">
        <v>1267</v>
      </c>
      <c r="C222" s="469" t="s">
        <v>5766</v>
      </c>
      <c r="D222" s="469"/>
      <c r="E222" s="469"/>
      <c r="F222" s="469"/>
      <c r="G222" s="469"/>
      <c r="H222" s="469"/>
      <c r="I222" s="469"/>
      <c r="J222" s="469"/>
      <c r="K222" s="469"/>
      <c r="L222" s="469"/>
      <c r="M222" s="469"/>
      <c r="N222" s="469"/>
      <c r="O222" s="469"/>
      <c r="P222" s="469"/>
      <c r="Q222" s="469"/>
      <c r="R222" s="469"/>
    </row>
    <row r="223" spans="1:23">
      <c r="A223" s="469"/>
      <c r="B223" s="470" t="s">
        <v>1267</v>
      </c>
      <c r="C223" s="469" t="s">
        <v>5757</v>
      </c>
      <c r="D223" s="469"/>
      <c r="E223" s="469"/>
      <c r="F223" s="469"/>
      <c r="G223" s="469"/>
      <c r="H223" s="469"/>
      <c r="I223" s="469"/>
      <c r="J223" s="469"/>
      <c r="K223" s="469"/>
      <c r="L223" s="469"/>
      <c r="M223" s="469"/>
      <c r="N223" s="469"/>
      <c r="O223" s="469"/>
      <c r="P223" s="469"/>
      <c r="Q223" s="469"/>
      <c r="R223" s="469"/>
    </row>
    <row r="224" spans="1:23">
      <c r="A224" s="469"/>
      <c r="B224" s="469"/>
      <c r="C224" s="470"/>
      <c r="D224" s="469"/>
      <c r="E224" s="469"/>
      <c r="F224" s="469"/>
      <c r="G224" s="469"/>
      <c r="H224" s="469"/>
      <c r="I224" s="469"/>
      <c r="J224" s="469"/>
      <c r="K224" s="469"/>
      <c r="L224" s="469"/>
      <c r="M224" s="469"/>
      <c r="N224" s="469"/>
      <c r="O224" s="469"/>
      <c r="P224" s="469"/>
      <c r="Q224" s="469"/>
      <c r="R224" s="469"/>
    </row>
    <row r="225" spans="1:18" ht="17.25">
      <c r="A225" s="469"/>
      <c r="B225" s="470" t="s">
        <v>1267</v>
      </c>
      <c r="C225" s="469" t="s">
        <v>5747</v>
      </c>
      <c r="D225" s="469"/>
      <c r="E225" s="469"/>
      <c r="F225" s="547" t="s">
        <v>5751</v>
      </c>
      <c r="G225" s="547"/>
      <c r="H225" s="471" t="s">
        <v>5739</v>
      </c>
      <c r="I225" s="548" t="s">
        <v>5759</v>
      </c>
      <c r="J225" s="548"/>
      <c r="K225" s="469"/>
      <c r="L225" s="469"/>
      <c r="M225" s="495" t="s">
        <v>5764</v>
      </c>
      <c r="N225" s="469"/>
      <c r="O225" s="469"/>
      <c r="P225" s="469"/>
      <c r="Q225" s="469"/>
      <c r="R225" s="469"/>
    </row>
    <row r="226" spans="1:18" ht="17.25">
      <c r="A226" s="469"/>
      <c r="B226" s="469"/>
      <c r="C226" s="469"/>
      <c r="D226" s="469"/>
      <c r="E226" s="469"/>
      <c r="F226" s="469"/>
      <c r="G226" s="469"/>
      <c r="H226" s="469"/>
      <c r="I226" s="469"/>
      <c r="J226" s="469"/>
      <c r="K226" s="469"/>
      <c r="L226" s="469"/>
      <c r="M226" s="507" t="s">
        <v>5758</v>
      </c>
      <c r="N226" s="469"/>
      <c r="O226" s="469"/>
      <c r="P226" s="469"/>
      <c r="Q226" s="469"/>
      <c r="R226" s="469"/>
    </row>
    <row r="227" spans="1:18" ht="18" thickBot="1">
      <c r="A227" s="469"/>
      <c r="B227" s="470" t="s">
        <v>1267</v>
      </c>
      <c r="C227" s="469" t="s">
        <v>5747</v>
      </c>
      <c r="D227" s="469"/>
      <c r="E227" s="469"/>
      <c r="F227" s="549" t="s">
        <v>5741</v>
      </c>
      <c r="G227" s="549"/>
      <c r="H227" s="471" t="s">
        <v>5739</v>
      </c>
      <c r="I227" s="549" t="s">
        <v>5760</v>
      </c>
      <c r="J227" s="549"/>
      <c r="K227" s="469"/>
      <c r="M227" s="495" t="s">
        <v>5761</v>
      </c>
      <c r="N227" s="469"/>
      <c r="O227" s="469"/>
      <c r="P227" s="469"/>
      <c r="Q227" s="469"/>
      <c r="R227" s="469"/>
    </row>
    <row r="228" spans="1:18" ht="17.25">
      <c r="A228" s="469"/>
      <c r="B228" s="469"/>
      <c r="C228" s="469"/>
      <c r="D228" s="469"/>
      <c r="E228" s="469"/>
      <c r="F228" s="533" t="s">
        <v>5740</v>
      </c>
      <c r="G228" s="533"/>
      <c r="H228" s="469"/>
      <c r="I228" s="533" t="s">
        <v>5762</v>
      </c>
      <c r="J228" s="533"/>
      <c r="K228" s="469"/>
      <c r="M228" s="495" t="s">
        <v>5754</v>
      </c>
      <c r="N228" s="469"/>
      <c r="O228" s="469"/>
      <c r="P228" s="469"/>
      <c r="Q228" s="469"/>
      <c r="R228" s="469"/>
    </row>
    <row r="229" spans="1:18">
      <c r="A229" s="469"/>
      <c r="B229" s="469"/>
      <c r="C229" s="469"/>
      <c r="D229" s="469"/>
      <c r="E229" s="469"/>
      <c r="F229" s="471"/>
      <c r="G229" s="471"/>
      <c r="H229" s="469"/>
      <c r="I229" s="471"/>
      <c r="J229" s="471"/>
      <c r="K229" s="469"/>
      <c r="L229" s="472"/>
      <c r="M229" s="469"/>
      <c r="N229" s="469"/>
      <c r="O229" s="469"/>
      <c r="P229" s="469"/>
      <c r="Q229" s="469"/>
      <c r="R229" s="469"/>
    </row>
    <row r="230" spans="1:18">
      <c r="A230" s="469"/>
      <c r="B230" s="469"/>
      <c r="C230" s="469"/>
      <c r="D230" s="469"/>
      <c r="E230" s="469"/>
      <c r="F230" s="471"/>
      <c r="G230" s="471"/>
      <c r="H230" s="469"/>
      <c r="I230" s="471"/>
      <c r="J230" s="471"/>
      <c r="K230" s="469"/>
      <c r="M230" s="469"/>
      <c r="N230" s="469"/>
      <c r="O230" s="469"/>
      <c r="P230" s="469"/>
      <c r="Q230" s="469"/>
      <c r="R230" s="469"/>
    </row>
    <row r="231" spans="1:18">
      <c r="A231" s="469"/>
      <c r="B231" s="469"/>
      <c r="C231" s="469"/>
      <c r="D231" s="469"/>
      <c r="E231" s="469"/>
      <c r="F231" s="471"/>
      <c r="G231" s="471"/>
      <c r="H231" s="469"/>
      <c r="I231" s="471"/>
      <c r="J231" s="471"/>
      <c r="K231" s="469"/>
      <c r="L231" s="469"/>
      <c r="M231" s="469"/>
      <c r="N231" s="469"/>
      <c r="O231" s="469"/>
      <c r="P231" s="469"/>
      <c r="Q231" s="469"/>
      <c r="R231" s="469"/>
    </row>
    <row r="232" spans="1:18">
      <c r="A232" s="469"/>
      <c r="B232" s="469"/>
      <c r="C232" s="469"/>
      <c r="D232" s="469"/>
      <c r="E232" s="469"/>
      <c r="F232" s="471"/>
      <c r="G232" s="471"/>
      <c r="H232" s="469"/>
      <c r="I232" s="471" t="s">
        <v>5756</v>
      </c>
      <c r="J232" s="471"/>
      <c r="K232" s="469"/>
      <c r="L232" s="469"/>
      <c r="M232" s="469"/>
      <c r="N232" s="469"/>
      <c r="O232" s="469"/>
      <c r="P232" s="469"/>
      <c r="Q232" s="469"/>
      <c r="R232" s="469"/>
    </row>
    <row r="233" spans="1:18">
      <c r="A233" s="469"/>
      <c r="B233" s="469"/>
      <c r="C233" s="469"/>
      <c r="D233" s="469"/>
      <c r="E233" s="469"/>
      <c r="F233" s="471"/>
      <c r="G233" s="471"/>
      <c r="H233" s="469"/>
      <c r="I233" s="471" t="s">
        <v>5765</v>
      </c>
      <c r="J233" s="471"/>
      <c r="K233" s="469"/>
      <c r="L233" s="469"/>
      <c r="M233" s="469"/>
      <c r="N233" s="469"/>
      <c r="O233" s="469"/>
      <c r="P233" s="469"/>
      <c r="Q233" s="469"/>
      <c r="R233" s="469"/>
    </row>
    <row r="234" spans="1:18">
      <c r="A234" s="469"/>
      <c r="B234" s="469"/>
      <c r="C234" s="469"/>
      <c r="D234" s="469"/>
      <c r="E234" s="469"/>
      <c r="F234" s="471"/>
      <c r="G234" s="471"/>
      <c r="H234" s="469"/>
      <c r="I234" s="506" t="s">
        <v>5755</v>
      </c>
      <c r="J234" s="471"/>
      <c r="K234" s="469"/>
      <c r="L234" s="469"/>
      <c r="M234" s="469"/>
      <c r="N234" s="469"/>
      <c r="O234" s="469"/>
      <c r="P234" s="469"/>
      <c r="Q234" s="469"/>
      <c r="R234" s="469"/>
    </row>
    <row r="235" spans="1:18" ht="15.75" thickBot="1">
      <c r="A235" s="469"/>
      <c r="B235" s="469"/>
      <c r="C235" s="469"/>
      <c r="D235" s="469"/>
      <c r="E235" s="469"/>
      <c r="F235" s="469"/>
      <c r="G235" s="469"/>
      <c r="H235" s="469"/>
      <c r="J235" s="469"/>
      <c r="K235" s="469"/>
      <c r="L235" s="469"/>
      <c r="M235" s="469"/>
      <c r="N235" s="469"/>
      <c r="O235" s="469"/>
      <c r="P235" s="469"/>
      <c r="Q235" s="469"/>
      <c r="R235" s="469"/>
    </row>
    <row r="236" spans="1:18" ht="15.75" thickBot="1">
      <c r="A236" s="469"/>
      <c r="B236" s="469"/>
      <c r="C236" s="469"/>
      <c r="D236" s="469"/>
      <c r="E236" s="469"/>
      <c r="F236" s="473"/>
      <c r="G236" s="473"/>
      <c r="H236" s="474"/>
      <c r="I236" s="475" t="s">
        <v>5745</v>
      </c>
      <c r="J236" s="474"/>
      <c r="K236" s="474"/>
      <c r="L236" s="476"/>
      <c r="N236" s="469"/>
      <c r="O236" s="469"/>
      <c r="P236" s="469"/>
      <c r="Q236" s="469"/>
      <c r="R236" s="469"/>
    </row>
    <row r="237" spans="1:18">
      <c r="A237" s="469"/>
      <c r="B237" s="469"/>
      <c r="C237" s="469"/>
      <c r="D237" s="469"/>
      <c r="E237" s="469"/>
      <c r="F237" s="477"/>
      <c r="G237" s="478" t="s">
        <v>53</v>
      </c>
      <c r="H237" s="479" t="s">
        <v>54</v>
      </c>
      <c r="I237" s="479" t="s">
        <v>5742</v>
      </c>
      <c r="J237" s="479" t="s">
        <v>49</v>
      </c>
      <c r="K237" s="479" t="s">
        <v>50</v>
      </c>
      <c r="L237" s="480" t="s">
        <v>51</v>
      </c>
      <c r="M237" s="469"/>
      <c r="N237" s="469"/>
      <c r="O237" s="469"/>
      <c r="P237" s="469"/>
      <c r="Q237" s="469"/>
      <c r="R237" s="469"/>
    </row>
    <row r="238" spans="1:18" ht="15.75" thickBot="1">
      <c r="A238" s="469"/>
      <c r="B238" s="469"/>
      <c r="C238" s="469"/>
      <c r="D238" s="469"/>
      <c r="E238" s="470"/>
      <c r="F238" s="481"/>
      <c r="G238" s="482" t="s">
        <v>61</v>
      </c>
      <c r="H238" s="483" t="s">
        <v>5737</v>
      </c>
      <c r="I238" s="483" t="s">
        <v>5399</v>
      </c>
      <c r="J238" s="483" t="s">
        <v>1</v>
      </c>
      <c r="K238" s="483" t="s">
        <v>58</v>
      </c>
      <c r="L238" s="484" t="s">
        <v>5284</v>
      </c>
      <c r="M238" s="469"/>
      <c r="N238" s="469"/>
      <c r="O238" s="469"/>
      <c r="P238" s="469"/>
      <c r="Q238" s="469"/>
      <c r="R238" s="469"/>
    </row>
    <row r="239" spans="1:18" ht="30">
      <c r="A239" s="469"/>
      <c r="B239" s="469"/>
      <c r="C239" s="469"/>
      <c r="D239" s="469"/>
      <c r="E239" s="469"/>
      <c r="F239" s="485" t="s">
        <v>5752</v>
      </c>
      <c r="G239" s="486" t="s">
        <v>5744</v>
      </c>
      <c r="H239" s="487" t="s">
        <v>5738</v>
      </c>
      <c r="I239" s="487" t="s">
        <v>5763</v>
      </c>
      <c r="J239" s="487" t="s">
        <v>5744</v>
      </c>
      <c r="K239" s="487" t="s">
        <v>5744</v>
      </c>
      <c r="L239" s="488" t="s">
        <v>5744</v>
      </c>
      <c r="M239" s="511" t="s">
        <v>5767</v>
      </c>
      <c r="N239" s="469"/>
      <c r="O239" s="469"/>
      <c r="P239" s="469"/>
      <c r="Q239" s="469"/>
      <c r="R239" s="469"/>
    </row>
    <row r="240" spans="1:18" ht="17.25">
      <c r="A240" s="469"/>
      <c r="B240" s="469"/>
      <c r="C240" s="469"/>
      <c r="D240" s="469"/>
      <c r="E240" s="469"/>
      <c r="F240" s="489">
        <v>102</v>
      </c>
      <c r="G240" s="490" t="s">
        <v>5743</v>
      </c>
      <c r="H240" s="491" t="s">
        <v>5743</v>
      </c>
      <c r="I240" s="512" t="s">
        <v>5768</v>
      </c>
      <c r="J240" s="491" t="s">
        <v>5743</v>
      </c>
      <c r="K240" s="491" t="s">
        <v>5743</v>
      </c>
      <c r="L240" s="492" t="s">
        <v>5743</v>
      </c>
      <c r="M240" s="495" t="s">
        <v>5769</v>
      </c>
      <c r="N240" s="469"/>
      <c r="O240" s="469"/>
      <c r="P240" s="469"/>
      <c r="Q240" s="469"/>
      <c r="R240" s="469"/>
    </row>
    <row r="241" spans="1:18" ht="17.25">
      <c r="A241" s="469"/>
      <c r="B241" s="469"/>
      <c r="C241" s="469"/>
      <c r="D241" s="469"/>
      <c r="E241" s="469" t="s">
        <v>5746</v>
      </c>
      <c r="F241" s="493" t="s">
        <v>5736</v>
      </c>
      <c r="G241" s="508" t="s">
        <v>5738</v>
      </c>
      <c r="H241" s="510" t="s">
        <v>5770</v>
      </c>
      <c r="I241" s="510" t="s">
        <v>5770</v>
      </c>
      <c r="J241" s="491" t="s">
        <v>5743</v>
      </c>
      <c r="K241" s="491" t="s">
        <v>5743</v>
      </c>
      <c r="L241" s="494" t="s">
        <v>5743</v>
      </c>
      <c r="M241" s="495" t="s">
        <v>5772</v>
      </c>
      <c r="N241" s="496"/>
      <c r="O241" s="469"/>
      <c r="P241" s="469"/>
      <c r="Q241" s="469"/>
      <c r="R241" s="469"/>
    </row>
    <row r="242" spans="1:18" ht="17.25">
      <c r="A242" s="469"/>
      <c r="B242" s="469"/>
      <c r="C242" s="469"/>
      <c r="D242" s="469"/>
      <c r="E242" s="469"/>
      <c r="F242" s="493" t="s">
        <v>5735</v>
      </c>
      <c r="G242" s="509" t="s">
        <v>5744</v>
      </c>
      <c r="H242" s="491" t="s">
        <v>5771</v>
      </c>
      <c r="I242" s="491" t="s">
        <v>5771</v>
      </c>
      <c r="J242" s="491" t="s">
        <v>5743</v>
      </c>
      <c r="K242" s="491" t="s">
        <v>5743</v>
      </c>
      <c r="L242" s="494" t="s">
        <v>5743</v>
      </c>
      <c r="M242" s="497" t="s">
        <v>5773</v>
      </c>
      <c r="N242" s="469"/>
      <c r="O242" s="469"/>
      <c r="P242" s="469"/>
      <c r="Q242" s="469"/>
      <c r="R242" s="469"/>
    </row>
    <row r="243" spans="1:18">
      <c r="A243" s="469"/>
      <c r="B243" s="469"/>
      <c r="C243" s="469"/>
      <c r="D243" s="469"/>
      <c r="E243" s="469"/>
      <c r="F243" s="489">
        <v>111</v>
      </c>
      <c r="G243" s="490" t="s">
        <v>5738</v>
      </c>
      <c r="H243" s="491" t="s">
        <v>5738</v>
      </c>
      <c r="I243" s="491" t="s">
        <v>5738</v>
      </c>
      <c r="J243" s="491" t="s">
        <v>5743</v>
      </c>
      <c r="K243" s="491" t="s">
        <v>5743</v>
      </c>
      <c r="L243" s="494" t="s">
        <v>5743</v>
      </c>
      <c r="M243" s="495" t="s">
        <v>5774</v>
      </c>
      <c r="N243" s="469"/>
      <c r="O243" s="469"/>
      <c r="P243" s="469"/>
      <c r="Q243" s="469"/>
      <c r="R243" s="469"/>
    </row>
    <row r="244" spans="1:18" ht="15.75" thickBot="1">
      <c r="A244" s="469"/>
      <c r="B244" s="469"/>
      <c r="C244" s="469"/>
      <c r="D244" s="469"/>
      <c r="E244" s="469"/>
      <c r="F244" s="498" t="s">
        <v>5738</v>
      </c>
      <c r="G244" s="499" t="s">
        <v>5738</v>
      </c>
      <c r="H244" s="500" t="s">
        <v>5738</v>
      </c>
      <c r="I244" s="500" t="s">
        <v>5738</v>
      </c>
      <c r="J244" s="500" t="s">
        <v>5738</v>
      </c>
      <c r="K244" s="500" t="s">
        <v>5738</v>
      </c>
      <c r="L244" s="501" t="s">
        <v>5738</v>
      </c>
      <c r="M244" s="469"/>
      <c r="N244" s="469"/>
      <c r="O244" s="469"/>
      <c r="P244" s="469"/>
      <c r="Q244" s="469"/>
      <c r="R244" s="469"/>
    </row>
    <row r="245" spans="1:18">
      <c r="A245" s="469"/>
      <c r="B245" s="469"/>
      <c r="C245" s="469"/>
      <c r="D245" s="469"/>
      <c r="E245" s="469"/>
      <c r="F245" s="469"/>
      <c r="G245" s="469"/>
      <c r="H245" s="469"/>
      <c r="I245" s="469"/>
      <c r="J245" s="469"/>
      <c r="K245" s="469"/>
      <c r="L245" s="469"/>
      <c r="M245" s="469"/>
      <c r="N245" s="469"/>
      <c r="O245" s="469"/>
      <c r="P245" s="469"/>
      <c r="Q245" s="469"/>
      <c r="R245" s="469"/>
    </row>
    <row r="246" spans="1:18">
      <c r="A246" s="469"/>
      <c r="B246" s="469"/>
      <c r="C246" s="469"/>
      <c r="D246" s="469"/>
      <c r="E246" s="502"/>
      <c r="F246" s="503" t="s">
        <v>5748</v>
      </c>
      <c r="G246" s="504">
        <v>1988</v>
      </c>
      <c r="H246" s="504">
        <v>19908</v>
      </c>
      <c r="I246" s="504">
        <v>1330</v>
      </c>
      <c r="J246" s="505" t="s">
        <v>5750</v>
      </c>
      <c r="K246" s="505" t="s">
        <v>5749</v>
      </c>
      <c r="L246" s="504">
        <v>512</v>
      </c>
      <c r="M246" s="469"/>
      <c r="N246" s="469"/>
      <c r="O246" s="469"/>
      <c r="P246" s="469"/>
      <c r="Q246" s="469"/>
      <c r="R246" s="469"/>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60" zoomScale="110" zoomScaleNormal="110" workbookViewId="0">
      <selection activeCell="K103" sqref="K103:L103"/>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50" t="s">
        <v>891</v>
      </c>
      <c r="C25" s="550"/>
      <c r="D25" s="550"/>
      <c r="E25" s="550"/>
      <c r="F25" s="550"/>
      <c r="G25" s="550"/>
      <c r="H25" s="550"/>
      <c r="I25" s="550"/>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51" t="s">
        <v>901</v>
      </c>
      <c r="K30" s="551"/>
      <c r="L30" s="551"/>
      <c r="M30" s="551"/>
      <c r="N30" s="551"/>
    </row>
    <row r="31" spans="2:22">
      <c r="B31" s="143" t="s">
        <v>875</v>
      </c>
      <c r="C31" s="143" t="s">
        <v>876</v>
      </c>
      <c r="D31" s="143">
        <f>$E$8</f>
        <v>1632</v>
      </c>
      <c r="E31" s="143" t="s">
        <v>900</v>
      </c>
      <c r="F31" s="143">
        <v>0</v>
      </c>
      <c r="G31" s="143">
        <f>D31*F31</f>
        <v>0</v>
      </c>
      <c r="H31" s="143">
        <v>0</v>
      </c>
      <c r="I31" s="143">
        <f>G31*H31/1000000</f>
        <v>0</v>
      </c>
      <c r="J31" s="551"/>
      <c r="K31" s="551"/>
      <c r="L31" s="551"/>
      <c r="M31" s="551"/>
      <c r="N31" s="551"/>
    </row>
    <row r="32" spans="2:22" ht="15.75">
      <c r="B32" s="552"/>
      <c r="C32" s="552"/>
      <c r="D32" s="552"/>
      <c r="E32" s="552"/>
      <c r="F32" s="552"/>
      <c r="G32" s="552"/>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50" t="s">
        <v>903</v>
      </c>
      <c r="C38" s="550"/>
      <c r="D38" s="550"/>
      <c r="E38" s="550"/>
      <c r="F38" s="550"/>
      <c r="G38" s="550"/>
      <c r="H38" s="550"/>
      <c r="I38" s="550"/>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f>(I45-I40)*1000000/(8*86400)</f>
        <v>35.175098684210532</v>
      </c>
      <c r="L40" s="149" t="str">
        <f>"&lt;=no HK, byte/s"</f>
        <v>&lt;=no HK, byte/s</v>
      </c>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53" t="s">
        <v>904</v>
      </c>
      <c r="K43" s="553"/>
      <c r="L43" s="553"/>
      <c r="M43" s="553"/>
      <c r="N43" s="553"/>
      <c r="O43" s="98"/>
    </row>
    <row r="44" spans="2:16">
      <c r="B44" s="143" t="s">
        <v>875</v>
      </c>
      <c r="C44" s="143" t="s">
        <v>876</v>
      </c>
      <c r="D44" s="143">
        <f>$E$8</f>
        <v>1632</v>
      </c>
      <c r="E44" s="143" t="s">
        <v>865</v>
      </c>
      <c r="F44" s="143">
        <f>$M$4*$F$8</f>
        <v>7.2916666666666659E-4</v>
      </c>
      <c r="G44" s="143">
        <f>D44*F44</f>
        <v>1.19</v>
      </c>
      <c r="H44" s="143">
        <v>86400</v>
      </c>
      <c r="I44" s="143">
        <f>G44*H44/1000000</f>
        <v>0.102816</v>
      </c>
      <c r="J44" s="553"/>
      <c r="K44" s="553"/>
      <c r="L44" s="553"/>
      <c r="M44" s="553"/>
      <c r="N44" s="553"/>
      <c r="O44" s="98"/>
    </row>
    <row r="45" spans="2:16">
      <c r="B45" s="552"/>
      <c r="C45" s="552"/>
      <c r="D45" s="552"/>
      <c r="E45" s="552"/>
      <c r="F45" s="552"/>
      <c r="G45" s="552"/>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50" t="s">
        <v>905</v>
      </c>
      <c r="C47" s="550"/>
      <c r="D47" s="550"/>
      <c r="E47" s="550"/>
      <c r="F47" s="550"/>
      <c r="G47" s="550"/>
      <c r="H47" s="550"/>
      <c r="I47" s="550"/>
      <c r="J47" s="151"/>
    </row>
    <row r="48" spans="2:16">
      <c r="B48" s="145"/>
      <c r="C48" s="146" t="s">
        <v>850</v>
      </c>
      <c r="D48" s="146" t="s">
        <v>892</v>
      </c>
      <c r="E48" s="146" t="s">
        <v>893</v>
      </c>
      <c r="F48" s="146" t="s">
        <v>894</v>
      </c>
      <c r="G48" s="146" t="s">
        <v>895</v>
      </c>
      <c r="H48" s="146" t="s">
        <v>896</v>
      </c>
      <c r="I48" s="146" t="s">
        <v>897</v>
      </c>
      <c r="J48" s="29"/>
    </row>
    <row r="49" spans="2:12" ht="15.75">
      <c r="B49" s="143" t="s">
        <v>898</v>
      </c>
      <c r="C49" s="143" t="s">
        <v>860</v>
      </c>
      <c r="D49" s="143">
        <f>$E$3</f>
        <v>600</v>
      </c>
      <c r="E49" s="143" t="s">
        <v>878</v>
      </c>
      <c r="F49" s="143">
        <f>$I$9*$F$3</f>
        <v>2.7777777777777778E-4</v>
      </c>
      <c r="G49" s="143">
        <f>D49*F49</f>
        <v>0.16666666666666666</v>
      </c>
      <c r="H49" s="143">
        <v>86400</v>
      </c>
      <c r="I49" s="143">
        <f>G49*H49/1000000</f>
        <v>1.44E-2</v>
      </c>
      <c r="K49" s="149">
        <f>(I54-I49)*1000000/(8*86400)</f>
        <v>17.675098684210528</v>
      </c>
      <c r="L49" s="149" t="str">
        <f>"&lt;=no HK, byte/s"</f>
        <v>&lt;=no HK, byte/s</v>
      </c>
    </row>
    <row r="50" spans="2:12">
      <c r="B50" s="143" t="s">
        <v>899</v>
      </c>
      <c r="C50" s="143" t="s">
        <v>867</v>
      </c>
      <c r="D50" s="143">
        <f>$E$5</f>
        <v>280</v>
      </c>
      <c r="E50" s="147" t="s">
        <v>883</v>
      </c>
      <c r="F50" s="143">
        <f>$M$14*$F$5</f>
        <v>0.5</v>
      </c>
      <c r="G50" s="143">
        <f>D50*F50</f>
        <v>140</v>
      </c>
      <c r="H50" s="143">
        <v>86400</v>
      </c>
      <c r="I50" s="143">
        <f>G50*H50/1000000</f>
        <v>12.096</v>
      </c>
    </row>
    <row r="51" spans="2:12">
      <c r="B51" s="143" t="s">
        <v>869</v>
      </c>
      <c r="C51" s="143" t="s">
        <v>870</v>
      </c>
      <c r="D51" s="143">
        <f>$E$6</f>
        <v>696</v>
      </c>
      <c r="E51" s="143" t="s">
        <v>878</v>
      </c>
      <c r="F51" s="143">
        <f>$M$9*$F$6</f>
        <v>2.7412280701754384E-4</v>
      </c>
      <c r="G51" s="143">
        <f>D51*F51</f>
        <v>0.19078947368421051</v>
      </c>
      <c r="H51" s="143">
        <v>86400</v>
      </c>
      <c r="I51" s="143">
        <f>G51*H51/1000000</f>
        <v>1.6484210526315785E-2</v>
      </c>
    </row>
    <row r="52" spans="2:12">
      <c r="B52" s="143" t="s">
        <v>872</v>
      </c>
      <c r="C52" s="143" t="s">
        <v>873</v>
      </c>
      <c r="D52" s="143">
        <f>$E$7</f>
        <v>1728</v>
      </c>
      <c r="E52" s="143" t="s">
        <v>865</v>
      </c>
      <c r="F52" s="143">
        <f>$M$4*$F$7</f>
        <v>1.1574074074074073E-5</v>
      </c>
      <c r="G52" s="143">
        <f>D52*F52</f>
        <v>0.02</v>
      </c>
      <c r="H52" s="143">
        <v>86400</v>
      </c>
      <c r="I52" s="143">
        <f>G52*H52/1000000</f>
        <v>1.7279999999999999E-3</v>
      </c>
    </row>
    <row r="53" spans="2:12">
      <c r="B53" s="143" t="s">
        <v>875</v>
      </c>
      <c r="C53" s="143" t="s">
        <v>876</v>
      </c>
      <c r="D53" s="143">
        <f>$E$8</f>
        <v>1632</v>
      </c>
      <c r="E53" s="143" t="s">
        <v>865</v>
      </c>
      <c r="F53" s="143">
        <f>$M$4*$F$8</f>
        <v>7.2916666666666659E-4</v>
      </c>
      <c r="G53" s="143">
        <f>D53*F53</f>
        <v>1.19</v>
      </c>
      <c r="H53" s="143">
        <v>86400</v>
      </c>
      <c r="I53" s="143">
        <f>G53*H53/1000000</f>
        <v>0.102816</v>
      </c>
    </row>
    <row r="54" spans="2:12">
      <c r="B54" s="552"/>
      <c r="C54" s="552"/>
      <c r="D54" s="552"/>
      <c r="E54" s="552"/>
      <c r="F54" s="552"/>
      <c r="G54" s="552"/>
      <c r="H54" s="147" t="s">
        <v>902</v>
      </c>
      <c r="I54" s="147">
        <f>SUM(I49:I53)</f>
        <v>12.231428210526317</v>
      </c>
      <c r="J54" s="17">
        <f>I54*1000000/86400</f>
        <v>141.56745614035088</v>
      </c>
      <c r="K54">
        <f>J54/8</f>
        <v>17.695932017543861</v>
      </c>
    </row>
    <row r="55" spans="2:12">
      <c r="I55" s="17"/>
      <c r="J55" s="3" t="s">
        <v>0</v>
      </c>
      <c r="K55" s="3" t="s">
        <v>1017</v>
      </c>
    </row>
    <row r="56" spans="2:12" ht="18.75">
      <c r="B56" s="550" t="s">
        <v>906</v>
      </c>
      <c r="C56" s="550"/>
      <c r="D56" s="550"/>
      <c r="E56" s="550"/>
      <c r="F56" s="550"/>
      <c r="G56" s="550"/>
      <c r="H56" s="550"/>
      <c r="I56" s="550"/>
      <c r="J56" s="151"/>
    </row>
    <row r="57" spans="2:12">
      <c r="B57" s="145"/>
      <c r="C57" s="146" t="s">
        <v>850</v>
      </c>
      <c r="D57" s="146" t="s">
        <v>892</v>
      </c>
      <c r="E57" s="146" t="s">
        <v>893</v>
      </c>
      <c r="F57" s="146" t="s">
        <v>894</v>
      </c>
      <c r="G57" s="146" t="s">
        <v>895</v>
      </c>
      <c r="H57" s="146" t="s">
        <v>896</v>
      </c>
      <c r="I57" s="146" t="s">
        <v>897</v>
      </c>
      <c r="J57" s="29"/>
    </row>
    <row r="58" spans="2:12" ht="15.75">
      <c r="B58" s="143" t="s">
        <v>898</v>
      </c>
      <c r="C58" s="143" t="s">
        <v>860</v>
      </c>
      <c r="D58" s="143">
        <f>$E$3</f>
        <v>600</v>
      </c>
      <c r="E58" s="143" t="s">
        <v>878</v>
      </c>
      <c r="F58" s="143">
        <f>$I$9*$F$3</f>
        <v>2.7777777777777778E-4</v>
      </c>
      <c r="G58" s="143">
        <f>D58*F58</f>
        <v>0.16666666666666666</v>
      </c>
      <c r="H58" s="143">
        <v>86400</v>
      </c>
      <c r="I58" s="143">
        <f>G58*H58/1000000</f>
        <v>1.44E-2</v>
      </c>
      <c r="K58" s="149">
        <f>(I63-I58)*1000000/(8*86400)</f>
        <v>7.1750986842105258</v>
      </c>
      <c r="L58" s="149" t="str">
        <f>"&lt;=no HK, byte/s"</f>
        <v>&lt;=no HK, byte/s</v>
      </c>
    </row>
    <row r="59" spans="2:12">
      <c r="B59" s="143" t="s">
        <v>899</v>
      </c>
      <c r="C59" s="143" t="s">
        <v>867</v>
      </c>
      <c r="D59" s="143">
        <f>$E$5</f>
        <v>280</v>
      </c>
      <c r="E59" s="147" t="s">
        <v>882</v>
      </c>
      <c r="F59" s="143">
        <f>$M$13*$F$5</f>
        <v>0.2</v>
      </c>
      <c r="G59" s="143">
        <f>D59*F59</f>
        <v>56</v>
      </c>
      <c r="H59" s="143">
        <v>86400</v>
      </c>
      <c r="I59" s="143">
        <f>G59*H59/1000000</f>
        <v>4.8384</v>
      </c>
    </row>
    <row r="60" spans="2:12">
      <c r="B60" s="143" t="s">
        <v>869</v>
      </c>
      <c r="C60" s="143" t="s">
        <v>870</v>
      </c>
      <c r="D60" s="143">
        <f>$E$6</f>
        <v>696</v>
      </c>
      <c r="E60" s="143" t="s">
        <v>878</v>
      </c>
      <c r="F60" s="143">
        <f>$M$9*$F$6</f>
        <v>2.7412280701754384E-4</v>
      </c>
      <c r="G60" s="143">
        <f>D60*F60</f>
        <v>0.19078947368421051</v>
      </c>
      <c r="H60" s="143">
        <v>86400</v>
      </c>
      <c r="I60" s="143">
        <f>G60*H60/1000000</f>
        <v>1.6484210526315785E-2</v>
      </c>
    </row>
    <row r="61" spans="2:12">
      <c r="B61" s="143" t="s">
        <v>872</v>
      </c>
      <c r="C61" s="143" t="s">
        <v>873</v>
      </c>
      <c r="D61" s="143">
        <f>$E$7</f>
        <v>1728</v>
      </c>
      <c r="E61" s="143" t="s">
        <v>865</v>
      </c>
      <c r="F61" s="143">
        <f>$M$4*$F$7</f>
        <v>1.1574074074074073E-5</v>
      </c>
      <c r="G61" s="143">
        <f>D61*F61</f>
        <v>0.02</v>
      </c>
      <c r="H61" s="143">
        <v>86400</v>
      </c>
      <c r="I61" s="143">
        <f>G61*H61/1000000</f>
        <v>1.7279999999999999E-3</v>
      </c>
    </row>
    <row r="62" spans="2:12">
      <c r="B62" s="143" t="s">
        <v>875</v>
      </c>
      <c r="C62" s="143" t="s">
        <v>876</v>
      </c>
      <c r="D62" s="143">
        <f>$E$8</f>
        <v>1632</v>
      </c>
      <c r="E62" s="143" t="s">
        <v>865</v>
      </c>
      <c r="F62" s="143">
        <f>$M$4*$F$8</f>
        <v>7.2916666666666659E-4</v>
      </c>
      <c r="G62" s="143">
        <f>D62*F62</f>
        <v>1.19</v>
      </c>
      <c r="H62" s="143">
        <v>86400</v>
      </c>
      <c r="I62" s="143">
        <f>G62*H62/1000000</f>
        <v>0.102816</v>
      </c>
    </row>
    <row r="63" spans="2:12">
      <c r="B63" s="552"/>
      <c r="C63" s="552"/>
      <c r="D63" s="552"/>
      <c r="E63" s="552"/>
      <c r="F63" s="552"/>
      <c r="G63" s="552"/>
      <c r="H63" s="147" t="s">
        <v>902</v>
      </c>
      <c r="I63" s="147">
        <f>SUM(I58:I62)</f>
        <v>4.9738282105263156</v>
      </c>
      <c r="J63" s="17">
        <f>I63*1000000/86400</f>
        <v>57.56745614035087</v>
      </c>
      <c r="K63">
        <f>J63/8</f>
        <v>7.1959320175438588</v>
      </c>
    </row>
    <row r="64" spans="2:12">
      <c r="I64" s="17"/>
      <c r="J64" s="3" t="s">
        <v>0</v>
      </c>
      <c r="K64" s="3" t="s">
        <v>1017</v>
      </c>
    </row>
    <row r="65" spans="2:12" ht="18.75">
      <c r="B65" s="550" t="s">
        <v>907</v>
      </c>
      <c r="C65" s="550"/>
      <c r="D65" s="550"/>
      <c r="E65" s="550"/>
      <c r="F65" s="550"/>
      <c r="G65" s="550"/>
      <c r="H65" s="550"/>
      <c r="I65" s="550"/>
      <c r="J65" s="151"/>
    </row>
    <row r="66" spans="2:12">
      <c r="B66" s="145"/>
      <c r="C66" s="146" t="s">
        <v>850</v>
      </c>
      <c r="D66" s="146" t="s">
        <v>892</v>
      </c>
      <c r="E66" s="146" t="s">
        <v>893</v>
      </c>
      <c r="F66" s="146" t="s">
        <v>894</v>
      </c>
      <c r="G66" s="146" t="s">
        <v>895</v>
      </c>
      <c r="H66" s="146" t="s">
        <v>896</v>
      </c>
      <c r="I66" s="146" t="s">
        <v>897</v>
      </c>
      <c r="J66" s="29"/>
    </row>
    <row r="67" spans="2:12" ht="15.75">
      <c r="B67" s="143" t="s">
        <v>898</v>
      </c>
      <c r="C67" s="143" t="s">
        <v>860</v>
      </c>
      <c r="D67" s="143">
        <f>$E$3</f>
        <v>600</v>
      </c>
      <c r="E67" s="143" t="s">
        <v>878</v>
      </c>
      <c r="F67" s="143">
        <f>$I$9*$F$3</f>
        <v>2.7777777777777778E-4</v>
      </c>
      <c r="G67" s="143">
        <f>D67*F67</f>
        <v>0.16666666666666666</v>
      </c>
      <c r="H67" s="143">
        <v>86400</v>
      </c>
      <c r="I67" s="143">
        <f>G67*H67/1000000</f>
        <v>1.44E-2</v>
      </c>
      <c r="K67" s="149">
        <f>(I72-I67)*1000000/(8*86400)</f>
        <v>3.6750986842105258</v>
      </c>
      <c r="L67" s="149" t="str">
        <f>"&lt;=no HK, byte/s"</f>
        <v>&lt;=no HK, byte/s</v>
      </c>
    </row>
    <row r="68" spans="2:12">
      <c r="B68" s="143" t="s">
        <v>899</v>
      </c>
      <c r="C68" s="143" t="s">
        <v>867</v>
      </c>
      <c r="D68" s="143">
        <f>$E$5</f>
        <v>280</v>
      </c>
      <c r="E68" s="147" t="s">
        <v>881</v>
      </c>
      <c r="F68" s="143">
        <f>$M$12*$F$5</f>
        <v>0.1</v>
      </c>
      <c r="G68" s="143">
        <f>D68*F68</f>
        <v>28</v>
      </c>
      <c r="H68" s="143">
        <v>86400</v>
      </c>
      <c r="I68" s="143">
        <f>G68*H68/1000000</f>
        <v>2.4192</v>
      </c>
    </row>
    <row r="69" spans="2:12">
      <c r="B69" s="143" t="s">
        <v>869</v>
      </c>
      <c r="C69" s="143" t="s">
        <v>870</v>
      </c>
      <c r="D69" s="143">
        <f>$E$6</f>
        <v>696</v>
      </c>
      <c r="E69" s="143" t="s">
        <v>878</v>
      </c>
      <c r="F69" s="143">
        <f>$M$9*$F$6</f>
        <v>2.7412280701754384E-4</v>
      </c>
      <c r="G69" s="143">
        <f>D69*F69</f>
        <v>0.19078947368421051</v>
      </c>
      <c r="H69" s="143">
        <v>86400</v>
      </c>
      <c r="I69" s="143">
        <f>G69*H69/1000000</f>
        <v>1.6484210526315785E-2</v>
      </c>
    </row>
    <row r="70" spans="2:12">
      <c r="B70" s="143" t="s">
        <v>872</v>
      </c>
      <c r="C70" s="143" t="s">
        <v>873</v>
      </c>
      <c r="D70" s="143">
        <f>$E$7</f>
        <v>1728</v>
      </c>
      <c r="E70" s="143" t="s">
        <v>865</v>
      </c>
      <c r="F70" s="143">
        <f>$M$4*$F$7</f>
        <v>1.1574074074074073E-5</v>
      </c>
      <c r="G70" s="143">
        <f>D70*F70</f>
        <v>0.02</v>
      </c>
      <c r="H70" s="143">
        <v>86400</v>
      </c>
      <c r="I70" s="143">
        <f>G70*H70/1000000</f>
        <v>1.7279999999999999E-3</v>
      </c>
    </row>
    <row r="71" spans="2:12">
      <c r="B71" s="143" t="s">
        <v>875</v>
      </c>
      <c r="C71" s="143" t="s">
        <v>876</v>
      </c>
      <c r="D71" s="143">
        <f>$E$8</f>
        <v>1632</v>
      </c>
      <c r="E71" s="143" t="s">
        <v>865</v>
      </c>
      <c r="F71" s="143">
        <f>$M$4*$F$8</f>
        <v>7.2916666666666659E-4</v>
      </c>
      <c r="G71" s="143">
        <f>D71*F71</f>
        <v>1.19</v>
      </c>
      <c r="H71" s="143">
        <v>86400</v>
      </c>
      <c r="I71" s="143">
        <f>G71*H71/1000000</f>
        <v>0.102816</v>
      </c>
      <c r="K71" t="s">
        <v>1018</v>
      </c>
    </row>
    <row r="72" spans="2:12">
      <c r="B72" s="552"/>
      <c r="C72" s="552"/>
      <c r="D72" s="552"/>
      <c r="E72" s="552"/>
      <c r="F72" s="552"/>
      <c r="G72" s="552"/>
      <c r="H72" s="147" t="s">
        <v>902</v>
      </c>
      <c r="I72" s="147">
        <f>SUM(I67:I71)</f>
        <v>2.5546282105263156</v>
      </c>
      <c r="J72" s="17">
        <f>I72*1000000/86400</f>
        <v>29.567456140350874</v>
      </c>
      <c r="K72" s="176">
        <f>J72/8</f>
        <v>3.6959320175438592</v>
      </c>
    </row>
    <row r="73" spans="2:12">
      <c r="J73" s="3" t="s">
        <v>0</v>
      </c>
      <c r="K73" s="3" t="s">
        <v>1017</v>
      </c>
    </row>
    <row r="74" spans="2:12" ht="18.75">
      <c r="B74" s="550" t="s">
        <v>908</v>
      </c>
      <c r="C74" s="550"/>
      <c r="D74" s="550"/>
      <c r="E74" s="550"/>
      <c r="F74" s="550"/>
      <c r="G74" s="550"/>
      <c r="H74" s="550"/>
      <c r="I74" s="550"/>
      <c r="J74" s="151"/>
    </row>
    <row r="75" spans="2:12">
      <c r="B75" s="145"/>
      <c r="C75" s="146" t="s">
        <v>850</v>
      </c>
      <c r="D75" s="146" t="s">
        <v>892</v>
      </c>
      <c r="E75" s="146" t="s">
        <v>893</v>
      </c>
      <c r="F75" s="146" t="s">
        <v>894</v>
      </c>
      <c r="G75" s="146" t="s">
        <v>895</v>
      </c>
      <c r="H75" s="146" t="s">
        <v>896</v>
      </c>
      <c r="I75" s="146" t="s">
        <v>897</v>
      </c>
      <c r="J75" s="29"/>
    </row>
    <row r="76" spans="2:12" ht="15.75">
      <c r="B76" s="143" t="s">
        <v>898</v>
      </c>
      <c r="C76" s="143" t="s">
        <v>860</v>
      </c>
      <c r="D76" s="143">
        <f>$E$3</f>
        <v>600</v>
      </c>
      <c r="E76" s="143" t="s">
        <v>878</v>
      </c>
      <c r="F76" s="143">
        <f>$I$9*$F$3</f>
        <v>2.7777777777777778E-4</v>
      </c>
      <c r="G76" s="143">
        <f>D76*F76</f>
        <v>0.16666666666666666</v>
      </c>
      <c r="H76" s="143">
        <v>86400</v>
      </c>
      <c r="I76" s="143">
        <f>G76*H76/1000000</f>
        <v>1.44E-2</v>
      </c>
      <c r="K76" s="149">
        <f>(I81-I76)*1000000/(8*86400)</f>
        <v>1.9250986842105267</v>
      </c>
      <c r="L76" s="149" t="str">
        <f>"&lt;=no HK, byte/s"</f>
        <v>&lt;=no HK, byte/s</v>
      </c>
    </row>
    <row r="77" spans="2:12">
      <c r="B77" s="143" t="s">
        <v>899</v>
      </c>
      <c r="C77" s="143" t="s">
        <v>867</v>
      </c>
      <c r="D77" s="143">
        <f>$E$5</f>
        <v>280</v>
      </c>
      <c r="E77" s="147" t="s">
        <v>880</v>
      </c>
      <c r="F77" s="143">
        <f>$M$11*$F$5</f>
        <v>0.05</v>
      </c>
      <c r="G77" s="143">
        <f>D77*F77</f>
        <v>14</v>
      </c>
      <c r="H77" s="143">
        <v>86400</v>
      </c>
      <c r="I77" s="143">
        <f>G77*H77/1000000</f>
        <v>1.2096</v>
      </c>
    </row>
    <row r="78" spans="2:12">
      <c r="B78" s="143" t="s">
        <v>869</v>
      </c>
      <c r="C78" s="143" t="s">
        <v>870</v>
      </c>
      <c r="D78" s="143">
        <f>$E$6</f>
        <v>696</v>
      </c>
      <c r="E78" s="143" t="s">
        <v>878</v>
      </c>
      <c r="F78" s="143">
        <f>$M$9*$F$6</f>
        <v>2.7412280701754384E-4</v>
      </c>
      <c r="G78" s="143">
        <f>D78*F78</f>
        <v>0.19078947368421051</v>
      </c>
      <c r="H78" s="143">
        <v>86400</v>
      </c>
      <c r="I78" s="143">
        <f>G78*H78/1000000</f>
        <v>1.6484210526315785E-2</v>
      </c>
    </row>
    <row r="79" spans="2:12">
      <c r="B79" s="143" t="s">
        <v>872</v>
      </c>
      <c r="C79" s="143" t="s">
        <v>873</v>
      </c>
      <c r="D79" s="143">
        <f>$E$7</f>
        <v>1728</v>
      </c>
      <c r="E79" s="143" t="s">
        <v>865</v>
      </c>
      <c r="F79" s="143">
        <f>$M$4*$F$7</f>
        <v>1.1574074074074073E-5</v>
      </c>
      <c r="G79" s="143">
        <f>D79*F79</f>
        <v>0.02</v>
      </c>
      <c r="H79" s="143">
        <v>86400</v>
      </c>
      <c r="I79" s="143">
        <f>G79*H79/1000000</f>
        <v>1.7279999999999999E-3</v>
      </c>
    </row>
    <row r="80" spans="2:12">
      <c r="B80" s="143" t="s">
        <v>875</v>
      </c>
      <c r="C80" s="143" t="s">
        <v>876</v>
      </c>
      <c r="D80" s="143">
        <f>$E$8</f>
        <v>1632</v>
      </c>
      <c r="E80" s="143" t="s">
        <v>865</v>
      </c>
      <c r="F80" s="143">
        <f>$M$4*$F$8</f>
        <v>7.2916666666666659E-4</v>
      </c>
      <c r="G80" s="143">
        <f>D80*F80</f>
        <v>1.19</v>
      </c>
      <c r="H80" s="143">
        <v>86400</v>
      </c>
      <c r="I80" s="143">
        <f>G80*H80/1000000</f>
        <v>0.102816</v>
      </c>
    </row>
    <row r="81" spans="2:12">
      <c r="B81" s="552"/>
      <c r="C81" s="552"/>
      <c r="D81" s="552"/>
      <c r="E81" s="552"/>
      <c r="F81" s="552"/>
      <c r="G81" s="552"/>
      <c r="H81" s="147" t="s">
        <v>902</v>
      </c>
      <c r="I81" s="147">
        <f>SUM(I76:I80)</f>
        <v>1.3450282105263158</v>
      </c>
      <c r="J81" s="17">
        <f>I81*1000000/86400</f>
        <v>15.567456140350876</v>
      </c>
      <c r="K81">
        <f>J81/8</f>
        <v>1.9459320175438595</v>
      </c>
    </row>
    <row r="82" spans="2:12">
      <c r="I82" s="17"/>
      <c r="J82" s="3" t="s">
        <v>0</v>
      </c>
      <c r="K82" s="3" t="s">
        <v>1017</v>
      </c>
    </row>
    <row r="83" spans="2:12" ht="18.75">
      <c r="B83" s="550" t="s">
        <v>909</v>
      </c>
      <c r="C83" s="550"/>
      <c r="D83" s="550"/>
      <c r="E83" s="550"/>
      <c r="F83" s="550"/>
      <c r="G83" s="550"/>
      <c r="H83" s="550"/>
      <c r="I83" s="550"/>
      <c r="J83" s="151"/>
    </row>
    <row r="84" spans="2:12">
      <c r="B84" s="145"/>
      <c r="C84" s="146" t="s">
        <v>850</v>
      </c>
      <c r="D84" s="146" t="s">
        <v>892</v>
      </c>
      <c r="E84" s="146" t="s">
        <v>893</v>
      </c>
      <c r="F84" s="146" t="s">
        <v>894</v>
      </c>
      <c r="G84" s="146" t="s">
        <v>895</v>
      </c>
      <c r="H84" s="146" t="s">
        <v>896</v>
      </c>
      <c r="I84" s="146" t="s">
        <v>897</v>
      </c>
      <c r="J84" s="29"/>
    </row>
    <row r="85" spans="2:12" ht="15.75">
      <c r="B85" s="143" t="s">
        <v>898</v>
      </c>
      <c r="C85" s="143" t="s">
        <v>860</v>
      </c>
      <c r="D85" s="143">
        <f>$E$3</f>
        <v>600</v>
      </c>
      <c r="E85" s="143" t="s">
        <v>878</v>
      </c>
      <c r="F85" s="143">
        <f>$I$9*$F$3</f>
        <v>2.7777777777777778E-4</v>
      </c>
      <c r="G85" s="143">
        <f>D85*F85</f>
        <v>0.16666666666666666</v>
      </c>
      <c r="H85" s="143">
        <v>86400</v>
      </c>
      <c r="I85" s="143">
        <f>G85*H85/1000000</f>
        <v>1.44E-2</v>
      </c>
      <c r="K85" s="149">
        <f>(I90-I85)*1000000/(8*86400)</f>
        <v>1.3819952359346641</v>
      </c>
      <c r="L85" s="149" t="str">
        <f>"&lt;=no HK, byte/s"</f>
        <v>&lt;=no HK, byte/s</v>
      </c>
    </row>
    <row r="86" spans="2:12">
      <c r="B86" s="143" t="s">
        <v>899</v>
      </c>
      <c r="C86" s="143" t="s">
        <v>867</v>
      </c>
      <c r="D86" s="143">
        <f>$E$5</f>
        <v>280</v>
      </c>
      <c r="E86" s="147" t="s">
        <v>879</v>
      </c>
      <c r="F86" s="143">
        <f>$M$10*$F$5</f>
        <v>3.4482758620689655E-2</v>
      </c>
      <c r="G86" s="143">
        <f>D86*F86</f>
        <v>9.6551724137931032</v>
      </c>
      <c r="H86" s="143">
        <v>86400</v>
      </c>
      <c r="I86" s="143">
        <f>G86*H86/1000000</f>
        <v>0.8342068965517242</v>
      </c>
    </row>
    <row r="87" spans="2:12">
      <c r="B87" s="143" t="s">
        <v>869</v>
      </c>
      <c r="C87" s="143" t="s">
        <v>870</v>
      </c>
      <c r="D87" s="143">
        <f>$E$6</f>
        <v>696</v>
      </c>
      <c r="E87" s="143" t="s">
        <v>878</v>
      </c>
      <c r="F87" s="143">
        <f>$M$9*$F$6</f>
        <v>2.7412280701754384E-4</v>
      </c>
      <c r="G87" s="143">
        <f>D87*F87</f>
        <v>0.19078947368421051</v>
      </c>
      <c r="H87" s="143">
        <v>86400</v>
      </c>
      <c r="I87" s="143">
        <f>G87*H87/1000000</f>
        <v>1.6484210526315785E-2</v>
      </c>
    </row>
    <row r="88" spans="2:12">
      <c r="B88" s="143" t="s">
        <v>872</v>
      </c>
      <c r="C88" s="143" t="s">
        <v>873</v>
      </c>
      <c r="D88" s="143">
        <f>$E$7</f>
        <v>1728</v>
      </c>
      <c r="E88" s="143" t="s">
        <v>865</v>
      </c>
      <c r="F88" s="143">
        <f>$M$4*$F$7</f>
        <v>1.1574074074074073E-5</v>
      </c>
      <c r="G88" s="143">
        <f>D88*F88</f>
        <v>0.02</v>
      </c>
      <c r="H88" s="143">
        <v>86400</v>
      </c>
      <c r="I88" s="143">
        <f>G88*H88/1000000</f>
        <v>1.7279999999999999E-3</v>
      </c>
    </row>
    <row r="89" spans="2:12">
      <c r="B89" s="143" t="s">
        <v>875</v>
      </c>
      <c r="C89" s="143" t="s">
        <v>876</v>
      </c>
      <c r="D89" s="143">
        <f>$E$8</f>
        <v>1632</v>
      </c>
      <c r="E89" s="143" t="s">
        <v>865</v>
      </c>
      <c r="F89" s="143">
        <f>$M$4*$F$8</f>
        <v>7.2916666666666659E-4</v>
      </c>
      <c r="G89" s="143">
        <f>D89*F89</f>
        <v>1.19</v>
      </c>
      <c r="H89" s="143">
        <v>86400</v>
      </c>
      <c r="I89" s="143">
        <f>G89*H89/1000000</f>
        <v>0.102816</v>
      </c>
    </row>
    <row r="90" spans="2:12">
      <c r="B90" s="143"/>
      <c r="C90" s="143"/>
      <c r="D90" s="143"/>
      <c r="E90" s="143"/>
      <c r="F90" s="143"/>
      <c r="G90" s="143"/>
      <c r="H90" s="147" t="s">
        <v>902</v>
      </c>
      <c r="I90" s="147">
        <f>SUM(I85:I89)</f>
        <v>0.9696351070780399</v>
      </c>
      <c r="J90" s="17">
        <f>I90*1000000/86400</f>
        <v>11.222628554143981</v>
      </c>
      <c r="K90">
        <f>J90/8</f>
        <v>1.4028285692679976</v>
      </c>
    </row>
    <row r="91" spans="2:12" ht="15" customHeight="1">
      <c r="J91" s="3" t="s">
        <v>0</v>
      </c>
      <c r="K91" s="3" t="s">
        <v>1017</v>
      </c>
    </row>
    <row r="92" spans="2:12" ht="18.75">
      <c r="B92" s="550" t="s">
        <v>910</v>
      </c>
      <c r="C92" s="550"/>
      <c r="D92" s="550"/>
      <c r="E92" s="550"/>
      <c r="F92" s="550"/>
      <c r="G92" s="550"/>
      <c r="H92" s="550"/>
      <c r="I92" s="550"/>
      <c r="J92" s="151"/>
    </row>
    <row r="93" spans="2:12">
      <c r="B93" s="145"/>
      <c r="C93" s="146" t="s">
        <v>850</v>
      </c>
      <c r="D93" s="146" t="s">
        <v>892</v>
      </c>
      <c r="E93" s="146" t="s">
        <v>893</v>
      </c>
      <c r="F93" s="146" t="s">
        <v>894</v>
      </c>
      <c r="G93" s="146" t="s">
        <v>895</v>
      </c>
      <c r="H93" s="146" t="s">
        <v>896</v>
      </c>
      <c r="I93" s="146" t="s">
        <v>897</v>
      </c>
      <c r="J93" s="29"/>
    </row>
    <row r="94" spans="2:12" ht="15.75">
      <c r="B94" s="143" t="s">
        <v>898</v>
      </c>
      <c r="C94" s="143" t="s">
        <v>860</v>
      </c>
      <c r="D94" s="143">
        <f>$E$3</f>
        <v>600</v>
      </c>
      <c r="E94" s="143" t="s">
        <v>878</v>
      </c>
      <c r="F94" s="143">
        <f>$I$9*$F$3</f>
        <v>2.7777777777777778E-4</v>
      </c>
      <c r="G94" s="143">
        <f>D94*F94</f>
        <v>0.16666666666666666</v>
      </c>
      <c r="H94" s="143">
        <v>86400</v>
      </c>
      <c r="I94" s="143">
        <f>G94*H94/1000000</f>
        <v>1.44E-2</v>
      </c>
      <c r="K94" s="149">
        <f>(I99-I94)*1000000/(8*86400)</f>
        <v>0.78913377192982437</v>
      </c>
      <c r="L94" s="149" t="str">
        <f>"&lt;=no HK, byte/s"</f>
        <v>&lt;=no HK, byte/s</v>
      </c>
    </row>
    <row r="95" spans="2:12">
      <c r="B95" s="143" t="s">
        <v>899</v>
      </c>
      <c r="C95" s="143" t="s">
        <v>867</v>
      </c>
      <c r="D95" s="143">
        <f>$E$5</f>
        <v>280</v>
      </c>
      <c r="E95" s="152" t="s">
        <v>878</v>
      </c>
      <c r="F95" s="143">
        <f>$M$9*$F$5</f>
        <v>1.7543859649122806E-2</v>
      </c>
      <c r="G95" s="143">
        <f>D95*F95</f>
        <v>4.9122807017543852</v>
      </c>
      <c r="H95" s="143">
        <v>86400</v>
      </c>
      <c r="I95" s="143">
        <f>G95*H95/1000000</f>
        <v>0.42442105263157887</v>
      </c>
    </row>
    <row r="96" spans="2:12">
      <c r="B96" s="143" t="s">
        <v>869</v>
      </c>
      <c r="C96" s="143" t="s">
        <v>870</v>
      </c>
      <c r="D96" s="143">
        <f>$E$6</f>
        <v>696</v>
      </c>
      <c r="E96" s="143" t="s">
        <v>878</v>
      </c>
      <c r="F96" s="143">
        <f>$M$9*$F$6</f>
        <v>2.7412280701754384E-4</v>
      </c>
      <c r="G96" s="143">
        <f>D96*F96</f>
        <v>0.19078947368421051</v>
      </c>
      <c r="H96" s="143">
        <v>86400</v>
      </c>
      <c r="I96" s="143">
        <f>G96*H96/1000000</f>
        <v>1.6484210526315785E-2</v>
      </c>
    </row>
    <row r="97" spans="2:12">
      <c r="B97" s="143" t="s">
        <v>872</v>
      </c>
      <c r="C97" s="143" t="s">
        <v>873</v>
      </c>
      <c r="D97" s="143">
        <f>$E$7</f>
        <v>1728</v>
      </c>
      <c r="E97" s="143" t="s">
        <v>865</v>
      </c>
      <c r="F97" s="143">
        <f>$M$4*$F$7</f>
        <v>1.1574074074074073E-5</v>
      </c>
      <c r="G97" s="143">
        <f>D97*F97</f>
        <v>0.02</v>
      </c>
      <c r="H97" s="143">
        <v>86400</v>
      </c>
      <c r="I97" s="143">
        <f>G97*H97/1000000</f>
        <v>1.7279999999999999E-3</v>
      </c>
    </row>
    <row r="98" spans="2:12">
      <c r="B98" s="143" t="s">
        <v>875</v>
      </c>
      <c r="C98" s="143" t="s">
        <v>876</v>
      </c>
      <c r="D98" s="143">
        <f>$E$8</f>
        <v>1632</v>
      </c>
      <c r="E98" s="143" t="s">
        <v>865</v>
      </c>
      <c r="F98" s="143">
        <f>$M$4*$F$8</f>
        <v>7.2916666666666659E-4</v>
      </c>
      <c r="G98" s="143">
        <f>D98*F98</f>
        <v>1.19</v>
      </c>
      <c r="H98" s="143">
        <v>86400</v>
      </c>
      <c r="I98" s="143">
        <f>G98*H98/1000000</f>
        <v>0.102816</v>
      </c>
    </row>
    <row r="99" spans="2:12">
      <c r="B99" s="552"/>
      <c r="C99" s="552"/>
      <c r="D99" s="552"/>
      <c r="E99" s="552"/>
      <c r="F99" s="552"/>
      <c r="G99" s="552"/>
      <c r="H99" s="147" t="s">
        <v>902</v>
      </c>
      <c r="I99" s="147">
        <f>SUM(I94:I98)</f>
        <v>0.55984926315789463</v>
      </c>
      <c r="J99" s="17">
        <f>I99*1000000/86400</f>
        <v>6.4797368421052619</v>
      </c>
      <c r="K99">
        <f>J99/8</f>
        <v>0.80996710526315774</v>
      </c>
    </row>
    <row r="100" spans="2:12" ht="15" customHeight="1">
      <c r="J100" s="3" t="s">
        <v>0</v>
      </c>
      <c r="K100" s="3" t="s">
        <v>1017</v>
      </c>
    </row>
    <row r="101" spans="2:12" ht="18.75">
      <c r="B101" s="550" t="s">
        <v>911</v>
      </c>
      <c r="C101" s="550"/>
      <c r="D101" s="550"/>
      <c r="E101" s="550"/>
      <c r="F101" s="550"/>
      <c r="G101" s="550"/>
      <c r="H101" s="550"/>
      <c r="I101" s="550"/>
      <c r="J101" s="151"/>
    </row>
    <row r="102" spans="2:12">
      <c r="B102" s="145"/>
      <c r="C102" s="146" t="s">
        <v>850</v>
      </c>
      <c r="D102" s="146" t="s">
        <v>892</v>
      </c>
      <c r="E102" s="146" t="s">
        <v>893</v>
      </c>
      <c r="F102" s="146" t="s">
        <v>894</v>
      </c>
      <c r="G102" s="146" t="s">
        <v>895</v>
      </c>
      <c r="H102" s="146" t="s">
        <v>896</v>
      </c>
      <c r="I102" s="146" t="s">
        <v>897</v>
      </c>
      <c r="J102" s="29"/>
    </row>
    <row r="103" spans="2:12" ht="15.75">
      <c r="B103" s="143" t="s">
        <v>898</v>
      </c>
      <c r="C103" s="143" t="s">
        <v>860</v>
      </c>
      <c r="D103" s="143">
        <f>$E$3</f>
        <v>600</v>
      </c>
      <c r="E103" s="143" t="s">
        <v>878</v>
      </c>
      <c r="F103" s="143">
        <f>$I$9*$F$3</f>
        <v>2.7777777777777778E-4</v>
      </c>
      <c r="G103" s="143">
        <f>D103*F103</f>
        <v>0.16666666666666666</v>
      </c>
      <c r="H103" s="143">
        <v>86400</v>
      </c>
      <c r="I103" s="143">
        <f>G103*H103/1000000</f>
        <v>1.44E-2</v>
      </c>
      <c r="K103" s="149">
        <f>(I108-I103)*1000000/(8*86400)</f>
        <v>0.48483319748486253</v>
      </c>
      <c r="L103" s="149" t="str">
        <f>"&lt;=no HK, byte/s"</f>
        <v>&lt;=no HK, byte/s</v>
      </c>
    </row>
    <row r="104" spans="2:12">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2">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2">
      <c r="B106" s="143" t="s">
        <v>872</v>
      </c>
      <c r="C106" s="143" t="s">
        <v>873</v>
      </c>
      <c r="D106" s="143">
        <f>$E$7</f>
        <v>1728</v>
      </c>
      <c r="E106" s="143" t="s">
        <v>865</v>
      </c>
      <c r="F106" s="143">
        <f>$M$4*$F$7</f>
        <v>1.1574074074074073E-5</v>
      </c>
      <c r="G106" s="143">
        <f>D106*F106</f>
        <v>0.02</v>
      </c>
      <c r="H106" s="143">
        <v>86400</v>
      </c>
      <c r="I106" s="143">
        <f>G106*H106/1000000</f>
        <v>1.7279999999999999E-3</v>
      </c>
    </row>
    <row r="107" spans="2:12">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2">
      <c r="B108" s="552"/>
      <c r="C108" s="552"/>
      <c r="D108" s="552"/>
      <c r="E108" s="552"/>
      <c r="F108" s="552"/>
      <c r="G108" s="552"/>
      <c r="H108" s="147" t="s">
        <v>902</v>
      </c>
      <c r="I108" s="147">
        <f>SUM(I103:I107)</f>
        <v>0.34951670610153701</v>
      </c>
      <c r="J108" s="17">
        <f>I108*1000000/86400</f>
        <v>4.0453322465455672</v>
      </c>
      <c r="K108" s="176">
        <f>J108/8</f>
        <v>0.5056665308181959</v>
      </c>
    </row>
    <row r="109" spans="2:12" ht="15" customHeight="1">
      <c r="J109" s="3" t="s">
        <v>0</v>
      </c>
      <c r="K109" s="3" t="s">
        <v>1017</v>
      </c>
    </row>
    <row r="110" spans="2:12" ht="18.75">
      <c r="B110" s="550" t="s">
        <v>912</v>
      </c>
      <c r="C110" s="550"/>
      <c r="D110" s="550"/>
      <c r="E110" s="550"/>
      <c r="F110" s="550"/>
      <c r="G110" s="550"/>
      <c r="H110" s="550"/>
      <c r="I110" s="550"/>
      <c r="J110" s="151"/>
    </row>
    <row r="111" spans="2:12">
      <c r="B111" s="145"/>
      <c r="C111" s="146" t="s">
        <v>850</v>
      </c>
      <c r="D111" s="146" t="s">
        <v>892</v>
      </c>
      <c r="E111" s="146" t="s">
        <v>893</v>
      </c>
      <c r="F111" s="146" t="s">
        <v>894</v>
      </c>
      <c r="G111" s="146" t="s">
        <v>895</v>
      </c>
      <c r="H111" s="146" t="s">
        <v>896</v>
      </c>
      <c r="I111" s="146" t="s">
        <v>897</v>
      </c>
      <c r="J111" s="29"/>
    </row>
    <row r="112" spans="2:12" ht="15.75">
      <c r="B112" s="143" t="s">
        <v>898</v>
      </c>
      <c r="C112" s="143" t="s">
        <v>860</v>
      </c>
      <c r="D112" s="143">
        <f>$E$3</f>
        <v>600</v>
      </c>
      <c r="E112" s="143" t="s">
        <v>878</v>
      </c>
      <c r="F112" s="143">
        <f>$I$9*$F$3</f>
        <v>2.7777777777777778E-4</v>
      </c>
      <c r="G112" s="143">
        <f>D112*F112</f>
        <v>0.16666666666666666</v>
      </c>
      <c r="H112" s="143">
        <v>86400</v>
      </c>
      <c r="I112" s="143">
        <f>G112*H112/1000000</f>
        <v>1.44E-2</v>
      </c>
      <c r="K112" s="149">
        <f>(I117-I112)*1000000/(8*86400)</f>
        <v>0.38219927592650266</v>
      </c>
      <c r="L112" s="149" t="str">
        <f>"&lt;=no HK, byte/s"</f>
        <v>&lt;=no HK, byte/s</v>
      </c>
    </row>
    <row r="113" spans="2:12">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2">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2">
      <c r="B115" s="143" t="s">
        <v>872</v>
      </c>
      <c r="C115" s="143" t="s">
        <v>873</v>
      </c>
      <c r="D115" s="143">
        <f>$E$7</f>
        <v>1728</v>
      </c>
      <c r="E115" s="143" t="s">
        <v>865</v>
      </c>
      <c r="F115" s="143">
        <f>$M$4*$F$7</f>
        <v>1.1574074074074073E-5</v>
      </c>
      <c r="G115" s="143">
        <f>D115*F115</f>
        <v>0.02</v>
      </c>
      <c r="H115" s="143">
        <v>86400</v>
      </c>
      <c r="I115" s="143">
        <f>G115*H115/1000000</f>
        <v>1.7279999999999999E-3</v>
      </c>
    </row>
    <row r="116" spans="2:12">
      <c r="B116" s="143" t="s">
        <v>875</v>
      </c>
      <c r="C116" s="143" t="s">
        <v>876</v>
      </c>
      <c r="D116" s="143">
        <f>$E$8</f>
        <v>1632</v>
      </c>
      <c r="E116" s="143" t="s">
        <v>865</v>
      </c>
      <c r="F116" s="143">
        <f>$M$4*$F$8</f>
        <v>7.2916666666666659E-4</v>
      </c>
      <c r="G116" s="143">
        <f>D116*F116</f>
        <v>1.19</v>
      </c>
      <c r="H116" s="143">
        <v>86400</v>
      </c>
      <c r="I116" s="143">
        <f>G116*H116/1000000</f>
        <v>0.102816</v>
      </c>
    </row>
    <row r="117" spans="2:12">
      <c r="B117" s="552"/>
      <c r="C117" s="552"/>
      <c r="D117" s="552"/>
      <c r="E117" s="552"/>
      <c r="F117" s="552"/>
      <c r="G117" s="552"/>
      <c r="H117" s="147" t="s">
        <v>902</v>
      </c>
      <c r="I117" s="147">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50" t="s">
        <v>913</v>
      </c>
      <c r="C119" s="550"/>
      <c r="D119" s="550"/>
      <c r="E119" s="550"/>
      <c r="F119" s="550"/>
      <c r="G119" s="550"/>
      <c r="H119" s="550"/>
      <c r="I119" s="550"/>
      <c r="J119" s="151"/>
    </row>
    <row r="120" spans="2:12">
      <c r="B120" s="145"/>
      <c r="C120" s="146" t="s">
        <v>850</v>
      </c>
      <c r="D120" s="146" t="s">
        <v>892</v>
      </c>
      <c r="E120" s="146" t="s">
        <v>893</v>
      </c>
      <c r="F120" s="146" t="s">
        <v>894</v>
      </c>
      <c r="G120" s="146" t="s">
        <v>895</v>
      </c>
      <c r="H120" s="146" t="s">
        <v>896</v>
      </c>
      <c r="I120" s="146" t="s">
        <v>897</v>
      </c>
      <c r="J120" s="29"/>
    </row>
    <row r="121" spans="2:12" ht="15.75">
      <c r="B121" s="143" t="s">
        <v>898</v>
      </c>
      <c r="C121" s="143" t="s">
        <v>860</v>
      </c>
      <c r="D121" s="143">
        <f>$E$3</f>
        <v>600</v>
      </c>
      <c r="E121" s="143" t="s">
        <v>878</v>
      </c>
      <c r="F121" s="143">
        <f>$I$9*$F$3</f>
        <v>2.7777777777777778E-4</v>
      </c>
      <c r="G121" s="143">
        <f>D121*F121</f>
        <v>0.16666666666666666</v>
      </c>
      <c r="H121" s="143">
        <v>86400</v>
      </c>
      <c r="I121" s="143">
        <f>G121*H121/1000000</f>
        <v>1.44E-2</v>
      </c>
      <c r="K121" s="149">
        <f>(I126-I121)*1000000/(8*86400)</f>
        <v>0.27864898006851446</v>
      </c>
      <c r="L121" s="149" t="str">
        <f>"&lt;=no HK, byte/s"</f>
        <v>&lt;=no HK, byte/s</v>
      </c>
    </row>
    <row r="122" spans="2:12">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2">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2">
      <c r="B124" s="143" t="s">
        <v>872</v>
      </c>
      <c r="C124" s="143" t="s">
        <v>873</v>
      </c>
      <c r="D124" s="143">
        <f>$E$7</f>
        <v>1728</v>
      </c>
      <c r="E124" s="143" t="s">
        <v>865</v>
      </c>
      <c r="F124" s="143">
        <f>$M$4*$F$7</f>
        <v>1.1574074074074073E-5</v>
      </c>
      <c r="G124" s="143">
        <f>D124*F124</f>
        <v>0.02</v>
      </c>
      <c r="H124" s="143">
        <v>86400</v>
      </c>
      <c r="I124" s="143">
        <f>G124*H124/1000000</f>
        <v>1.7279999999999999E-3</v>
      </c>
    </row>
    <row r="125" spans="2:12">
      <c r="B125" s="143" t="s">
        <v>875</v>
      </c>
      <c r="C125" s="143" t="s">
        <v>876</v>
      </c>
      <c r="D125" s="143">
        <f>$E$8</f>
        <v>1632</v>
      </c>
      <c r="E125" s="143" t="s">
        <v>865</v>
      </c>
      <c r="F125" s="143">
        <f>$M$4*$F$8</f>
        <v>7.2916666666666659E-4</v>
      </c>
      <c r="G125" s="143">
        <f>D125*F125</f>
        <v>1.19</v>
      </c>
      <c r="H125" s="143">
        <v>86400</v>
      </c>
      <c r="I125" s="143">
        <f>G125*H125/1000000</f>
        <v>0.102816</v>
      </c>
    </row>
    <row r="126" spans="2:12">
      <c r="B126" s="552"/>
      <c r="C126" s="552"/>
      <c r="D126" s="552"/>
      <c r="E126" s="552"/>
      <c r="F126" s="552"/>
      <c r="G126" s="552"/>
      <c r="H126" s="147" t="s">
        <v>902</v>
      </c>
      <c r="I126" s="147">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50" t="s">
        <v>914</v>
      </c>
      <c r="C128" s="550"/>
      <c r="D128" s="550"/>
      <c r="E128" s="550"/>
      <c r="F128" s="550"/>
      <c r="G128" s="550"/>
      <c r="H128" s="550"/>
      <c r="I128" s="550"/>
      <c r="J128" s="151"/>
    </row>
    <row r="129" spans="2:12">
      <c r="B129" s="145"/>
      <c r="C129" s="146" t="s">
        <v>850</v>
      </c>
      <c r="D129" s="146" t="s">
        <v>892</v>
      </c>
      <c r="E129" s="146" t="s">
        <v>893</v>
      </c>
      <c r="F129" s="146" t="s">
        <v>894</v>
      </c>
      <c r="G129" s="146" t="s">
        <v>895</v>
      </c>
      <c r="H129" s="146" t="s">
        <v>896</v>
      </c>
      <c r="I129" s="146" t="s">
        <v>897</v>
      </c>
      <c r="J129" s="29"/>
    </row>
    <row r="130" spans="2:12">
      <c r="B130" s="143" t="s">
        <v>898</v>
      </c>
      <c r="C130" s="143" t="s">
        <v>860</v>
      </c>
      <c r="D130" s="143">
        <f>$E$3</f>
        <v>600</v>
      </c>
      <c r="E130" s="143" t="s">
        <v>878</v>
      </c>
      <c r="F130" s="143">
        <f>$I$9*$F$3</f>
        <v>2.7777777777777778E-4</v>
      </c>
      <c r="G130" s="143">
        <f>D130*F130</f>
        <v>0.16666666666666666</v>
      </c>
      <c r="H130" s="143">
        <v>86400</v>
      </c>
      <c r="I130" s="143">
        <f>G130*H130/1000000</f>
        <v>1.44E-2</v>
      </c>
    </row>
    <row r="131" spans="2:12">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2">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2">
      <c r="B133" s="143" t="s">
        <v>872</v>
      </c>
      <c r="C133" s="143" t="s">
        <v>873</v>
      </c>
      <c r="D133" s="143">
        <f>$E$7</f>
        <v>1728</v>
      </c>
      <c r="E133" s="143" t="s">
        <v>865</v>
      </c>
      <c r="F133" s="143">
        <f>$M$4*$F$7</f>
        <v>1.1574074074074073E-5</v>
      </c>
      <c r="G133" s="143">
        <f>D133*F133</f>
        <v>0.02</v>
      </c>
      <c r="H133" s="143">
        <v>86400</v>
      </c>
      <c r="I133" s="143">
        <f>G133*H133/1000000</f>
        <v>1.7279999999999999E-3</v>
      </c>
    </row>
    <row r="134" spans="2:12">
      <c r="B134" s="143" t="s">
        <v>875</v>
      </c>
      <c r="C134" s="143" t="s">
        <v>876</v>
      </c>
      <c r="D134" s="143">
        <f>$E$8</f>
        <v>1632</v>
      </c>
      <c r="E134" s="143" t="s">
        <v>865</v>
      </c>
      <c r="F134" s="143">
        <f>$M$4*$F$8</f>
        <v>7.2916666666666659E-4</v>
      </c>
      <c r="G134" s="143">
        <f>D134*F134</f>
        <v>1.19</v>
      </c>
      <c r="H134" s="143">
        <v>86400</v>
      </c>
      <c r="I134" s="143">
        <f>G134*H134/1000000</f>
        <v>0.102816</v>
      </c>
    </row>
    <row r="135" spans="2:12">
      <c r="B135" s="552"/>
      <c r="C135" s="552"/>
      <c r="D135" s="552"/>
      <c r="E135" s="552"/>
      <c r="F135" s="552"/>
      <c r="G135" s="552"/>
      <c r="H135" s="147" t="s">
        <v>902</v>
      </c>
      <c r="I135" s="147">
        <f>SUM(I130:I134)</f>
        <v>0.17126821052631577</v>
      </c>
      <c r="J135" s="17">
        <f>I135*1000000/86400</f>
        <v>1.9822709551656921</v>
      </c>
      <c r="K135">
        <f>J135/8</f>
        <v>0.24778386939571151</v>
      </c>
    </row>
    <row r="136" spans="2:12" ht="15" customHeight="1">
      <c r="J136" s="3" t="s">
        <v>0</v>
      </c>
      <c r="K136" s="3" t="s">
        <v>1017</v>
      </c>
    </row>
    <row r="137" spans="2:12" ht="18.75">
      <c r="B137" s="550" t="s">
        <v>915</v>
      </c>
      <c r="C137" s="550"/>
      <c r="D137" s="550"/>
      <c r="E137" s="550"/>
      <c r="F137" s="550"/>
      <c r="G137" s="550"/>
      <c r="H137" s="550"/>
      <c r="I137" s="550"/>
      <c r="J137" s="151"/>
    </row>
    <row r="138" spans="2:12">
      <c r="B138" s="145"/>
      <c r="C138" s="146" t="s">
        <v>850</v>
      </c>
      <c r="D138" s="146" t="s">
        <v>892</v>
      </c>
      <c r="E138" s="146" t="s">
        <v>893</v>
      </c>
      <c r="F138" s="146" t="s">
        <v>894</v>
      </c>
      <c r="G138" s="146" t="s">
        <v>895</v>
      </c>
      <c r="H138" s="146" t="s">
        <v>896</v>
      </c>
      <c r="I138" s="146" t="s">
        <v>897</v>
      </c>
      <c r="J138" s="29"/>
    </row>
    <row r="139" spans="2:12" ht="15.75">
      <c r="B139" s="143" t="s">
        <v>898</v>
      </c>
      <c r="C139" s="143" t="s">
        <v>860</v>
      </c>
      <c r="D139" s="143">
        <f>$E$3</f>
        <v>600</v>
      </c>
      <c r="E139" s="143" t="s">
        <v>878</v>
      </c>
      <c r="F139" s="143">
        <f>$I$9*$F$3</f>
        <v>2.7777777777777778E-4</v>
      </c>
      <c r="G139" s="143">
        <f>D139*F139</f>
        <v>0.16666666666666666</v>
      </c>
      <c r="H139" s="143">
        <v>86400</v>
      </c>
      <c r="I139" s="143">
        <f>G139*H139/1000000</f>
        <v>1.44E-2</v>
      </c>
      <c r="K139" s="149">
        <f>(I144-I139)*1000000/(8*86400)</f>
        <v>0.20102461013645223</v>
      </c>
      <c r="L139" s="149" t="str">
        <f>"&lt;=no HK, byte/s"</f>
        <v>&lt;=no HK, byte/s</v>
      </c>
    </row>
    <row r="140" spans="2:12">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2">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2">
      <c r="B142" s="143" t="s">
        <v>872</v>
      </c>
      <c r="C142" s="143" t="s">
        <v>873</v>
      </c>
      <c r="D142" s="143">
        <f>$E$7</f>
        <v>1728</v>
      </c>
      <c r="E142" s="143" t="s">
        <v>865</v>
      </c>
      <c r="F142" s="143">
        <f>$M$4*$F$7</f>
        <v>1.1574074074074073E-5</v>
      </c>
      <c r="G142" s="143">
        <f>D142*F142</f>
        <v>0.02</v>
      </c>
      <c r="H142" s="143">
        <v>86400</v>
      </c>
      <c r="I142" s="143">
        <f>G142*H142/1000000</f>
        <v>1.7279999999999999E-3</v>
      </c>
    </row>
    <row r="143" spans="2:12">
      <c r="B143" s="143" t="s">
        <v>875</v>
      </c>
      <c r="C143" s="143" t="s">
        <v>876</v>
      </c>
      <c r="D143" s="143">
        <f>$E$8</f>
        <v>1632</v>
      </c>
      <c r="E143" s="143" t="s">
        <v>865</v>
      </c>
      <c r="F143" s="143">
        <f>$M$4*$F$8</f>
        <v>7.2916666666666659E-4</v>
      </c>
      <c r="G143" s="143">
        <f>D143*F143</f>
        <v>1.19</v>
      </c>
      <c r="H143" s="143">
        <v>86400</v>
      </c>
      <c r="I143" s="143">
        <f>G143*H143/1000000</f>
        <v>0.102816</v>
      </c>
    </row>
    <row r="144" spans="2:12">
      <c r="B144" s="554"/>
      <c r="C144" s="554"/>
      <c r="D144" s="554"/>
      <c r="E144" s="554"/>
      <c r="F144" s="554"/>
      <c r="G144" s="554"/>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55" t="s">
        <v>916</v>
      </c>
      <c r="C149" s="555"/>
      <c r="D149" s="555"/>
      <c r="E149" s="555"/>
      <c r="F149" s="555"/>
      <c r="G149" s="555"/>
      <c r="H149" s="555"/>
      <c r="I149" s="555"/>
      <c r="J149" s="556" t="s">
        <v>917</v>
      </c>
      <c r="K149" s="556"/>
      <c r="L149" s="556"/>
      <c r="M149" s="556"/>
    </row>
    <row r="150" spans="2:13">
      <c r="B150" s="145"/>
      <c r="C150" s="146" t="s">
        <v>850</v>
      </c>
      <c r="D150" s="146" t="s">
        <v>892</v>
      </c>
      <c r="E150" s="146" t="s">
        <v>893</v>
      </c>
      <c r="F150" s="146" t="s">
        <v>894</v>
      </c>
      <c r="G150" s="146" t="s">
        <v>895</v>
      </c>
      <c r="H150" s="146" t="s">
        <v>896</v>
      </c>
      <c r="I150" s="146" t="s">
        <v>897</v>
      </c>
      <c r="J150" s="29"/>
    </row>
    <row r="151" spans="2:13" ht="15.75">
      <c r="B151" s="143" t="s">
        <v>898</v>
      </c>
      <c r="C151" s="143" t="s">
        <v>860</v>
      </c>
      <c r="D151" s="143">
        <f>$E$3</f>
        <v>600</v>
      </c>
      <c r="E151" s="143" t="s">
        <v>890</v>
      </c>
      <c r="F151" s="143">
        <f>$I$21*$F$3</f>
        <v>1</v>
      </c>
      <c r="G151" s="143">
        <f>D151*F151</f>
        <v>600</v>
      </c>
      <c r="H151" s="143">
        <v>7200</v>
      </c>
      <c r="I151" s="143">
        <f>G151*H151/1000000</f>
        <v>4.32</v>
      </c>
      <c r="K151" s="149">
        <f>(I156-I151)*1000000/(8*86400)</f>
        <v>2.9383680555555554</v>
      </c>
      <c r="L151" s="149" t="str">
        <f>"&lt;=no HK, byte/s"</f>
        <v>&lt;=no HK, byte/s</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52"/>
      <c r="C156" s="552"/>
      <c r="D156" s="552"/>
      <c r="E156" s="552"/>
      <c r="F156" s="552"/>
      <c r="G156" s="552"/>
      <c r="H156" s="147" t="s">
        <v>902</v>
      </c>
      <c r="I156" s="147">
        <f>SUM(I151:I155)+(15000/1000000)</f>
        <v>6.351</v>
      </c>
      <c r="J156" s="17"/>
    </row>
    <row r="162" spans="2:7" ht="72" customHeight="1">
      <c r="B162" s="558" t="s">
        <v>918</v>
      </c>
      <c r="C162" s="153" t="s">
        <v>919</v>
      </c>
      <c r="D162" s="154" t="s">
        <v>920</v>
      </c>
      <c r="E162" s="559" t="s">
        <v>921</v>
      </c>
      <c r="F162" s="559"/>
      <c r="G162" s="559"/>
    </row>
    <row r="163" spans="2:7" ht="78.75" customHeight="1">
      <c r="B163" s="558"/>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58" t="s">
        <v>918</v>
      </c>
      <c r="C179" s="153" t="s">
        <v>919</v>
      </c>
      <c r="D179" s="154" t="s">
        <v>920</v>
      </c>
    </row>
    <row r="180" spans="2:11" ht="36">
      <c r="B180" s="558"/>
      <c r="C180" s="1" t="s">
        <v>924</v>
      </c>
      <c r="D180" s="154" t="s">
        <v>925</v>
      </c>
    </row>
    <row r="181" spans="2:11" ht="36">
      <c r="B181" s="155" t="s">
        <v>926</v>
      </c>
      <c r="C181" s="160">
        <f>$I$32</f>
        <v>24.222884210526313</v>
      </c>
      <c r="D181" s="160">
        <f>C181*365.25/1000</f>
        <v>8.847408457894737</v>
      </c>
    </row>
    <row r="189" spans="2:11" ht="21" customHeight="1">
      <c r="B189" s="560" t="s">
        <v>927</v>
      </c>
      <c r="C189" s="560"/>
      <c r="D189" s="560"/>
      <c r="E189" s="560"/>
      <c r="F189" s="560"/>
      <c r="G189" s="560"/>
      <c r="H189" s="560"/>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57" t="s">
        <v>929</v>
      </c>
      <c r="C197" s="557"/>
      <c r="D197" s="557"/>
      <c r="F197" s="557" t="s">
        <v>929</v>
      </c>
      <c r="G197" s="557"/>
      <c r="H197" s="557"/>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57" t="s">
        <v>936</v>
      </c>
      <c r="C204" s="557"/>
      <c r="D204" s="557"/>
      <c r="F204" s="557" t="s">
        <v>936</v>
      </c>
      <c r="G204" s="557"/>
      <c r="H204" s="557"/>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4" priority="1">
      <formula>M3=I3</formula>
    </cfRule>
    <cfRule type="expression" dxfId="3"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2025_pb_2</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2026-09-28T14:47:35Z</dcterms:modified>
  <dc:language>en-US</dc:language>
</cp:coreProperties>
</file>