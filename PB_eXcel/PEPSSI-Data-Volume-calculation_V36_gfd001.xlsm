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3.xml" ContentType="application/vnd.openxmlformats-officedocument.spreadsheetml.table+xml"/>
  <Override PartName="/xl/queryTables/queryTable3.xml" ContentType="application/vnd.openxmlformats-officedocument.spreadsheetml.queryTable+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12.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ctrlProps/ctrlProp13.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ctrlProps/ctrlProp14.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trlProps/ctrlProp15.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16.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7.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8.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9.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20.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21.xml" ContentType="application/vnd.ms-excel.controlproperties+xml"/>
  <Override PartName="/xl/drawings/drawing14.xml" ContentType="application/vnd.openxmlformats-officedocument.drawing+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drawings/drawing1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https://swri-my.sharepoint.us/personal/gregory_dunn_swri_org/Documents/Projects/05310 - New Horizons/playback-tool/NH_PB/PB_eXcel/"/>
    </mc:Choice>
  </mc:AlternateContent>
  <xr:revisionPtr revIDLastSave="111" documentId="8_{349525B1-3A67-49B8-AD7B-5FC7B1C6E60A}" xr6:coauthVersionLast="47" xr6:coauthVersionMax="47" xr10:uidLastSave="{412AC06A-34FD-4ED4-8D07-12C7974208C8}"/>
  <bookViews>
    <workbookView xWindow="28680" yWindow="-120" windowWidth="29040" windowHeight="16440" tabRatio="906" activeTab="1" xr2:uid="{00000000-000D-0000-FFFF-FFFF00000000}"/>
  </bookViews>
  <sheets>
    <sheet name="2025_pb_2" sheetId="21" r:id="rId1"/>
    <sheet name="Playbacks" sheetId="96" r:id="rId2"/>
    <sheet name="swp_ssf" sheetId="95" r:id="rId3"/>
    <sheet name="pep_ssf" sheetId="19" r:id="rId4"/>
    <sheet name="dev" sheetId="22" r:id="rId5"/>
    <sheet name="_tl24-277-07-50" sheetId="86" r:id="rId6"/>
    <sheet name="_tl25-096-16-35" sheetId="87" r:id="rId7"/>
    <sheet name="_tl25-116-08-15" sheetId="88" r:id="rId8"/>
    <sheet name="_tl25-118-07-25" sheetId="89" r:id="rId9"/>
    <sheet name="_tl25-123-08-15" sheetId="90" r:id="rId10"/>
    <sheet name="_tl25-138-22-20" sheetId="91" r:id="rId11"/>
    <sheet name="_tl25-160-03-11" sheetId="92" r:id="rId12"/>
    <sheet name="_tl25-219-03-27" sheetId="93" r:id="rId13"/>
    <sheet name="_tl26-179-03-29" sheetId="94" r:id="rId14"/>
    <sheet name="_tl_template" sheetId="20" r:id="rId15"/>
    <sheet name="sclk_data" sheetId="17" r:id="rId16"/>
    <sheet name="btc_mods" sheetId="16" r:id="rId17"/>
    <sheet name="SWAP Data Volumns" sheetId="6" r:id="rId18"/>
    <sheet name="2025_pb" sheetId="2" r:id="rId19"/>
  </sheets>
  <functionGroups builtInGroupCount="19"/>
  <definedNames>
    <definedName name="_xleta.CONCATENATE" hidden="1" xlm="1">#NAME?</definedName>
    <definedName name="_xleta.IF" hidden="1" xlm="1">#NAME?</definedName>
    <definedName name="_xleta.ISNUMBER" hidden="1" xlm="1">#NAME?</definedName>
    <definedName name="_xleta.LEFT" hidden="1" xlm="1">#NAME?</definedName>
    <definedName name="_xleta.N" hidden="1" xlm="1">#NAME?</definedName>
    <definedName name="_xleta.T" hidden="1" xlm="1">#NAME?</definedName>
    <definedName name="_xleta.TIME" hidden="1" xlm="1">#NAME?</definedName>
    <definedName name="_xlpm.bits" hidden="1" xlm="1">#NAME?</definedName>
    <definedName name="_xlpm.cnt" hidden="1" xlm="1">#NAME?</definedName>
    <definedName name="_xlpm.per" hidden="1" xlm="1">#NAME?</definedName>
    <definedName name="c_\temp\nh_sandbox\">pep_ssf!$B$3:$B$4</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End_Time">pep_ssf!$B$4</definedName>
    <definedName name="ExternalData_1" localSheetId="3" hidden="1">pep_ssf!$A$13:$D$68</definedName>
    <definedName name="ExternalData_2" localSheetId="2" hidden="1">swp_ssf!$A$13:$D$74</definedName>
    <definedName name="ExternalData_3" localSheetId="1" hidden="1">Playbacks!$A$1:$N$194</definedName>
    <definedName name="Start_Time">pep_ssf!$B$3</definedName>
    <definedName name="Statesim_Files_Directory">pep_ssf!$B$2</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4" i="19" l="1"/>
  <c r="G15" i="19"/>
  <c r="N15" i="19" s="1"/>
  <c r="G16" i="19"/>
  <c r="G17" i="19"/>
  <c r="G18" i="19"/>
  <c r="G19" i="19"/>
  <c r="G20" i="19"/>
  <c r="G21" i="19"/>
  <c r="G22" i="19"/>
  <c r="G23" i="19"/>
  <c r="G24" i="19"/>
  <c r="G25" i="19"/>
  <c r="G26" i="19"/>
  <c r="G27" i="19"/>
  <c r="G28" i="19"/>
  <c r="G29" i="19"/>
  <c r="G30" i="19"/>
  <c r="G31" i="19"/>
  <c r="G32" i="19"/>
  <c r="G33" i="19"/>
  <c r="G34" i="19"/>
  <c r="G35" i="19"/>
  <c r="N35" i="19" s="1"/>
  <c r="G36" i="19"/>
  <c r="G37" i="19"/>
  <c r="G38" i="19"/>
  <c r="G39" i="19"/>
  <c r="G40" i="19"/>
  <c r="G41" i="19"/>
  <c r="G42" i="19"/>
  <c r="G43" i="19"/>
  <c r="G44" i="19"/>
  <c r="G45" i="19"/>
  <c r="G46" i="19"/>
  <c r="G47" i="19"/>
  <c r="G48" i="19"/>
  <c r="G49" i="19"/>
  <c r="G50" i="19"/>
  <c r="G51" i="19"/>
  <c r="G52" i="19"/>
  <c r="G53" i="19"/>
  <c r="N53" i="19" s="1"/>
  <c r="G54" i="19"/>
  <c r="G55" i="19"/>
  <c r="N55" i="19" s="1"/>
  <c r="G56" i="19"/>
  <c r="G57" i="19"/>
  <c r="G58" i="19"/>
  <c r="G59" i="19"/>
  <c r="G60" i="19"/>
  <c r="G61" i="19"/>
  <c r="G62" i="19"/>
  <c r="G63" i="19"/>
  <c r="G64" i="19"/>
  <c r="G65" i="19"/>
  <c r="G66" i="19"/>
  <c r="G67" i="19"/>
  <c r="G68" i="19"/>
  <c r="H14" i="19"/>
  <c r="H28" i="19"/>
  <c r="H52" i="19"/>
  <c r="I68" i="19"/>
  <c r="J28" i="19"/>
  <c r="J29" i="19"/>
  <c r="J52" i="19"/>
  <c r="J53" i="19" s="1"/>
  <c r="J54" i="19" s="1"/>
  <c r="J55" i="19" s="1"/>
  <c r="M14" i="19"/>
  <c r="M15" i="19"/>
  <c r="M18" i="19"/>
  <c r="M19" i="19"/>
  <c r="X19" i="19" s="1"/>
  <c r="M22" i="19"/>
  <c r="M23" i="19"/>
  <c r="M24" i="19"/>
  <c r="M25" i="19"/>
  <c r="M28" i="19"/>
  <c r="M32" i="19"/>
  <c r="M33" i="19"/>
  <c r="M36" i="19"/>
  <c r="M37" i="19"/>
  <c r="X37" i="19" s="1"/>
  <c r="M39" i="19"/>
  <c r="M47" i="19"/>
  <c r="M48" i="19"/>
  <c r="M49" i="19" s="1"/>
  <c r="M52" i="19"/>
  <c r="M53" i="19"/>
  <c r="M54" i="19" s="1"/>
  <c r="M55" i="19" s="1"/>
  <c r="X55" i="19" s="1"/>
  <c r="M56" i="19"/>
  <c r="M57" i="19" s="1"/>
  <c r="X57" i="19" s="1"/>
  <c r="M60" i="19"/>
  <c r="X60" i="19" s="1"/>
  <c r="M61" i="19"/>
  <c r="X61" i="19" s="1"/>
  <c r="M62" i="19"/>
  <c r="X62" i="19" s="1"/>
  <c r="M63" i="19"/>
  <c r="N14" i="19"/>
  <c r="N16" i="19"/>
  <c r="N20" i="19"/>
  <c r="N21" i="19"/>
  <c r="N25" i="19"/>
  <c r="N28" i="19"/>
  <c r="N29" i="19"/>
  <c r="N30" i="19"/>
  <c r="N31" i="19"/>
  <c r="N34" i="19"/>
  <c r="N38" i="19"/>
  <c r="N43" i="19"/>
  <c r="N44" i="19" s="1"/>
  <c r="N45" i="19"/>
  <c r="N46" i="19"/>
  <c r="N47" i="19"/>
  <c r="N50" i="19"/>
  <c r="N51" i="19" s="1"/>
  <c r="N52" i="19"/>
  <c r="N54" i="19"/>
  <c r="N58" i="19"/>
  <c r="N62" i="19"/>
  <c r="N67" i="19"/>
  <c r="N68" i="19"/>
  <c r="O14" i="19"/>
  <c r="AA14" i="19" s="1"/>
  <c r="O17" i="19"/>
  <c r="AA17" i="19" s="1"/>
  <c r="O18" i="19"/>
  <c r="O21" i="19"/>
  <c r="O22" i="19"/>
  <c r="O23" i="19"/>
  <c r="O24" i="19"/>
  <c r="O25" i="19" s="1"/>
  <c r="AA25" i="19" s="1"/>
  <c r="O26" i="19"/>
  <c r="O28" i="19"/>
  <c r="O29" i="19" s="1"/>
  <c r="O30" i="19" s="1"/>
  <c r="O31" i="19"/>
  <c r="O32" i="19"/>
  <c r="O33" i="19"/>
  <c r="AA33" i="19" s="1"/>
  <c r="O35" i="19"/>
  <c r="AA35" i="19" s="1"/>
  <c r="O36" i="19"/>
  <c r="AA36" i="19" s="1"/>
  <c r="O37" i="19"/>
  <c r="AA37" i="19" s="1"/>
  <c r="O38" i="19"/>
  <c r="O39" i="19" s="1"/>
  <c r="AA39" i="19" s="1"/>
  <c r="O40" i="19"/>
  <c r="O41" i="19"/>
  <c r="O42" i="19"/>
  <c r="O43" i="19"/>
  <c r="AA43" i="19" s="1"/>
  <c r="O44" i="19"/>
  <c r="O45" i="19" s="1"/>
  <c r="O48" i="19"/>
  <c r="O49" i="19" s="1"/>
  <c r="O52" i="19"/>
  <c r="O53" i="19"/>
  <c r="O54" i="19"/>
  <c r="AA54" i="19" s="1"/>
  <c r="O55" i="19"/>
  <c r="AA55" i="19" s="1"/>
  <c r="O56" i="19"/>
  <c r="AA56" i="19" s="1"/>
  <c r="O59" i="19"/>
  <c r="O60" i="19" s="1"/>
  <c r="O61" i="19" s="1"/>
  <c r="O62" i="19" s="1"/>
  <c r="AA62" i="19" s="1"/>
  <c r="O63" i="19"/>
  <c r="AA63" i="19" s="1"/>
  <c r="O64" i="19"/>
  <c r="AA64" i="19" s="1"/>
  <c r="O65" i="19"/>
  <c r="AA65" i="19" s="1"/>
  <c r="O66" i="19"/>
  <c r="O67" i="19" s="1"/>
  <c r="O68" i="19" s="1"/>
  <c r="P14" i="19"/>
  <c r="W14" i="19" s="1"/>
  <c r="P19" i="19"/>
  <c r="P23" i="19"/>
  <c r="P27" i="19"/>
  <c r="P28" i="19"/>
  <c r="P29" i="19"/>
  <c r="P30" i="19" s="1"/>
  <c r="P31" i="19" s="1"/>
  <c r="P32" i="19" s="1"/>
  <c r="P33" i="19"/>
  <c r="P34" i="19" s="1"/>
  <c r="P37" i="19"/>
  <c r="W37" i="19" s="1"/>
  <c r="P38" i="19"/>
  <c r="P41" i="19"/>
  <c r="P42" i="19"/>
  <c r="P43" i="19" s="1"/>
  <c r="P49" i="19"/>
  <c r="W49" i="19" s="1"/>
  <c r="P52" i="19"/>
  <c r="W52" i="19" s="1"/>
  <c r="P53" i="19"/>
  <c r="W53" i="19" s="1"/>
  <c r="P54" i="19"/>
  <c r="P57" i="19"/>
  <c r="P58" i="19"/>
  <c r="P59" i="19" s="1"/>
  <c r="W59" i="19" s="1"/>
  <c r="P60" i="19"/>
  <c r="W60" i="19" s="1"/>
  <c r="P61" i="19"/>
  <c r="P62" i="19"/>
  <c r="P63" i="19" s="1"/>
  <c r="P64" i="19" s="1"/>
  <c r="P65" i="19"/>
  <c r="P66" i="19"/>
  <c r="P67" i="19"/>
  <c r="P68" i="19"/>
  <c r="Q14" i="19"/>
  <c r="Q15" i="19"/>
  <c r="Y15" i="19" s="1"/>
  <c r="Q16" i="19"/>
  <c r="Y16" i="19" s="1"/>
  <c r="Q17" i="19"/>
  <c r="Q28" i="19"/>
  <c r="Q44" i="19"/>
  <c r="Q45" i="19"/>
  <c r="Q46" i="19"/>
  <c r="Q47" i="19" s="1"/>
  <c r="Q48" i="19" s="1"/>
  <c r="Q67" i="19"/>
  <c r="Q68" i="19"/>
  <c r="R28" i="19"/>
  <c r="R29" i="19"/>
  <c r="R44" i="19"/>
  <c r="R45" i="19"/>
  <c r="R46" i="19" s="1"/>
  <c r="R47" i="19" s="1"/>
  <c r="R48" i="19" s="1"/>
  <c r="R49" i="19" s="1"/>
  <c r="R68" i="19"/>
  <c r="S14" i="19"/>
  <c r="S15" i="19"/>
  <c r="S28" i="19"/>
  <c r="S29" i="19"/>
  <c r="S30" i="19"/>
  <c r="S31" i="19"/>
  <c r="S32" i="19"/>
  <c r="S33" i="19" s="1"/>
  <c r="S52" i="19"/>
  <c r="S53" i="19" s="1"/>
  <c r="S66" i="19"/>
  <c r="S67" i="19"/>
  <c r="S68" i="19" s="1"/>
  <c r="U28" i="19"/>
  <c r="U29" i="19"/>
  <c r="V28" i="19"/>
  <c r="W27" i="19"/>
  <c r="W28" i="19"/>
  <c r="W29" i="19"/>
  <c r="W30" i="19"/>
  <c r="W31" i="19"/>
  <c r="W32" i="19"/>
  <c r="W33" i="19"/>
  <c r="W41" i="19"/>
  <c r="W42" i="19"/>
  <c r="W57" i="19"/>
  <c r="W58" i="19"/>
  <c r="W61" i="19"/>
  <c r="W62" i="19"/>
  <c r="W63" i="19"/>
  <c r="W64" i="19"/>
  <c r="W65" i="19"/>
  <c r="W66" i="19"/>
  <c r="W67" i="19"/>
  <c r="W68" i="19"/>
  <c r="X14" i="19"/>
  <c r="X18" i="19"/>
  <c r="X22" i="19"/>
  <c r="X23" i="19"/>
  <c r="X24" i="19"/>
  <c r="X32" i="19"/>
  <c r="X36" i="19"/>
  <c r="X47" i="19"/>
  <c r="X48" i="19"/>
  <c r="X52" i="19"/>
  <c r="X53" i="19"/>
  <c r="X54" i="19"/>
  <c r="X56" i="19"/>
  <c r="Y14" i="19"/>
  <c r="Y28" i="19"/>
  <c r="Z14" i="19"/>
  <c r="Z28" i="19"/>
  <c r="Z52" i="19"/>
  <c r="Z53" i="19"/>
  <c r="AA21" i="19"/>
  <c r="AA22" i="19"/>
  <c r="AA23" i="19"/>
  <c r="AA28" i="19"/>
  <c r="AA29" i="19"/>
  <c r="AA30" i="19"/>
  <c r="AA31" i="19"/>
  <c r="AA32" i="19"/>
  <c r="AA38" i="19"/>
  <c r="AA40" i="19"/>
  <c r="AA41" i="19"/>
  <c r="AA42" i="19"/>
  <c r="AA48" i="19"/>
  <c r="AA52" i="19"/>
  <c r="AA53" i="19"/>
  <c r="AA59" i="19"/>
  <c r="AA67" i="19"/>
  <c r="AA68" i="19"/>
  <c r="G14" i="95"/>
  <c r="G15" i="95"/>
  <c r="G16" i="95"/>
  <c r="G17" i="95"/>
  <c r="G18" i="95"/>
  <c r="G19" i="95"/>
  <c r="G20" i="95"/>
  <c r="G21" i="95"/>
  <c r="G22" i="95"/>
  <c r="G23" i="95"/>
  <c r="G24" i="95"/>
  <c r="G25" i="95"/>
  <c r="G26" i="95"/>
  <c r="G27" i="95"/>
  <c r="G28" i="95"/>
  <c r="G29" i="95"/>
  <c r="J29" i="95" s="1"/>
  <c r="G30" i="95"/>
  <c r="J30" i="95" s="1"/>
  <c r="G31" i="95"/>
  <c r="G32" i="95"/>
  <c r="G33" i="95"/>
  <c r="G34" i="95"/>
  <c r="G35" i="95"/>
  <c r="G36" i="95"/>
  <c r="G37" i="95"/>
  <c r="G38" i="95"/>
  <c r="G39" i="95"/>
  <c r="G40" i="95"/>
  <c r="J40" i="95" s="1"/>
  <c r="G41" i="95"/>
  <c r="G42" i="95"/>
  <c r="G43" i="95"/>
  <c r="G44" i="95"/>
  <c r="G45" i="95"/>
  <c r="G46" i="95"/>
  <c r="G47" i="95"/>
  <c r="G48" i="95"/>
  <c r="G49" i="95"/>
  <c r="G50" i="95"/>
  <c r="G51" i="95"/>
  <c r="J51" i="95" s="1"/>
  <c r="J52" i="95" s="1"/>
  <c r="J53" i="95" s="1"/>
  <c r="G52" i="95"/>
  <c r="G53" i="95"/>
  <c r="G54" i="95"/>
  <c r="G55" i="95"/>
  <c r="G56" i="95"/>
  <c r="G57" i="95"/>
  <c r="G58" i="95"/>
  <c r="G59" i="95"/>
  <c r="G60" i="95"/>
  <c r="J60" i="95" s="1"/>
  <c r="G61" i="95"/>
  <c r="G62" i="95"/>
  <c r="G63" i="95"/>
  <c r="G64" i="95"/>
  <c r="G65" i="95"/>
  <c r="G66" i="95"/>
  <c r="G67" i="95"/>
  <c r="G68" i="95"/>
  <c r="G69" i="95"/>
  <c r="J69" i="95" s="1"/>
  <c r="G70" i="95"/>
  <c r="G71" i="95"/>
  <c r="G72" i="95"/>
  <c r="G73" i="95"/>
  <c r="G74" i="95"/>
  <c r="H14" i="95"/>
  <c r="H27" i="95"/>
  <c r="H40" i="95"/>
  <c r="H51" i="95"/>
  <c r="H58" i="95"/>
  <c r="H69" i="95"/>
  <c r="I57" i="95"/>
  <c r="I74" i="95"/>
  <c r="J14" i="95"/>
  <c r="J15" i="95"/>
  <c r="J16" i="95"/>
  <c r="J17" i="95"/>
  <c r="J18" i="95" s="1"/>
  <c r="J27" i="95"/>
  <c r="J28" i="95"/>
  <c r="J58" i="95"/>
  <c r="J59" i="95"/>
  <c r="K57" i="95"/>
  <c r="Z4" i="6"/>
  <c r="Z5" i="6"/>
  <c r="Z6" i="6"/>
  <c r="Z7" i="6"/>
  <c r="Z8" i="6"/>
  <c r="Z9" i="6"/>
  <c r="Z10" i="6"/>
  <c r="Z11" i="6"/>
  <c r="Z12" i="6"/>
  <c r="Z13" i="6"/>
  <c r="Z14" i="6"/>
  <c r="Z15" i="6"/>
  <c r="Z16" i="6"/>
  <c r="Z17" i="6"/>
  <c r="Z18" i="6"/>
  <c r="Z19" i="6"/>
  <c r="Z20" i="6"/>
  <c r="Z21" i="6"/>
  <c r="Z22" i="6"/>
  <c r="Y4" i="6"/>
  <c r="X4" i="6"/>
  <c r="W4" i="6"/>
  <c r="V4" i="6"/>
  <c r="U21" i="6"/>
  <c r="U20" i="6"/>
  <c r="U19" i="6"/>
  <c r="U18" i="6"/>
  <c r="U17" i="6"/>
  <c r="U16" i="6"/>
  <c r="U15" i="6"/>
  <c r="U14" i="6"/>
  <c r="U13" i="6"/>
  <c r="U12" i="6"/>
  <c r="U11" i="6"/>
  <c r="U10" i="6"/>
  <c r="U9" i="6"/>
  <c r="U8" i="6"/>
  <c r="U7" i="6"/>
  <c r="U6" i="6"/>
  <c r="U5" i="6"/>
  <c r="U4" i="6"/>
  <c r="Y22" i="6"/>
  <c r="X22" i="6"/>
  <c r="W22" i="6"/>
  <c r="V22" i="6"/>
  <c r="Y21" i="6"/>
  <c r="X21" i="6"/>
  <c r="W21" i="6"/>
  <c r="V21" i="6"/>
  <c r="Y20" i="6"/>
  <c r="X20" i="6"/>
  <c r="W20" i="6"/>
  <c r="V20" i="6"/>
  <c r="Y19" i="6"/>
  <c r="X19" i="6"/>
  <c r="W19" i="6"/>
  <c r="V19" i="6"/>
  <c r="Y18" i="6"/>
  <c r="X18" i="6"/>
  <c r="W18" i="6"/>
  <c r="V18" i="6"/>
  <c r="Y17" i="6"/>
  <c r="X17" i="6"/>
  <c r="W17" i="6"/>
  <c r="V17" i="6"/>
  <c r="Y16" i="6"/>
  <c r="W16" i="6"/>
  <c r="V16" i="6"/>
  <c r="Y15" i="6"/>
  <c r="X15" i="6"/>
  <c r="W15" i="6"/>
  <c r="V15" i="6"/>
  <c r="Y14" i="6"/>
  <c r="Y12" i="6"/>
  <c r="W12" i="6"/>
  <c r="V12" i="6"/>
  <c r="Y11" i="6"/>
  <c r="X11" i="6"/>
  <c r="W11" i="6"/>
  <c r="V11" i="6"/>
  <c r="Y10" i="6"/>
  <c r="W8" i="6"/>
  <c r="V8" i="6"/>
  <c r="Y7" i="6"/>
  <c r="X7" i="6"/>
  <c r="W7" i="6"/>
  <c r="V7" i="6"/>
  <c r="Y6" i="6"/>
  <c r="S31" i="6"/>
  <c r="S30" i="6"/>
  <c r="X8" i="6" s="1"/>
  <c r="S29" i="6"/>
  <c r="W13" i="6" s="1"/>
  <c r="S28" i="6"/>
  <c r="V13" i="6" s="1"/>
  <c r="S27" i="6"/>
  <c r="S26" i="6"/>
  <c r="R22" i="6"/>
  <c r="R21" i="6"/>
  <c r="R20" i="6"/>
  <c r="R19" i="6"/>
  <c r="R18" i="6"/>
  <c r="R17" i="6"/>
  <c r="R16" i="6"/>
  <c r="R15" i="6"/>
  <c r="Q14" i="6"/>
  <c r="R14" i="6" s="1"/>
  <c r="Q13" i="6"/>
  <c r="R13" i="6" s="1"/>
  <c r="Q12" i="6"/>
  <c r="R12" i="6" s="1"/>
  <c r="Q11" i="6"/>
  <c r="R11" i="6" s="1"/>
  <c r="Q10" i="6"/>
  <c r="X10" i="6" s="1"/>
  <c r="Q9" i="6"/>
  <c r="R9" i="6" s="1"/>
  <c r="Q8" i="6"/>
  <c r="R8" i="6" s="1"/>
  <c r="Q7" i="6"/>
  <c r="R7" i="6" s="1"/>
  <c r="Q6" i="6"/>
  <c r="R6" i="6" s="1"/>
  <c r="Q5" i="6"/>
  <c r="R5" i="6" s="1"/>
  <c r="F58" i="19" a="1"/>
  <c r="F25" i="19" a="1"/>
  <c r="F31" i="95" a="1"/>
  <c r="F17" i="19" a="1"/>
  <c r="F73" i="95" a="1"/>
  <c r="F51" i="19" a="1"/>
  <c r="F37" i="19" a="1"/>
  <c r="F48" i="19" a="1"/>
  <c r="F68" i="19" a="1"/>
  <c r="F69" i="95" a="1"/>
  <c r="F68" i="95" a="1"/>
  <c r="F26" i="95" a="1"/>
  <c r="F49" i="19" a="1"/>
  <c r="F50" i="19" a="1"/>
  <c r="F46" i="19" a="1"/>
  <c r="F28" i="19" a="1"/>
  <c r="F39" i="19" a="1"/>
  <c r="F14" i="19" a="1"/>
  <c r="F36" i="95" a="1"/>
  <c r="F29" i="95" a="1"/>
  <c r="F21" i="95" a="1"/>
  <c r="F62" i="19" a="1"/>
  <c r="F34" i="95" a="1"/>
  <c r="F65" i="95" a="1"/>
  <c r="F42" i="95" a="1"/>
  <c r="F74" i="95" a="1"/>
  <c r="F22" i="19" a="1"/>
  <c r="F22" i="95" a="1"/>
  <c r="F30" i="95" a="1"/>
  <c r="F18" i="19" a="1"/>
  <c r="F43" i="19" a="1"/>
  <c r="F64" i="19" a="1"/>
  <c r="F23" i="19" a="1"/>
  <c r="F62" i="95" a="1"/>
  <c r="F27" i="95" a="1"/>
  <c r="F56" i="95" a="1"/>
  <c r="F58" i="95" a="1"/>
  <c r="F30" i="19" a="1"/>
  <c r="F59" i="19" a="1"/>
  <c r="F32" i="95" a="1"/>
  <c r="F20" i="19" a="1"/>
  <c r="F66" i="95" a="1"/>
  <c r="F41" i="19" a="1"/>
  <c r="F56" i="19" a="1"/>
  <c r="F31" i="19" a="1"/>
  <c r="F40" i="95" a="1"/>
  <c r="F23" i="95" a="1"/>
  <c r="F33" i="95" a="1"/>
  <c r="F67" i="95" a="1"/>
  <c r="F59" i="95" a="1"/>
  <c r="F19" i="19" a="1"/>
  <c r="F52" i="19" a="1"/>
  <c r="F60" i="95" a="1"/>
  <c r="F60" i="19" a="1"/>
  <c r="F72" i="95" a="1"/>
  <c r="F16" i="19" a="1"/>
  <c r="F34" i="19" a="1"/>
  <c r="F53" i="19" a="1"/>
  <c r="F36" i="19" a="1"/>
  <c r="F38" i="19" a="1"/>
  <c r="F44" i="19" a="1"/>
  <c r="F35" i="95" a="1"/>
  <c r="F38" i="95" a="1"/>
  <c r="F32" i="19" a="1"/>
  <c r="F27" i="19" a="1"/>
  <c r="F26" i="19" a="1"/>
  <c r="F47" i="95" a="1"/>
  <c r="F33" i="19" a="1"/>
  <c r="F54" i="19" a="1"/>
  <c r="F54" i="95" a="1"/>
  <c r="F41" i="95" a="1"/>
  <c r="F71" i="95" a="1"/>
  <c r="F15" i="19" a="1"/>
  <c r="F67" i="19" a="1"/>
  <c r="F35" i="19" a="1"/>
  <c r="F44" i="95" a="1"/>
  <c r="F39" i="95" a="1"/>
  <c r="F17" i="95" a="1"/>
  <c r="F15" i="95" a="1"/>
  <c r="F20" i="95" a="1"/>
  <c r="F45" i="19" a="1"/>
  <c r="F18" i="95" a="1"/>
  <c r="F55" i="19" a="1"/>
  <c r="F42" i="19" a="1"/>
  <c r="F57" i="19" a="1"/>
  <c r="F46" i="95" a="1"/>
  <c r="F29" i="19" a="1"/>
  <c r="F66" i="19" a="1"/>
  <c r="F45" i="95" a="1"/>
  <c r="F40" i="19" a="1"/>
  <c r="F65" i="19" a="1"/>
  <c r="F43" i="95" a="1"/>
  <c r="F50" i="95" a="1"/>
  <c r="F25" i="95" a="1"/>
  <c r="F19" i="95" a="1"/>
  <c r="F57" i="95" a="1"/>
  <c r="F47" i="19" a="1"/>
  <c r="F37" i="95" a="1"/>
  <c r="F63" i="95" a="1"/>
  <c r="F64" i="95" a="1"/>
  <c r="F70" i="95" a="1"/>
  <c r="F28" i="95" a="1"/>
  <c r="F61" i="19" a="1"/>
  <c r="F24" i="19" a="1"/>
  <c r="F16" i="95" a="1"/>
  <c r="F49" i="95" a="1"/>
  <c r="F21" i="19" a="1"/>
  <c r="F48" i="95" a="1"/>
  <c r="F24" i="95" a="1"/>
  <c r="F51" i="95" a="1"/>
  <c r="F53" i="95" a="1"/>
  <c r="F52" i="95" a="1"/>
  <c r="F14" i="95" a="1"/>
  <c r="F55" i="95" a="1"/>
  <c r="F61" i="95" a="1"/>
  <c r="F63" i="19" a="1"/>
  <c r="F52" i="19" l="1"/>
  <c r="F51" i="19"/>
  <c r="F38" i="19"/>
  <c r="F47" i="19"/>
  <c r="F29" i="19"/>
  <c r="F40" i="19"/>
  <c r="F39" i="19"/>
  <c r="F37" i="19"/>
  <c r="F60" i="19"/>
  <c r="F59" i="19"/>
  <c r="F28" i="19"/>
  <c r="F58" i="19"/>
  <c r="F27" i="19"/>
  <c r="F53" i="19"/>
  <c r="F30" i="19"/>
  <c r="F43" i="19"/>
  <c r="F22" i="19"/>
  <c r="F68" i="19"/>
  <c r="F42" i="19"/>
  <c r="F21" i="19"/>
  <c r="F67" i="19"/>
  <c r="F61" i="19"/>
  <c r="F41" i="19"/>
  <c r="F20" i="19"/>
  <c r="F57" i="19"/>
  <c r="F23" i="19"/>
  <c r="F50" i="19"/>
  <c r="F33" i="19"/>
  <c r="F19" i="19"/>
  <c r="F63" i="19"/>
  <c r="F49" i="19"/>
  <c r="F32" i="19"/>
  <c r="F18" i="19"/>
  <c r="F62" i="19"/>
  <c r="F48" i="19"/>
  <c r="F31" i="19"/>
  <c r="F17" i="19"/>
  <c r="F66" i="19"/>
  <c r="F56" i="19"/>
  <c r="F46" i="19"/>
  <c r="F36" i="19"/>
  <c r="F26" i="19"/>
  <c r="F16" i="19"/>
  <c r="F65" i="19"/>
  <c r="F55" i="19"/>
  <c r="F45" i="19"/>
  <c r="F35" i="19"/>
  <c r="F25" i="19"/>
  <c r="F15" i="19"/>
  <c r="F64" i="19"/>
  <c r="F54" i="19"/>
  <c r="F44" i="19"/>
  <c r="F34" i="19"/>
  <c r="F24" i="19"/>
  <c r="F14" i="19"/>
  <c r="P20" i="19"/>
  <c r="W19" i="19"/>
  <c r="AA66" i="19"/>
  <c r="P15" i="19"/>
  <c r="M64" i="19"/>
  <c r="X63" i="19"/>
  <c r="Y67" i="19"/>
  <c r="W54" i="19"/>
  <c r="P55" i="19"/>
  <c r="U46" i="19"/>
  <c r="Y46" i="19"/>
  <c r="Z46" i="19"/>
  <c r="V46" i="19"/>
  <c r="U45" i="19"/>
  <c r="Y45" i="19"/>
  <c r="Z45" i="19" s="1"/>
  <c r="V45" i="19"/>
  <c r="N56" i="19"/>
  <c r="J56" i="19"/>
  <c r="S56" i="19"/>
  <c r="S57" i="19" s="1"/>
  <c r="S58" i="19" s="1"/>
  <c r="S59" i="19" s="1"/>
  <c r="S60" i="19" s="1"/>
  <c r="S61" i="19" s="1"/>
  <c r="S62" i="19" s="1"/>
  <c r="S63" i="19" s="1"/>
  <c r="S64" i="19" s="1"/>
  <c r="S65" i="19" s="1"/>
  <c r="N36" i="19"/>
  <c r="J16" i="19"/>
  <c r="S16" i="19"/>
  <c r="S17" i="19" s="1"/>
  <c r="S18" i="19" s="1"/>
  <c r="S19" i="19" s="1"/>
  <c r="S20" i="19" s="1"/>
  <c r="S21" i="19" s="1"/>
  <c r="S22" i="19" s="1"/>
  <c r="S23" i="19" s="1"/>
  <c r="S24" i="19" s="1"/>
  <c r="S25" i="19" s="1"/>
  <c r="S26" i="19" s="1"/>
  <c r="S27" i="19" s="1"/>
  <c r="X25" i="19"/>
  <c r="M26" i="19"/>
  <c r="AA44" i="19"/>
  <c r="U44" i="19"/>
  <c r="Y44" i="19"/>
  <c r="Z44" i="19" s="1"/>
  <c r="V44" i="19"/>
  <c r="M34" i="19"/>
  <c r="X33" i="19"/>
  <c r="N26" i="19"/>
  <c r="P44" i="19"/>
  <c r="W43" i="19"/>
  <c r="AA45" i="19"/>
  <c r="O46" i="19"/>
  <c r="U68" i="19"/>
  <c r="V68" i="19"/>
  <c r="Y68" i="19"/>
  <c r="Z68" i="19" s="1"/>
  <c r="U47" i="19"/>
  <c r="N48" i="19"/>
  <c r="Y47" i="19"/>
  <c r="V47" i="19"/>
  <c r="Z47" i="19"/>
  <c r="N18" i="19"/>
  <c r="N19" i="19" s="1"/>
  <c r="Q18" i="19"/>
  <c r="Q19" i="19" s="1"/>
  <c r="Q20" i="19" s="1"/>
  <c r="P39" i="19"/>
  <c r="W38" i="19"/>
  <c r="R14" i="19"/>
  <c r="J14" i="19"/>
  <c r="J15" i="19" s="1"/>
  <c r="M29" i="19"/>
  <c r="X28" i="19"/>
  <c r="S54" i="19"/>
  <c r="S55" i="19" s="1"/>
  <c r="M16" i="19"/>
  <c r="X15" i="19"/>
  <c r="AA61" i="19"/>
  <c r="O50" i="19"/>
  <c r="AA49" i="19"/>
  <c r="W34" i="19"/>
  <c r="P35" i="19"/>
  <c r="AA60" i="19"/>
  <c r="AA24" i="19"/>
  <c r="Y43" i="19"/>
  <c r="M50" i="19"/>
  <c r="X49" i="19"/>
  <c r="P24" i="19"/>
  <c r="W23" i="19"/>
  <c r="O19" i="19"/>
  <c r="AA18" i="19"/>
  <c r="N63" i="19"/>
  <c r="S43" i="19"/>
  <c r="S44" i="19" s="1"/>
  <c r="S45" i="19" s="1"/>
  <c r="S46" i="19" s="1"/>
  <c r="S47" i="19" s="1"/>
  <c r="S48" i="19" s="1"/>
  <c r="S49" i="19" s="1"/>
  <c r="S50" i="19" s="1"/>
  <c r="Q43" i="19"/>
  <c r="N23" i="19"/>
  <c r="S34" i="19"/>
  <c r="S35" i="19" s="1"/>
  <c r="S36" i="19" s="1"/>
  <c r="S37" i="19" s="1"/>
  <c r="S38" i="19" s="1"/>
  <c r="S39" i="19" s="1"/>
  <c r="S40" i="19" s="1"/>
  <c r="S41" i="19" s="1"/>
  <c r="S42" i="19"/>
  <c r="N22" i="19"/>
  <c r="P50" i="19"/>
  <c r="O15" i="19"/>
  <c r="M58" i="19"/>
  <c r="N59" i="19"/>
  <c r="N39" i="19"/>
  <c r="Z15" i="19"/>
  <c r="X39" i="19"/>
  <c r="M40" i="19"/>
  <c r="M38" i="19"/>
  <c r="X38" i="19" s="1"/>
  <c r="V50" i="19"/>
  <c r="Z50" i="19"/>
  <c r="O27" i="19"/>
  <c r="AA27" i="19" s="1"/>
  <c r="AA26" i="19"/>
  <c r="N60" i="19"/>
  <c r="N61" i="19" s="1"/>
  <c r="O57" i="19"/>
  <c r="O34" i="19"/>
  <c r="AA34" i="19" s="1"/>
  <c r="V29" i="19"/>
  <c r="Z29" i="19"/>
  <c r="Q52" i="19"/>
  <c r="R52" i="19"/>
  <c r="N32" i="19"/>
  <c r="N33" i="19" s="1"/>
  <c r="Q51" i="19"/>
  <c r="Y51" i="19" s="1"/>
  <c r="Z51" i="19" s="1"/>
  <c r="R51" i="19"/>
  <c r="U51" i="19" s="1"/>
  <c r="S51" i="19"/>
  <c r="Q50" i="19"/>
  <c r="Y50" i="19" s="1"/>
  <c r="R50" i="19"/>
  <c r="U50" i="19" s="1"/>
  <c r="J30" i="19"/>
  <c r="R30" i="19"/>
  <c r="V30" i="19" s="1"/>
  <c r="N57" i="19"/>
  <c r="N17" i="19"/>
  <c r="M20" i="19"/>
  <c r="Q49" i="19"/>
  <c r="Q29" i="19"/>
  <c r="Y29" i="19" s="1"/>
  <c r="F73" i="95"/>
  <c r="F72" i="95"/>
  <c r="F71" i="95"/>
  <c r="F70" i="95"/>
  <c r="F60" i="95"/>
  <c r="F50" i="95"/>
  <c r="F40" i="95"/>
  <c r="F30" i="95"/>
  <c r="F20" i="95"/>
  <c r="F53" i="95"/>
  <c r="F33" i="95"/>
  <c r="F22" i="95"/>
  <c r="F61" i="95"/>
  <c r="F31" i="95"/>
  <c r="F68" i="95"/>
  <c r="F28" i="95"/>
  <c r="F27" i="95"/>
  <c r="F66" i="95"/>
  <c r="F56" i="95"/>
  <c r="F46" i="95"/>
  <c r="F36" i="95"/>
  <c r="F26" i="95"/>
  <c r="F16" i="95"/>
  <c r="F51" i="95"/>
  <c r="F59" i="95"/>
  <c r="F58" i="95"/>
  <c r="F57" i="95"/>
  <c r="F42" i="95"/>
  <c r="F39" i="95"/>
  <c r="F48" i="95"/>
  <c r="F37" i="95"/>
  <c r="F65" i="95"/>
  <c r="F55" i="95"/>
  <c r="F45" i="95"/>
  <c r="F35" i="95"/>
  <c r="F25" i="95"/>
  <c r="F15" i="95"/>
  <c r="F43" i="95"/>
  <c r="F52" i="95"/>
  <c r="F41" i="95"/>
  <c r="F29" i="95"/>
  <c r="F38" i="95"/>
  <c r="F67" i="95"/>
  <c r="F63" i="95"/>
  <c r="F23" i="95"/>
  <c r="F62" i="95"/>
  <c r="F32" i="95"/>
  <c r="F21" i="95"/>
  <c r="F69" i="95"/>
  <c r="F49" i="95"/>
  <c r="F19" i="95"/>
  <c r="F18" i="95"/>
  <c r="F47" i="95"/>
  <c r="F17" i="95"/>
  <c r="F74" i="95"/>
  <c r="F64" i="95"/>
  <c r="F54" i="95"/>
  <c r="F44" i="95"/>
  <c r="F34" i="95"/>
  <c r="F24" i="95"/>
  <c r="F14" i="95"/>
  <c r="J54" i="95"/>
  <c r="J70" i="95"/>
  <c r="J71" i="95"/>
  <c r="J72" i="95" s="1"/>
  <c r="J73" i="95" s="1"/>
  <c r="J31" i="95"/>
  <c r="J32" i="95" s="1"/>
  <c r="J33" i="95" s="1"/>
  <c r="J19" i="95"/>
  <c r="J61" i="95"/>
  <c r="J41" i="95"/>
  <c r="X12" i="6"/>
  <c r="V5" i="6"/>
  <c r="W5" i="6"/>
  <c r="X13" i="6"/>
  <c r="Y9" i="6"/>
  <c r="U22" i="6"/>
  <c r="X16" i="6"/>
  <c r="Y8" i="6"/>
  <c r="W9" i="6"/>
  <c r="Y13" i="6"/>
  <c r="V6" i="6"/>
  <c r="V10" i="6"/>
  <c r="V14" i="6"/>
  <c r="X5" i="6"/>
  <c r="Y5" i="6"/>
  <c r="W6" i="6"/>
  <c r="W10" i="6"/>
  <c r="W14" i="6"/>
  <c r="V9" i="6"/>
  <c r="X9" i="6"/>
  <c r="X6" i="6"/>
  <c r="X14" i="6"/>
  <c r="R10" i="6"/>
  <c r="Y19" i="19" l="1"/>
  <c r="J17" i="19"/>
  <c r="Y17" i="19"/>
  <c r="W55" i="19"/>
  <c r="P56" i="19"/>
  <c r="W56" i="19" s="1"/>
  <c r="M51" i="19"/>
  <c r="X51" i="19" s="1"/>
  <c r="X50" i="19"/>
  <c r="W35" i="19"/>
  <c r="P36" i="19"/>
  <c r="W36" i="19" s="1"/>
  <c r="N27" i="19"/>
  <c r="J57" i="19"/>
  <c r="M30" i="19"/>
  <c r="X29" i="19"/>
  <c r="AA15" i="19"/>
  <c r="O16" i="19"/>
  <c r="AA16" i="19" s="1"/>
  <c r="X40" i="19"/>
  <c r="M41" i="19"/>
  <c r="O51" i="19"/>
  <c r="AA51" i="19" s="1"/>
  <c r="AA50" i="19"/>
  <c r="V51" i="19"/>
  <c r="M17" i="19"/>
  <c r="X17" i="19" s="1"/>
  <c r="X16" i="19"/>
  <c r="V14" i="19"/>
  <c r="U14" i="19"/>
  <c r="Y52" i="19"/>
  <c r="Q53" i="19"/>
  <c r="R31" i="19"/>
  <c r="U30" i="19"/>
  <c r="N64" i="19"/>
  <c r="M65" i="19"/>
  <c r="X64" i="19"/>
  <c r="Y18" i="19"/>
  <c r="AA57" i="19"/>
  <c r="O58" i="19"/>
  <c r="AA58" i="19" s="1"/>
  <c r="W15" i="19"/>
  <c r="P16" i="19"/>
  <c r="R15" i="19"/>
  <c r="O20" i="19"/>
  <c r="AA20" i="19" s="1"/>
  <c r="AA19" i="19"/>
  <c r="P40" i="19"/>
  <c r="W40" i="19" s="1"/>
  <c r="W39" i="19"/>
  <c r="N24" i="19"/>
  <c r="Q21" i="19"/>
  <c r="Y20" i="19"/>
  <c r="X26" i="19"/>
  <c r="M27" i="19"/>
  <c r="X27" i="19" s="1"/>
  <c r="X58" i="19"/>
  <c r="M59" i="19"/>
  <c r="X59" i="19" s="1"/>
  <c r="W50" i="19"/>
  <c r="P51" i="19"/>
  <c r="W51" i="19" s="1"/>
  <c r="X20" i="19"/>
  <c r="M21" i="19"/>
  <c r="X21" i="19" s="1"/>
  <c r="R53" i="19"/>
  <c r="U52" i="19"/>
  <c r="V52" i="19"/>
  <c r="V48" i="19"/>
  <c r="N49" i="19"/>
  <c r="Y48" i="19"/>
  <c r="Z48" i="19" s="1"/>
  <c r="U48" i="19"/>
  <c r="N37" i="19"/>
  <c r="M35" i="19"/>
  <c r="X35" i="19" s="1"/>
  <c r="X34" i="19"/>
  <c r="J31" i="19"/>
  <c r="Q30" i="19"/>
  <c r="AA46" i="19"/>
  <c r="O47" i="19"/>
  <c r="AA47" i="19" s="1"/>
  <c r="N40" i="19"/>
  <c r="P25" i="19"/>
  <c r="W24" i="19"/>
  <c r="P45" i="19"/>
  <c r="W44" i="19"/>
  <c r="P21" i="19"/>
  <c r="W20" i="19"/>
  <c r="J42" i="95"/>
  <c r="J62" i="95"/>
  <c r="J34" i="95"/>
  <c r="J74" i="95"/>
  <c r="J55" i="95"/>
  <c r="J20" i="95"/>
  <c r="AA19" i="22"/>
  <c r="AA31" i="22"/>
  <c r="AA30" i="22"/>
  <c r="AA28" i="22"/>
  <c r="AA26" i="22"/>
  <c r="AA24" i="22"/>
  <c r="AA22" i="22"/>
  <c r="AA21" i="22"/>
  <c r="AA20" i="22"/>
  <c r="K25" i="22"/>
  <c r="J25" i="22" s="1"/>
  <c r="K30" i="22"/>
  <c r="J30" i="22" s="1"/>
  <c r="K29" i="22"/>
  <c r="J29" i="22" s="1"/>
  <c r="L103" i="6"/>
  <c r="L151" i="6"/>
  <c r="L139" i="6"/>
  <c r="L121" i="6"/>
  <c r="L112" i="6"/>
  <c r="L94" i="6"/>
  <c r="L85" i="6"/>
  <c r="L76" i="6"/>
  <c r="L67" i="6"/>
  <c r="L58" i="6"/>
  <c r="L49" i="6"/>
  <c r="L40" i="6"/>
  <c r="J31" i="22"/>
  <c r="J24" i="22"/>
  <c r="J23" i="22"/>
  <c r="J22" i="22"/>
  <c r="J21" i="22"/>
  <c r="J20" i="22"/>
  <c r="J19" i="22"/>
  <c r="J18" i="22"/>
  <c r="K17" i="22"/>
  <c r="J17" i="22" s="1"/>
  <c r="T10" i="22"/>
  <c r="K11" i="22" s="1"/>
  <c r="K26" i="22"/>
  <c r="J26" i="22" s="1"/>
  <c r="U31" i="22"/>
  <c r="U22" i="22"/>
  <c r="U20" i="22"/>
  <c r="U21" i="22"/>
  <c r="U19" i="22"/>
  <c r="AN30" i="22"/>
  <c r="W30" i="22" s="1"/>
  <c r="U30" i="22"/>
  <c r="P30" i="22"/>
  <c r="AN29" i="22"/>
  <c r="W29" i="22" s="1"/>
  <c r="U29" i="22"/>
  <c r="P29" i="22"/>
  <c r="AN28" i="22"/>
  <c r="W28" i="22" s="1"/>
  <c r="U28" i="22"/>
  <c r="P28" i="22"/>
  <c r="AN27" i="22"/>
  <c r="W27" i="22" s="1"/>
  <c r="U27" i="22"/>
  <c r="P27" i="22"/>
  <c r="AN26" i="22"/>
  <c r="W26" i="22" s="1"/>
  <c r="U26" i="22"/>
  <c r="P26" i="22"/>
  <c r="AN25" i="22"/>
  <c r="W25" i="22" s="1"/>
  <c r="U25" i="22"/>
  <c r="P25" i="22"/>
  <c r="AN24" i="22"/>
  <c r="W24" i="22" s="1"/>
  <c r="U24" i="22"/>
  <c r="P24" i="22"/>
  <c r="AN23" i="22"/>
  <c r="W23" i="22" s="1"/>
  <c r="U23" i="22"/>
  <c r="P23" i="22"/>
  <c r="AN18" i="22"/>
  <c r="W18" i="22" s="1"/>
  <c r="U18" i="22"/>
  <c r="P18" i="22"/>
  <c r="AN17" i="22"/>
  <c r="W17" i="22" s="1"/>
  <c r="U17" i="22"/>
  <c r="P17" i="22"/>
  <c r="X16" i="22"/>
  <c r="W16" i="22"/>
  <c r="V16" i="22"/>
  <c r="U16" i="22"/>
  <c r="T16" i="22"/>
  <c r="S16" i="22"/>
  <c r="R16" i="22"/>
  <c r="Q16" i="22"/>
  <c r="P16" i="22"/>
  <c r="J16" i="22"/>
  <c r="I16" i="22"/>
  <c r="H16" i="22"/>
  <c r="G16" i="22"/>
  <c r="F16" i="22"/>
  <c r="E16" i="22"/>
  <c r="X9" i="21"/>
  <c r="R461" i="21"/>
  <c r="T455" i="21"/>
  <c r="E13" i="92"/>
  <c r="O30" i="22"/>
  <c r="E12" i="91"/>
  <c r="R12" i="22"/>
  <c r="O27" i="22"/>
  <c r="E11" i="94"/>
  <c r="E13" i="94"/>
  <c r="R17" i="22"/>
  <c r="E12" i="94"/>
  <c r="E11" i="90"/>
  <c r="E16" i="93"/>
  <c r="E12" i="93"/>
  <c r="E11" i="93"/>
  <c r="O25" i="22"/>
  <c r="E11" i="91"/>
  <c r="O29" i="22"/>
  <c r="E12" i="87"/>
  <c r="E11" i="89"/>
  <c r="E11" i="88"/>
  <c r="E18" i="93"/>
  <c r="O24" i="22"/>
  <c r="Q11" i="22"/>
  <c r="E11" i="86"/>
  <c r="O26" i="22"/>
  <c r="E17" i="93"/>
  <c r="O18" i="22"/>
  <c r="E15" i="93"/>
  <c r="E14" i="92"/>
  <c r="E11" i="92"/>
  <c r="E11" i="87"/>
  <c r="E14" i="93"/>
  <c r="E19" i="93"/>
  <c r="E13" i="93"/>
  <c r="E20" i="93"/>
  <c r="O28" i="22"/>
  <c r="E12" i="92"/>
  <c r="E12" i="89"/>
  <c r="E12" i="88"/>
  <c r="E12" i="90"/>
  <c r="E12" i="86"/>
  <c r="O17" i="22"/>
  <c r="O23" i="22"/>
  <c r="D12" i="88"/>
  <c r="D12" i="92"/>
  <c r="D12" i="94"/>
  <c r="D13" i="93"/>
  <c r="C18" i="93"/>
  <c r="D15" i="93"/>
  <c r="C15" i="93"/>
  <c r="C17" i="93"/>
  <c r="C11" i="94"/>
  <c r="C12" i="87"/>
  <c r="D20" i="93"/>
  <c r="D12" i="90"/>
  <c r="C14" i="93"/>
  <c r="L25" i="22"/>
  <c r="C13" i="93"/>
  <c r="D11" i="88"/>
  <c r="D12" i="89"/>
  <c r="C11" i="92"/>
  <c r="C20" i="93"/>
  <c r="C13" i="92"/>
  <c r="C12" i="94"/>
  <c r="C12" i="91"/>
  <c r="D13" i="92"/>
  <c r="C11" i="86"/>
  <c r="C12" i="92"/>
  <c r="D14" i="93"/>
  <c r="C11" i="89"/>
  <c r="D11" i="94"/>
  <c r="D11" i="91"/>
  <c r="D11" i="89"/>
  <c r="C12" i="90"/>
  <c r="C11" i="90"/>
  <c r="D12" i="91"/>
  <c r="D16" i="93"/>
  <c r="C12" i="89"/>
  <c r="C12" i="88"/>
  <c r="C11" i="91"/>
  <c r="D11" i="90"/>
  <c r="D14" i="92"/>
  <c r="D12" i="86"/>
  <c r="C19" i="93"/>
  <c r="L17" i="22"/>
  <c r="C11" i="87"/>
  <c r="D17" i="93"/>
  <c r="C13" i="94"/>
  <c r="D11" i="93"/>
  <c r="C12" i="86"/>
  <c r="C16" i="93"/>
  <c r="D11" i="92"/>
  <c r="D18" i="93"/>
  <c r="D12" i="87"/>
  <c r="D13" i="94"/>
  <c r="C11" i="88"/>
  <c r="C14" i="92"/>
  <c r="D11" i="86"/>
  <c r="D19" i="93"/>
  <c r="D11" i="87"/>
  <c r="C11" i="93"/>
  <c r="D12" i="93"/>
  <c r="C12" i="93"/>
  <c r="V49" i="19" l="1"/>
  <c r="U49" i="19"/>
  <c r="Y49" i="19"/>
  <c r="Z49" i="19" s="1"/>
  <c r="P46" i="19"/>
  <c r="W45" i="19"/>
  <c r="M31" i="19"/>
  <c r="X31" i="19" s="1"/>
  <c r="X30" i="19"/>
  <c r="J18" i="19"/>
  <c r="R32" i="19"/>
  <c r="U31" i="19"/>
  <c r="V31" i="19"/>
  <c r="W21" i="19"/>
  <c r="P22" i="19"/>
  <c r="W22" i="19" s="1"/>
  <c r="V15" i="19"/>
  <c r="U15" i="19"/>
  <c r="R16" i="19"/>
  <c r="M66" i="19"/>
  <c r="X65" i="19"/>
  <c r="J58" i="19"/>
  <c r="N65" i="19"/>
  <c r="Y53" i="19"/>
  <c r="Q54" i="19"/>
  <c r="N41" i="19"/>
  <c r="X41" i="19"/>
  <c r="M42" i="19"/>
  <c r="Q22" i="19"/>
  <c r="Y21" i="19"/>
  <c r="P26" i="19"/>
  <c r="W26" i="19" s="1"/>
  <c r="W25" i="19"/>
  <c r="U53" i="19"/>
  <c r="V53" i="19"/>
  <c r="R54" i="19"/>
  <c r="W16" i="19"/>
  <c r="P17" i="19"/>
  <c r="Y30" i="19"/>
  <c r="Z30" i="19" s="1"/>
  <c r="Q31" i="19"/>
  <c r="J32" i="19"/>
  <c r="J21" i="95"/>
  <c r="K74" i="95"/>
  <c r="K73" i="95"/>
  <c r="J35" i="95"/>
  <c r="J63" i="95"/>
  <c r="J56" i="95"/>
  <c r="J43" i="95"/>
  <c r="AA17" i="22"/>
  <c r="K28" i="22"/>
  <c r="J28" i="22" s="1"/>
  <c r="AA18" i="22"/>
  <c r="AA23" i="22"/>
  <c r="AA27" i="22"/>
  <c r="K27" i="22"/>
  <c r="J27" i="22" s="1"/>
  <c r="AA25" i="22"/>
  <c r="AA29" i="22"/>
  <c r="Q18" i="22"/>
  <c r="S17" i="22"/>
  <c r="U2" i="22"/>
  <c r="R25" i="22"/>
  <c r="M17" i="22"/>
  <c r="L18" i="22"/>
  <c r="M67" i="19" l="1"/>
  <c r="X66" i="19"/>
  <c r="U54" i="19"/>
  <c r="V54" i="19"/>
  <c r="R55" i="19"/>
  <c r="J19" i="19"/>
  <c r="P18" i="19"/>
  <c r="W18" i="19" s="1"/>
  <c r="W17" i="19"/>
  <c r="Y54" i="19"/>
  <c r="Z54" i="19" s="1"/>
  <c r="Q55" i="19"/>
  <c r="N66" i="19"/>
  <c r="P47" i="19"/>
  <c r="W46" i="19"/>
  <c r="J33" i="19"/>
  <c r="U16" i="19"/>
  <c r="Z16" i="19"/>
  <c r="V16" i="19"/>
  <c r="R17" i="19"/>
  <c r="Y31" i="19"/>
  <c r="Z31" i="19" s="1"/>
  <c r="Q32" i="19"/>
  <c r="N42" i="19"/>
  <c r="R33" i="19"/>
  <c r="V32" i="19"/>
  <c r="U32" i="19"/>
  <c r="Q23" i="19"/>
  <c r="Y22" i="19"/>
  <c r="X42" i="19"/>
  <c r="M43" i="19"/>
  <c r="J59" i="19"/>
  <c r="J44" i="95"/>
  <c r="K55" i="95"/>
  <c r="J57" i="95"/>
  <c r="K56" i="95" s="1"/>
  <c r="I56" i="95" s="1"/>
  <c r="J64" i="95"/>
  <c r="J36" i="95"/>
  <c r="I73" i="95"/>
  <c r="K72" i="95"/>
  <c r="J22" i="95"/>
  <c r="Q29" i="22"/>
  <c r="R18" i="22"/>
  <c r="S25" i="22"/>
  <c r="Y17" i="22"/>
  <c r="M18" i="22"/>
  <c r="M25" i="22"/>
  <c r="L29" i="22"/>
  <c r="T17" i="22"/>
  <c r="Q24" i="19" l="1"/>
  <c r="Y23" i="19"/>
  <c r="R34" i="19"/>
  <c r="V33" i="19"/>
  <c r="U33" i="19"/>
  <c r="M44" i="19"/>
  <c r="X43" i="19"/>
  <c r="W47" i="19"/>
  <c r="P48" i="19"/>
  <c r="W48" i="19" s="1"/>
  <c r="Q56" i="19"/>
  <c r="Y55" i="19"/>
  <c r="Z55" i="19" s="1"/>
  <c r="Q33" i="19"/>
  <c r="Y32" i="19"/>
  <c r="Z32" i="19" s="1"/>
  <c r="R18" i="19"/>
  <c r="U17" i="19"/>
  <c r="V17" i="19"/>
  <c r="Z17" i="19"/>
  <c r="J20" i="19"/>
  <c r="V55" i="19"/>
  <c r="U55" i="19"/>
  <c r="R56" i="19"/>
  <c r="J60" i="19"/>
  <c r="J34" i="19"/>
  <c r="M68" i="19"/>
  <c r="X68" i="19" s="1"/>
  <c r="X67" i="19"/>
  <c r="I55" i="95"/>
  <c r="K54" i="95"/>
  <c r="J23" i="95"/>
  <c r="I72" i="95"/>
  <c r="K71" i="95"/>
  <c r="J37" i="95"/>
  <c r="J65" i="95"/>
  <c r="J45" i="95"/>
  <c r="Y25" i="22"/>
  <c r="Y18" i="22"/>
  <c r="Q19" i="22"/>
  <c r="S18" i="22"/>
  <c r="V17" i="22"/>
  <c r="AB17" i="22" s="1"/>
  <c r="P452" i="21"/>
  <c r="R29" i="22"/>
  <c r="L19" i="22"/>
  <c r="T18" i="22"/>
  <c r="J21" i="19" l="1"/>
  <c r="V34" i="19"/>
  <c r="U34" i="19"/>
  <c r="R35" i="19"/>
  <c r="R19" i="19"/>
  <c r="U18" i="19"/>
  <c r="Z18" i="19"/>
  <c r="V18" i="19"/>
  <c r="J35" i="19"/>
  <c r="Q57" i="19"/>
  <c r="Y56" i="19"/>
  <c r="Z56" i="19" s="1"/>
  <c r="X44" i="19"/>
  <c r="M45" i="19"/>
  <c r="Q34" i="19"/>
  <c r="Y33" i="19"/>
  <c r="Z33" i="19" s="1"/>
  <c r="J61" i="19"/>
  <c r="R57" i="19"/>
  <c r="U56" i="19"/>
  <c r="V56" i="19"/>
  <c r="Q25" i="19"/>
  <c r="Y24" i="19"/>
  <c r="J46" i="95"/>
  <c r="J66" i="95"/>
  <c r="K36" i="95"/>
  <c r="J38" i="95"/>
  <c r="I71" i="95"/>
  <c r="K70" i="95"/>
  <c r="J24" i="95"/>
  <c r="I54" i="95"/>
  <c r="K53" i="95"/>
  <c r="Q30" i="22"/>
  <c r="S29" i="22"/>
  <c r="V18" i="22"/>
  <c r="X18" i="22" s="1"/>
  <c r="W19" i="22" s="1"/>
  <c r="R19" i="22"/>
  <c r="Q20" i="22" s="1"/>
  <c r="AC17" i="22"/>
  <c r="X17" i="22"/>
  <c r="M29" i="22"/>
  <c r="L20" i="22"/>
  <c r="M19" i="22"/>
  <c r="R20" i="19" l="1"/>
  <c r="U19" i="19"/>
  <c r="Z19" i="19"/>
  <c r="V19" i="19"/>
  <c r="U35" i="19"/>
  <c r="V35" i="19"/>
  <c r="R36" i="19"/>
  <c r="J62" i="19"/>
  <c r="Q35" i="19"/>
  <c r="Y34" i="19"/>
  <c r="Z34" i="19" s="1"/>
  <c r="J36" i="19"/>
  <c r="Q26" i="19"/>
  <c r="Y25" i="19"/>
  <c r="Q58" i="19"/>
  <c r="Y57" i="19"/>
  <c r="Z57" i="19" s="1"/>
  <c r="J22" i="19"/>
  <c r="M46" i="19"/>
  <c r="X46" i="19" s="1"/>
  <c r="X45" i="19"/>
  <c r="R58" i="19"/>
  <c r="V57" i="19"/>
  <c r="U57" i="19"/>
  <c r="J39" i="95"/>
  <c r="J25" i="95"/>
  <c r="K23" i="95"/>
  <c r="I53" i="95"/>
  <c r="K52" i="95"/>
  <c r="I70" i="95"/>
  <c r="H70" i="95"/>
  <c r="H71" i="95" s="1"/>
  <c r="H72" i="95" s="1"/>
  <c r="H73" i="95" s="1"/>
  <c r="H74" i="95" s="1"/>
  <c r="K69" i="95"/>
  <c r="I69" i="95" s="1"/>
  <c r="I36" i="95"/>
  <c r="K35" i="95"/>
  <c r="J67" i="95"/>
  <c r="J47" i="95"/>
  <c r="Y29" i="22"/>
  <c r="S19" i="22"/>
  <c r="AB18" i="22"/>
  <c r="AC18" i="22"/>
  <c r="R20" i="22"/>
  <c r="Q21" i="22" s="1"/>
  <c r="Y19" i="22"/>
  <c r="AO288" i="21"/>
  <c r="AN288" i="21"/>
  <c r="AP288" i="21"/>
  <c r="R30" i="22"/>
  <c r="L30" i="22"/>
  <c r="L21" i="22"/>
  <c r="T19" i="22"/>
  <c r="J23" i="19" l="1"/>
  <c r="Q27" i="19"/>
  <c r="Y27" i="19" s="1"/>
  <c r="Y26" i="19"/>
  <c r="K61" i="19"/>
  <c r="J63" i="19"/>
  <c r="R37" i="19"/>
  <c r="U36" i="19"/>
  <c r="V36" i="19"/>
  <c r="Q59" i="19"/>
  <c r="Y58" i="19"/>
  <c r="J37" i="19"/>
  <c r="Y35" i="19"/>
  <c r="Z35" i="19" s="1"/>
  <c r="Q36" i="19"/>
  <c r="U58" i="19"/>
  <c r="Z58" i="19"/>
  <c r="R59" i="19"/>
  <c r="V58" i="19"/>
  <c r="V20" i="19"/>
  <c r="R21" i="19"/>
  <c r="Z20" i="19"/>
  <c r="U20" i="19"/>
  <c r="J26" i="95"/>
  <c r="I35" i="95"/>
  <c r="K34" i="95"/>
  <c r="K38" i="95"/>
  <c r="K39" i="95"/>
  <c r="I39" i="95" s="1"/>
  <c r="J48" i="95"/>
  <c r="J68" i="95"/>
  <c r="I52" i="95"/>
  <c r="K51" i="95"/>
  <c r="I51" i="95" s="1"/>
  <c r="I23" i="95"/>
  <c r="K22" i="95"/>
  <c r="S30" i="22"/>
  <c r="R21" i="22"/>
  <c r="Q22" i="22" s="1"/>
  <c r="V19" i="22"/>
  <c r="AC19" i="22" s="1"/>
  <c r="M30" i="22"/>
  <c r="L22" i="22"/>
  <c r="J38" i="19" l="1"/>
  <c r="J64" i="19"/>
  <c r="J24" i="19"/>
  <c r="R60" i="19"/>
  <c r="V59" i="19"/>
  <c r="U59" i="19"/>
  <c r="Q37" i="19"/>
  <c r="Y36" i="19"/>
  <c r="Z36" i="19" s="1"/>
  <c r="Q60" i="19"/>
  <c r="Y59" i="19"/>
  <c r="Z59" i="19" s="1"/>
  <c r="R38" i="19"/>
  <c r="U37" i="19"/>
  <c r="V37" i="19"/>
  <c r="I61" i="19"/>
  <c r="K60" i="19"/>
  <c r="Z21" i="19"/>
  <c r="V21" i="19"/>
  <c r="U21" i="19"/>
  <c r="R22" i="19"/>
  <c r="H52" i="95"/>
  <c r="H53" i="95" s="1"/>
  <c r="H54" i="95" s="1"/>
  <c r="H55" i="95" s="1"/>
  <c r="H56" i="95" s="1"/>
  <c r="H57" i="95" s="1"/>
  <c r="I38" i="95"/>
  <c r="K37" i="95"/>
  <c r="J49" i="95"/>
  <c r="K26" i="95"/>
  <c r="I26" i="95" s="1"/>
  <c r="I22" i="95"/>
  <c r="K21" i="95"/>
  <c r="K67" i="95"/>
  <c r="K68" i="95"/>
  <c r="I68" i="95" s="1"/>
  <c r="I34" i="95"/>
  <c r="K33" i="95"/>
  <c r="Y30" i="22"/>
  <c r="X19" i="22"/>
  <c r="AB19" i="22"/>
  <c r="R61" i="19" l="1"/>
  <c r="U60" i="19"/>
  <c r="V60" i="19"/>
  <c r="Q61" i="19"/>
  <c r="Y60" i="19"/>
  <c r="Z60" i="19" s="1"/>
  <c r="R23" i="19"/>
  <c r="Z22" i="19"/>
  <c r="U22" i="19"/>
  <c r="V22" i="19"/>
  <c r="J65" i="19"/>
  <c r="I60" i="19"/>
  <c r="K59" i="19"/>
  <c r="V38" i="19"/>
  <c r="R39" i="19"/>
  <c r="U38" i="19"/>
  <c r="Q38" i="19"/>
  <c r="Y37" i="19"/>
  <c r="Z37" i="19" s="1"/>
  <c r="J25" i="19"/>
  <c r="K23" i="19"/>
  <c r="K37" i="19"/>
  <c r="J39" i="19"/>
  <c r="I33" i="95"/>
  <c r="K32" i="95"/>
  <c r="J50" i="95"/>
  <c r="I21" i="95"/>
  <c r="K20" i="95"/>
  <c r="K25" i="95"/>
  <c r="I37" i="95"/>
  <c r="I67" i="95"/>
  <c r="K66" i="95"/>
  <c r="W20" i="22"/>
  <c r="Y38" i="19" l="1"/>
  <c r="Z38" i="19" s="1"/>
  <c r="Q39" i="19"/>
  <c r="R40" i="19"/>
  <c r="U39" i="19"/>
  <c r="V39" i="19"/>
  <c r="I59" i="19"/>
  <c r="K58" i="19"/>
  <c r="J66" i="19"/>
  <c r="Q62" i="19"/>
  <c r="Y61" i="19"/>
  <c r="Z61" i="19" s="1"/>
  <c r="J40" i="19"/>
  <c r="I37" i="19"/>
  <c r="K36" i="19"/>
  <c r="I23" i="19"/>
  <c r="K22" i="19"/>
  <c r="R24" i="19"/>
  <c r="Z23" i="19"/>
  <c r="V23" i="19"/>
  <c r="U23" i="19"/>
  <c r="J26" i="19"/>
  <c r="R62" i="19"/>
  <c r="U61" i="19"/>
  <c r="V61" i="19"/>
  <c r="I66" i="95"/>
  <c r="K65" i="95"/>
  <c r="I25" i="95"/>
  <c r="K24" i="95"/>
  <c r="I24" i="95" s="1"/>
  <c r="I20" i="95"/>
  <c r="K19" i="95"/>
  <c r="K50" i="95"/>
  <c r="I50" i="95" s="1"/>
  <c r="K49" i="95"/>
  <c r="I32" i="95"/>
  <c r="K31" i="95"/>
  <c r="S20" i="22"/>
  <c r="M20" i="22"/>
  <c r="J41" i="19" l="1"/>
  <c r="I36" i="19"/>
  <c r="K35" i="19"/>
  <c r="J67" i="19"/>
  <c r="J27" i="19"/>
  <c r="R25" i="19"/>
  <c r="U24" i="19"/>
  <c r="Z24" i="19"/>
  <c r="V24" i="19"/>
  <c r="I58" i="19"/>
  <c r="K57" i="19"/>
  <c r="I22" i="19"/>
  <c r="K21" i="19"/>
  <c r="Q63" i="19"/>
  <c r="Y62" i="19"/>
  <c r="Z62" i="19" s="1"/>
  <c r="U62" i="19"/>
  <c r="V62" i="19"/>
  <c r="R63" i="19"/>
  <c r="R41" i="19"/>
  <c r="U40" i="19"/>
  <c r="V40" i="19"/>
  <c r="Q40" i="19"/>
  <c r="Y39" i="19"/>
  <c r="Z39" i="19" s="1"/>
  <c r="I31" i="95"/>
  <c r="K30" i="95"/>
  <c r="I49" i="95"/>
  <c r="K48" i="95"/>
  <c r="I19" i="95"/>
  <c r="K18" i="95"/>
  <c r="I65" i="95"/>
  <c r="K64" i="95"/>
  <c r="Y20" i="22"/>
  <c r="T20" i="22"/>
  <c r="K27" i="19" l="1"/>
  <c r="I27" i="19" s="1"/>
  <c r="I35" i="19"/>
  <c r="K34" i="19"/>
  <c r="Q64" i="19"/>
  <c r="Y63" i="19"/>
  <c r="Z63" i="19" s="1"/>
  <c r="I21" i="19"/>
  <c r="K20" i="19"/>
  <c r="R26" i="19"/>
  <c r="V25" i="19"/>
  <c r="U25" i="19"/>
  <c r="Z25" i="19"/>
  <c r="Q41" i="19"/>
  <c r="Y40" i="19"/>
  <c r="Z40" i="19" s="1"/>
  <c r="J68" i="19"/>
  <c r="R42" i="19"/>
  <c r="U41" i="19"/>
  <c r="V41" i="19"/>
  <c r="R64" i="19"/>
  <c r="V63" i="19"/>
  <c r="U63" i="19"/>
  <c r="J42" i="19"/>
  <c r="I57" i="19"/>
  <c r="K56" i="19"/>
  <c r="I64" i="95"/>
  <c r="K63" i="95"/>
  <c r="I18" i="95"/>
  <c r="K17" i="95"/>
  <c r="I48" i="95"/>
  <c r="K47" i="95"/>
  <c r="I30" i="95"/>
  <c r="K29" i="95"/>
  <c r="V20" i="22"/>
  <c r="AB20" i="22" s="1"/>
  <c r="Q65" i="19" l="1"/>
  <c r="Y64" i="19"/>
  <c r="R27" i="19"/>
  <c r="Z26" i="19"/>
  <c r="U26" i="19"/>
  <c r="V26" i="19"/>
  <c r="I34" i="19"/>
  <c r="K33" i="19"/>
  <c r="R43" i="19"/>
  <c r="U42" i="19"/>
  <c r="V42" i="19"/>
  <c r="I56" i="19"/>
  <c r="K55" i="19"/>
  <c r="J43" i="19"/>
  <c r="Q42" i="19"/>
  <c r="Y42" i="19" s="1"/>
  <c r="Z42" i="19" s="1"/>
  <c r="Y41" i="19"/>
  <c r="Z41" i="19" s="1"/>
  <c r="K68" i="19"/>
  <c r="K67" i="19" s="1"/>
  <c r="I20" i="19"/>
  <c r="K19" i="19"/>
  <c r="R65" i="19"/>
  <c r="U64" i="19"/>
  <c r="V64" i="19"/>
  <c r="Z64" i="19"/>
  <c r="K26" i="19"/>
  <c r="I29" i="95"/>
  <c r="K28" i="95"/>
  <c r="I47" i="95"/>
  <c r="K46" i="95"/>
  <c r="I17" i="95"/>
  <c r="K16" i="95"/>
  <c r="I63" i="95"/>
  <c r="K62" i="95"/>
  <c r="X20" i="22"/>
  <c r="W21" i="22" s="1"/>
  <c r="AC20" i="22"/>
  <c r="M21" i="22"/>
  <c r="I67" i="19" l="1"/>
  <c r="K66" i="19"/>
  <c r="I55" i="19"/>
  <c r="K54" i="19"/>
  <c r="I33" i="19"/>
  <c r="K32" i="19"/>
  <c r="R66" i="19"/>
  <c r="V65" i="19"/>
  <c r="U65" i="19"/>
  <c r="Z65" i="19"/>
  <c r="J44" i="19"/>
  <c r="V43" i="19"/>
  <c r="Z43" i="19"/>
  <c r="U43" i="19"/>
  <c r="I26" i="19"/>
  <c r="K25" i="19"/>
  <c r="Z27" i="19"/>
  <c r="U27" i="19"/>
  <c r="V27" i="19"/>
  <c r="I19" i="19"/>
  <c r="K18" i="19"/>
  <c r="Q66" i="19"/>
  <c r="Y66" i="19" s="1"/>
  <c r="Y65" i="19"/>
  <c r="I62" i="95"/>
  <c r="K61" i="95"/>
  <c r="I16" i="95"/>
  <c r="K15" i="95"/>
  <c r="I46" i="95"/>
  <c r="K45" i="95"/>
  <c r="I28" i="95"/>
  <c r="H28" i="95"/>
  <c r="H29" i="95" s="1"/>
  <c r="H30" i="95" s="1"/>
  <c r="H31" i="95" s="1"/>
  <c r="H32" i="95" s="1"/>
  <c r="H33" i="95" s="1"/>
  <c r="H34" i="95" s="1"/>
  <c r="H35" i="95" s="1"/>
  <c r="H36" i="95" s="1"/>
  <c r="H37" i="95" s="1"/>
  <c r="H38" i="95" s="1"/>
  <c r="H39" i="95" s="1"/>
  <c r="K27" i="95"/>
  <c r="I27" i="95" s="1"/>
  <c r="Y21" i="22"/>
  <c r="S21" i="22"/>
  <c r="T21" i="22"/>
  <c r="J45" i="19" l="1"/>
  <c r="I25" i="19"/>
  <c r="K24" i="19"/>
  <c r="I24" i="19" s="1"/>
  <c r="I32" i="19"/>
  <c r="K31" i="19"/>
  <c r="I54" i="19"/>
  <c r="K53" i="19"/>
  <c r="I66" i="19"/>
  <c r="K65" i="19"/>
  <c r="R67" i="19"/>
  <c r="Z66" i="19"/>
  <c r="V66" i="19"/>
  <c r="U66" i="19"/>
  <c r="I18" i="19"/>
  <c r="K17" i="19"/>
  <c r="I45" i="95"/>
  <c r="K44" i="95"/>
  <c r="I61" i="95"/>
  <c r="K60" i="95"/>
  <c r="I15" i="95"/>
  <c r="K14" i="95"/>
  <c r="I14" i="95" s="1"/>
  <c r="V21" i="22"/>
  <c r="Z67" i="19" l="1"/>
  <c r="V67" i="19"/>
  <c r="U67" i="19"/>
  <c r="I65" i="19"/>
  <c r="K64" i="19"/>
  <c r="I17" i="19"/>
  <c r="K16" i="19"/>
  <c r="I53" i="19"/>
  <c r="K52" i="19"/>
  <c r="I52" i="19" s="1"/>
  <c r="I31" i="19"/>
  <c r="K30" i="19"/>
  <c r="K44" i="19"/>
  <c r="J46" i="19"/>
  <c r="H15" i="95"/>
  <c r="H16" i="95" s="1"/>
  <c r="H17" i="95" s="1"/>
  <c r="H18" i="95" s="1"/>
  <c r="H19" i="95" s="1"/>
  <c r="H20" i="95" s="1"/>
  <c r="H21" i="95" s="1"/>
  <c r="H22" i="95" s="1"/>
  <c r="H23" i="95" s="1"/>
  <c r="H24" i="95" s="1"/>
  <c r="H25" i="95" s="1"/>
  <c r="H26" i="95" s="1"/>
  <c r="I60" i="95"/>
  <c r="K59" i="95"/>
  <c r="I44" i="95"/>
  <c r="K43" i="95"/>
  <c r="AC21" i="22"/>
  <c r="AB21" i="22"/>
  <c r="X21" i="22"/>
  <c r="W22" i="22" s="1"/>
  <c r="R22" i="22"/>
  <c r="I44" i="19" l="1"/>
  <c r="K43" i="19"/>
  <c r="I30" i="19"/>
  <c r="K29" i="19"/>
  <c r="H53" i="19"/>
  <c r="H54" i="19" s="1"/>
  <c r="H55" i="19" s="1"/>
  <c r="H56" i="19" s="1"/>
  <c r="H57" i="19" s="1"/>
  <c r="H58" i="19" s="1"/>
  <c r="H59" i="19" s="1"/>
  <c r="H60" i="19" s="1"/>
  <c r="H61" i="19" s="1"/>
  <c r="I16" i="19"/>
  <c r="K15" i="19"/>
  <c r="I64" i="19"/>
  <c r="K63" i="19"/>
  <c r="J47" i="19"/>
  <c r="I59" i="95"/>
  <c r="K58" i="95"/>
  <c r="I58" i="95" s="1"/>
  <c r="I43" i="95"/>
  <c r="K42" i="95"/>
  <c r="Q23" i="22"/>
  <c r="S22" i="22"/>
  <c r="M22" i="22"/>
  <c r="R23" i="22"/>
  <c r="J48" i="19" l="1"/>
  <c r="I63" i="19"/>
  <c r="K62" i="19"/>
  <c r="I62" i="19" s="1"/>
  <c r="I15" i="19"/>
  <c r="K14" i="19"/>
  <c r="I14" i="19" s="1"/>
  <c r="I29" i="19"/>
  <c r="K28" i="19"/>
  <c r="I28" i="19" s="1"/>
  <c r="H29" i="19"/>
  <c r="H30" i="19" s="1"/>
  <c r="H31" i="19" s="1"/>
  <c r="H32" i="19" s="1"/>
  <c r="H33" i="19" s="1"/>
  <c r="H34" i="19" s="1"/>
  <c r="H35" i="19" s="1"/>
  <c r="H36" i="19" s="1"/>
  <c r="H37" i="19" s="1"/>
  <c r="I43" i="19"/>
  <c r="K42" i="19"/>
  <c r="I42" i="95"/>
  <c r="K41" i="95"/>
  <c r="H59" i="95"/>
  <c r="H60" i="95" s="1"/>
  <c r="H61" i="95" s="1"/>
  <c r="H62" i="95" s="1"/>
  <c r="H63" i="95" s="1"/>
  <c r="H64" i="95" s="1"/>
  <c r="H65" i="95" s="1"/>
  <c r="H66" i="95" s="1"/>
  <c r="H67" i="95" s="1"/>
  <c r="H68" i="95" s="1"/>
  <c r="Q24" i="22"/>
  <c r="S23" i="22"/>
  <c r="Y22" i="22"/>
  <c r="L23" i="22"/>
  <c r="R24" i="22"/>
  <c r="M23" i="22"/>
  <c r="T22" i="22"/>
  <c r="J49" i="19" l="1"/>
  <c r="I42" i="19"/>
  <c r="K41" i="19"/>
  <c r="H15" i="19"/>
  <c r="H16" i="19" s="1"/>
  <c r="H17" i="19" s="1"/>
  <c r="H18" i="19" s="1"/>
  <c r="H19" i="19" s="1"/>
  <c r="H20" i="19" s="1"/>
  <c r="H21" i="19" s="1"/>
  <c r="H22" i="19" s="1"/>
  <c r="H23" i="19" s="1"/>
  <c r="H24" i="19" s="1"/>
  <c r="H25" i="19" s="1"/>
  <c r="H26" i="19" s="1"/>
  <c r="H27" i="19" s="1"/>
  <c r="H62" i="19"/>
  <c r="H63" i="19" s="1"/>
  <c r="H64" i="19" s="1"/>
  <c r="H65" i="19" s="1"/>
  <c r="H66" i="19" s="1"/>
  <c r="H67" i="19" s="1"/>
  <c r="H68" i="19" s="1"/>
  <c r="H41" i="95"/>
  <c r="H42" i="95" s="1"/>
  <c r="H43" i="95" s="1"/>
  <c r="H44" i="95" s="1"/>
  <c r="H45" i="95" s="1"/>
  <c r="H46" i="95" s="1"/>
  <c r="H47" i="95" s="1"/>
  <c r="H48" i="95" s="1"/>
  <c r="H49" i="95" s="1"/>
  <c r="H50" i="95" s="1"/>
  <c r="I41" i="95"/>
  <c r="K40" i="95"/>
  <c r="I40" i="95" s="1"/>
  <c r="Y23" i="22"/>
  <c r="Q26" i="22"/>
  <c r="S24" i="22"/>
  <c r="V22" i="22"/>
  <c r="X22" i="22" s="1"/>
  <c r="L26" i="22"/>
  <c r="L24" i="22"/>
  <c r="M24" i="22"/>
  <c r="T23" i="22"/>
  <c r="J50" i="19" l="1"/>
  <c r="I41" i="19"/>
  <c r="K40" i="19"/>
  <c r="V23" i="22"/>
  <c r="AB23" i="22" s="1"/>
  <c r="Y24" i="22"/>
  <c r="AB22" i="22"/>
  <c r="AC22" i="22"/>
  <c r="AU6" i="19"/>
  <c r="AR3" i="19"/>
  <c r="AJ4" i="19"/>
  <c r="AC7" i="19"/>
  <c r="AD6" i="19"/>
  <c r="AF5" i="19"/>
  <c r="BG3" i="19"/>
  <c r="AN27" i="21"/>
  <c r="AK27" i="21"/>
  <c r="AI27" i="21"/>
  <c r="AJ28" i="21"/>
  <c r="AL28" i="21"/>
  <c r="AN29" i="21"/>
  <c r="AK29" i="21"/>
  <c r="AI29" i="21"/>
  <c r="AI31" i="21"/>
  <c r="AJ31" i="21"/>
  <c r="AK31" i="21"/>
  <c r="AL31" i="21"/>
  <c r="AN33" i="21"/>
  <c r="AL33" i="21"/>
  <c r="AJ33" i="21"/>
  <c r="AJ34" i="21"/>
  <c r="AL34" i="21"/>
  <c r="AK34" i="21"/>
  <c r="AI34" i="21"/>
  <c r="AL35" i="21"/>
  <c r="AK35" i="21"/>
  <c r="AJ35" i="21"/>
  <c r="AI35" i="21"/>
  <c r="AN25" i="21"/>
  <c r="AK25" i="21"/>
  <c r="AJ25" i="21"/>
  <c r="AI25" i="21"/>
  <c r="AK26" i="21"/>
  <c r="AI26" i="21"/>
  <c r="AL24" i="21"/>
  <c r="AI23" i="21"/>
  <c r="AJ23" i="21"/>
  <c r="AK23" i="21"/>
  <c r="AL23" i="21"/>
  <c r="AN23" i="21"/>
  <c r="AT36" i="21"/>
  <c r="AM36" i="21" s="1"/>
  <c r="AN36" i="21"/>
  <c r="AL36" i="21"/>
  <c r="AK36" i="21"/>
  <c r="AJ36" i="21"/>
  <c r="AI36" i="21"/>
  <c r="AT35" i="21"/>
  <c r="AM35" i="21" s="1"/>
  <c r="AN35" i="21"/>
  <c r="AT34" i="21"/>
  <c r="AM34" i="21" s="1"/>
  <c r="AN34" i="21"/>
  <c r="AT33" i="21"/>
  <c r="AM33" i="21" s="1"/>
  <c r="AK33" i="21"/>
  <c r="AI33" i="21"/>
  <c r="AT32" i="21"/>
  <c r="AM32" i="21" s="1"/>
  <c r="AN32" i="21"/>
  <c r="AL32" i="21"/>
  <c r="AK32" i="21"/>
  <c r="AJ32" i="21"/>
  <c r="AI32" i="21"/>
  <c r="AT31" i="21"/>
  <c r="AM31" i="21" s="1"/>
  <c r="AN31" i="21"/>
  <c r="AT30" i="21"/>
  <c r="AM30" i="21" s="1"/>
  <c r="AN30" i="21"/>
  <c r="AL30" i="21"/>
  <c r="AK30" i="21"/>
  <c r="AJ30" i="21"/>
  <c r="AI30" i="21"/>
  <c r="AT29" i="21"/>
  <c r="AM29" i="21" s="1"/>
  <c r="AL29" i="21"/>
  <c r="AJ29" i="21"/>
  <c r="AT28" i="21"/>
  <c r="AM28" i="21" s="1"/>
  <c r="AN28" i="21"/>
  <c r="AK28" i="21"/>
  <c r="AI28" i="21"/>
  <c r="AT27" i="21"/>
  <c r="AM27" i="21" s="1"/>
  <c r="AL27" i="21"/>
  <c r="AJ27" i="21"/>
  <c r="AT26" i="21"/>
  <c r="AM26" i="21" s="1"/>
  <c r="AN26" i="21"/>
  <c r="AL26" i="21"/>
  <c r="AJ26" i="21"/>
  <c r="AT25" i="21"/>
  <c r="AM25" i="21" s="1"/>
  <c r="AL25" i="21"/>
  <c r="AT24" i="21"/>
  <c r="AM24" i="21" s="1"/>
  <c r="AN24" i="21"/>
  <c r="AK24" i="21"/>
  <c r="AJ24" i="21"/>
  <c r="AI24" i="21"/>
  <c r="AT23" i="21"/>
  <c r="AM23" i="21" s="1"/>
  <c r="AT22" i="21"/>
  <c r="AM22" i="21" s="1"/>
  <c r="AN22" i="21"/>
  <c r="AL22" i="21"/>
  <c r="AK22" i="21"/>
  <c r="AJ22" i="21"/>
  <c r="AI22" i="21"/>
  <c r="AT21" i="21"/>
  <c r="AM21" i="21" s="1"/>
  <c r="AN21" i="21"/>
  <c r="AL21" i="21"/>
  <c r="AK21" i="21"/>
  <c r="AJ21" i="21"/>
  <c r="AI21" i="21"/>
  <c r="AT20" i="21"/>
  <c r="AM20" i="21" s="1"/>
  <c r="AN20" i="21"/>
  <c r="AL20" i="21"/>
  <c r="AK20" i="21"/>
  <c r="AJ20" i="21"/>
  <c r="AI20" i="21"/>
  <c r="AT19" i="21"/>
  <c r="AM19" i="21" s="1"/>
  <c r="AN19" i="21"/>
  <c r="AL19" i="21"/>
  <c r="AK19" i="21"/>
  <c r="AJ19" i="21"/>
  <c r="AI19" i="21"/>
  <c r="AT18" i="21"/>
  <c r="AM18" i="21" s="1"/>
  <c r="AN18" i="21"/>
  <c r="AL18" i="21"/>
  <c r="AK18" i="21"/>
  <c r="AJ18" i="21"/>
  <c r="AI18" i="21"/>
  <c r="AT17" i="21"/>
  <c r="AM17" i="21" s="1"/>
  <c r="AN17" i="21"/>
  <c r="AL17" i="21"/>
  <c r="AK17" i="21"/>
  <c r="AJ17" i="21"/>
  <c r="AI17" i="21"/>
  <c r="AT16" i="21"/>
  <c r="AM16" i="21" s="1"/>
  <c r="AN16" i="21"/>
  <c r="AL16" i="21"/>
  <c r="AK16" i="21"/>
  <c r="AJ16" i="21"/>
  <c r="AI16" i="21"/>
  <c r="AT15" i="21"/>
  <c r="AM15" i="21" s="1"/>
  <c r="AN15" i="21"/>
  <c r="AL15" i="21"/>
  <c r="AK15" i="21"/>
  <c r="AJ15" i="21"/>
  <c r="AI15" i="21"/>
  <c r="AT14" i="21"/>
  <c r="AM14" i="21" s="1"/>
  <c r="AN14" i="21"/>
  <c r="AL14" i="21"/>
  <c r="AK14" i="21"/>
  <c r="AJ14" i="21"/>
  <c r="AI14" i="21"/>
  <c r="AT13" i="21"/>
  <c r="AM13" i="21" s="1"/>
  <c r="AN13" i="21"/>
  <c r="AL13" i="21"/>
  <c r="AK13" i="21"/>
  <c r="AJ13" i="21"/>
  <c r="AI13" i="21"/>
  <c r="AT12" i="21"/>
  <c r="AM12" i="21" s="1"/>
  <c r="AN12" i="21"/>
  <c r="AL12" i="21"/>
  <c r="AK12" i="21"/>
  <c r="AJ12" i="21"/>
  <c r="AI12" i="21"/>
  <c r="AT11" i="21"/>
  <c r="AM11" i="21" s="1"/>
  <c r="AN11" i="21"/>
  <c r="AL11" i="21"/>
  <c r="AK11" i="21"/>
  <c r="AJ11" i="21"/>
  <c r="AI11" i="21"/>
  <c r="AT10" i="21"/>
  <c r="AM10" i="21" s="1"/>
  <c r="AN10" i="21"/>
  <c r="AL10" i="21"/>
  <c r="AK10" i="21"/>
  <c r="AJ10" i="21"/>
  <c r="AI10" i="21"/>
  <c r="T1" i="21"/>
  <c r="P2" i="21"/>
  <c r="Q2" i="21" s="1"/>
  <c r="P3" i="21"/>
  <c r="Q3" i="21" s="1"/>
  <c r="X3" i="21"/>
  <c r="P4" i="21"/>
  <c r="Q4" i="21" s="1"/>
  <c r="L5" i="21"/>
  <c r="L6" i="21"/>
  <c r="M6" i="21"/>
  <c r="V6" i="21"/>
  <c r="L7" i="21"/>
  <c r="M7" i="21"/>
  <c r="L8" i="21"/>
  <c r="O9" i="21"/>
  <c r="S9" i="21"/>
  <c r="T9" i="21" s="1"/>
  <c r="T8" i="21" s="1"/>
  <c r="W9" i="21"/>
  <c r="O10" i="21"/>
  <c r="Y10" i="21"/>
  <c r="V10" i="21" s="1"/>
  <c r="V3" i="21" s="1"/>
  <c r="O11" i="21"/>
  <c r="Y11" i="21"/>
  <c r="V11" i="21" s="1"/>
  <c r="N12" i="21"/>
  <c r="Y12" i="21"/>
  <c r="V12" i="21" s="1"/>
  <c r="Y13" i="21"/>
  <c r="AF13" i="21" s="1"/>
  <c r="Y14" i="21"/>
  <c r="AF14" i="21" s="1"/>
  <c r="Y15" i="21"/>
  <c r="AF15" i="21" s="1"/>
  <c r="Y16" i="21"/>
  <c r="AF16" i="21" s="1"/>
  <c r="Y17" i="21"/>
  <c r="V17" i="21" s="1"/>
  <c r="Y18" i="21"/>
  <c r="V18" i="21" s="1"/>
  <c r="V19" i="21"/>
  <c r="Y19" i="21"/>
  <c r="AF19" i="21" s="1"/>
  <c r="Y20" i="21"/>
  <c r="AF20" i="21" s="1"/>
  <c r="Y21" i="21"/>
  <c r="V21" i="21" s="1"/>
  <c r="M22" i="21"/>
  <c r="Y22" i="21"/>
  <c r="V22" i="21" s="1"/>
  <c r="AF22" i="21"/>
  <c r="Y23" i="21"/>
  <c r="V23" i="21" s="1"/>
  <c r="Y24" i="21"/>
  <c r="AF24" i="21" s="1"/>
  <c r="Y25" i="21"/>
  <c r="V25" i="21" s="1"/>
  <c r="Y26" i="21"/>
  <c r="AF26" i="21" s="1"/>
  <c r="Y27" i="21"/>
  <c r="AF27" i="21" s="1"/>
  <c r="Y28" i="21"/>
  <c r="AF28" i="21" s="1"/>
  <c r="Y29" i="21"/>
  <c r="V29" i="21" s="1"/>
  <c r="Y30" i="21"/>
  <c r="AF30" i="21" s="1"/>
  <c r="Y31" i="21"/>
  <c r="V31" i="21" s="1"/>
  <c r="Y32" i="21"/>
  <c r="AF32" i="21" s="1"/>
  <c r="Y33" i="21"/>
  <c r="V33" i="21" s="1"/>
  <c r="Y34" i="21"/>
  <c r="V34" i="21" s="1"/>
  <c r="Y35" i="21"/>
  <c r="V35" i="21" s="1"/>
  <c r="Y36" i="21"/>
  <c r="AF36" i="21" s="1"/>
  <c r="P42" i="21"/>
  <c r="T42" i="21"/>
  <c r="V42" i="21" s="1"/>
  <c r="M43" i="21"/>
  <c r="AD43" i="21"/>
  <c r="AE43" i="21" s="1"/>
  <c r="U44" i="21"/>
  <c r="AE44" i="21"/>
  <c r="AF44" i="21" s="1"/>
  <c r="AJ45" i="21"/>
  <c r="Q46" i="21"/>
  <c r="R46" i="21"/>
  <c r="Y46" i="21"/>
  <c r="W46" i="21" s="1"/>
  <c r="R47" i="21"/>
  <c r="T47" i="21"/>
  <c r="V47" i="21" s="1"/>
  <c r="AB47" i="21"/>
  <c r="Y48" i="21"/>
  <c r="AF48" i="21"/>
  <c r="Y49" i="21"/>
  <c r="AF49" i="21"/>
  <c r="Q52" i="21"/>
  <c r="Y52" i="21"/>
  <c r="W52" i="21" s="1"/>
  <c r="AF52" i="21"/>
  <c r="L53" i="21"/>
  <c r="Y53" i="21"/>
  <c r="W53" i="21" s="1"/>
  <c r="AF53" i="21"/>
  <c r="L54" i="21"/>
  <c r="W54" i="21"/>
  <c r="Y54" i="21"/>
  <c r="AF54" i="21"/>
  <c r="AJ55" i="21"/>
  <c r="Y56" i="21"/>
  <c r="AF56" i="21"/>
  <c r="Z58" i="21"/>
  <c r="AP63" i="21"/>
  <c r="AP64" i="21" s="1"/>
  <c r="AQ67" i="21" s="1"/>
  <c r="U66" i="21"/>
  <c r="R26" i="22"/>
  <c r="T24" i="22"/>
  <c r="AC19" i="19" l="1"/>
  <c r="AC39" i="19"/>
  <c r="AC59" i="19"/>
  <c r="AC20" i="19"/>
  <c r="AC40" i="19"/>
  <c r="AC60" i="19"/>
  <c r="AC24" i="19"/>
  <c r="AC46" i="19"/>
  <c r="AC68" i="19"/>
  <c r="AC25" i="19"/>
  <c r="AC47" i="19"/>
  <c r="AC26" i="19"/>
  <c r="AC48" i="19"/>
  <c r="AC23" i="19"/>
  <c r="AC51" i="19"/>
  <c r="AC28" i="19"/>
  <c r="AC53" i="19"/>
  <c r="AC15" i="19"/>
  <c r="AC44" i="19"/>
  <c r="AC16" i="19"/>
  <c r="AC45" i="19"/>
  <c r="AC17" i="19"/>
  <c r="AC49" i="19"/>
  <c r="AC18" i="19"/>
  <c r="AC50" i="19"/>
  <c r="AC21" i="19"/>
  <c r="AC52" i="19"/>
  <c r="AC34" i="19"/>
  <c r="AC63" i="19"/>
  <c r="AC37" i="19"/>
  <c r="AC38" i="19"/>
  <c r="AC41" i="19"/>
  <c r="AC54" i="19"/>
  <c r="AC42" i="19"/>
  <c r="AC43" i="19"/>
  <c r="AC55" i="19"/>
  <c r="AC22" i="19"/>
  <c r="AC62" i="19"/>
  <c r="AC27" i="19"/>
  <c r="AC64" i="19"/>
  <c r="AC35" i="19"/>
  <c r="AC65" i="19"/>
  <c r="AC66" i="19"/>
  <c r="AC36" i="19"/>
  <c r="AC56" i="19"/>
  <c r="AC14" i="19"/>
  <c r="AC57" i="19"/>
  <c r="AC29" i="19"/>
  <c r="AC32" i="19"/>
  <c r="AC58" i="19"/>
  <c r="AC67" i="19"/>
  <c r="AC61" i="19"/>
  <c r="AC30" i="19"/>
  <c r="AC31" i="19"/>
  <c r="AC33" i="19"/>
  <c r="AD24" i="19"/>
  <c r="AD44" i="19"/>
  <c r="AD64" i="19"/>
  <c r="AD25" i="19"/>
  <c r="AD45" i="19"/>
  <c r="AD65" i="19"/>
  <c r="AD35" i="19"/>
  <c r="AD57" i="19"/>
  <c r="AD14" i="19"/>
  <c r="AD36" i="19"/>
  <c r="AD58" i="19"/>
  <c r="AD15" i="19"/>
  <c r="AD37" i="19"/>
  <c r="AD59" i="19"/>
  <c r="AD21" i="19"/>
  <c r="AD48" i="19"/>
  <c r="AD23" i="19"/>
  <c r="AD50" i="19"/>
  <c r="AD19" i="19"/>
  <c r="AD49" i="19"/>
  <c r="AD20" i="19"/>
  <c r="AD51" i="19"/>
  <c r="AD22" i="19"/>
  <c r="AD52" i="19"/>
  <c r="AD26" i="19"/>
  <c r="AD53" i="19"/>
  <c r="AD27" i="19"/>
  <c r="AD54" i="19"/>
  <c r="AD38" i="19"/>
  <c r="AD67" i="19"/>
  <c r="AD29" i="19"/>
  <c r="AD68" i="19"/>
  <c r="AD30" i="19"/>
  <c r="AD31" i="19"/>
  <c r="AD32" i="19"/>
  <c r="AD33" i="19"/>
  <c r="AD34" i="19"/>
  <c r="AD39" i="19"/>
  <c r="AD46" i="19"/>
  <c r="AD47" i="19"/>
  <c r="AD61" i="19"/>
  <c r="AD16" i="19"/>
  <c r="AD41" i="19"/>
  <c r="AD55" i="19"/>
  <c r="AD62" i="19"/>
  <c r="AD63" i="19"/>
  <c r="AD40" i="19"/>
  <c r="AD42" i="19"/>
  <c r="AD43" i="19"/>
  <c r="AD66" i="19"/>
  <c r="AD56" i="19"/>
  <c r="AD17" i="19"/>
  <c r="AD18" i="19"/>
  <c r="AD28" i="19"/>
  <c r="AD60" i="19"/>
  <c r="AR19" i="19"/>
  <c r="AR39" i="19"/>
  <c r="AR59" i="19"/>
  <c r="AR20" i="19"/>
  <c r="AR40" i="19"/>
  <c r="AR60" i="19"/>
  <c r="AR15" i="19"/>
  <c r="AR37" i="19"/>
  <c r="AR61" i="19"/>
  <c r="AR16" i="19"/>
  <c r="AR41" i="19"/>
  <c r="AR64" i="19"/>
  <c r="AR17" i="19"/>
  <c r="AR42" i="19"/>
  <c r="AR65" i="19"/>
  <c r="AR18" i="19"/>
  <c r="AR43" i="19"/>
  <c r="AR66" i="19"/>
  <c r="AR21" i="19"/>
  <c r="AR44" i="19"/>
  <c r="AR67" i="19"/>
  <c r="AR33" i="19"/>
  <c r="AR63" i="19"/>
  <c r="AR34" i="19"/>
  <c r="AR68" i="19"/>
  <c r="AR35" i="19"/>
  <c r="AR36" i="19"/>
  <c r="AR45" i="19"/>
  <c r="AR38" i="19"/>
  <c r="AR46" i="19"/>
  <c r="AR24" i="19"/>
  <c r="AR51" i="19"/>
  <c r="AR25" i="19"/>
  <c r="AR52" i="19"/>
  <c r="AR54" i="19"/>
  <c r="AR55" i="19"/>
  <c r="AR32" i="19"/>
  <c r="AR50" i="19"/>
  <c r="AR56" i="19"/>
  <c r="AR22" i="19"/>
  <c r="AR26" i="19"/>
  <c r="AR27" i="19"/>
  <c r="AR31" i="19"/>
  <c r="AR47" i="19"/>
  <c r="AR57" i="19"/>
  <c r="AR14" i="19"/>
  <c r="AR58" i="19"/>
  <c r="AR48" i="19"/>
  <c r="AR62" i="19"/>
  <c r="AR23" i="19"/>
  <c r="AR49" i="19"/>
  <c r="AR28" i="19"/>
  <c r="AR29" i="19"/>
  <c r="AR30" i="19"/>
  <c r="AR53" i="19"/>
  <c r="I40" i="19"/>
  <c r="K39" i="19"/>
  <c r="BG33" i="19"/>
  <c r="BG45" i="19"/>
  <c r="BG40" i="19"/>
  <c r="J51" i="19"/>
  <c r="AF14" i="19"/>
  <c r="AF15" i="19"/>
  <c r="AF35" i="19"/>
  <c r="AF55" i="19"/>
  <c r="AF36" i="19"/>
  <c r="AF57" i="19"/>
  <c r="AF16" i="19"/>
  <c r="AF37" i="19"/>
  <c r="AF58" i="19"/>
  <c r="AF17" i="19"/>
  <c r="AF38" i="19"/>
  <c r="AF59" i="19"/>
  <c r="AF18" i="19"/>
  <c r="AF42" i="19"/>
  <c r="AF66" i="19"/>
  <c r="AF20" i="19"/>
  <c r="AF44" i="19"/>
  <c r="AF68" i="19"/>
  <c r="AF26" i="19"/>
  <c r="AF52" i="19"/>
  <c r="AF27" i="19"/>
  <c r="AF53" i="19"/>
  <c r="AF28" i="19"/>
  <c r="AF54" i="19"/>
  <c r="AF29" i="19"/>
  <c r="AF56" i="19"/>
  <c r="AF30" i="19"/>
  <c r="AF60" i="19"/>
  <c r="AF43" i="19"/>
  <c r="AF40" i="19"/>
  <c r="AF41" i="19"/>
  <c r="AF45" i="19"/>
  <c r="AF48" i="19"/>
  <c r="AF46" i="19"/>
  <c r="AF47" i="19"/>
  <c r="AF49" i="19"/>
  <c r="AF22" i="19"/>
  <c r="AF63" i="19"/>
  <c r="AF23" i="19"/>
  <c r="AF64" i="19"/>
  <c r="AF25" i="19"/>
  <c r="AF31" i="19"/>
  <c r="AF61" i="19"/>
  <c r="AF65" i="19"/>
  <c r="AF32" i="19"/>
  <c r="AF62" i="19"/>
  <c r="AF21" i="19"/>
  <c r="AF33" i="19"/>
  <c r="AF50" i="19"/>
  <c r="AF19" i="19"/>
  <c r="AF34" i="19"/>
  <c r="AF39" i="19"/>
  <c r="AF51" i="19"/>
  <c r="AF67" i="19"/>
  <c r="AF24" i="19"/>
  <c r="AJ15" i="19"/>
  <c r="AJ35" i="19"/>
  <c r="AJ55" i="19"/>
  <c r="AJ26" i="19"/>
  <c r="AJ47" i="19"/>
  <c r="AJ27" i="19"/>
  <c r="AJ48" i="19"/>
  <c r="AJ28" i="19"/>
  <c r="AJ49" i="19"/>
  <c r="AJ19" i="19"/>
  <c r="AJ43" i="19"/>
  <c r="AJ67" i="19"/>
  <c r="AJ21" i="19"/>
  <c r="AJ45" i="19"/>
  <c r="AJ25" i="19"/>
  <c r="AJ54" i="19"/>
  <c r="AJ29" i="19"/>
  <c r="AJ56" i="19"/>
  <c r="AJ30" i="19"/>
  <c r="AJ57" i="19"/>
  <c r="AJ31" i="19"/>
  <c r="AJ58" i="19"/>
  <c r="AJ32" i="19"/>
  <c r="AJ59" i="19"/>
  <c r="AJ41" i="19"/>
  <c r="AJ42" i="19"/>
  <c r="AJ44" i="19"/>
  <c r="AJ14" i="19"/>
  <c r="AJ51" i="19"/>
  <c r="AJ46" i="19"/>
  <c r="AJ50" i="19"/>
  <c r="AJ16" i="19"/>
  <c r="AJ52" i="19"/>
  <c r="AJ23" i="19"/>
  <c r="AJ63" i="19"/>
  <c r="AJ24" i="19"/>
  <c r="AJ64" i="19"/>
  <c r="AJ17" i="19"/>
  <c r="AJ37" i="19"/>
  <c r="AJ60" i="19"/>
  <c r="AJ61" i="19"/>
  <c r="AJ66" i="19"/>
  <c r="AJ68" i="19"/>
  <c r="AJ18" i="19"/>
  <c r="AJ62" i="19"/>
  <c r="AJ65" i="19"/>
  <c r="AJ20" i="19"/>
  <c r="AJ39" i="19"/>
  <c r="AJ22" i="19"/>
  <c r="AJ36" i="19"/>
  <c r="AJ33" i="19"/>
  <c r="AJ34" i="19"/>
  <c r="AJ38" i="19"/>
  <c r="AJ40" i="19"/>
  <c r="AJ53" i="19"/>
  <c r="AS7" i="19"/>
  <c r="AX3" i="19"/>
  <c r="AU3" i="19"/>
  <c r="BA3" i="19"/>
  <c r="AK7" i="19"/>
  <c r="AS3" i="19"/>
  <c r="BC3" i="19"/>
  <c r="S26" i="22"/>
  <c r="Q27" i="22"/>
  <c r="X23" i="22"/>
  <c r="AC23" i="22"/>
  <c r="V24" i="22"/>
  <c r="AB24" i="22" s="1"/>
  <c r="S46" i="21"/>
  <c r="T46" i="21" s="1"/>
  <c r="V46" i="21" s="1"/>
  <c r="AI46" i="21" s="1"/>
  <c r="V27" i="21"/>
  <c r="Q47" i="21"/>
  <c r="AF31" i="21"/>
  <c r="V13" i="21"/>
  <c r="BD3" i="19"/>
  <c r="AR8" i="19"/>
  <c r="AW3" i="19"/>
  <c r="BB3" i="19"/>
  <c r="BB6" i="19"/>
  <c r="AY7" i="19"/>
  <c r="AT3" i="19"/>
  <c r="AY3" i="19"/>
  <c r="BF3" i="19"/>
  <c r="BE7" i="19"/>
  <c r="BD4" i="19"/>
  <c r="V36" i="21"/>
  <c r="V26" i="21"/>
  <c r="AF18" i="21"/>
  <c r="AF11" i="21"/>
  <c r="R52" i="21"/>
  <c r="S52" i="21" s="1"/>
  <c r="T52" i="21" s="1"/>
  <c r="V32" i="21"/>
  <c r="V15" i="21"/>
  <c r="BE3" i="19"/>
  <c r="AG7" i="19"/>
  <c r="AO7" i="19"/>
  <c r="AW7" i="19"/>
  <c r="AI6" i="19"/>
  <c r="AT6" i="19"/>
  <c r="AG5" i="19"/>
  <c r="AO5" i="19"/>
  <c r="AW5" i="19"/>
  <c r="BG5" i="19"/>
  <c r="BG32" i="19" s="1"/>
  <c r="AL4" i="19"/>
  <c r="AP4" i="19"/>
  <c r="BB4" i="19"/>
  <c r="BF4" i="19"/>
  <c r="AI7" i="19"/>
  <c r="AQ7" i="19"/>
  <c r="AL6" i="19"/>
  <c r="BC6" i="19"/>
  <c r="AH5" i="19"/>
  <c r="AP5" i="19"/>
  <c r="AX5" i="19"/>
  <c r="BE5" i="19"/>
  <c r="AM4" i="19"/>
  <c r="AQ4" i="19"/>
  <c r="BC4" i="19"/>
  <c r="BG4" i="19"/>
  <c r="BG54" i="19" s="1"/>
  <c r="BC7" i="19"/>
  <c r="AE6" i="19"/>
  <c r="AP6" i="19"/>
  <c r="AX6" i="19"/>
  <c r="BF6" i="19"/>
  <c r="AI5" i="19"/>
  <c r="AQ5" i="19"/>
  <c r="AY5" i="19"/>
  <c r="BF5" i="19"/>
  <c r="AN4" i="19"/>
  <c r="AZ4" i="19"/>
  <c r="AE7" i="19"/>
  <c r="AM7" i="19"/>
  <c r="AU7" i="19"/>
  <c r="BG7" i="19"/>
  <c r="AH6" i="19"/>
  <c r="AQ6" i="19"/>
  <c r="AY6" i="19"/>
  <c r="BG6" i="19"/>
  <c r="AN5" i="19"/>
  <c r="AV5" i="19"/>
  <c r="BD5" i="19"/>
  <c r="AK4" i="19"/>
  <c r="AO4" i="19"/>
  <c r="BA4" i="19"/>
  <c r="BE4" i="19"/>
  <c r="AV3" i="19"/>
  <c r="AZ3" i="19"/>
  <c r="BA7" i="19"/>
  <c r="AH22" i="21"/>
  <c r="AG22" i="21" s="1"/>
  <c r="Y57" i="21"/>
  <c r="Q5" i="21"/>
  <c r="AF34" i="21"/>
  <c r="V14" i="21"/>
  <c r="AF12" i="21"/>
  <c r="AH10" i="21"/>
  <c r="AG10" i="21" s="1"/>
  <c r="AH13" i="21"/>
  <c r="AG13" i="21" s="1"/>
  <c r="AH18" i="21"/>
  <c r="AG18" i="21" s="1"/>
  <c r="Y58" i="21"/>
  <c r="S47" i="21"/>
  <c r="AF35" i="21"/>
  <c r="AF29" i="21"/>
  <c r="AF25" i="21"/>
  <c r="AF21" i="21"/>
  <c r="AF17" i="21"/>
  <c r="AH11" i="21"/>
  <c r="AG11" i="21" s="1"/>
  <c r="AH12" i="21"/>
  <c r="AG12" i="21" s="1"/>
  <c r="AH17" i="21"/>
  <c r="AG17" i="21" s="1"/>
  <c r="AH20" i="21"/>
  <c r="AG20" i="21" s="1"/>
  <c r="AH14" i="21"/>
  <c r="AG14" i="21" s="1"/>
  <c r="AH26" i="21"/>
  <c r="AG26" i="21" s="1"/>
  <c r="AH30" i="21"/>
  <c r="AG30" i="21" s="1"/>
  <c r="AH35" i="21"/>
  <c r="AG35" i="21" s="1"/>
  <c r="AH32" i="21"/>
  <c r="AG32" i="21" s="1"/>
  <c r="AH29" i="21"/>
  <c r="AG29" i="21" s="1"/>
  <c r="AH25" i="21"/>
  <c r="AG25" i="21" s="1"/>
  <c r="AH34" i="21"/>
  <c r="AG34" i="21" s="1"/>
  <c r="AH36" i="21"/>
  <c r="AG36" i="21" s="1"/>
  <c r="AH24" i="21"/>
  <c r="AG24" i="21" s="1"/>
  <c r="AH23" i="21"/>
  <c r="AG23" i="21" s="1"/>
  <c r="AH33" i="21"/>
  <c r="AG33" i="21" s="1"/>
  <c r="AH21" i="21"/>
  <c r="AG21" i="21" s="1"/>
  <c r="AH27" i="21"/>
  <c r="AG27" i="21" s="1"/>
  <c r="AH28" i="21"/>
  <c r="AG28" i="21" s="1"/>
  <c r="AH19" i="21"/>
  <c r="AG19" i="21" s="1"/>
  <c r="AH31" i="21"/>
  <c r="AG31" i="21" s="1"/>
  <c r="AH15" i="21"/>
  <c r="AG15" i="21" s="1"/>
  <c r="AH16" i="21"/>
  <c r="AG16" i="21" s="1"/>
  <c r="X46" i="21"/>
  <c r="W56" i="21"/>
  <c r="V30" i="21"/>
  <c r="V28" i="21"/>
  <c r="V24" i="21"/>
  <c r="V20" i="21"/>
  <c r="V16" i="21"/>
  <c r="W49" i="21"/>
  <c r="Q48" i="21"/>
  <c r="AB46" i="21"/>
  <c r="O30" i="21"/>
  <c r="N30" i="21" s="1"/>
  <c r="M26" i="22"/>
  <c r="L27" i="22"/>
  <c r="AW24" i="19" l="1"/>
  <c r="AW25" i="19"/>
  <c r="AW45" i="19"/>
  <c r="AW65" i="19"/>
  <c r="AW17" i="19"/>
  <c r="AW39" i="19"/>
  <c r="AW60" i="19"/>
  <c r="AW18" i="19"/>
  <c r="AW40" i="19"/>
  <c r="AW61" i="19"/>
  <c r="AW19" i="19"/>
  <c r="AW41" i="19"/>
  <c r="AW62" i="19"/>
  <c r="AW20" i="19"/>
  <c r="AW42" i="19"/>
  <c r="AW63" i="19"/>
  <c r="AW16" i="19"/>
  <c r="AW47" i="19"/>
  <c r="AW21" i="19"/>
  <c r="AW48" i="19"/>
  <c r="AW22" i="19"/>
  <c r="AW49" i="19"/>
  <c r="AW27" i="19"/>
  <c r="AW52" i="19"/>
  <c r="AW23" i="19"/>
  <c r="AW50" i="19"/>
  <c r="AW26" i="19"/>
  <c r="AW51" i="19"/>
  <c r="AW28" i="19"/>
  <c r="AW53" i="19"/>
  <c r="AW33" i="19"/>
  <c r="AW58" i="19"/>
  <c r="AW34" i="19"/>
  <c r="AW59" i="19"/>
  <c r="AW36" i="19"/>
  <c r="AW37" i="19"/>
  <c r="AW44" i="19"/>
  <c r="AW31" i="19"/>
  <c r="AW38" i="19"/>
  <c r="AW46" i="19"/>
  <c r="AW14" i="19"/>
  <c r="AW68" i="19"/>
  <c r="AW15" i="19"/>
  <c r="AW29" i="19"/>
  <c r="AW43" i="19"/>
  <c r="AW55" i="19"/>
  <c r="AW54" i="19"/>
  <c r="AW56" i="19"/>
  <c r="AW57" i="19"/>
  <c r="AW64" i="19"/>
  <c r="AW32" i="19"/>
  <c r="AW66" i="19"/>
  <c r="AW67" i="19"/>
  <c r="AW30" i="19"/>
  <c r="AW35" i="19"/>
  <c r="BG31" i="19"/>
  <c r="AM30" i="19"/>
  <c r="AM50" i="19"/>
  <c r="AM31" i="19"/>
  <c r="AM52" i="19"/>
  <c r="AM32" i="19"/>
  <c r="AM53" i="19"/>
  <c r="AM20" i="19"/>
  <c r="AM43" i="19"/>
  <c r="AM66" i="19"/>
  <c r="AM22" i="19"/>
  <c r="AM45" i="19"/>
  <c r="AM68" i="19"/>
  <c r="AM18" i="19"/>
  <c r="AM44" i="19"/>
  <c r="AM19" i="19"/>
  <c r="AM46" i="19"/>
  <c r="AM21" i="19"/>
  <c r="AM47" i="19"/>
  <c r="AM23" i="19"/>
  <c r="AM48" i="19"/>
  <c r="AM24" i="19"/>
  <c r="AM49" i="19"/>
  <c r="AM15" i="19"/>
  <c r="AM55" i="19"/>
  <c r="AM16" i="19"/>
  <c r="AM56" i="19"/>
  <c r="AM17" i="19"/>
  <c r="AM57" i="19"/>
  <c r="AM27" i="19"/>
  <c r="AM25" i="19"/>
  <c r="AM58" i="19"/>
  <c r="AM60" i="19"/>
  <c r="AM26" i="19"/>
  <c r="AM59" i="19"/>
  <c r="AM28" i="19"/>
  <c r="AM61" i="19"/>
  <c r="AM36" i="19"/>
  <c r="AM67" i="19"/>
  <c r="AM37" i="19"/>
  <c r="AM38" i="19"/>
  <c r="AM39" i="19"/>
  <c r="AM29" i="19"/>
  <c r="AM62" i="19"/>
  <c r="AM40" i="19"/>
  <c r="AM41" i="19"/>
  <c r="AM42" i="19"/>
  <c r="AM14" i="19"/>
  <c r="AM65" i="19"/>
  <c r="AM34" i="19"/>
  <c r="AM51" i="19"/>
  <c r="AM63" i="19"/>
  <c r="AM54" i="19"/>
  <c r="AM64" i="19"/>
  <c r="AM33" i="19"/>
  <c r="AM35" i="19"/>
  <c r="BD25" i="19"/>
  <c r="BD45" i="19"/>
  <c r="BD65" i="19"/>
  <c r="BD27" i="19"/>
  <c r="BD47" i="19"/>
  <c r="BD67" i="19"/>
  <c r="BD28" i="19"/>
  <c r="BD48" i="19"/>
  <c r="BD68" i="19"/>
  <c r="BD16" i="19"/>
  <c r="BD39" i="19"/>
  <c r="BD62" i="19"/>
  <c r="BD17" i="19"/>
  <c r="BD40" i="19"/>
  <c r="BD63" i="19"/>
  <c r="BD21" i="19"/>
  <c r="BD18" i="19"/>
  <c r="BD41" i="19"/>
  <c r="BD64" i="19"/>
  <c r="BD44" i="19"/>
  <c r="BD19" i="19"/>
  <c r="BD42" i="19"/>
  <c r="BD66" i="19"/>
  <c r="BD20" i="19"/>
  <c r="BD43" i="19"/>
  <c r="BD22" i="19"/>
  <c r="BD46" i="19"/>
  <c r="BD30" i="19"/>
  <c r="BD53" i="19"/>
  <c r="BD31" i="19"/>
  <c r="BD54" i="19"/>
  <c r="BD23" i="19"/>
  <c r="BD60" i="19"/>
  <c r="BD24" i="19"/>
  <c r="BD61" i="19"/>
  <c r="BD34" i="19"/>
  <c r="BD36" i="19"/>
  <c r="BD56" i="19"/>
  <c r="BD38" i="19"/>
  <c r="BD26" i="19"/>
  <c r="BD32" i="19"/>
  <c r="BD33" i="19"/>
  <c r="BD37" i="19"/>
  <c r="BD51" i="19"/>
  <c r="BD57" i="19"/>
  <c r="BD14" i="19"/>
  <c r="BD29" i="19"/>
  <c r="BD35" i="19"/>
  <c r="BD52" i="19"/>
  <c r="BD49" i="19"/>
  <c r="BD50" i="19"/>
  <c r="BD55" i="19"/>
  <c r="BD15" i="19"/>
  <c r="BD58" i="19"/>
  <c r="BD59" i="19"/>
  <c r="BG66" i="19"/>
  <c r="BG18" i="19"/>
  <c r="BG51" i="19"/>
  <c r="AO24" i="19"/>
  <c r="AO44" i="19"/>
  <c r="AO64" i="19"/>
  <c r="AO25" i="19"/>
  <c r="AO45" i="19"/>
  <c r="AO65" i="19"/>
  <c r="AO26" i="19"/>
  <c r="AO48" i="19"/>
  <c r="AO28" i="19"/>
  <c r="AO50" i="19"/>
  <c r="AO36" i="19"/>
  <c r="AO60" i="19"/>
  <c r="AO37" i="19"/>
  <c r="AO61" i="19"/>
  <c r="AO14" i="19"/>
  <c r="AO38" i="19"/>
  <c r="AO62" i="19"/>
  <c r="AO15" i="19"/>
  <c r="AO39" i="19"/>
  <c r="AO63" i="19"/>
  <c r="AO16" i="19"/>
  <c r="AO40" i="19"/>
  <c r="AO66" i="19"/>
  <c r="AO43" i="19"/>
  <c r="AO46" i="19"/>
  <c r="AO47" i="19"/>
  <c r="AO52" i="19"/>
  <c r="AO17" i="19"/>
  <c r="AO49" i="19"/>
  <c r="AO18" i="19"/>
  <c r="AO51" i="19"/>
  <c r="AO19" i="19"/>
  <c r="AO20" i="19"/>
  <c r="AO53" i="19"/>
  <c r="AO29" i="19"/>
  <c r="AO58" i="19"/>
  <c r="AO30" i="19"/>
  <c r="AO59" i="19"/>
  <c r="AO54" i="19"/>
  <c r="AO55" i="19"/>
  <c r="AO21" i="19"/>
  <c r="AO56" i="19"/>
  <c r="AO22" i="19"/>
  <c r="AO32" i="19"/>
  <c r="AO33" i="19"/>
  <c r="AO34" i="19"/>
  <c r="AO57" i="19"/>
  <c r="AO41" i="19"/>
  <c r="AO67" i="19"/>
  <c r="AO68" i="19"/>
  <c r="AO31" i="19"/>
  <c r="AO35" i="19"/>
  <c r="AO23" i="19"/>
  <c r="AO27" i="19"/>
  <c r="AO42" i="19"/>
  <c r="BG19" i="19"/>
  <c r="AT29" i="19"/>
  <c r="AT49" i="19"/>
  <c r="AT30" i="19"/>
  <c r="AT50" i="19"/>
  <c r="AT17" i="19"/>
  <c r="AT39" i="19"/>
  <c r="AT61" i="19"/>
  <c r="AT23" i="19"/>
  <c r="AT46" i="19"/>
  <c r="AT24" i="19"/>
  <c r="AT47" i="19"/>
  <c r="AT25" i="19"/>
  <c r="AT48" i="19"/>
  <c r="AT26" i="19"/>
  <c r="AT51" i="19"/>
  <c r="AT41" i="19"/>
  <c r="AT68" i="19"/>
  <c r="AT14" i="19"/>
  <c r="AT42" i="19"/>
  <c r="AT15" i="19"/>
  <c r="AT43" i="19"/>
  <c r="AT19" i="19"/>
  <c r="AT16" i="19"/>
  <c r="AT44" i="19"/>
  <c r="AT18" i="19"/>
  <c r="AT45" i="19"/>
  <c r="AT20" i="19"/>
  <c r="AT53" i="19"/>
  <c r="AT31" i="19"/>
  <c r="AT58" i="19"/>
  <c r="AT32" i="19"/>
  <c r="AT59" i="19"/>
  <c r="AT54" i="19"/>
  <c r="AT55" i="19"/>
  <c r="AT60" i="19"/>
  <c r="AT63" i="19"/>
  <c r="AT66" i="19"/>
  <c r="AT38" i="19"/>
  <c r="AT56" i="19"/>
  <c r="AT65" i="19"/>
  <c r="AT67" i="19"/>
  <c r="AT57" i="19"/>
  <c r="AT64" i="19"/>
  <c r="AT21" i="19"/>
  <c r="AT22" i="19"/>
  <c r="AT27" i="19"/>
  <c r="AT34" i="19"/>
  <c r="AT35" i="19"/>
  <c r="AT62" i="19"/>
  <c r="AT36" i="19"/>
  <c r="AT40" i="19"/>
  <c r="AT37" i="19"/>
  <c r="AT28" i="19"/>
  <c r="AT33" i="19"/>
  <c r="AT52" i="19"/>
  <c r="BG67" i="19"/>
  <c r="AX30" i="19"/>
  <c r="AX50" i="19"/>
  <c r="AX26" i="19"/>
  <c r="AX47" i="19"/>
  <c r="AX68" i="19"/>
  <c r="AX27" i="19"/>
  <c r="AX48" i="19"/>
  <c r="AX28" i="19"/>
  <c r="AX49" i="19"/>
  <c r="AX29" i="19"/>
  <c r="AX51" i="19"/>
  <c r="AX17" i="19"/>
  <c r="AX42" i="19"/>
  <c r="AX67" i="19"/>
  <c r="AX18" i="19"/>
  <c r="AX43" i="19"/>
  <c r="AX52" i="19"/>
  <c r="AX19" i="19"/>
  <c r="AX44" i="19"/>
  <c r="AX22" i="19"/>
  <c r="AX20" i="19"/>
  <c r="AX45" i="19"/>
  <c r="AX21" i="19"/>
  <c r="AX46" i="19"/>
  <c r="AX23" i="19"/>
  <c r="AX53" i="19"/>
  <c r="AX33" i="19"/>
  <c r="AX58" i="19"/>
  <c r="AX34" i="19"/>
  <c r="AX59" i="19"/>
  <c r="AX32" i="19"/>
  <c r="AX35" i="19"/>
  <c r="AX40" i="19"/>
  <c r="AX54" i="19"/>
  <c r="AX62" i="19"/>
  <c r="AX16" i="19"/>
  <c r="AX36" i="19"/>
  <c r="AX38" i="19"/>
  <c r="AX39" i="19"/>
  <c r="AX41" i="19"/>
  <c r="AX56" i="19"/>
  <c r="AX61" i="19"/>
  <c r="AX63" i="19"/>
  <c r="AX65" i="19"/>
  <c r="AX25" i="19"/>
  <c r="AX37" i="19"/>
  <c r="AX24" i="19"/>
  <c r="AX66" i="19"/>
  <c r="AX14" i="19"/>
  <c r="AX55" i="19"/>
  <c r="AX15" i="19"/>
  <c r="AX64" i="19"/>
  <c r="AX57" i="19"/>
  <c r="AX60" i="19"/>
  <c r="AX31" i="19"/>
  <c r="BG27" i="19"/>
  <c r="BG34" i="19"/>
  <c r="BG52" i="19"/>
  <c r="BG64" i="19"/>
  <c r="AH25" i="19"/>
  <c r="AH45" i="19"/>
  <c r="AH65" i="19"/>
  <c r="AH31" i="19"/>
  <c r="AH52" i="19"/>
  <c r="AH32" i="19"/>
  <c r="AH53" i="19"/>
  <c r="AH33" i="19"/>
  <c r="AH54" i="19"/>
  <c r="AH29" i="19"/>
  <c r="AH56" i="19"/>
  <c r="AH34" i="19"/>
  <c r="AH58" i="19"/>
  <c r="AH24" i="19"/>
  <c r="AH51" i="19"/>
  <c r="AH26" i="19"/>
  <c r="AH55" i="19"/>
  <c r="AH27" i="19"/>
  <c r="AH57" i="19"/>
  <c r="AH28" i="19"/>
  <c r="AH59" i="19"/>
  <c r="AH30" i="19"/>
  <c r="AH60" i="19"/>
  <c r="AH42" i="19"/>
  <c r="AH43" i="19"/>
  <c r="AH44" i="19"/>
  <c r="AH14" i="19"/>
  <c r="AH46" i="19"/>
  <c r="AH16" i="19"/>
  <c r="AH15" i="19"/>
  <c r="AH47" i="19"/>
  <c r="AH48" i="19"/>
  <c r="AH17" i="19"/>
  <c r="AH49" i="19"/>
  <c r="AH22" i="19"/>
  <c r="AH64" i="19"/>
  <c r="AH23" i="19"/>
  <c r="AH66" i="19"/>
  <c r="AH61" i="19"/>
  <c r="AH62" i="19"/>
  <c r="AH63" i="19"/>
  <c r="AH18" i="19"/>
  <c r="AH41" i="19"/>
  <c r="AH67" i="19"/>
  <c r="AH68" i="19"/>
  <c r="AH19" i="19"/>
  <c r="AH37" i="19"/>
  <c r="AH36" i="19"/>
  <c r="AH38" i="19"/>
  <c r="AH20" i="19"/>
  <c r="AH39" i="19"/>
  <c r="AH40" i="19"/>
  <c r="AH21" i="19"/>
  <c r="AH35" i="19"/>
  <c r="AH50" i="19"/>
  <c r="AL25" i="19"/>
  <c r="AL45" i="19"/>
  <c r="AL65" i="19"/>
  <c r="AL22" i="19"/>
  <c r="AL43" i="19"/>
  <c r="AL64" i="19"/>
  <c r="AL23" i="19"/>
  <c r="AL44" i="19"/>
  <c r="AL66" i="19"/>
  <c r="AL29" i="19"/>
  <c r="AL52" i="19"/>
  <c r="AL31" i="19"/>
  <c r="AL54" i="19"/>
  <c r="AL20" i="19"/>
  <c r="AL48" i="19"/>
  <c r="AL21" i="19"/>
  <c r="AL49" i="19"/>
  <c r="AL24" i="19"/>
  <c r="AL50" i="19"/>
  <c r="AL26" i="19"/>
  <c r="AL51" i="19"/>
  <c r="AL27" i="19"/>
  <c r="AL53" i="19"/>
  <c r="AL37" i="19"/>
  <c r="AL38" i="19"/>
  <c r="AL42" i="19"/>
  <c r="AL39" i="19"/>
  <c r="AL40" i="19"/>
  <c r="AL41" i="19"/>
  <c r="AL46" i="19"/>
  <c r="AL18" i="19"/>
  <c r="AL58" i="19"/>
  <c r="AL19" i="19"/>
  <c r="AL59" i="19"/>
  <c r="AL32" i="19"/>
  <c r="AL47" i="19"/>
  <c r="AL33" i="19"/>
  <c r="AL34" i="19"/>
  <c r="AL57" i="19"/>
  <c r="AL60" i="19"/>
  <c r="AL28" i="19"/>
  <c r="AL35" i="19"/>
  <c r="AL67" i="19"/>
  <c r="AL14" i="19"/>
  <c r="AL16" i="19"/>
  <c r="AL36" i="19"/>
  <c r="AL56" i="19"/>
  <c r="AL15" i="19"/>
  <c r="AL17" i="19"/>
  <c r="AL55" i="19"/>
  <c r="AL61" i="19"/>
  <c r="AL68" i="19"/>
  <c r="AL62" i="19"/>
  <c r="AL63" i="19"/>
  <c r="AL30" i="19"/>
  <c r="BG39" i="19"/>
  <c r="BA25" i="19"/>
  <c r="BA30" i="19"/>
  <c r="BA50" i="19"/>
  <c r="BA31" i="19"/>
  <c r="BA51" i="19"/>
  <c r="BA32" i="19"/>
  <c r="BA52" i="19"/>
  <c r="BA33" i="19"/>
  <c r="BA53" i="19"/>
  <c r="BA37" i="19"/>
  <c r="BA61" i="19"/>
  <c r="BA38" i="19"/>
  <c r="BA62" i="19"/>
  <c r="BA14" i="19"/>
  <c r="BA39" i="19"/>
  <c r="BA63" i="19"/>
  <c r="BA16" i="19"/>
  <c r="BA17" i="19"/>
  <c r="BA42" i="19"/>
  <c r="BA66" i="19"/>
  <c r="BA15" i="19"/>
  <c r="BA40" i="19"/>
  <c r="BA64" i="19"/>
  <c r="BA41" i="19"/>
  <c r="BA65" i="19"/>
  <c r="BA18" i="19"/>
  <c r="BA43" i="19"/>
  <c r="BA67" i="19"/>
  <c r="BA23" i="19"/>
  <c r="BA48" i="19"/>
  <c r="BA24" i="19"/>
  <c r="BA49" i="19"/>
  <c r="BA56" i="19"/>
  <c r="BA57" i="19"/>
  <c r="BA60" i="19"/>
  <c r="BA22" i="19"/>
  <c r="BA28" i="19"/>
  <c r="BA29" i="19"/>
  <c r="BA58" i="19"/>
  <c r="BA21" i="19"/>
  <c r="BA44" i="19"/>
  <c r="BA19" i="19"/>
  <c r="BA59" i="19"/>
  <c r="BA27" i="19"/>
  <c r="BA20" i="19"/>
  <c r="BA54" i="19"/>
  <c r="BA68" i="19"/>
  <c r="BA26" i="19"/>
  <c r="BA36" i="19"/>
  <c r="BA45" i="19"/>
  <c r="BA47" i="19"/>
  <c r="BA46" i="19"/>
  <c r="BA34" i="19"/>
  <c r="BA35" i="19"/>
  <c r="BA55" i="19"/>
  <c r="BG48" i="19"/>
  <c r="AG20" i="19"/>
  <c r="AG40" i="19"/>
  <c r="AG60" i="19"/>
  <c r="AG23" i="19"/>
  <c r="AG44" i="19"/>
  <c r="AG65" i="19"/>
  <c r="AG24" i="19"/>
  <c r="AG45" i="19"/>
  <c r="AG66" i="19"/>
  <c r="AG25" i="19"/>
  <c r="AG46" i="19"/>
  <c r="AG67" i="19"/>
  <c r="AG35" i="19"/>
  <c r="AG59" i="19"/>
  <c r="AG37" i="19"/>
  <c r="AG62" i="19"/>
  <c r="AG27" i="19"/>
  <c r="AG53" i="19"/>
  <c r="AG28" i="19"/>
  <c r="AG54" i="19"/>
  <c r="AG29" i="19"/>
  <c r="AG55" i="19"/>
  <c r="AG30" i="19"/>
  <c r="AG56" i="19"/>
  <c r="AG31" i="19"/>
  <c r="AG57" i="19"/>
  <c r="AG15" i="19"/>
  <c r="AG21" i="19"/>
  <c r="AG63" i="19"/>
  <c r="AG22" i="19"/>
  <c r="AG64" i="19"/>
  <c r="AG26" i="19"/>
  <c r="AG68" i="19"/>
  <c r="AG34" i="19"/>
  <c r="AG32" i="19"/>
  <c r="AG33" i="19"/>
  <c r="AG36" i="19"/>
  <c r="AG43" i="19"/>
  <c r="AG47" i="19"/>
  <c r="AG42" i="19"/>
  <c r="AG19" i="19"/>
  <c r="AG48" i="19"/>
  <c r="AG49" i="19"/>
  <c r="AG17" i="19"/>
  <c r="AG18" i="19"/>
  <c r="AG38" i="19"/>
  <c r="AG39" i="19"/>
  <c r="AG50" i="19"/>
  <c r="AG51" i="19"/>
  <c r="AG58" i="19"/>
  <c r="AG16" i="19"/>
  <c r="AG52" i="19"/>
  <c r="AG61" i="19"/>
  <c r="AG14" i="19"/>
  <c r="AG41" i="19"/>
  <c r="BG16" i="19"/>
  <c r="BG44" i="19"/>
  <c r="BG28" i="19"/>
  <c r="BG49" i="19"/>
  <c r="BG20" i="19"/>
  <c r="BG35" i="19"/>
  <c r="BG25" i="19"/>
  <c r="BG58" i="19"/>
  <c r="BE30" i="19"/>
  <c r="BE50" i="19"/>
  <c r="BE32" i="19"/>
  <c r="BE52" i="19"/>
  <c r="BE31" i="19"/>
  <c r="BE54" i="19"/>
  <c r="BE33" i="19"/>
  <c r="BE55" i="19"/>
  <c r="BE34" i="19"/>
  <c r="BE56" i="19"/>
  <c r="BE37" i="19"/>
  <c r="BE59" i="19"/>
  <c r="BE35" i="19"/>
  <c r="BE57" i="19"/>
  <c r="BE14" i="19"/>
  <c r="BE36" i="19"/>
  <c r="BE58" i="19"/>
  <c r="BE15" i="19"/>
  <c r="BE16" i="19"/>
  <c r="BE38" i="19"/>
  <c r="BE60" i="19"/>
  <c r="BE21" i="19"/>
  <c r="BE43" i="19"/>
  <c r="BE65" i="19"/>
  <c r="BE22" i="19"/>
  <c r="BE44" i="19"/>
  <c r="BE66" i="19"/>
  <c r="BE48" i="19"/>
  <c r="BE49" i="19"/>
  <c r="BE19" i="19"/>
  <c r="BE63" i="19"/>
  <c r="BE64" i="19"/>
  <c r="BE68" i="19"/>
  <c r="BE40" i="19"/>
  <c r="BE46" i="19"/>
  <c r="BE61" i="19"/>
  <c r="BE20" i="19"/>
  <c r="BE17" i="19"/>
  <c r="BE51" i="19"/>
  <c r="BE62" i="19"/>
  <c r="BE25" i="19"/>
  <c r="BE27" i="19"/>
  <c r="BE41" i="19"/>
  <c r="BE18" i="19"/>
  <c r="BE53" i="19"/>
  <c r="BE45" i="19"/>
  <c r="BE23" i="19"/>
  <c r="BE67" i="19"/>
  <c r="BE26" i="19"/>
  <c r="BE42" i="19"/>
  <c r="BE24" i="19"/>
  <c r="BE39" i="19"/>
  <c r="BE28" i="19"/>
  <c r="BE29" i="19"/>
  <c r="BE47" i="19"/>
  <c r="BG43" i="19"/>
  <c r="BG22" i="19"/>
  <c r="BG57" i="19"/>
  <c r="AS24" i="19"/>
  <c r="AS44" i="19"/>
  <c r="AS64" i="19"/>
  <c r="AS25" i="19"/>
  <c r="AS45" i="19"/>
  <c r="AS65" i="19"/>
  <c r="AS28" i="19"/>
  <c r="AS50" i="19"/>
  <c r="AS32" i="19"/>
  <c r="AS55" i="19"/>
  <c r="AS33" i="19"/>
  <c r="AS56" i="19"/>
  <c r="AS34" i="19"/>
  <c r="AS57" i="19"/>
  <c r="AS35" i="19"/>
  <c r="AS58" i="19"/>
  <c r="AS39" i="19"/>
  <c r="AS68" i="19"/>
  <c r="AS40" i="19"/>
  <c r="AS46" i="19"/>
  <c r="AS14" i="19"/>
  <c r="AS41" i="19"/>
  <c r="AS17" i="19"/>
  <c r="AS15" i="19"/>
  <c r="AS42" i="19"/>
  <c r="AS16" i="19"/>
  <c r="AS43" i="19"/>
  <c r="AS18" i="19"/>
  <c r="AS47" i="19"/>
  <c r="AS23" i="19"/>
  <c r="AS53" i="19"/>
  <c r="AS26" i="19"/>
  <c r="AS54" i="19"/>
  <c r="AS52" i="19"/>
  <c r="AS21" i="19"/>
  <c r="AS31" i="19"/>
  <c r="AS59" i="19"/>
  <c r="AS60" i="19"/>
  <c r="AS20" i="19"/>
  <c r="AS27" i="19"/>
  <c r="AS36" i="19"/>
  <c r="AS37" i="19"/>
  <c r="AS49" i="19"/>
  <c r="AS61" i="19"/>
  <c r="AS62" i="19"/>
  <c r="AS66" i="19"/>
  <c r="AS67" i="19"/>
  <c r="AS63" i="19"/>
  <c r="AS19" i="19"/>
  <c r="AS22" i="19"/>
  <c r="AS38" i="19"/>
  <c r="AS48" i="19"/>
  <c r="AS29" i="19"/>
  <c r="AS30" i="19"/>
  <c r="AS51" i="19"/>
  <c r="AE29" i="19"/>
  <c r="AE49" i="19"/>
  <c r="AE30" i="19"/>
  <c r="AE50" i="19"/>
  <c r="AE24" i="19"/>
  <c r="AE46" i="19"/>
  <c r="AE68" i="19"/>
  <c r="AE25" i="19"/>
  <c r="AE47" i="19"/>
  <c r="AE26" i="19"/>
  <c r="AE48" i="19"/>
  <c r="AE18" i="19"/>
  <c r="AE43" i="19"/>
  <c r="AE20" i="19"/>
  <c r="AE45" i="19"/>
  <c r="AE22" i="19"/>
  <c r="AE54" i="19"/>
  <c r="AE23" i="19"/>
  <c r="AE55" i="19"/>
  <c r="AE27" i="19"/>
  <c r="AE56" i="19"/>
  <c r="AE28" i="19"/>
  <c r="AE57" i="19"/>
  <c r="AE31" i="19"/>
  <c r="AE58" i="19"/>
  <c r="AE39" i="19"/>
  <c r="AE66" i="19"/>
  <c r="AE53" i="19"/>
  <c r="AE14" i="19"/>
  <c r="AE59" i="19"/>
  <c r="AE19" i="19"/>
  <c r="AE15" i="19"/>
  <c r="AE60" i="19"/>
  <c r="AE63" i="19"/>
  <c r="AE16" i="19"/>
  <c r="AE61" i="19"/>
  <c r="AE17" i="19"/>
  <c r="AE62" i="19"/>
  <c r="AE21" i="19"/>
  <c r="AE64" i="19"/>
  <c r="AE36" i="19"/>
  <c r="AE37" i="19"/>
  <c r="AE65" i="19"/>
  <c r="AE41" i="19"/>
  <c r="AE40" i="19"/>
  <c r="AE32" i="19"/>
  <c r="AE35" i="19"/>
  <c r="AE33" i="19"/>
  <c r="AE38" i="19"/>
  <c r="AE67" i="19"/>
  <c r="AE34" i="19"/>
  <c r="AE51" i="19"/>
  <c r="AE52" i="19"/>
  <c r="AE42" i="19"/>
  <c r="AE44" i="19"/>
  <c r="BG68" i="19"/>
  <c r="K50" i="19"/>
  <c r="K51" i="19"/>
  <c r="I51" i="19" s="1"/>
  <c r="BG60" i="19"/>
  <c r="BG36" i="19"/>
  <c r="AY15" i="19"/>
  <c r="AY35" i="19"/>
  <c r="AY55" i="19"/>
  <c r="AY34" i="19"/>
  <c r="AY56" i="19"/>
  <c r="AY14" i="19"/>
  <c r="AY36" i="19"/>
  <c r="AY57" i="19"/>
  <c r="AY16" i="19"/>
  <c r="AY37" i="19"/>
  <c r="AY58" i="19"/>
  <c r="AY17" i="19"/>
  <c r="AY38" i="19"/>
  <c r="AY59" i="19"/>
  <c r="AY42" i="19"/>
  <c r="AY67" i="19"/>
  <c r="AY18" i="19"/>
  <c r="AY43" i="19"/>
  <c r="AY68" i="19"/>
  <c r="AY19" i="19"/>
  <c r="AY44" i="19"/>
  <c r="AY22" i="19"/>
  <c r="AY20" i="19"/>
  <c r="AY45" i="19"/>
  <c r="AY47" i="19"/>
  <c r="AY21" i="19"/>
  <c r="AY46" i="19"/>
  <c r="AY23" i="19"/>
  <c r="AY48" i="19"/>
  <c r="AY28" i="19"/>
  <c r="AY53" i="19"/>
  <c r="AY29" i="19"/>
  <c r="AY54" i="19"/>
  <c r="AY25" i="19"/>
  <c r="AY66" i="19"/>
  <c r="AY26" i="19"/>
  <c r="AY31" i="19"/>
  <c r="AY32" i="19"/>
  <c r="AY61" i="19"/>
  <c r="AY64" i="19"/>
  <c r="AY33" i="19"/>
  <c r="AY27" i="19"/>
  <c r="AY40" i="19"/>
  <c r="AY60" i="19"/>
  <c r="AY30" i="19"/>
  <c r="AY39" i="19"/>
  <c r="AY41" i="19"/>
  <c r="AY49" i="19"/>
  <c r="AY52" i="19"/>
  <c r="AY62" i="19"/>
  <c r="AY63" i="19"/>
  <c r="AY50" i="19"/>
  <c r="AY51" i="19"/>
  <c r="AY65" i="19"/>
  <c r="AY24" i="19"/>
  <c r="AK20" i="19"/>
  <c r="AK40" i="19"/>
  <c r="AK60" i="19"/>
  <c r="AK14" i="19"/>
  <c r="AK35" i="19"/>
  <c r="AK56" i="19"/>
  <c r="AK15" i="19"/>
  <c r="AK36" i="19"/>
  <c r="AK57" i="19"/>
  <c r="AK37" i="19"/>
  <c r="AK61" i="19"/>
  <c r="AK16" i="19"/>
  <c r="AK39" i="19"/>
  <c r="AK63" i="19"/>
  <c r="AK25" i="19"/>
  <c r="AK50" i="19"/>
  <c r="AK26" i="19"/>
  <c r="AK51" i="19"/>
  <c r="AK27" i="19"/>
  <c r="AK52" i="19"/>
  <c r="AK28" i="19"/>
  <c r="AK53" i="19"/>
  <c r="AK29" i="19"/>
  <c r="AK54" i="19"/>
  <c r="AK22" i="19"/>
  <c r="AK59" i="19"/>
  <c r="AK23" i="19"/>
  <c r="AK62" i="19"/>
  <c r="AK24" i="19"/>
  <c r="AK64" i="19"/>
  <c r="AK32" i="19"/>
  <c r="AK30" i="19"/>
  <c r="AK65" i="19"/>
  <c r="AK31" i="19"/>
  <c r="AK66" i="19"/>
  <c r="AK67" i="19"/>
  <c r="AK33" i="19"/>
  <c r="AK68" i="19"/>
  <c r="AK43" i="19"/>
  <c r="AK44" i="19"/>
  <c r="AK18" i="19"/>
  <c r="AK19" i="19"/>
  <c r="AK47" i="19"/>
  <c r="AK21" i="19"/>
  <c r="AK34" i="19"/>
  <c r="AK45" i="19"/>
  <c r="AK38" i="19"/>
  <c r="AK41" i="19"/>
  <c r="AK42" i="19"/>
  <c r="AK48" i="19"/>
  <c r="AK46" i="19"/>
  <c r="AK58" i="19"/>
  <c r="AK49" i="19"/>
  <c r="AK55" i="19"/>
  <c r="AK17" i="19"/>
  <c r="BB15" i="19"/>
  <c r="BB35" i="19"/>
  <c r="BB55" i="19"/>
  <c r="BB16" i="19"/>
  <c r="BB36" i="19"/>
  <c r="BB17" i="19"/>
  <c r="BB37" i="19"/>
  <c r="BB57" i="19"/>
  <c r="BB18" i="19"/>
  <c r="BB38" i="19"/>
  <c r="BB58" i="19"/>
  <c r="BB30" i="19"/>
  <c r="BB54" i="19"/>
  <c r="BB31" i="19"/>
  <c r="BB56" i="19"/>
  <c r="BB32" i="19"/>
  <c r="BB59" i="19"/>
  <c r="BB39" i="19"/>
  <c r="BB62" i="19"/>
  <c r="BB33" i="19"/>
  <c r="BB60" i="19"/>
  <c r="BB34" i="19"/>
  <c r="BB61" i="19"/>
  <c r="BB40" i="19"/>
  <c r="BB63" i="19"/>
  <c r="BB21" i="19"/>
  <c r="BB45" i="19"/>
  <c r="BB68" i="19"/>
  <c r="BB22" i="19"/>
  <c r="BB46" i="19"/>
  <c r="BB47" i="19"/>
  <c r="BB48" i="19"/>
  <c r="BB14" i="19"/>
  <c r="BB20" i="19"/>
  <c r="BB66" i="19"/>
  <c r="BB49" i="19"/>
  <c r="BB52" i="19"/>
  <c r="BB64" i="19"/>
  <c r="BB23" i="19"/>
  <c r="BB24" i="19"/>
  <c r="BB27" i="19"/>
  <c r="BB29" i="19"/>
  <c r="BB41" i="19"/>
  <c r="BB43" i="19"/>
  <c r="BB50" i="19"/>
  <c r="BB51" i="19"/>
  <c r="BB19" i="19"/>
  <c r="BB28" i="19"/>
  <c r="BB65" i="19"/>
  <c r="BB67" i="19"/>
  <c r="BB53" i="19"/>
  <c r="BB42" i="19"/>
  <c r="BB25" i="19"/>
  <c r="BB26" i="19"/>
  <c r="BB44" i="19"/>
  <c r="AQ14" i="19"/>
  <c r="AQ34" i="19"/>
  <c r="AQ54" i="19"/>
  <c r="AQ15" i="19"/>
  <c r="AQ35" i="19"/>
  <c r="AQ55" i="19"/>
  <c r="AQ26" i="19"/>
  <c r="AQ48" i="19"/>
  <c r="AQ24" i="19"/>
  <c r="AQ47" i="19"/>
  <c r="AQ25" i="19"/>
  <c r="AQ49" i="19"/>
  <c r="AQ27" i="19"/>
  <c r="AQ50" i="19"/>
  <c r="AQ28" i="19"/>
  <c r="AQ51" i="19"/>
  <c r="AQ29" i="19"/>
  <c r="AQ32" i="19"/>
  <c r="AQ61" i="19"/>
  <c r="AQ33" i="19"/>
  <c r="AQ62" i="19"/>
  <c r="AQ36" i="19"/>
  <c r="AQ63" i="19"/>
  <c r="AQ66" i="19"/>
  <c r="AQ37" i="19"/>
  <c r="AQ64" i="19"/>
  <c r="AQ38" i="19"/>
  <c r="AQ65" i="19"/>
  <c r="AQ39" i="19"/>
  <c r="AQ40" i="19"/>
  <c r="AQ67" i="19"/>
  <c r="AQ17" i="19"/>
  <c r="AQ45" i="19"/>
  <c r="AQ18" i="19"/>
  <c r="AQ46" i="19"/>
  <c r="AQ57" i="19"/>
  <c r="AQ58" i="19"/>
  <c r="AQ44" i="19"/>
  <c r="AQ16" i="19"/>
  <c r="AQ59" i="19"/>
  <c r="AQ52" i="19"/>
  <c r="AQ60" i="19"/>
  <c r="AQ68" i="19"/>
  <c r="AQ20" i="19"/>
  <c r="AQ21" i="19"/>
  <c r="AQ41" i="19"/>
  <c r="AQ42" i="19"/>
  <c r="AQ23" i="19"/>
  <c r="AQ19" i="19"/>
  <c r="AQ22" i="19"/>
  <c r="AQ43" i="19"/>
  <c r="AQ30" i="19"/>
  <c r="AQ31" i="19"/>
  <c r="AQ53" i="19"/>
  <c r="AQ56" i="19"/>
  <c r="BG62" i="19"/>
  <c r="BG61" i="19"/>
  <c r="BG63" i="19"/>
  <c r="BG46" i="19"/>
  <c r="BG23" i="19"/>
  <c r="BG65" i="19"/>
  <c r="BG38" i="19"/>
  <c r="BG37" i="19"/>
  <c r="BG21" i="19"/>
  <c r="BG24" i="19"/>
  <c r="BG41" i="19"/>
  <c r="AN15" i="19"/>
  <c r="AN35" i="19"/>
  <c r="AN18" i="19"/>
  <c r="AN39" i="19"/>
  <c r="AN59" i="19"/>
  <c r="AN19" i="19"/>
  <c r="AN40" i="19"/>
  <c r="AN60" i="19"/>
  <c r="AN34" i="19"/>
  <c r="AN57" i="19"/>
  <c r="AN37" i="19"/>
  <c r="AN61" i="19"/>
  <c r="AN16" i="19"/>
  <c r="AN43" i="19"/>
  <c r="AN67" i="19"/>
  <c r="AN17" i="19"/>
  <c r="AN44" i="19"/>
  <c r="AN68" i="19"/>
  <c r="AN20" i="19"/>
  <c r="AN45" i="19"/>
  <c r="AN21" i="19"/>
  <c r="AN46" i="19"/>
  <c r="AN22" i="19"/>
  <c r="AN47" i="19"/>
  <c r="AN30" i="19"/>
  <c r="AN64" i="19"/>
  <c r="AN31" i="19"/>
  <c r="AN65" i="19"/>
  <c r="AN32" i="19"/>
  <c r="AN66" i="19"/>
  <c r="AN38" i="19"/>
  <c r="AN33" i="19"/>
  <c r="AN36" i="19"/>
  <c r="AN41" i="19"/>
  <c r="AN51" i="19"/>
  <c r="AN14" i="19"/>
  <c r="AN52" i="19"/>
  <c r="AN49" i="19"/>
  <c r="AN50" i="19"/>
  <c r="AN58" i="19"/>
  <c r="AN29" i="19"/>
  <c r="AN53" i="19"/>
  <c r="AN55" i="19"/>
  <c r="AN56" i="19"/>
  <c r="AN62" i="19"/>
  <c r="AN25" i="19"/>
  <c r="AN26" i="19"/>
  <c r="AN27" i="19"/>
  <c r="AN42" i="19"/>
  <c r="AN54" i="19"/>
  <c r="AN63" i="19"/>
  <c r="AN28" i="19"/>
  <c r="AN23" i="19"/>
  <c r="AN24" i="19"/>
  <c r="AN48" i="19"/>
  <c r="BG26" i="19"/>
  <c r="BG15" i="19"/>
  <c r="BG17" i="19"/>
  <c r="BG14" i="19"/>
  <c r="BG55" i="19"/>
  <c r="BF15" i="19"/>
  <c r="BF35" i="19"/>
  <c r="BF17" i="19"/>
  <c r="BF37" i="19"/>
  <c r="BF57" i="19"/>
  <c r="BF21" i="19"/>
  <c r="BF43" i="19"/>
  <c r="BF64" i="19"/>
  <c r="BF22" i="19"/>
  <c r="BF44" i="19"/>
  <c r="BF65" i="19"/>
  <c r="BF23" i="19"/>
  <c r="BF45" i="19"/>
  <c r="BF66" i="19"/>
  <c r="BF68" i="19"/>
  <c r="BF48" i="19"/>
  <c r="BF24" i="19"/>
  <c r="BF46" i="19"/>
  <c r="BF67" i="19"/>
  <c r="BF25" i="19"/>
  <c r="BF26" i="19"/>
  <c r="BF47" i="19"/>
  <c r="BF27" i="19"/>
  <c r="BF49" i="19"/>
  <c r="BF32" i="19"/>
  <c r="BF54" i="19"/>
  <c r="BF33" i="19"/>
  <c r="BF55" i="19"/>
  <c r="BF36" i="19"/>
  <c r="BF38" i="19"/>
  <c r="BF41" i="19"/>
  <c r="BF42" i="19"/>
  <c r="BF14" i="19"/>
  <c r="BF62" i="19"/>
  <c r="BF19" i="19"/>
  <c r="BF39" i="19"/>
  <c r="BF51" i="19"/>
  <c r="BF52" i="19"/>
  <c r="BF20" i="19"/>
  <c r="BF63" i="19"/>
  <c r="BF40" i="19"/>
  <c r="BF50" i="19"/>
  <c r="BF56" i="19"/>
  <c r="BF28" i="19"/>
  <c r="BF60" i="19"/>
  <c r="BF53" i="19"/>
  <c r="BF61" i="19"/>
  <c r="BF29" i="19"/>
  <c r="BF30" i="19"/>
  <c r="BF16" i="19"/>
  <c r="BF58" i="19"/>
  <c r="BF18" i="19"/>
  <c r="BF59" i="19"/>
  <c r="BF31" i="19"/>
  <c r="BF34" i="19"/>
  <c r="BG56" i="19"/>
  <c r="BG29" i="19"/>
  <c r="AU14" i="19"/>
  <c r="AU34" i="19"/>
  <c r="AU54" i="19"/>
  <c r="AU15" i="19"/>
  <c r="AU35" i="19"/>
  <c r="AU28" i="19"/>
  <c r="AU50" i="19"/>
  <c r="AU16" i="19"/>
  <c r="AU39" i="19"/>
  <c r="AU61" i="19"/>
  <c r="AU17" i="19"/>
  <c r="AU40" i="19"/>
  <c r="AU62" i="19"/>
  <c r="AU18" i="19"/>
  <c r="AU41" i="19"/>
  <c r="AU63" i="19"/>
  <c r="AU19" i="19"/>
  <c r="AU42" i="19"/>
  <c r="AU64" i="19"/>
  <c r="AU46" i="19"/>
  <c r="AU20" i="19"/>
  <c r="AU47" i="19"/>
  <c r="AU21" i="19"/>
  <c r="AU48" i="19"/>
  <c r="AU52" i="19"/>
  <c r="AU22" i="19"/>
  <c r="AU49" i="19"/>
  <c r="AU23" i="19"/>
  <c r="AU51" i="19"/>
  <c r="AU24" i="19"/>
  <c r="AU25" i="19"/>
  <c r="AU53" i="19"/>
  <c r="AU31" i="19"/>
  <c r="AU59" i="19"/>
  <c r="AU32" i="19"/>
  <c r="AU60" i="19"/>
  <c r="AU44" i="19"/>
  <c r="AU45" i="19"/>
  <c r="AU58" i="19"/>
  <c r="AU66" i="19"/>
  <c r="AU67" i="19"/>
  <c r="AU57" i="19"/>
  <c r="AU55" i="19"/>
  <c r="AU33" i="19"/>
  <c r="AU56" i="19"/>
  <c r="AU65" i="19"/>
  <c r="AU29" i="19"/>
  <c r="AU68" i="19"/>
  <c r="AU30" i="19"/>
  <c r="AU36" i="19"/>
  <c r="AU37" i="19"/>
  <c r="AU26" i="19"/>
  <c r="AU27" i="19"/>
  <c r="AU38" i="19"/>
  <c r="AU43" i="19"/>
  <c r="BG53" i="19"/>
  <c r="BG59" i="19"/>
  <c r="BG30" i="19"/>
  <c r="BG42" i="19"/>
  <c r="I39" i="19"/>
  <c r="K38" i="19"/>
  <c r="AZ20" i="19"/>
  <c r="AZ40" i="19"/>
  <c r="AZ60" i="19"/>
  <c r="AZ22" i="19"/>
  <c r="AZ43" i="19"/>
  <c r="AZ64" i="19"/>
  <c r="AZ23" i="19"/>
  <c r="AZ44" i="19"/>
  <c r="AZ65" i="19"/>
  <c r="AZ24" i="19"/>
  <c r="AZ45" i="19"/>
  <c r="AZ66" i="19"/>
  <c r="AZ25" i="19"/>
  <c r="AZ46" i="19"/>
  <c r="AZ67" i="19"/>
  <c r="AZ37" i="19"/>
  <c r="AZ63" i="19"/>
  <c r="AZ38" i="19"/>
  <c r="AZ68" i="19"/>
  <c r="AZ14" i="19"/>
  <c r="AZ39" i="19"/>
  <c r="AZ47" i="19"/>
  <c r="AZ15" i="19"/>
  <c r="AZ41" i="19"/>
  <c r="AZ42" i="19"/>
  <c r="AZ16" i="19"/>
  <c r="AZ17" i="19"/>
  <c r="AZ18" i="19"/>
  <c r="AZ48" i="19"/>
  <c r="AZ28" i="19"/>
  <c r="AZ53" i="19"/>
  <c r="AZ29" i="19"/>
  <c r="AZ54" i="19"/>
  <c r="AZ59" i="19"/>
  <c r="AZ19" i="19"/>
  <c r="AZ27" i="19"/>
  <c r="AZ31" i="19"/>
  <c r="AZ61" i="19"/>
  <c r="AZ33" i="19"/>
  <c r="AZ21" i="19"/>
  <c r="AZ62" i="19"/>
  <c r="AZ52" i="19"/>
  <c r="AZ57" i="19"/>
  <c r="AZ26" i="19"/>
  <c r="AZ30" i="19"/>
  <c r="AZ35" i="19"/>
  <c r="AZ55" i="19"/>
  <c r="AZ56" i="19"/>
  <c r="AZ32" i="19"/>
  <c r="AZ34" i="19"/>
  <c r="AZ50" i="19"/>
  <c r="AZ51" i="19"/>
  <c r="AZ36" i="19"/>
  <c r="AZ49" i="19"/>
  <c r="AZ58" i="19"/>
  <c r="AV19" i="19"/>
  <c r="AV39" i="19"/>
  <c r="AV59" i="19"/>
  <c r="AV16" i="19"/>
  <c r="AV37" i="19"/>
  <c r="AV58" i="19"/>
  <c r="AV28" i="19"/>
  <c r="AV50" i="19"/>
  <c r="AV29" i="19"/>
  <c r="AV51" i="19"/>
  <c r="AV30" i="19"/>
  <c r="AV52" i="19"/>
  <c r="AV31" i="19"/>
  <c r="AV53" i="19"/>
  <c r="AV18" i="19"/>
  <c r="AV45" i="19"/>
  <c r="AV20" i="19"/>
  <c r="AV46" i="19"/>
  <c r="AV21" i="19"/>
  <c r="AV47" i="19"/>
  <c r="AV54" i="19"/>
  <c r="AV22" i="19"/>
  <c r="AV48" i="19"/>
  <c r="AV24" i="19"/>
  <c r="AV23" i="19"/>
  <c r="AV49" i="19"/>
  <c r="AV25" i="19"/>
  <c r="AV55" i="19"/>
  <c r="AV34" i="19"/>
  <c r="AV62" i="19"/>
  <c r="AV35" i="19"/>
  <c r="AV63" i="19"/>
  <c r="AV41" i="19"/>
  <c r="AV42" i="19"/>
  <c r="AV14" i="19"/>
  <c r="AV43" i="19"/>
  <c r="AV65" i="19"/>
  <c r="AV27" i="19"/>
  <c r="AV33" i="19"/>
  <c r="AV38" i="19"/>
  <c r="AV44" i="19"/>
  <c r="AV32" i="19"/>
  <c r="AV56" i="19"/>
  <c r="AV57" i="19"/>
  <c r="AV60" i="19"/>
  <c r="AV64" i="19"/>
  <c r="AV66" i="19"/>
  <c r="AV61" i="19"/>
  <c r="AV26" i="19"/>
  <c r="AV36" i="19"/>
  <c r="AV15" i="19"/>
  <c r="AV67" i="19"/>
  <c r="AV17" i="19"/>
  <c r="AV68" i="19"/>
  <c r="AV40" i="19"/>
  <c r="AI30" i="19"/>
  <c r="AI50" i="19"/>
  <c r="AI18" i="19"/>
  <c r="AI39" i="19"/>
  <c r="AI60" i="19"/>
  <c r="AI19" i="19"/>
  <c r="AI40" i="19"/>
  <c r="AI61" i="19"/>
  <c r="AI20" i="19"/>
  <c r="AI41" i="19"/>
  <c r="AI62" i="19"/>
  <c r="AI25" i="19"/>
  <c r="AI49" i="19"/>
  <c r="AI27" i="19"/>
  <c r="AI52" i="19"/>
  <c r="AI26" i="19"/>
  <c r="AI54" i="19"/>
  <c r="AI28" i="19"/>
  <c r="AI55" i="19"/>
  <c r="AI29" i="19"/>
  <c r="AI56" i="19"/>
  <c r="AI31" i="19"/>
  <c r="AI57" i="19"/>
  <c r="AI32" i="19"/>
  <c r="AI58" i="19"/>
  <c r="AI22" i="19"/>
  <c r="AI64" i="19"/>
  <c r="AI23" i="19"/>
  <c r="AI65" i="19"/>
  <c r="AI24" i="19"/>
  <c r="AI66" i="19"/>
  <c r="AI35" i="19"/>
  <c r="AI33" i="19"/>
  <c r="AI67" i="19"/>
  <c r="AI34" i="19"/>
  <c r="AI68" i="19"/>
  <c r="AI36" i="19"/>
  <c r="AI44" i="19"/>
  <c r="AI45" i="19"/>
  <c r="AI63" i="19"/>
  <c r="AI15" i="19"/>
  <c r="AI16" i="19"/>
  <c r="AI37" i="19"/>
  <c r="AI43" i="19"/>
  <c r="AI46" i="19"/>
  <c r="AI17" i="19"/>
  <c r="AI48" i="19"/>
  <c r="AI14" i="19"/>
  <c r="AI21" i="19"/>
  <c r="AI51" i="19"/>
  <c r="AI47" i="19"/>
  <c r="AI53" i="19"/>
  <c r="AI38" i="19"/>
  <c r="AI42" i="19"/>
  <c r="AI59" i="19"/>
  <c r="AP29" i="19"/>
  <c r="AP49" i="19"/>
  <c r="AP30" i="19"/>
  <c r="AP50" i="19"/>
  <c r="AP15" i="19"/>
  <c r="AP37" i="19"/>
  <c r="AP59" i="19"/>
  <c r="AP17" i="19"/>
  <c r="AP39" i="19"/>
  <c r="AP61" i="19"/>
  <c r="AP31" i="19"/>
  <c r="AP55" i="19"/>
  <c r="AP32" i="19"/>
  <c r="AP56" i="19"/>
  <c r="AP33" i="19"/>
  <c r="AP57" i="19"/>
  <c r="AP34" i="19"/>
  <c r="AP58" i="19"/>
  <c r="AP35" i="19"/>
  <c r="AP60" i="19"/>
  <c r="AP21" i="19"/>
  <c r="AP52" i="19"/>
  <c r="AP22" i="19"/>
  <c r="AP53" i="19"/>
  <c r="AP23" i="19"/>
  <c r="AP54" i="19"/>
  <c r="AP26" i="19"/>
  <c r="AP64" i="19"/>
  <c r="AP24" i="19"/>
  <c r="AP62" i="19"/>
  <c r="AP25" i="19"/>
  <c r="AP63" i="19"/>
  <c r="AP27" i="19"/>
  <c r="AP65" i="19"/>
  <c r="AP41" i="19"/>
  <c r="AP42" i="19"/>
  <c r="AP48" i="19"/>
  <c r="AP51" i="19"/>
  <c r="AP68" i="19"/>
  <c r="AP18" i="19"/>
  <c r="AP20" i="19"/>
  <c r="AP43" i="19"/>
  <c r="AP66" i="19"/>
  <c r="AP40" i="19"/>
  <c r="AP46" i="19"/>
  <c r="AP67" i="19"/>
  <c r="AP45" i="19"/>
  <c r="AP19" i="19"/>
  <c r="AP14" i="19"/>
  <c r="AP16" i="19"/>
  <c r="AP38" i="19"/>
  <c r="AP44" i="19"/>
  <c r="AP28" i="19"/>
  <c r="AP36" i="19"/>
  <c r="AP47" i="19"/>
  <c r="BC20" i="19"/>
  <c r="BC40" i="19"/>
  <c r="BC60" i="19"/>
  <c r="BC22" i="19"/>
  <c r="BC42" i="19"/>
  <c r="BC62" i="19"/>
  <c r="BC23" i="19"/>
  <c r="BC43" i="19"/>
  <c r="BC63" i="19"/>
  <c r="BC25" i="19"/>
  <c r="BC48" i="19"/>
  <c r="BC26" i="19"/>
  <c r="BC49" i="19"/>
  <c r="BC27" i="19"/>
  <c r="BC50" i="19"/>
  <c r="BC53" i="19"/>
  <c r="BC28" i="19"/>
  <c r="BC51" i="19"/>
  <c r="BC30" i="19"/>
  <c r="BC29" i="19"/>
  <c r="BC52" i="19"/>
  <c r="BC31" i="19"/>
  <c r="BC54" i="19"/>
  <c r="BC36" i="19"/>
  <c r="BC59" i="19"/>
  <c r="BC14" i="19"/>
  <c r="BC37" i="19"/>
  <c r="BC61" i="19"/>
  <c r="BC34" i="19"/>
  <c r="BC35" i="19"/>
  <c r="BC41" i="19"/>
  <c r="BC44" i="19"/>
  <c r="BC64" i="19"/>
  <c r="BC24" i="19"/>
  <c r="BC46" i="19"/>
  <c r="BC38" i="19"/>
  <c r="BC45" i="19"/>
  <c r="BC47" i="19"/>
  <c r="BC18" i="19"/>
  <c r="BC65" i="19"/>
  <c r="BC32" i="19"/>
  <c r="BC39" i="19"/>
  <c r="BC17" i="19"/>
  <c r="BC19" i="19"/>
  <c r="BC55" i="19"/>
  <c r="BC56" i="19"/>
  <c r="BC66" i="19"/>
  <c r="BC21" i="19"/>
  <c r="BC67" i="19"/>
  <c r="BC68" i="19"/>
  <c r="BC15" i="19"/>
  <c r="BC57" i="19"/>
  <c r="BC16" i="19"/>
  <c r="BC58" i="19"/>
  <c r="BC33" i="19"/>
  <c r="BG50" i="19"/>
  <c r="BG47" i="19"/>
  <c r="AS8" i="19"/>
  <c r="Y26" i="22"/>
  <c r="X24" i="22"/>
  <c r="AC24" i="22"/>
  <c r="Q53" i="21"/>
  <c r="R53" i="21" s="1"/>
  <c r="Q54" i="21"/>
  <c r="R54" i="21" s="1"/>
  <c r="S54" i="21" s="1"/>
  <c r="T54" i="21" s="1"/>
  <c r="S53" i="21"/>
  <c r="T53" i="21" s="1"/>
  <c r="AD47" i="21"/>
  <c r="AD46" i="21"/>
  <c r="AC46" i="21"/>
  <c r="AB52" i="21"/>
  <c r="AC52" i="21" s="1"/>
  <c r="V52" i="21"/>
  <c r="W47" i="21"/>
  <c r="X47" i="21" s="1"/>
  <c r="W48" i="21" s="1"/>
  <c r="AH46" i="21"/>
  <c r="AQ68" i="21"/>
  <c r="AQ69" i="21" s="1"/>
  <c r="R69" i="21"/>
  <c r="Y69" i="21"/>
  <c r="W69" i="21" s="1"/>
  <c r="T26" i="22"/>
  <c r="M68" i="21" a="1"/>
  <c r="R27" i="22"/>
  <c r="I38" i="19" l="1"/>
  <c r="H38" i="19"/>
  <c r="H39" i="19" s="1"/>
  <c r="H40" i="19" s="1"/>
  <c r="H41" i="19" s="1"/>
  <c r="H42" i="19" s="1"/>
  <c r="H43" i="19" s="1"/>
  <c r="H44" i="19" s="1"/>
  <c r="I50" i="19"/>
  <c r="K49" i="19"/>
  <c r="Q28" i="22"/>
  <c r="S27" i="22"/>
  <c r="V26" i="22"/>
  <c r="X26" i="22" s="1"/>
  <c r="M68" i="21"/>
  <c r="R48" i="21"/>
  <c r="AI52" i="21"/>
  <c r="X52" i="21"/>
  <c r="AH52" i="21" s="1"/>
  <c r="V53" i="21"/>
  <c r="AB53" i="21"/>
  <c r="AC53" i="21" s="1"/>
  <c r="AE46" i="21"/>
  <c r="AE47" i="21"/>
  <c r="AB54" i="21"/>
  <c r="AC54" i="21" s="1"/>
  <c r="V54" i="21"/>
  <c r="R28" i="22"/>
  <c r="L28" i="22"/>
  <c r="M27" i="22"/>
  <c r="I49" i="19" l="1"/>
  <c r="K48" i="19"/>
  <c r="Y27" i="22"/>
  <c r="AB26" i="22"/>
  <c r="AC26" i="22"/>
  <c r="Q31" i="22"/>
  <c r="S28" i="22"/>
  <c r="AI54" i="21"/>
  <c r="X54" i="21"/>
  <c r="AH54" i="21" s="1"/>
  <c r="Q49" i="21"/>
  <c r="R49" i="21" s="1"/>
  <c r="S48" i="21"/>
  <c r="AI53" i="21"/>
  <c r="X53" i="21"/>
  <c r="AH53" i="21" s="1"/>
  <c r="Q71" i="21"/>
  <c r="R71" i="21"/>
  <c r="Y71" i="21"/>
  <c r="M70" i="21" a="1"/>
  <c r="T27" i="22"/>
  <c r="M28" i="22"/>
  <c r="L70" i="21" a="1"/>
  <c r="I48" i="19" l="1"/>
  <c r="K47" i="19"/>
  <c r="V27" i="22"/>
  <c r="AC27" i="22" s="1"/>
  <c r="Y28" i="22"/>
  <c r="L70" i="21"/>
  <c r="M70" i="21"/>
  <c r="T48" i="21"/>
  <c r="V48" i="21" s="1"/>
  <c r="AB48" i="21"/>
  <c r="Q56" i="21"/>
  <c r="R56" i="21" s="1"/>
  <c r="S49" i="21"/>
  <c r="S71" i="21"/>
  <c r="T71" i="21" s="1"/>
  <c r="L31" i="22"/>
  <c r="T28" i="22"/>
  <c r="I47" i="19" l="1"/>
  <c r="K46" i="19"/>
  <c r="X27" i="22"/>
  <c r="AB27" i="22"/>
  <c r="V28" i="22"/>
  <c r="AD48" i="21"/>
  <c r="AE48" i="21" s="1"/>
  <c r="AC48" i="21"/>
  <c r="V71" i="21"/>
  <c r="AI71" i="21" s="1"/>
  <c r="AB71" i="21"/>
  <c r="AC71" i="21" s="1"/>
  <c r="AI48" i="21"/>
  <c r="X48" i="21"/>
  <c r="AH48" i="21" s="1"/>
  <c r="AB49" i="21"/>
  <c r="T49" i="21"/>
  <c r="V49" i="21" s="1"/>
  <c r="S56" i="21"/>
  <c r="Q69" i="21"/>
  <c r="Q73" i="21"/>
  <c r="AF73" i="21"/>
  <c r="AQ74" i="21"/>
  <c r="AQ75" i="21" s="1"/>
  <c r="AQ76" i="21" s="1"/>
  <c r="AQ77" i="21" s="1"/>
  <c r="AQ78" i="21" s="1"/>
  <c r="AR78" i="21" s="1"/>
  <c r="Q75" i="21"/>
  <c r="Y75" i="21"/>
  <c r="Y76" i="21" s="1"/>
  <c r="R77" i="21"/>
  <c r="R75" i="21" s="1"/>
  <c r="R79" i="21"/>
  <c r="Q80" i="21" s="1"/>
  <c r="Z81" i="21"/>
  <c r="R89" i="21"/>
  <c r="Y89" i="21"/>
  <c r="W89" i="21" s="1"/>
  <c r="AQ89" i="21"/>
  <c r="L68" i="21" a="1"/>
  <c r="L72" i="21" a="1"/>
  <c r="I46" i="19" l="1"/>
  <c r="K45" i="19"/>
  <c r="AB28" i="22"/>
  <c r="AC28" i="22"/>
  <c r="X28" i="22"/>
  <c r="S75" i="21"/>
  <c r="AA75" i="21" s="1"/>
  <c r="Y80" i="21"/>
  <c r="W75" i="21"/>
  <c r="L72" i="21"/>
  <c r="L68" i="21"/>
  <c r="T75" i="21"/>
  <c r="V75" i="21" s="1"/>
  <c r="AI75" i="21" s="1"/>
  <c r="AI49" i="21"/>
  <c r="X49" i="21"/>
  <c r="AH49" i="21" s="1"/>
  <c r="S69" i="21"/>
  <c r="AC49" i="21"/>
  <c r="AE49" i="21" s="1"/>
  <c r="AD49" i="21"/>
  <c r="T56" i="21"/>
  <c r="V56" i="21" s="1"/>
  <c r="AB56" i="21"/>
  <c r="I45" i="19" l="1"/>
  <c r="H45" i="19"/>
  <c r="H46" i="19" s="1"/>
  <c r="H47" i="19" s="1"/>
  <c r="H48" i="19" s="1"/>
  <c r="H49" i="19" s="1"/>
  <c r="H50" i="19" s="1"/>
  <c r="H51" i="19" s="1"/>
  <c r="AB75" i="21"/>
  <c r="AD75" i="21" s="1"/>
  <c r="AC75" i="21"/>
  <c r="AC56" i="21"/>
  <c r="AD56" i="21"/>
  <c r="AA69" i="21"/>
  <c r="T69" i="21"/>
  <c r="V69" i="21" s="1"/>
  <c r="X75" i="21"/>
  <c r="AI56" i="21"/>
  <c r="X56" i="21"/>
  <c r="AH56" i="21" s="1"/>
  <c r="Q91" i="21"/>
  <c r="Y92" i="21"/>
  <c r="W92" i="21" s="1"/>
  <c r="AQ92" i="21"/>
  <c r="AQ93" i="21" s="1"/>
  <c r="AQ94" i="21" s="1"/>
  <c r="AQ95" i="21" s="1"/>
  <c r="AQ96" i="21" s="1"/>
  <c r="Y93" i="21"/>
  <c r="W93" i="21" s="1"/>
  <c r="Y94" i="21"/>
  <c r="W94" i="21" s="1"/>
  <c r="Y95" i="21"/>
  <c r="W95" i="21" s="1"/>
  <c r="Y96" i="21"/>
  <c r="W96" i="21" s="1"/>
  <c r="L90" i="21" a="1"/>
  <c r="Z96" i="21" l="1"/>
  <c r="L90" i="21"/>
  <c r="AH75" i="21"/>
  <c r="W80" i="21"/>
  <c r="AE56" i="21"/>
  <c r="AB57" i="21"/>
  <c r="AI69" i="21"/>
  <c r="X69" i="21"/>
  <c r="AB69" i="21"/>
  <c r="AD69" i="21" s="1"/>
  <c r="AC69" i="21"/>
  <c r="AH69" i="21" l="1"/>
  <c r="W71" i="21"/>
  <c r="X71" i="21" s="1"/>
  <c r="R80" i="21"/>
  <c r="S80" i="21" s="1"/>
  <c r="V97" i="21"/>
  <c r="W97" i="21" s="1"/>
  <c r="Z97" i="21"/>
  <c r="AB97" i="21"/>
  <c r="Q100" i="21"/>
  <c r="R100" i="21"/>
  <c r="Y100" i="21"/>
  <c r="W100" i="21" s="1"/>
  <c r="AQ100" i="21"/>
  <c r="AQ103" i="21" s="1"/>
  <c r="AQ104" i="21" s="1"/>
  <c r="AQ105" i="21" s="1"/>
  <c r="AQ106" i="21" s="1"/>
  <c r="AQ107" i="21" s="1"/>
  <c r="Q102" i="21"/>
  <c r="Y103" i="21"/>
  <c r="W103" i="21" s="1"/>
  <c r="Y104" i="21"/>
  <c r="W104" i="21" s="1"/>
  <c r="AC104" i="21" s="1"/>
  <c r="AD104" i="21" s="1"/>
  <c r="Y105" i="21"/>
  <c r="W105" i="21" s="1"/>
  <c r="Y106" i="21"/>
  <c r="W106" i="21" s="1"/>
  <c r="W107" i="21"/>
  <c r="Y107" i="21"/>
  <c r="W109" i="21"/>
  <c r="Y109" i="21" s="1"/>
  <c r="O129" i="21"/>
  <c r="R129" i="21"/>
  <c r="Y129" i="21"/>
  <c r="Q136" i="21"/>
  <c r="AI136" i="21"/>
  <c r="L137" i="21"/>
  <c r="O137" i="21"/>
  <c r="Y137" i="21"/>
  <c r="L138" i="21"/>
  <c r="O138" i="21"/>
  <c r="Y138" i="21"/>
  <c r="W138" i="21" s="1"/>
  <c r="L139" i="21"/>
  <c r="O139" i="21"/>
  <c r="Y139" i="21"/>
  <c r="L140" i="21"/>
  <c r="O140" i="21"/>
  <c r="Y140" i="21"/>
  <c r="W140" i="21" s="1"/>
  <c r="L141" i="21"/>
  <c r="O141" i="21"/>
  <c r="Y141" i="21"/>
  <c r="L142" i="21"/>
  <c r="O142" i="21"/>
  <c r="Y142" i="21"/>
  <c r="W142" i="21" s="1"/>
  <c r="L143" i="21"/>
  <c r="O143" i="21"/>
  <c r="Y143" i="21"/>
  <c r="L145" i="21"/>
  <c r="O145" i="21"/>
  <c r="R145" i="21"/>
  <c r="Y145" i="21"/>
  <c r="W145" i="21" s="1"/>
  <c r="Q147" i="21"/>
  <c r="Q171" i="21" s="1"/>
  <c r="L148" i="21"/>
  <c r="O148" i="21"/>
  <c r="Y148" i="21"/>
  <c r="W148" i="21" s="1"/>
  <c r="L149" i="21"/>
  <c r="O149" i="21"/>
  <c r="Y149" i="21"/>
  <c r="W149" i="21" s="1"/>
  <c r="L151" i="21"/>
  <c r="O151" i="21"/>
  <c r="Y151" i="21"/>
  <c r="W151" i="21" s="1"/>
  <c r="L152" i="21"/>
  <c r="O152" i="21"/>
  <c r="Y152" i="21"/>
  <c r="W152" i="21" s="1"/>
  <c r="L153" i="21"/>
  <c r="O153" i="21"/>
  <c r="Y153" i="21"/>
  <c r="W153" i="21" s="1"/>
  <c r="L154" i="21"/>
  <c r="O154" i="21"/>
  <c r="Y154" i="21"/>
  <c r="W154" i="21" s="1"/>
  <c r="L155" i="21"/>
  <c r="O155" i="21"/>
  <c r="Y155" i="21"/>
  <c r="W155" i="21" s="1"/>
  <c r="L156" i="21"/>
  <c r="O156" i="21"/>
  <c r="Y156" i="21"/>
  <c r="W156" i="21" s="1"/>
  <c r="O157" i="21"/>
  <c r="Q157" i="21"/>
  <c r="Y157" i="21"/>
  <c r="W157" i="21" s="1"/>
  <c r="AN158" i="21"/>
  <c r="M162" i="21"/>
  <c r="P162" i="21" s="1"/>
  <c r="S163" i="21"/>
  <c r="T163" i="21"/>
  <c r="U163" i="21"/>
  <c r="O168" i="21"/>
  <c r="P168" i="21"/>
  <c r="R168" i="21"/>
  <c r="AA168" i="21"/>
  <c r="W168" i="21" s="1"/>
  <c r="AH168" i="21"/>
  <c r="AR168" i="21"/>
  <c r="Q169" i="21"/>
  <c r="R170" i="21"/>
  <c r="R169" i="21" s="1"/>
  <c r="O172" i="21"/>
  <c r="P172" i="21"/>
  <c r="AA172" i="21"/>
  <c r="W172" i="21" s="1"/>
  <c r="AH172" i="21"/>
  <c r="P173" i="21"/>
  <c r="O175" i="21"/>
  <c r="P175" i="21"/>
  <c r="AA175" i="21"/>
  <c r="W175" i="21" s="1"/>
  <c r="AH175" i="21"/>
  <c r="O176" i="21"/>
  <c r="P176" i="21"/>
  <c r="AA176" i="21"/>
  <c r="W176" i="21" s="1"/>
  <c r="AH176" i="21"/>
  <c r="O177" i="21"/>
  <c r="P177" i="21"/>
  <c r="AA177" i="21"/>
  <c r="W177" i="21" s="1"/>
  <c r="AH177" i="21"/>
  <c r="O178" i="21"/>
  <c r="P178" i="21"/>
  <c r="AA178" i="21"/>
  <c r="W178" i="21" s="1"/>
  <c r="AH178" i="21"/>
  <c r="O179" i="21"/>
  <c r="P179" i="21"/>
  <c r="AA179" i="21"/>
  <c r="W179" i="21" s="1"/>
  <c r="AH179" i="21"/>
  <c r="O180" i="21"/>
  <c r="P180" i="21"/>
  <c r="AA180" i="21"/>
  <c r="W180" i="21" s="1"/>
  <c r="AH180" i="21"/>
  <c r="O181" i="21"/>
  <c r="P181" i="21"/>
  <c r="AA181" i="21"/>
  <c r="W181" i="21" s="1"/>
  <c r="AH181" i="21"/>
  <c r="O182" i="21"/>
  <c r="P182" i="21"/>
  <c r="AA182" i="21"/>
  <c r="W182" i="21" s="1"/>
  <c r="AH182" i="21"/>
  <c r="O183" i="21"/>
  <c r="P183" i="21"/>
  <c r="AA183" i="21"/>
  <c r="W183" i="21" s="1"/>
  <c r="AH183" i="21"/>
  <c r="O184" i="21"/>
  <c r="P184" i="21"/>
  <c r="AA184" i="21"/>
  <c r="W184" i="21" s="1"/>
  <c r="AH184" i="21"/>
  <c r="O185" i="21"/>
  <c r="P185" i="21"/>
  <c r="AA185" i="21"/>
  <c r="W185" i="21" s="1"/>
  <c r="AH185" i="21"/>
  <c r="O186" i="21"/>
  <c r="P186" i="21"/>
  <c r="AA186" i="21"/>
  <c r="W186" i="21" s="1"/>
  <c r="AH186" i="21"/>
  <c r="O187" i="21"/>
  <c r="P187" i="21"/>
  <c r="AA187" i="21"/>
  <c r="W187" i="21" s="1"/>
  <c r="AH187" i="21"/>
  <c r="O188" i="21"/>
  <c r="P188" i="21"/>
  <c r="AA188" i="21"/>
  <c r="W188" i="21" s="1"/>
  <c r="AH188" i="21"/>
  <c r="O189" i="21"/>
  <c r="P189" i="21"/>
  <c r="AA189" i="21"/>
  <c r="W189" i="21" s="1"/>
  <c r="AH189" i="21"/>
  <c r="O190" i="21"/>
  <c r="P190" i="21"/>
  <c r="AA190" i="21"/>
  <c r="W190" i="21" s="1"/>
  <c r="AH190" i="21"/>
  <c r="O191" i="21"/>
  <c r="P191" i="21"/>
  <c r="AA191" i="21"/>
  <c r="W191" i="21" s="1"/>
  <c r="AH191" i="21"/>
  <c r="O192" i="21"/>
  <c r="P192" i="21"/>
  <c r="AA192" i="21"/>
  <c r="W192" i="21" s="1"/>
  <c r="AH192" i="21"/>
  <c r="O193" i="21"/>
  <c r="P193" i="21"/>
  <c r="AA193" i="21"/>
  <c r="W193" i="21" s="1"/>
  <c r="AH193" i="21"/>
  <c r="O194" i="21"/>
  <c r="P194" i="21"/>
  <c r="Q194" i="21"/>
  <c r="AA194" i="21"/>
  <c r="W194" i="21" s="1"/>
  <c r="AH194" i="21"/>
  <c r="O195" i="21"/>
  <c r="P195" i="21"/>
  <c r="AA195" i="21"/>
  <c r="W195" i="21" s="1"/>
  <c r="AH195" i="21"/>
  <c r="O196" i="21"/>
  <c r="P196" i="21"/>
  <c r="AA196" i="21"/>
  <c r="W196" i="21" s="1"/>
  <c r="AH196" i="21"/>
  <c r="P197" i="21"/>
  <c r="AQ198" i="21"/>
  <c r="AH199" i="21"/>
  <c r="AQ199" i="21"/>
  <c r="AR199" i="21" s="1"/>
  <c r="AA200" i="21"/>
  <c r="AH200" i="21"/>
  <c r="AJ200" i="21"/>
  <c r="AK200" i="21"/>
  <c r="AQ200" i="21"/>
  <c r="O201" i="21"/>
  <c r="P201" i="21"/>
  <c r="AA201" i="21"/>
  <c r="W201" i="21" s="1"/>
  <c r="AH201" i="21"/>
  <c r="AQ201" i="21"/>
  <c r="O202" i="21"/>
  <c r="P202" i="21"/>
  <c r="AA202" i="21"/>
  <c r="W202" i="21" s="1"/>
  <c r="AH202" i="21"/>
  <c r="O203" i="21"/>
  <c r="P203" i="21"/>
  <c r="AA203" i="21"/>
  <c r="W203" i="21" s="1"/>
  <c r="AH203" i="21"/>
  <c r="AC204" i="21"/>
  <c r="AB206" i="21"/>
  <c r="O218" i="21"/>
  <c r="P218" i="21"/>
  <c r="AH218" i="21"/>
  <c r="AR218" i="21"/>
  <c r="AA218" i="21" s="1"/>
  <c r="W218" i="21" s="1"/>
  <c r="AT218" i="21"/>
  <c r="O219" i="21"/>
  <c r="P219" i="21"/>
  <c r="Q219" i="21"/>
  <c r="R219" i="21"/>
  <c r="AH219" i="21"/>
  <c r="AR219" i="21"/>
  <c r="AA219" i="21" s="1"/>
  <c r="W219" i="21" s="1"/>
  <c r="AT219" i="21"/>
  <c r="O220" i="21"/>
  <c r="P220" i="21"/>
  <c r="AH220" i="21"/>
  <c r="AR220" i="21"/>
  <c r="AA220" i="21" s="1"/>
  <c r="W220" i="21" s="1"/>
  <c r="AT220" i="21"/>
  <c r="O221" i="21"/>
  <c r="P221" i="21"/>
  <c r="AH221" i="21"/>
  <c r="AR221" i="21"/>
  <c r="AA221" i="21" s="1"/>
  <c r="W221" i="21" s="1"/>
  <c r="AT221" i="21"/>
  <c r="O222" i="21"/>
  <c r="P222" i="21"/>
  <c r="Q222" i="21"/>
  <c r="R222" i="21"/>
  <c r="AH222" i="21"/>
  <c r="AR222" i="21"/>
  <c r="AA222" i="21" s="1"/>
  <c r="W222" i="21" s="1"/>
  <c r="AT222" i="21"/>
  <c r="Q223" i="21"/>
  <c r="R223" i="21"/>
  <c r="P224" i="21"/>
  <c r="L225" i="21"/>
  <c r="O225" i="21"/>
  <c r="P225" i="21"/>
  <c r="AA225" i="21"/>
  <c r="W225" i="21" s="1"/>
  <c r="AH225" i="21"/>
  <c r="AR225" i="21"/>
  <c r="AT225" i="21"/>
  <c r="AE226" i="21"/>
  <c r="AR227" i="21"/>
  <c r="A228" i="21"/>
  <c r="A229" i="21" s="1"/>
  <c r="AC228" i="21"/>
  <c r="AR228" i="21"/>
  <c r="AR229" i="21"/>
  <c r="AR230" i="21"/>
  <c r="M231" i="21"/>
  <c r="M230" i="21" s="1"/>
  <c r="M229" i="21" s="1"/>
  <c r="M228" i="21" s="1"/>
  <c r="M227" i="21" s="1"/>
  <c r="AC231" i="21"/>
  <c r="AD231" i="21"/>
  <c r="AN231" i="21"/>
  <c r="AS231" i="21"/>
  <c r="L234" i="21"/>
  <c r="W234" i="21"/>
  <c r="L235" i="21"/>
  <c r="W235" i="21"/>
  <c r="L236" i="21"/>
  <c r="W236" i="21"/>
  <c r="L237" i="21"/>
  <c r="W237" i="21"/>
  <c r="L238" i="21"/>
  <c r="W238" i="21"/>
  <c r="L239" i="21"/>
  <c r="W239" i="21"/>
  <c r="L240" i="21"/>
  <c r="W240" i="21"/>
  <c r="L241" i="21"/>
  <c r="W241" i="21"/>
  <c r="L242" i="21"/>
  <c r="W242" i="21"/>
  <c r="L243" i="21"/>
  <c r="W243" i="21"/>
  <c r="L244" i="21"/>
  <c r="W244" i="21"/>
  <c r="L245" i="21"/>
  <c r="W245" i="21"/>
  <c r="O249" i="21"/>
  <c r="P249" i="21"/>
  <c r="Q249" i="21"/>
  <c r="W249" i="21"/>
  <c r="R249" i="21" s="1"/>
  <c r="S249" i="21" s="1"/>
  <c r="V257" i="21"/>
  <c r="Y257" i="21" s="1"/>
  <c r="L275" i="21"/>
  <c r="L276" i="21" s="1"/>
  <c r="M276" i="21"/>
  <c r="O281" i="21"/>
  <c r="P281" i="21"/>
  <c r="R281" i="21"/>
  <c r="T281" i="21"/>
  <c r="V281" i="21" s="1"/>
  <c r="AA281" i="21"/>
  <c r="W281" i="21" s="1"/>
  <c r="AH281" i="21"/>
  <c r="AK281" i="21"/>
  <c r="AD281" i="21" s="1"/>
  <c r="P282" i="21"/>
  <c r="Q282" i="21"/>
  <c r="L283" i="21"/>
  <c r="O283" i="21"/>
  <c r="P283" i="21"/>
  <c r="AA283" i="21"/>
  <c r="W283" i="21" s="1"/>
  <c r="L284" i="21"/>
  <c r="O284" i="21"/>
  <c r="P284" i="21"/>
  <c r="AA284" i="21"/>
  <c r="W284" i="21" s="1"/>
  <c r="L285" i="21"/>
  <c r="O285" i="21"/>
  <c r="P285" i="21"/>
  <c r="AA285" i="21"/>
  <c r="W285" i="21" s="1"/>
  <c r="O289" i="21"/>
  <c r="P289" i="21"/>
  <c r="Q289" i="21"/>
  <c r="R289" i="21"/>
  <c r="T289" i="21"/>
  <c r="V289" i="21" s="1"/>
  <c r="AK289" i="21" s="1"/>
  <c r="AC289" i="21" s="1"/>
  <c r="AA289" i="21"/>
  <c r="W289" i="21" s="1"/>
  <c r="L290" i="21"/>
  <c r="P290" i="21"/>
  <c r="O292" i="21"/>
  <c r="P292" i="21"/>
  <c r="AA292" i="21"/>
  <c r="W292" i="21" s="1"/>
  <c r="AH292" i="21"/>
  <c r="O293" i="21"/>
  <c r="P293" i="21"/>
  <c r="Q293" i="21"/>
  <c r="T293" i="21"/>
  <c r="V293" i="21" s="1"/>
  <c r="AA293" i="21"/>
  <c r="W293" i="21" s="1"/>
  <c r="AH293" i="21"/>
  <c r="AE294" i="21"/>
  <c r="AF294" i="21"/>
  <c r="P295" i="21"/>
  <c r="Q295" i="21"/>
  <c r="L296" i="21"/>
  <c r="O296" i="21"/>
  <c r="P296" i="21"/>
  <c r="AA296" i="21"/>
  <c r="W296" i="21" s="1"/>
  <c r="L297" i="21"/>
  <c r="O297" i="21"/>
  <c r="P297" i="21"/>
  <c r="AA297" i="21"/>
  <c r="W297" i="21" s="1"/>
  <c r="L300" i="21"/>
  <c r="O300" i="21"/>
  <c r="P300" i="21"/>
  <c r="AA300" i="21"/>
  <c r="W300" i="21" s="1"/>
  <c r="L301" i="21"/>
  <c r="O301" i="21"/>
  <c r="P301" i="21"/>
  <c r="AA301" i="21"/>
  <c r="W301" i="21" s="1"/>
  <c r="L302" i="21"/>
  <c r="O302" i="21"/>
  <c r="P302" i="21"/>
  <c r="R302" i="21"/>
  <c r="AA302" i="21"/>
  <c r="W302" i="21" s="1"/>
  <c r="P303" i="21"/>
  <c r="Q303" i="21"/>
  <c r="AQ303" i="21"/>
  <c r="Y307" i="21"/>
  <c r="Z307" i="21"/>
  <c r="AA307" i="21" s="1"/>
  <c r="AC307" i="21"/>
  <c r="W308" i="21"/>
  <c r="AD308" i="21"/>
  <c r="O312" i="21"/>
  <c r="P312" i="21"/>
  <c r="S312" i="21"/>
  <c r="V312" i="21"/>
  <c r="AK312" i="21" s="1"/>
  <c r="AC312" i="21" s="1"/>
  <c r="AD312" i="21" s="1"/>
  <c r="AH312" i="21"/>
  <c r="AR312" i="21"/>
  <c r="AA312" i="21" s="1"/>
  <c r="O313" i="21"/>
  <c r="P313" i="21"/>
  <c r="V313" i="21"/>
  <c r="AK313" i="21" s="1"/>
  <c r="AH313" i="21"/>
  <c r="AR313" i="21"/>
  <c r="AA313" i="21" s="1"/>
  <c r="AT313" i="21"/>
  <c r="O314" i="21"/>
  <c r="P314" i="21"/>
  <c r="S314" i="21"/>
  <c r="V314" i="21"/>
  <c r="AK314" i="21" s="1"/>
  <c r="AH314" i="21"/>
  <c r="AR314" i="21"/>
  <c r="AA314" i="21" s="1"/>
  <c r="M315" i="21"/>
  <c r="O315" i="21"/>
  <c r="P315" i="21"/>
  <c r="V315" i="21"/>
  <c r="AK315" i="21" s="1"/>
  <c r="AH315" i="21"/>
  <c r="AR315" i="21"/>
  <c r="AA315" i="21" s="1"/>
  <c r="O316" i="21"/>
  <c r="P316" i="21"/>
  <c r="V316" i="21"/>
  <c r="AK316" i="21" s="1"/>
  <c r="AH316" i="21"/>
  <c r="AR316" i="21"/>
  <c r="AA316" i="21" s="1"/>
  <c r="R157" i="21" l="1"/>
  <c r="R172" i="21"/>
  <c r="Q173" i="21" s="1"/>
  <c r="Q197" i="21" s="1"/>
  <c r="AR200" i="21"/>
  <c r="AR201" i="21" s="1"/>
  <c r="R293" i="21"/>
  <c r="S293" i="21" s="1"/>
  <c r="X289" i="21"/>
  <c r="AJ289" i="21" s="1"/>
  <c r="S223" i="21"/>
  <c r="T223" i="21" s="1"/>
  <c r="V223" i="21" s="1"/>
  <c r="AK223" i="21" s="1"/>
  <c r="AG294" i="21"/>
  <c r="S289" i="21"/>
  <c r="AR231" i="21"/>
  <c r="S222" i="21"/>
  <c r="T222" i="21" s="1"/>
  <c r="V222" i="21" s="1"/>
  <c r="AK222" i="21" s="1"/>
  <c r="AD222" i="21" s="1"/>
  <c r="S169" i="21"/>
  <c r="Y169" i="21" s="1"/>
  <c r="S100" i="21"/>
  <c r="T100" i="21" s="1"/>
  <c r="V100" i="21" s="1"/>
  <c r="AI100" i="21" s="1"/>
  <c r="T169" i="21"/>
  <c r="V169" i="21" s="1"/>
  <c r="AK169" i="21" s="1"/>
  <c r="Q224" i="21"/>
  <c r="S219" i="21"/>
  <c r="X281" i="21"/>
  <c r="W282" i="21" s="1"/>
  <c r="X293" i="21"/>
  <c r="AJ293" i="21" s="1"/>
  <c r="Z316" i="21"/>
  <c r="AB316" i="21"/>
  <c r="W312" i="21"/>
  <c r="X312" i="21" s="1"/>
  <c r="W313" i="21" s="1"/>
  <c r="X313" i="21" s="1"/>
  <c r="W314" i="21" s="1"/>
  <c r="X314" i="21" s="1"/>
  <c r="W315" i="21" s="1"/>
  <c r="X315" i="21" s="1"/>
  <c r="AJ281" i="21"/>
  <c r="T249" i="21"/>
  <c r="V249" i="21" s="1"/>
  <c r="Y249" i="21"/>
  <c r="R192" i="21"/>
  <c r="AS312" i="21"/>
  <c r="AS313" i="21" s="1"/>
  <c r="AS314" i="21" s="1"/>
  <c r="AS315" i="21" s="1"/>
  <c r="AS316" i="21" s="1"/>
  <c r="AK293" i="21"/>
  <c r="T219" i="21"/>
  <c r="V219" i="21" s="1"/>
  <c r="AK219" i="21" s="1"/>
  <c r="AE312" i="21"/>
  <c r="Y222" i="21"/>
  <c r="R194" i="21"/>
  <c r="AC314" i="21"/>
  <c r="Q281" i="21"/>
  <c r="W141" i="21"/>
  <c r="S157" i="21"/>
  <c r="T157" i="21" s="1"/>
  <c r="Q168" i="21"/>
  <c r="S168" i="21" s="1"/>
  <c r="AC106" i="21"/>
  <c r="AD106" i="21" s="1"/>
  <c r="S173" i="21"/>
  <c r="AC105" i="21"/>
  <c r="AD105" i="21" s="1"/>
  <c r="T80" i="21"/>
  <c r="V80" i="21" s="1"/>
  <c r="AA80" i="21"/>
  <c r="Z107" i="21"/>
  <c r="W143" i="21"/>
  <c r="W139" i="21"/>
  <c r="Z129" i="21"/>
  <c r="Z137" i="21" s="1"/>
  <c r="Z138" i="21" s="1"/>
  <c r="Z139" i="21" s="1"/>
  <c r="Z140" i="21" s="1"/>
  <c r="Z141" i="21" s="1"/>
  <c r="Z142" i="21" s="1"/>
  <c r="Z143" i="21" s="1"/>
  <c r="Z145" i="21" s="1"/>
  <c r="Z148" i="21" s="1"/>
  <c r="W129" i="21"/>
  <c r="AC107" i="21"/>
  <c r="AD107" i="21" s="1"/>
  <c r="AC103" i="21"/>
  <c r="AD103" i="21" s="1"/>
  <c r="X100" i="21"/>
  <c r="AC100" i="21"/>
  <c r="AD100" i="21" s="1"/>
  <c r="AH71" i="21"/>
  <c r="W73" i="21"/>
  <c r="L328" i="21"/>
  <c r="O328" i="21"/>
  <c r="P328" i="21"/>
  <c r="AH328" i="21"/>
  <c r="AR328" i="21"/>
  <c r="AA328" i="21" s="1"/>
  <c r="L329" i="21"/>
  <c r="O329" i="21"/>
  <c r="P329" i="21"/>
  <c r="AH329" i="21"/>
  <c r="AR329" i="21"/>
  <c r="AA329" i="21" s="1"/>
  <c r="W329" i="21" s="1"/>
  <c r="L330" i="21"/>
  <c r="O330" i="21"/>
  <c r="P330" i="21"/>
  <c r="AH330" i="21"/>
  <c r="AR330" i="21"/>
  <c r="AA330" i="21" s="1"/>
  <c r="W330" i="21" s="1"/>
  <c r="L331" i="21"/>
  <c r="O331" i="21"/>
  <c r="P331" i="21"/>
  <c r="R331" i="21"/>
  <c r="Q332" i="21" s="1"/>
  <c r="AH331" i="21"/>
  <c r="AR331" i="21"/>
  <c r="AA331" i="21" s="1"/>
  <c r="W331" i="21" s="1"/>
  <c r="L332" i="21"/>
  <c r="P332" i="21"/>
  <c r="L333" i="21"/>
  <c r="O333" i="21"/>
  <c r="P333" i="21"/>
  <c r="AH333" i="21"/>
  <c r="AR333" i="21"/>
  <c r="AA333" i="21" s="1"/>
  <c r="W333" i="21" s="1"/>
  <c r="L334" i="21"/>
  <c r="O334" i="21"/>
  <c r="P334" i="21"/>
  <c r="AH334" i="21"/>
  <c r="AR334" i="21"/>
  <c r="AA334" i="21" s="1"/>
  <c r="W334" i="21" s="1"/>
  <c r="L335" i="21"/>
  <c r="O335" i="21"/>
  <c r="P335" i="21"/>
  <c r="R335" i="21"/>
  <c r="AH335" i="21"/>
  <c r="AR335" i="21"/>
  <c r="AA335" i="21" s="1"/>
  <c r="W335" i="21" s="1"/>
  <c r="L346" i="21"/>
  <c r="P346" i="21"/>
  <c r="Q346" i="21"/>
  <c r="L347" i="21"/>
  <c r="O347" i="21"/>
  <c r="P347" i="21"/>
  <c r="AH347" i="21"/>
  <c r="AR347" i="21"/>
  <c r="AA347" i="21" s="1"/>
  <c r="W347" i="21" s="1"/>
  <c r="L348" i="21"/>
  <c r="O348" i="21"/>
  <c r="P348" i="21"/>
  <c r="R348" i="21"/>
  <c r="AH348" i="21"/>
  <c r="AR348" i="21"/>
  <c r="AA348" i="21" s="1"/>
  <c r="W348" i="21" s="1"/>
  <c r="W290" i="21" l="1"/>
  <c r="W295" i="21"/>
  <c r="AB293" i="21"/>
  <c r="Y223" i="21"/>
  <c r="Z223" i="21" s="1"/>
  <c r="AD223" i="21"/>
  <c r="AS328" i="21"/>
  <c r="AS329" i="21" s="1"/>
  <c r="AS330" i="21" s="1"/>
  <c r="AS331" i="21" s="1"/>
  <c r="AS333" i="21" s="1"/>
  <c r="AS334" i="21" s="1"/>
  <c r="AS335" i="21" s="1"/>
  <c r="AS347" i="21" s="1"/>
  <c r="AS348" i="21" s="1"/>
  <c r="Z169" i="21"/>
  <c r="X219" i="21"/>
  <c r="AJ219" i="21" s="1"/>
  <c r="S281" i="21"/>
  <c r="Z249" i="21"/>
  <c r="Y315" i="21"/>
  <c r="AJ315" i="21"/>
  <c r="W316" i="21"/>
  <c r="X316" i="21" s="1"/>
  <c r="W328" i="21" s="1"/>
  <c r="R73" i="21"/>
  <c r="AH100" i="21"/>
  <c r="W102" i="21"/>
  <c r="AI80" i="21"/>
  <c r="X80" i="21"/>
  <c r="AH80" i="21" s="1"/>
  <c r="X222" i="21"/>
  <c r="AK249" i="21"/>
  <c r="AD249" i="21" s="1"/>
  <c r="X249" i="21"/>
  <c r="AJ249" i="21" s="1"/>
  <c r="S194" i="21"/>
  <c r="Q195" i="21"/>
  <c r="R195" i="21" s="1"/>
  <c r="T168" i="21"/>
  <c r="V168" i="21" s="1"/>
  <c r="Y168" i="21"/>
  <c r="AD314" i="21"/>
  <c r="AD315" i="21"/>
  <c r="S192" i="21"/>
  <c r="Q193" i="21"/>
  <c r="R193" i="21" s="1"/>
  <c r="S193" i="21" s="1"/>
  <c r="AJ314" i="21"/>
  <c r="Y314" i="21"/>
  <c r="Y313" i="21"/>
  <c r="AJ313" i="21"/>
  <c r="AJ312" i="21"/>
  <c r="Y312" i="21"/>
  <c r="AC80" i="21"/>
  <c r="AB80" i="21"/>
  <c r="T173" i="21"/>
  <c r="V173" i="21" s="1"/>
  <c r="AK173" i="21" s="1"/>
  <c r="Y173" i="21"/>
  <c r="AC157" i="21"/>
  <c r="AD157" i="21" s="1"/>
  <c r="V157" i="21"/>
  <c r="Z222" i="21"/>
  <c r="R282" i="21"/>
  <c r="R295" i="21"/>
  <c r="M360" i="21"/>
  <c r="P361" i="21"/>
  <c r="Q361" i="21"/>
  <c r="R361" i="21"/>
  <c r="M362" i="21" a="1"/>
  <c r="M72" i="21" a="1"/>
  <c r="L360" i="21" a="1"/>
  <c r="Z173" i="21" l="1"/>
  <c r="L360" i="21"/>
  <c r="M72" i="21"/>
  <c r="Z168" i="21"/>
  <c r="W223" i="21"/>
  <c r="X223" i="21" s="1"/>
  <c r="AJ222" i="21"/>
  <c r="R102" i="21"/>
  <c r="AC102" i="21"/>
  <c r="AD102" i="21" s="1"/>
  <c r="AD108" i="21" s="1"/>
  <c r="Q296" i="21"/>
  <c r="R296" i="21" s="1"/>
  <c r="S295" i="21"/>
  <c r="T295" i="21" s="1"/>
  <c r="V295" i="21" s="1"/>
  <c r="AK168" i="21"/>
  <c r="AD168" i="21" s="1"/>
  <c r="AD169" i="21" s="1"/>
  <c r="X168" i="21"/>
  <c r="S361" i="21"/>
  <c r="T193" i="21"/>
  <c r="V193" i="21" s="1"/>
  <c r="Y193" i="21"/>
  <c r="S195" i="21"/>
  <c r="Q196" i="21"/>
  <c r="S196" i="21" s="1"/>
  <c r="Y316" i="21"/>
  <c r="AJ316" i="21"/>
  <c r="Q283" i="21"/>
  <c r="S282" i="21"/>
  <c r="T282" i="21" s="1"/>
  <c r="V282" i="21" s="1"/>
  <c r="AI157" i="21"/>
  <c r="X157" i="21"/>
  <c r="AH157" i="21" s="1"/>
  <c r="AD80" i="21"/>
  <c r="AB81" i="21"/>
  <c r="Y192" i="21"/>
  <c r="T192" i="21"/>
  <c r="V192" i="21" s="1"/>
  <c r="Y194" i="21"/>
  <c r="T194" i="21"/>
  <c r="V194" i="21" s="1"/>
  <c r="S73" i="21"/>
  <c r="T73" i="21" s="1"/>
  <c r="Q89" i="21"/>
  <c r="S89" i="21" s="1"/>
  <c r="T89" i="21" s="1"/>
  <c r="V89" i="21" s="1"/>
  <c r="M362" i="21"/>
  <c r="R283" i="21" l="1"/>
  <c r="S283" i="21" s="1"/>
  <c r="T283" i="21" s="1"/>
  <c r="V283" i="21" s="1"/>
  <c r="Z192" i="21"/>
  <c r="AK282" i="21"/>
  <c r="AD282" i="21" s="1"/>
  <c r="X282" i="21"/>
  <c r="AJ282" i="21" s="1"/>
  <c r="T196" i="21"/>
  <c r="V196" i="21" s="1"/>
  <c r="Y196" i="21"/>
  <c r="Y195" i="21"/>
  <c r="T195" i="21"/>
  <c r="V195" i="21" s="1"/>
  <c r="AK295" i="21"/>
  <c r="AD295" i="21" s="1"/>
  <c r="X295" i="21"/>
  <c r="AJ295" i="21" s="1"/>
  <c r="S102" i="21"/>
  <c r="T102" i="21" s="1"/>
  <c r="V102" i="21" s="1"/>
  <c r="Q103" i="21"/>
  <c r="R103" i="21" s="1"/>
  <c r="AK194" i="21"/>
  <c r="X194" i="21"/>
  <c r="AJ194" i="21" s="1"/>
  <c r="AC89" i="21"/>
  <c r="AI89" i="21"/>
  <c r="X89" i="21"/>
  <c r="AK192" i="21"/>
  <c r="X192" i="21"/>
  <c r="AJ192" i="21" s="1"/>
  <c r="Z193" i="21"/>
  <c r="S296" i="21"/>
  <c r="T296" i="21" s="1"/>
  <c r="V296" i="21" s="1"/>
  <c r="Q297" i="21"/>
  <c r="R297" i="21" s="1"/>
  <c r="Z194" i="21"/>
  <c r="AB73" i="21"/>
  <c r="AC73" i="21" s="1"/>
  <c r="V73" i="21"/>
  <c r="AK193" i="21"/>
  <c r="X193" i="21"/>
  <c r="AJ193" i="21" s="1"/>
  <c r="AJ168" i="21"/>
  <c r="W169" i="21"/>
  <c r="X169" i="21" s="1"/>
  <c r="AJ223" i="21"/>
  <c r="W224" i="21"/>
  <c r="P366" i="21"/>
  <c r="Q366" i="21"/>
  <c r="L367" i="21"/>
  <c r="O367" i="21"/>
  <c r="P367" i="21"/>
  <c r="AH367" i="21"/>
  <c r="AR367" i="21"/>
  <c r="AS367" i="21" s="1"/>
  <c r="L368" i="21"/>
  <c r="O368" i="21"/>
  <c r="P368" i="21"/>
  <c r="AH368" i="21"/>
  <c r="AR368" i="21"/>
  <c r="AA368" i="21" s="1"/>
  <c r="W368" i="21" s="1"/>
  <c r="L369" i="21"/>
  <c r="O369" i="21"/>
  <c r="P369" i="21"/>
  <c r="AH369" i="21"/>
  <c r="AR369" i="21"/>
  <c r="AA369" i="21" s="1"/>
  <c r="W369" i="21" s="1"/>
  <c r="L370" i="21"/>
  <c r="O370" i="21"/>
  <c r="P370" i="21"/>
  <c r="AH370" i="21"/>
  <c r="AR370" i="21"/>
  <c r="AA370" i="21" s="1"/>
  <c r="W370" i="21" s="1"/>
  <c r="L365" i="21" a="1"/>
  <c r="AA367" i="21" l="1"/>
  <c r="W367" i="21" s="1"/>
  <c r="Q284" i="21"/>
  <c r="R284" i="21" s="1"/>
  <c r="Z195" i="21"/>
  <c r="Z196" i="21"/>
  <c r="AS368" i="21"/>
  <c r="AS369" i="21" s="1"/>
  <c r="AS370" i="21" s="1"/>
  <c r="L365" i="21"/>
  <c r="AJ169" i="21"/>
  <c r="W171" i="21"/>
  <c r="AI73" i="21"/>
  <c r="X73" i="21"/>
  <c r="AH73" i="21" s="1"/>
  <c r="AK296" i="21"/>
  <c r="X296" i="21"/>
  <c r="AJ296" i="21" s="1"/>
  <c r="AH89" i="21"/>
  <c r="W91" i="21"/>
  <c r="AD296" i="21"/>
  <c r="AK283" i="21"/>
  <c r="X283" i="21"/>
  <c r="AJ283" i="21" s="1"/>
  <c r="S103" i="21"/>
  <c r="T103" i="21" s="1"/>
  <c r="V103" i="21" s="1"/>
  <c r="Q104" i="21"/>
  <c r="R104" i="21" s="1"/>
  <c r="AK195" i="21"/>
  <c r="X195" i="21"/>
  <c r="AJ195" i="21" s="1"/>
  <c r="AK196" i="21"/>
  <c r="X196" i="21"/>
  <c r="R224" i="21"/>
  <c r="S224" i="21" s="1"/>
  <c r="AE89" i="21"/>
  <c r="AD89" i="21"/>
  <c r="AI102" i="21"/>
  <c r="X102" i="21"/>
  <c r="AH102" i="21" s="1"/>
  <c r="S297" i="21"/>
  <c r="T297" i="21" s="1"/>
  <c r="V297" i="21" s="1"/>
  <c r="Q301" i="21"/>
  <c r="R301" i="21" s="1"/>
  <c r="S301" i="21" s="1"/>
  <c r="T301" i="21" s="1"/>
  <c r="V301" i="21" s="1"/>
  <c r="AD283" i="21"/>
  <c r="Q285" i="21" l="1"/>
  <c r="R285" i="21" s="1"/>
  <c r="S285" i="21" s="1"/>
  <c r="T285" i="21" s="1"/>
  <c r="V285" i="21" s="1"/>
  <c r="S284" i="21"/>
  <c r="T284" i="21" s="1"/>
  <c r="V284" i="21" s="1"/>
  <c r="X284" i="21" s="1"/>
  <c r="AJ284" i="21" s="1"/>
  <c r="Q105" i="21"/>
  <c r="R105" i="21" s="1"/>
  <c r="S104" i="21"/>
  <c r="T104" i="21" s="1"/>
  <c r="V104" i="21" s="1"/>
  <c r="Y224" i="21"/>
  <c r="T224" i="21"/>
  <c r="V224" i="21" s="1"/>
  <c r="R171" i="21"/>
  <c r="AK301" i="21"/>
  <c r="X301" i="21"/>
  <c r="AJ301" i="21" s="1"/>
  <c r="AJ196" i="21"/>
  <c r="W197" i="21"/>
  <c r="AK297" i="21"/>
  <c r="AD297" i="21" s="1"/>
  <c r="AD301" i="21" s="1"/>
  <c r="X297" i="21"/>
  <c r="AJ297" i="21" s="1"/>
  <c r="AI103" i="21"/>
  <c r="X103" i="21"/>
  <c r="AH103" i="21" s="1"/>
  <c r="R91" i="21"/>
  <c r="M90" i="21" a="1"/>
  <c r="Q290" i="21" l="1"/>
  <c r="R290" i="21" s="1"/>
  <c r="S290" i="21" s="1"/>
  <c r="T290" i="21" s="1"/>
  <c r="V290" i="21" s="1"/>
  <c r="AK284" i="21"/>
  <c r="AD284" i="21" s="1"/>
  <c r="Z224" i="21"/>
  <c r="M90" i="21"/>
  <c r="Q172" i="21"/>
  <c r="S172" i="21" s="1"/>
  <c r="S171" i="21"/>
  <c r="AK290" i="21"/>
  <c r="X290" i="21"/>
  <c r="AJ290" i="21" s="1"/>
  <c r="S91" i="21"/>
  <c r="T91" i="21" s="1"/>
  <c r="V91" i="21" s="1"/>
  <c r="Q92" i="21"/>
  <c r="R92" i="21" s="1"/>
  <c r="AK224" i="21"/>
  <c r="AD224" i="21" s="1"/>
  <c r="AD225" i="21" s="1"/>
  <c r="AB226" i="21" s="1"/>
  <c r="AB227" i="21" s="1"/>
  <c r="X224" i="21"/>
  <c r="AJ224" i="21" s="1"/>
  <c r="X104" i="21"/>
  <c r="AH104" i="21" s="1"/>
  <c r="AI104" i="21"/>
  <c r="AK285" i="21"/>
  <c r="AD285" i="21" s="1"/>
  <c r="AD290" i="21" s="1"/>
  <c r="AD305" i="21" s="1"/>
  <c r="X285" i="21"/>
  <c r="AJ285" i="21" s="1"/>
  <c r="Q106" i="21"/>
  <c r="R106" i="21" s="1"/>
  <c r="S105" i="21"/>
  <c r="T105" i="21" s="1"/>
  <c r="V105" i="21" s="1"/>
  <c r="R197" i="21"/>
  <c r="O378" i="21"/>
  <c r="P378" i="21"/>
  <c r="Q378" i="21"/>
  <c r="AA378" i="21"/>
  <c r="W378" i="21" s="1"/>
  <c r="AH378" i="21"/>
  <c r="AR378" i="21"/>
  <c r="AS378" i="21" s="1"/>
  <c r="L379" i="21"/>
  <c r="O379" i="21"/>
  <c r="P379" i="21"/>
  <c r="AA379" i="21"/>
  <c r="W379" i="21" s="1"/>
  <c r="AH379" i="21"/>
  <c r="AR379" i="21"/>
  <c r="L380" i="21"/>
  <c r="O380" i="21"/>
  <c r="P380" i="21"/>
  <c r="AA380" i="21"/>
  <c r="W380" i="21" s="1"/>
  <c r="AH380" i="21"/>
  <c r="AR380" i="21"/>
  <c r="L381" i="21"/>
  <c r="O381" i="21"/>
  <c r="P381" i="21"/>
  <c r="AH381" i="21"/>
  <c r="AR381" i="21"/>
  <c r="AA381" i="21" s="1"/>
  <c r="W381" i="21" s="1"/>
  <c r="L382" i="21"/>
  <c r="O382" i="21"/>
  <c r="P382" i="21"/>
  <c r="AH382" i="21"/>
  <c r="AR382" i="21"/>
  <c r="AA382" i="21" s="1"/>
  <c r="W382" i="21" s="1"/>
  <c r="L378" i="21" a="1"/>
  <c r="AS379" i="21" l="1"/>
  <c r="AS380" i="21" s="1"/>
  <c r="AS381" i="21"/>
  <c r="AS382" i="21" s="1"/>
  <c r="L378" i="21"/>
  <c r="R378" i="21"/>
  <c r="Q107" i="21"/>
  <c r="R107" i="21" s="1"/>
  <c r="S106" i="21"/>
  <c r="T106" i="21" s="1"/>
  <c r="V106" i="21" s="1"/>
  <c r="AC91" i="21"/>
  <c r="AI91" i="21"/>
  <c r="X91" i="21"/>
  <c r="AH91" i="21" s="1"/>
  <c r="T172" i="21"/>
  <c r="V172" i="21" s="1"/>
  <c r="Y172" i="21"/>
  <c r="S197" i="21"/>
  <c r="Q201" i="21"/>
  <c r="R201" i="21" s="1"/>
  <c r="S201" i="21" s="1"/>
  <c r="T201" i="21" s="1"/>
  <c r="V201" i="21" s="1"/>
  <c r="AI105" i="21"/>
  <c r="X105" i="21"/>
  <c r="AH105" i="21" s="1"/>
  <c r="S92" i="21"/>
  <c r="T92" i="21" s="1"/>
  <c r="V92" i="21" s="1"/>
  <c r="Q93" i="21"/>
  <c r="R93" i="21" s="1"/>
  <c r="T171" i="21"/>
  <c r="V171" i="21" s="1"/>
  <c r="Y171" i="21"/>
  <c r="AQ383" i="21"/>
  <c r="AR383" i="21"/>
  <c r="AS383" i="21" s="1"/>
  <c r="L385" i="21"/>
  <c r="W385" i="21"/>
  <c r="M377" i="21" a="1"/>
  <c r="Z172" i="21" l="1"/>
  <c r="M377" i="21"/>
  <c r="AC92" i="21"/>
  <c r="AI92" i="21"/>
  <c r="X92" i="21"/>
  <c r="AH92" i="21" s="1"/>
  <c r="AK201" i="21"/>
  <c r="X201" i="21"/>
  <c r="AJ201" i="21" s="1"/>
  <c r="AK172" i="21"/>
  <c r="X172" i="21"/>
  <c r="AI106" i="21"/>
  <c r="X106" i="21"/>
  <c r="AH106" i="21" s="1"/>
  <c r="S378" i="21"/>
  <c r="T378" i="21" s="1"/>
  <c r="V378" i="21" s="1"/>
  <c r="Q379" i="21"/>
  <c r="R379" i="21" s="1"/>
  <c r="S93" i="21"/>
  <c r="T93" i="21" s="1"/>
  <c r="V93" i="21" s="1"/>
  <c r="Q94" i="21"/>
  <c r="R94" i="21" s="1"/>
  <c r="AD91" i="21"/>
  <c r="AE91" i="21"/>
  <c r="Z171" i="21"/>
  <c r="T197" i="21"/>
  <c r="V197" i="21" s="1"/>
  <c r="Y198" i="21" s="1"/>
  <c r="AA198" i="21" s="1"/>
  <c r="Y197" i="21"/>
  <c r="S107" i="21"/>
  <c r="T107" i="21" s="1"/>
  <c r="V107" i="21" s="1"/>
  <c r="Q109" i="21"/>
  <c r="R109" i="21" s="1"/>
  <c r="S109" i="21" s="1"/>
  <c r="T109" i="21" s="1"/>
  <c r="V109" i="21" s="1"/>
  <c r="Q150" i="21"/>
  <c r="AK171" i="21"/>
  <c r="AD171" i="21" s="1"/>
  <c r="X171" i="21"/>
  <c r="AJ171" i="21" s="1"/>
  <c r="AD172" i="21" l="1"/>
  <c r="AD173" i="21" s="1"/>
  <c r="AD192" i="21" s="1"/>
  <c r="AD193" i="21" s="1"/>
  <c r="AD194" i="21" s="1"/>
  <c r="AD195" i="21" s="1"/>
  <c r="AD196" i="21" s="1"/>
  <c r="AI109" i="21"/>
  <c r="X109" i="21"/>
  <c r="AH109" i="21" s="1"/>
  <c r="AK197" i="21"/>
  <c r="AD197" i="21" s="1"/>
  <c r="AD201" i="21" s="1"/>
  <c r="AB204" i="21" s="1"/>
  <c r="X197" i="21"/>
  <c r="AJ197" i="21" s="1"/>
  <c r="AK378" i="21"/>
  <c r="AC378" i="21" s="1"/>
  <c r="X378" i="21"/>
  <c r="AJ378" i="21" s="1"/>
  <c r="AE92" i="21"/>
  <c r="AD92" i="21"/>
  <c r="S94" i="21"/>
  <c r="T94" i="21" s="1"/>
  <c r="V94" i="21" s="1"/>
  <c r="Q95" i="21"/>
  <c r="R95" i="21" s="1"/>
  <c r="AI107" i="21"/>
  <c r="X107" i="21"/>
  <c r="AH107" i="21" s="1"/>
  <c r="AC93" i="21"/>
  <c r="AI93" i="21"/>
  <c r="X93" i="21"/>
  <c r="AH93" i="21" s="1"/>
  <c r="Z197" i="21"/>
  <c r="Q380" i="21"/>
  <c r="R380" i="21" s="1"/>
  <c r="S380" i="21" s="1"/>
  <c r="T380" i="21" s="1"/>
  <c r="V380" i="21" s="1"/>
  <c r="S379" i="21"/>
  <c r="T379" i="21" s="1"/>
  <c r="V379" i="21" s="1"/>
  <c r="W173" i="21"/>
  <c r="X173" i="21" s="1"/>
  <c r="AJ172" i="21"/>
  <c r="AK379" i="21" l="1"/>
  <c r="AC379" i="21" s="1"/>
  <c r="X379" i="21"/>
  <c r="AJ379" i="21" s="1"/>
  <c r="AD93" i="21"/>
  <c r="AE93" i="21"/>
  <c r="AK380" i="21"/>
  <c r="X380" i="21"/>
  <c r="AJ380" i="21" s="1"/>
  <c r="S95" i="21"/>
  <c r="T95" i="21" s="1"/>
  <c r="V95" i="21" s="1"/>
  <c r="Q96" i="21"/>
  <c r="AC94" i="21"/>
  <c r="AI94" i="21"/>
  <c r="X94" i="21"/>
  <c r="AH94" i="21" s="1"/>
  <c r="W174" i="21"/>
  <c r="AJ173" i="21"/>
  <c r="O412" i="21"/>
  <c r="P412" i="21"/>
  <c r="Q412" i="21"/>
  <c r="R412" i="21"/>
  <c r="T412" i="21"/>
  <c r="V412" i="21" s="1"/>
  <c r="AE412" i="21" s="1"/>
  <c r="AC412" i="21" s="1"/>
  <c r="AA412" i="21"/>
  <c r="W412" i="21" s="1"/>
  <c r="AF412" i="21"/>
  <c r="AN412" i="21"/>
  <c r="L97" i="21" a="1"/>
  <c r="L412" i="21" a="1"/>
  <c r="M412" i="21" a="1"/>
  <c r="AC380" i="21" l="1"/>
  <c r="X412" i="21"/>
  <c r="AD412" i="21" s="1"/>
  <c r="S412" i="21"/>
  <c r="L97" i="21"/>
  <c r="M412" i="21"/>
  <c r="L412" i="21"/>
  <c r="R96" i="21"/>
  <c r="AE94" i="21"/>
  <c r="AD94" i="21"/>
  <c r="AC95" i="21"/>
  <c r="AI95" i="21"/>
  <c r="X95" i="21"/>
  <c r="AH95" i="21" s="1"/>
  <c r="M97" i="21" a="1"/>
  <c r="M97" i="21" l="1"/>
  <c r="S96" i="21"/>
  <c r="T96" i="21" s="1"/>
  <c r="V96" i="21" s="1"/>
  <c r="Q129" i="21"/>
  <c r="S129" i="21" s="1"/>
  <c r="T129" i="21" s="1"/>
  <c r="AD95" i="21"/>
  <c r="AE95" i="21"/>
  <c r="Q413" i="21"/>
  <c r="W413" i="21"/>
  <c r="L413" i="21" a="1"/>
  <c r="L413" i="21" l="1"/>
  <c r="R413" i="21"/>
  <c r="V129" i="21"/>
  <c r="AC129" i="21"/>
  <c r="AC96" i="21"/>
  <c r="AI96" i="21"/>
  <c r="X96" i="21"/>
  <c r="AH96" i="21" s="1"/>
  <c r="M413" i="21" a="1"/>
  <c r="M413" i="21" l="1"/>
  <c r="AD96" i="21"/>
  <c r="AD97" i="21" s="1"/>
  <c r="AE96" i="21"/>
  <c r="AI129" i="21"/>
  <c r="X129" i="21"/>
  <c r="S413" i="21"/>
  <c r="T413" i="21" s="1"/>
  <c r="V413" i="21" s="1"/>
  <c r="AD129" i="21"/>
  <c r="AE129" i="21"/>
  <c r="O414" i="21"/>
  <c r="P414" i="21"/>
  <c r="Q414" i="21"/>
  <c r="AF414" i="21"/>
  <c r="AN414" i="21"/>
  <c r="AA414" i="21" s="1"/>
  <c r="W414" i="21" s="1"/>
  <c r="L414" i="21" a="1"/>
  <c r="L414" i="21" l="1"/>
  <c r="R414" i="21"/>
  <c r="AE413" i="21"/>
  <c r="AC413" i="21" s="1"/>
  <c r="X413" i="21"/>
  <c r="AD413" i="21" s="1"/>
  <c r="AH129" i="21"/>
  <c r="W136" i="21"/>
  <c r="M414" i="21" a="1"/>
  <c r="M414" i="21" l="1"/>
  <c r="R136" i="21"/>
  <c r="AC136" i="21"/>
  <c r="S414" i="21"/>
  <c r="T414" i="21" s="1"/>
  <c r="V414" i="21" s="1"/>
  <c r="O415" i="21"/>
  <c r="P415" i="21"/>
  <c r="Q415" i="21"/>
  <c r="AB415" i="21"/>
  <c r="AF415" i="21"/>
  <c r="AN415" i="21"/>
  <c r="AA415" i="21" s="1"/>
  <c r="W415" i="21" s="1"/>
  <c r="Y416" i="21"/>
  <c r="AB416" i="21"/>
  <c r="AD416" i="21"/>
  <c r="AE416" i="21"/>
  <c r="AF416" i="21"/>
  <c r="AN416" i="21"/>
  <c r="AA416" i="21" s="1"/>
  <c r="AD417" i="21"/>
  <c r="AE417" i="21"/>
  <c r="AF417" i="21"/>
  <c r="AN417" i="21"/>
  <c r="AA417" i="21" s="1"/>
  <c r="V418" i="21"/>
  <c r="AE418" i="21" s="1"/>
  <c r="AF418" i="21"/>
  <c r="AN418" i="21"/>
  <c r="AA418" i="21" s="1"/>
  <c r="L415" i="21" a="1"/>
  <c r="L415" i="21" l="1"/>
  <c r="R415" i="21"/>
  <c r="AC416" i="21"/>
  <c r="AC417" i="21" s="1"/>
  <c r="AC418" i="21" s="1"/>
  <c r="Z416" i="21"/>
  <c r="Z417" i="21" s="1"/>
  <c r="Z418" i="21" s="1"/>
  <c r="AE136" i="21"/>
  <c r="AD136" i="21"/>
  <c r="Q137" i="21"/>
  <c r="S136" i="21"/>
  <c r="T136" i="21" s="1"/>
  <c r="V136" i="21" s="1"/>
  <c r="AE414" i="21"/>
  <c r="AC414" i="21" s="1"/>
  <c r="X414" i="21"/>
  <c r="AD414" i="21" s="1"/>
  <c r="M415" i="21" a="1"/>
  <c r="M415" i="21" l="1"/>
  <c r="S415" i="21"/>
  <c r="T415" i="21" s="1"/>
  <c r="V415" i="21" s="1"/>
  <c r="AI137" i="21"/>
  <c r="X136" i="21"/>
  <c r="AB418" i="21"/>
  <c r="W418" i="21"/>
  <c r="O419" i="21"/>
  <c r="P419" i="21"/>
  <c r="Q419" i="21"/>
  <c r="AB419" i="21"/>
  <c r="AF419" i="21"/>
  <c r="AN419" i="21"/>
  <c r="AA419" i="21" s="1"/>
  <c r="W419" i="21" s="1"/>
  <c r="L419" i="21" a="1"/>
  <c r="L419" i="21" l="1"/>
  <c r="R419" i="21"/>
  <c r="AE415" i="21"/>
  <c r="AC415" i="21" s="1"/>
  <c r="X415" i="21"/>
  <c r="AD415" i="21" s="1"/>
  <c r="X418" i="21"/>
  <c r="AD418" i="21" s="1"/>
  <c r="Y418" i="21"/>
  <c r="AH137" i="21"/>
  <c r="W137" i="21"/>
  <c r="M419" i="21" a="1"/>
  <c r="M419" i="21" l="1"/>
  <c r="S419" i="21"/>
  <c r="T419" i="21" s="1"/>
  <c r="V419" i="21" s="1"/>
  <c r="R137" i="21"/>
  <c r="O420" i="21"/>
  <c r="P420" i="21"/>
  <c r="AF420" i="21"/>
  <c r="AN420" i="21"/>
  <c r="AA420" i="21" s="1"/>
  <c r="W420" i="21" s="1"/>
  <c r="Q138" i="21" l="1"/>
  <c r="R138" i="21" s="1"/>
  <c r="S137" i="21"/>
  <c r="T137" i="21" s="1"/>
  <c r="AE419" i="21"/>
  <c r="AC419" i="21" s="1"/>
  <c r="X419" i="21"/>
  <c r="AD419" i="21" s="1"/>
  <c r="Q139" i="21" l="1"/>
  <c r="R139" i="21" s="1"/>
  <c r="S138" i="21"/>
  <c r="T138" i="21" s="1"/>
  <c r="V137" i="21"/>
  <c r="AC137" i="21"/>
  <c r="O421" i="21"/>
  <c r="P421" i="21"/>
  <c r="AA421" i="21"/>
  <c r="W421" i="21" s="1"/>
  <c r="AF421" i="21"/>
  <c r="AN421" i="21"/>
  <c r="Q140" i="21" l="1"/>
  <c r="R140" i="21" s="1"/>
  <c r="S139" i="21"/>
  <c r="T139" i="21" s="1"/>
  <c r="AD137" i="21"/>
  <c r="AE137" i="21"/>
  <c r="AI138" i="21"/>
  <c r="X137" i="21"/>
  <c r="AH138" i="21" s="1"/>
  <c r="V138" i="21"/>
  <c r="AC138" i="21"/>
  <c r="AD138" i="21" l="1"/>
  <c r="AE138" i="21"/>
  <c r="V139" i="21"/>
  <c r="AC139" i="21"/>
  <c r="Q141" i="21"/>
  <c r="R141" i="21" s="1"/>
  <c r="S140" i="21"/>
  <c r="T140" i="21" s="1"/>
  <c r="AI139" i="21"/>
  <c r="X138" i="21"/>
  <c r="AH139" i="21" s="1"/>
  <c r="O422" i="21"/>
  <c r="P422" i="21"/>
  <c r="AF422" i="21"/>
  <c r="AN422" i="21"/>
  <c r="AA422" i="21" s="1"/>
  <c r="W422" i="21" s="1"/>
  <c r="AI140" i="21" l="1"/>
  <c r="X139" i="21"/>
  <c r="AH140" i="21" s="1"/>
  <c r="V140" i="21"/>
  <c r="X140" i="21" s="1"/>
  <c r="AC140" i="21"/>
  <c r="Q142" i="21"/>
  <c r="R142" i="21" s="1"/>
  <c r="S141" i="21"/>
  <c r="T141" i="21" s="1"/>
  <c r="AD139" i="21"/>
  <c r="AE139" i="21"/>
  <c r="AD140" i="21" l="1"/>
  <c r="AE140" i="21"/>
  <c r="V141" i="21"/>
  <c r="AC141" i="21"/>
  <c r="Q143" i="21"/>
  <c r="R143" i="21" s="1"/>
  <c r="S142" i="21"/>
  <c r="T142" i="21" s="1"/>
  <c r="O423" i="21"/>
  <c r="P423" i="21"/>
  <c r="AF423" i="21"/>
  <c r="AN423" i="21"/>
  <c r="AO423" i="21" s="1"/>
  <c r="AA423" i="21" l="1"/>
  <c r="W423" i="21" s="1"/>
  <c r="V142" i="21"/>
  <c r="AC142" i="21"/>
  <c r="S143" i="21"/>
  <c r="T143" i="21" s="1"/>
  <c r="Q145" i="21"/>
  <c r="S145" i="21" s="1"/>
  <c r="T145" i="21" s="1"/>
  <c r="AD141" i="21"/>
  <c r="AE141" i="21"/>
  <c r="AI141" i="21"/>
  <c r="X141" i="21"/>
  <c r="AH141" i="21" s="1"/>
  <c r="AC145" i="21" l="1"/>
  <c r="AD145" i="21" s="1"/>
  <c r="V145" i="21"/>
  <c r="V143" i="21"/>
  <c r="AC143" i="21"/>
  <c r="AD143" i="21" s="1"/>
  <c r="AD142" i="21"/>
  <c r="AE142" i="21"/>
  <c r="AI142" i="21"/>
  <c r="X142" i="21"/>
  <c r="AH142" i="21" s="1"/>
  <c r="O424" i="21"/>
  <c r="P424" i="21"/>
  <c r="AA424" i="21"/>
  <c r="W424" i="21" s="1"/>
  <c r="AF424" i="21"/>
  <c r="AN424" i="21"/>
  <c r="AI145" i="21" l="1"/>
  <c r="X145" i="21"/>
  <c r="AD134" i="21"/>
  <c r="AI143" i="21"/>
  <c r="X143" i="21"/>
  <c r="AH143" i="21" s="1"/>
  <c r="AH145" i="21" l="1"/>
  <c r="W147" i="21"/>
  <c r="O425" i="21"/>
  <c r="P425" i="21"/>
  <c r="AF425" i="21"/>
  <c r="AN425" i="21"/>
  <c r="AA425" i="21" s="1"/>
  <c r="W425" i="21" s="1"/>
  <c r="O426" i="21"/>
  <c r="P426" i="21"/>
  <c r="AD426" i="21"/>
  <c r="AE426" i="21"/>
  <c r="AF426" i="21"/>
  <c r="AN426" i="21"/>
  <c r="AA426" i="21" s="1"/>
  <c r="Z426" i="21" s="1"/>
  <c r="AC426" i="21" s="1"/>
  <c r="O427" i="21"/>
  <c r="P427" i="21"/>
  <c r="AD427" i="21"/>
  <c r="AE427" i="21"/>
  <c r="AF427" i="21"/>
  <c r="AN427" i="21"/>
  <c r="AA427" i="21" s="1"/>
  <c r="O428" i="21"/>
  <c r="P428" i="21"/>
  <c r="V428" i="21"/>
  <c r="AE428" i="21"/>
  <c r="AF428" i="21"/>
  <c r="AN428" i="21"/>
  <c r="AA428" i="21" s="1"/>
  <c r="AC427" i="21" l="1"/>
  <c r="AC428" i="21" s="1"/>
  <c r="Z427" i="21"/>
  <c r="Z428" i="21" s="1"/>
  <c r="R147" i="21"/>
  <c r="AB427" i="21" l="1"/>
  <c r="W428" i="21"/>
  <c r="X428" i="21" s="1"/>
  <c r="AD428" i="21" s="1"/>
  <c r="AB426" i="21"/>
  <c r="S147" i="21"/>
  <c r="T147" i="21" s="1"/>
  <c r="Q148" i="21"/>
  <c r="R148" i="21" s="1"/>
  <c r="O429" i="21"/>
  <c r="P429" i="21"/>
  <c r="Q429" i="21"/>
  <c r="AF429" i="21"/>
  <c r="AN429" i="21"/>
  <c r="AA429" i="21" s="1"/>
  <c r="AC429" i="21" s="1"/>
  <c r="L429" i="21" a="1"/>
  <c r="L429" i="21" l="1"/>
  <c r="V147" i="21"/>
  <c r="AC147" i="21"/>
  <c r="AD147" i="21" s="1"/>
  <c r="W429" i="21"/>
  <c r="Q149" i="21"/>
  <c r="S149" i="21" s="1"/>
  <c r="T149" i="21" s="1"/>
  <c r="S148" i="21"/>
  <c r="T148" i="21" s="1"/>
  <c r="R429" i="21" l="1"/>
  <c r="Q430" i="21" s="1"/>
  <c r="AI147" i="21"/>
  <c r="X147" i="21"/>
  <c r="AH147" i="21" s="1"/>
  <c r="AC148" i="21"/>
  <c r="AD148" i="21" s="1"/>
  <c r="V148" i="21"/>
  <c r="V149" i="21"/>
  <c r="AC149" i="21"/>
  <c r="AD149" i="21" s="1"/>
  <c r="O430" i="21"/>
  <c r="P430" i="21"/>
  <c r="AF430" i="21"/>
  <c r="AN430" i="21"/>
  <c r="AO430" i="21" s="1"/>
  <c r="M429" i="21" a="1"/>
  <c r="L430" i="21" a="1"/>
  <c r="AA430" i="21" l="1"/>
  <c r="W430" i="21" s="1"/>
  <c r="R430" i="21" s="1"/>
  <c r="L430" i="21"/>
  <c r="M429" i="21"/>
  <c r="AC430" i="21"/>
  <c r="AI149" i="21"/>
  <c r="AA149" i="21" s="1"/>
  <c r="Z149" i="21" s="1"/>
  <c r="Z157" i="21" s="1"/>
  <c r="AA157" i="21" s="1"/>
  <c r="X149" i="21"/>
  <c r="AI148" i="21"/>
  <c r="X148" i="21"/>
  <c r="AH148" i="21" s="1"/>
  <c r="S429" i="21"/>
  <c r="T429" i="21" s="1"/>
  <c r="V429" i="21" s="1"/>
  <c r="M430" i="21" a="1"/>
  <c r="M430" i="21" l="1"/>
  <c r="S430" i="21"/>
  <c r="T430" i="21" s="1"/>
  <c r="V430" i="21" s="1"/>
  <c r="AE429" i="21"/>
  <c r="X429" i="21"/>
  <c r="AD429" i="21" s="1"/>
  <c r="W150" i="21"/>
  <c r="AH149" i="21"/>
  <c r="O431" i="21"/>
  <c r="P431" i="21"/>
  <c r="Q431" i="21"/>
  <c r="AF431" i="21"/>
  <c r="AN431" i="21"/>
  <c r="AA431" i="21" s="1"/>
  <c r="L431" i="21" a="1"/>
  <c r="L431" i="21" l="1"/>
  <c r="AC431" i="21"/>
  <c r="W431" i="21"/>
  <c r="AE430" i="21"/>
  <c r="X430" i="21"/>
  <c r="AD430" i="21" s="1"/>
  <c r="Z150" i="21"/>
  <c r="Z151" i="21" s="1"/>
  <c r="Z152" i="21" s="1"/>
  <c r="Z153" i="21" s="1"/>
  <c r="Z154" i="21" s="1"/>
  <c r="Z155" i="21" s="1"/>
  <c r="Z156" i="21" s="1"/>
  <c r="R150" i="21"/>
  <c r="Q151" i="21" l="1"/>
  <c r="R151" i="21" s="1"/>
  <c r="S150" i="21"/>
  <c r="T150" i="21" s="1"/>
  <c r="R431" i="21"/>
  <c r="Q432" i="21" s="1"/>
  <c r="O432" i="21"/>
  <c r="P432" i="21"/>
  <c r="AF432" i="21"/>
  <c r="AN432" i="21"/>
  <c r="AA432" i="21" s="1"/>
  <c r="AC432" i="21" s="1"/>
  <c r="M431" i="21" a="1"/>
  <c r="L432" i="21" a="1"/>
  <c r="L432" i="21" l="1"/>
  <c r="M431" i="21"/>
  <c r="W432" i="21"/>
  <c r="S431" i="21"/>
  <c r="T431" i="21" s="1"/>
  <c r="V431" i="21" s="1"/>
  <c r="AC150" i="21"/>
  <c r="AD150" i="21" s="1"/>
  <c r="V150" i="21"/>
  <c r="Q152" i="21"/>
  <c r="R152" i="21" s="1"/>
  <c r="S151" i="21"/>
  <c r="T151" i="21" s="1"/>
  <c r="AC151" i="21" l="1"/>
  <c r="AD151" i="21" s="1"/>
  <c r="V151" i="21"/>
  <c r="AE431" i="21"/>
  <c r="X431" i="21"/>
  <c r="AD431" i="21" s="1"/>
  <c r="S152" i="21"/>
  <c r="T152" i="21" s="1"/>
  <c r="Q153" i="21"/>
  <c r="R153" i="21" s="1"/>
  <c r="AI150" i="21"/>
  <c r="X150" i="21"/>
  <c r="AH150" i="21" s="1"/>
  <c r="R432" i="21"/>
  <c r="O433" i="21"/>
  <c r="P433" i="21"/>
  <c r="AF433" i="21"/>
  <c r="AN433" i="21"/>
  <c r="AA433" i="21" s="1"/>
  <c r="W433" i="21" s="1"/>
  <c r="M432" i="21" a="1"/>
  <c r="M432" i="21" l="1"/>
  <c r="Q154" i="21"/>
  <c r="R154" i="21" s="1"/>
  <c r="S153" i="21"/>
  <c r="T153" i="21" s="1"/>
  <c r="AI151" i="21"/>
  <c r="X151" i="21"/>
  <c r="AH151" i="21" s="1"/>
  <c r="S432" i="21"/>
  <c r="T432" i="21" s="1"/>
  <c r="V432" i="21" s="1"/>
  <c r="V152" i="21"/>
  <c r="AC152" i="21"/>
  <c r="AD152" i="21" s="1"/>
  <c r="AE432" i="21" l="1"/>
  <c r="X432" i="21"/>
  <c r="AD432" i="21" s="1"/>
  <c r="AI152" i="21"/>
  <c r="X152" i="21"/>
  <c r="AH152" i="21" s="1"/>
  <c r="S154" i="21"/>
  <c r="T154" i="21" s="1"/>
  <c r="Q155" i="21"/>
  <c r="R155" i="21" s="1"/>
  <c r="AC153" i="21"/>
  <c r="AD153" i="21" s="1"/>
  <c r="V153" i="21"/>
  <c r="O434" i="21"/>
  <c r="P434" i="21"/>
  <c r="AF434" i="21"/>
  <c r="AN434" i="21"/>
  <c r="AA434" i="21" s="1"/>
  <c r="W434" i="21" s="1"/>
  <c r="O435" i="21"/>
  <c r="P435" i="21"/>
  <c r="V435" i="21"/>
  <c r="AE435" i="21" s="1"/>
  <c r="AF435" i="21"/>
  <c r="AN435" i="21"/>
  <c r="AA435" i="21" s="1"/>
  <c r="AC435" i="21" s="1"/>
  <c r="W435" i="21" l="1"/>
  <c r="X435" i="21" s="1"/>
  <c r="AD435" i="21" s="1"/>
  <c r="AI153" i="21"/>
  <c r="X153" i="21"/>
  <c r="AH153" i="21" s="1"/>
  <c r="Z435" i="21"/>
  <c r="AB435" i="21" s="1"/>
  <c r="Q156" i="21"/>
  <c r="R156" i="21" s="1"/>
  <c r="S155" i="21"/>
  <c r="T155" i="21" s="1"/>
  <c r="V154" i="21"/>
  <c r="AC154" i="21"/>
  <c r="AD154" i="21" s="1"/>
  <c r="AC155" i="21" l="1"/>
  <c r="AD155" i="21" s="1"/>
  <c r="V155" i="21"/>
  <c r="S156" i="21"/>
  <c r="T156" i="21" s="1"/>
  <c r="Q159" i="21"/>
  <c r="R159" i="21" s="1"/>
  <c r="AI154" i="21"/>
  <c r="X154" i="21"/>
  <c r="AH154" i="21" s="1"/>
  <c r="O436" i="21"/>
  <c r="P436" i="21"/>
  <c r="AB436" i="21"/>
  <c r="AF436" i="21"/>
  <c r="AN436" i="21"/>
  <c r="AA436" i="21" s="1"/>
  <c r="W436" i="21" s="1"/>
  <c r="V156" i="21" l="1"/>
  <c r="AC156" i="21"/>
  <c r="AD156" i="21" s="1"/>
  <c r="S159" i="21"/>
  <c r="T159" i="21" s="1"/>
  <c r="V159" i="21" s="1"/>
  <c r="Q160" i="21"/>
  <c r="R160" i="21" s="1"/>
  <c r="X155" i="21"/>
  <c r="AH155" i="21" s="1"/>
  <c r="AI155" i="21"/>
  <c r="AI156" i="21" l="1"/>
  <c r="X156" i="21"/>
  <c r="AH156" i="21" s="1"/>
  <c r="Q174" i="21"/>
  <c r="R174" i="21" s="1"/>
  <c r="S160" i="21"/>
  <c r="T160" i="21" s="1"/>
  <c r="V160" i="21" s="1"/>
  <c r="AI159" i="21"/>
  <c r="X159" i="21"/>
  <c r="AH159" i="21" s="1"/>
  <c r="O437" i="21"/>
  <c r="P437" i="21"/>
  <c r="Q437" i="21"/>
  <c r="AF437" i="21"/>
  <c r="AN437" i="21"/>
  <c r="AA437" i="21" s="1"/>
  <c r="W437" i="21" s="1"/>
  <c r="L437" i="21" a="1"/>
  <c r="L437" i="21" l="1"/>
  <c r="R437" i="21"/>
  <c r="AI160" i="21"/>
  <c r="AH161" i="21" s="1"/>
  <c r="X160" i="21"/>
  <c r="AH160" i="21" s="1"/>
  <c r="Q175" i="21"/>
  <c r="R175" i="21" s="1"/>
  <c r="S174" i="21"/>
  <c r="T174" i="21" s="1"/>
  <c r="V174" i="21" s="1"/>
  <c r="M437" i="21" a="1"/>
  <c r="M437" i="21" l="1"/>
  <c r="S175" i="21"/>
  <c r="T175" i="21" s="1"/>
  <c r="V175" i="21" s="1"/>
  <c r="Q176" i="21"/>
  <c r="R176" i="21" s="1"/>
  <c r="S437" i="21"/>
  <c r="T437" i="21" s="1"/>
  <c r="V437" i="21" s="1"/>
  <c r="AK174" i="21"/>
  <c r="AC174" i="21" s="1"/>
  <c r="X174" i="21"/>
  <c r="AJ174" i="21" s="1"/>
  <c r="O438" i="21"/>
  <c r="P438" i="21"/>
  <c r="Q438" i="21"/>
  <c r="AF438" i="21"/>
  <c r="AN438" i="21"/>
  <c r="AA438" i="21" s="1"/>
  <c r="W438" i="21" s="1"/>
  <c r="L438" i="21" a="1"/>
  <c r="L438" i="21" l="1"/>
  <c r="R438" i="21"/>
  <c r="AK175" i="21"/>
  <c r="AC175" i="21" s="1"/>
  <c r="X175" i="21"/>
  <c r="AJ175" i="21" s="1"/>
  <c r="AE437" i="21"/>
  <c r="AC437" i="21" s="1"/>
  <c r="AC438" i="21" s="1"/>
  <c r="X437" i="21"/>
  <c r="AD437" i="21" s="1"/>
  <c r="Q177" i="21"/>
  <c r="R177" i="21" s="1"/>
  <c r="S176" i="21"/>
  <c r="T176" i="21" s="1"/>
  <c r="V176" i="21" s="1"/>
  <c r="M438" i="21" a="1"/>
  <c r="M438" i="21" l="1"/>
  <c r="AK176" i="21"/>
  <c r="AC176" i="21" s="1"/>
  <c r="X176" i="21"/>
  <c r="AJ176" i="21" s="1"/>
  <c r="S438" i="21"/>
  <c r="T438" i="21" s="1"/>
  <c r="V438" i="21" s="1"/>
  <c r="S177" i="21"/>
  <c r="T177" i="21" s="1"/>
  <c r="V177" i="21" s="1"/>
  <c r="Q178" i="21"/>
  <c r="R178" i="21" s="1"/>
  <c r="O439" i="21"/>
  <c r="P439" i="21"/>
  <c r="Q439" i="21"/>
  <c r="AF439" i="21"/>
  <c r="AN439" i="21"/>
  <c r="AA439" i="21" s="1"/>
  <c r="L439" i="21" a="1"/>
  <c r="L439" i="21" l="1"/>
  <c r="W439" i="21"/>
  <c r="AC439" i="21"/>
  <c r="S178" i="21"/>
  <c r="T178" i="21" s="1"/>
  <c r="V178" i="21" s="1"/>
  <c r="Q179" i="21"/>
  <c r="R179" i="21" s="1"/>
  <c r="AK177" i="21"/>
  <c r="AC177" i="21" s="1"/>
  <c r="X177" i="21"/>
  <c r="AJ177" i="21" s="1"/>
  <c r="AE438" i="21"/>
  <c r="X438" i="21"/>
  <c r="AD438" i="21" s="1"/>
  <c r="R439" i="21" l="1"/>
  <c r="Q180" i="21"/>
  <c r="R180" i="21" s="1"/>
  <c r="S179" i="21"/>
  <c r="T179" i="21" s="1"/>
  <c r="V179" i="21" s="1"/>
  <c r="AK178" i="21"/>
  <c r="AC178" i="21" s="1"/>
  <c r="X178" i="21"/>
  <c r="AJ178" i="21" s="1"/>
  <c r="O440" i="21"/>
  <c r="P440" i="21"/>
  <c r="Q440" i="21"/>
  <c r="AF440" i="21"/>
  <c r="AN440" i="21"/>
  <c r="AA440" i="21" s="1"/>
  <c r="L440" i="21" a="1"/>
  <c r="M439" i="21" a="1"/>
  <c r="L440" i="21" l="1"/>
  <c r="M439" i="21"/>
  <c r="AC179" i="21"/>
  <c r="AC440" i="21"/>
  <c r="W440" i="21"/>
  <c r="S180" i="21"/>
  <c r="T180" i="21" s="1"/>
  <c r="V180" i="21" s="1"/>
  <c r="Q181" i="21"/>
  <c r="R181" i="21" s="1"/>
  <c r="S439" i="21"/>
  <c r="T439" i="21" s="1"/>
  <c r="V439" i="21" s="1"/>
  <c r="AK179" i="21"/>
  <c r="X179" i="21"/>
  <c r="AJ179" i="21" s="1"/>
  <c r="S181" i="21" l="1"/>
  <c r="T181" i="21" s="1"/>
  <c r="V181" i="21" s="1"/>
  <c r="Q182" i="21"/>
  <c r="R182" i="21" s="1"/>
  <c r="AE439" i="21"/>
  <c r="X439" i="21"/>
  <c r="AD439" i="21" s="1"/>
  <c r="AK180" i="21"/>
  <c r="AC180" i="21" s="1"/>
  <c r="X180" i="21"/>
  <c r="AJ180" i="21" s="1"/>
  <c r="R440" i="21"/>
  <c r="O441" i="21"/>
  <c r="P441" i="21"/>
  <c r="AF441" i="21"/>
  <c r="AN441" i="21"/>
  <c r="AO441" i="21" s="1"/>
  <c r="AA442" i="21"/>
  <c r="W442" i="21" s="1"/>
  <c r="AE442" i="21"/>
  <c r="M440" i="21" a="1"/>
  <c r="AN442" i="21" l="1"/>
  <c r="AA441" i="21"/>
  <c r="AB441" i="21" s="1"/>
  <c r="M440" i="21"/>
  <c r="S440" i="21"/>
  <c r="T440" i="21" s="1"/>
  <c r="V440" i="21" s="1"/>
  <c r="W441" i="21"/>
  <c r="Q183" i="21"/>
  <c r="R183" i="21" s="1"/>
  <c r="S182" i="21"/>
  <c r="T182" i="21" s="1"/>
  <c r="V182" i="21" s="1"/>
  <c r="Q441" i="21"/>
  <c r="AK181" i="21"/>
  <c r="AC181" i="21" s="1"/>
  <c r="X181" i="21"/>
  <c r="AJ181" i="21" s="1"/>
  <c r="L441" i="21" a="1"/>
  <c r="AC441" i="21" l="1"/>
  <c r="L441" i="21"/>
  <c r="AK182" i="21"/>
  <c r="AC182" i="21" s="1"/>
  <c r="X182" i="21"/>
  <c r="AJ182" i="21" s="1"/>
  <c r="AE440" i="21"/>
  <c r="X440" i="21"/>
  <c r="AD440" i="21" s="1"/>
  <c r="S183" i="21"/>
  <c r="T183" i="21" s="1"/>
  <c r="V183" i="21" s="1"/>
  <c r="Q184" i="21"/>
  <c r="R184" i="21" s="1"/>
  <c r="R441" i="21"/>
  <c r="M441" i="21" a="1"/>
  <c r="M441" i="21" l="1"/>
  <c r="Q185" i="21"/>
  <c r="R185" i="21" s="1"/>
  <c r="S184" i="21"/>
  <c r="T184" i="21" s="1"/>
  <c r="V184" i="21" s="1"/>
  <c r="AK183" i="21"/>
  <c r="AC183" i="21" s="1"/>
  <c r="X183" i="21"/>
  <c r="AJ183" i="21" s="1"/>
  <c r="S441" i="21"/>
  <c r="T441" i="21" s="1"/>
  <c r="V441" i="21" s="1"/>
  <c r="AE441" i="21" l="1"/>
  <c r="X441" i="21"/>
  <c r="AD441" i="21" s="1"/>
  <c r="S185" i="21"/>
  <c r="T185" i="21" s="1"/>
  <c r="V185" i="21" s="1"/>
  <c r="Q186" i="21"/>
  <c r="R186" i="21" s="1"/>
  <c r="AK184" i="21"/>
  <c r="AC184" i="21" s="1"/>
  <c r="X184" i="21"/>
  <c r="AJ184" i="21" s="1"/>
  <c r="AK185" i="21" l="1"/>
  <c r="AC185" i="21" s="1"/>
  <c r="X185" i="21"/>
  <c r="AJ185" i="21" s="1"/>
  <c r="S186" i="21"/>
  <c r="T186" i="21" s="1"/>
  <c r="V186" i="21" s="1"/>
  <c r="Q187" i="21"/>
  <c r="R187" i="21" s="1"/>
  <c r="AK186" i="21" l="1"/>
  <c r="X186" i="21"/>
  <c r="AJ186" i="21" s="1"/>
  <c r="Q188" i="21"/>
  <c r="R188" i="21" s="1"/>
  <c r="S187" i="21"/>
  <c r="T187" i="21" s="1"/>
  <c r="V187" i="21" s="1"/>
  <c r="AC186" i="21"/>
  <c r="AK187" i="21" l="1"/>
  <c r="AC187" i="21" s="1"/>
  <c r="X187" i="21"/>
  <c r="AJ187" i="21" s="1"/>
  <c r="S188" i="21"/>
  <c r="T188" i="21" s="1"/>
  <c r="V188" i="21" s="1"/>
  <c r="Q189" i="21"/>
  <c r="R189" i="21" s="1"/>
  <c r="AK188" i="21" l="1"/>
  <c r="AC188" i="21" s="1"/>
  <c r="X188" i="21"/>
  <c r="AJ188" i="21" s="1"/>
  <c r="S189" i="21"/>
  <c r="T189" i="21" s="1"/>
  <c r="V189" i="21" s="1"/>
  <c r="Q190" i="21"/>
  <c r="R190" i="21" s="1"/>
  <c r="Q191" i="21" l="1"/>
  <c r="R191" i="21" s="1"/>
  <c r="S190" i="21"/>
  <c r="T190" i="21" s="1"/>
  <c r="V190" i="21" s="1"/>
  <c r="AK189" i="21"/>
  <c r="AC189" i="21" s="1"/>
  <c r="X189" i="21"/>
  <c r="AJ189" i="21" s="1"/>
  <c r="AK190" i="21" l="1"/>
  <c r="AC190" i="21" s="1"/>
  <c r="X190" i="21"/>
  <c r="AJ190" i="21" s="1"/>
  <c r="Q202" i="21"/>
  <c r="R202" i="21" s="1"/>
  <c r="S191" i="21"/>
  <c r="T191" i="21" s="1"/>
  <c r="V191" i="21" s="1"/>
  <c r="AK191" i="21" l="1"/>
  <c r="AC191" i="21" s="1"/>
  <c r="X191" i="21"/>
  <c r="AJ191" i="21" s="1"/>
  <c r="S202" i="21"/>
  <c r="T202" i="21" s="1"/>
  <c r="V202" i="21" s="1"/>
  <c r="Q203" i="21"/>
  <c r="R203" i="21" s="1"/>
  <c r="S203" i="21" l="1"/>
  <c r="T203" i="21" s="1"/>
  <c r="V203" i="21" s="1"/>
  <c r="Q218" i="21"/>
  <c r="R218" i="21" s="1"/>
  <c r="AK202" i="21"/>
  <c r="AC202" i="21" s="1"/>
  <c r="X202" i="21"/>
  <c r="AJ202" i="21" s="1"/>
  <c r="S218" i="21" l="1"/>
  <c r="T218" i="21" s="1"/>
  <c r="V218" i="21" s="1"/>
  <c r="Q220" i="21"/>
  <c r="R220" i="21" s="1"/>
  <c r="AK203" i="21"/>
  <c r="AC203" i="21" s="1"/>
  <c r="X203" i="21"/>
  <c r="AJ203" i="21" s="1"/>
  <c r="AK218" i="21" l="1"/>
  <c r="AC218" i="21" s="1"/>
  <c r="AC219" i="21" s="1"/>
  <c r="X218" i="21"/>
  <c r="AJ218" i="21" s="1"/>
  <c r="S220" i="21"/>
  <c r="T220" i="21" s="1"/>
  <c r="V220" i="21" s="1"/>
  <c r="Q221" i="21"/>
  <c r="R221" i="21" s="1"/>
  <c r="AK220" i="21" l="1"/>
  <c r="AC220" i="21" s="1"/>
  <c r="X220" i="21"/>
  <c r="AJ220" i="21" s="1"/>
  <c r="Q225" i="21"/>
  <c r="R225" i="21" s="1"/>
  <c r="S221" i="21"/>
  <c r="T221" i="21" s="1"/>
  <c r="V221" i="21" s="1"/>
  <c r="S225" i="21" l="1"/>
  <c r="T225" i="21" s="1"/>
  <c r="V225" i="21" s="1"/>
  <c r="Q234" i="21"/>
  <c r="R234" i="21" s="1"/>
  <c r="AK221" i="21"/>
  <c r="AC221" i="21" s="1"/>
  <c r="AC225" i="21" s="1"/>
  <c r="X221" i="21"/>
  <c r="AJ221" i="21" s="1"/>
  <c r="S234" i="21" l="1"/>
  <c r="T234" i="21" s="1"/>
  <c r="V234" i="21" s="1"/>
  <c r="Q235" i="21"/>
  <c r="R235" i="21" s="1"/>
  <c r="AK225" i="21"/>
  <c r="X225" i="21"/>
  <c r="AJ225" i="21" s="1"/>
  <c r="S235" i="21" l="1"/>
  <c r="T235" i="21" s="1"/>
  <c r="V235" i="21" s="1"/>
  <c r="Q236" i="21"/>
  <c r="R236" i="21" s="1"/>
  <c r="AK234" i="21"/>
  <c r="AC234" i="21" s="1"/>
  <c r="X234" i="21"/>
  <c r="AJ234" i="21" s="1"/>
  <c r="Q237" i="21" l="1"/>
  <c r="R237" i="21" s="1"/>
  <c r="S236" i="21"/>
  <c r="T236" i="21" s="1"/>
  <c r="V236" i="21" s="1"/>
  <c r="AK235" i="21"/>
  <c r="AC235" i="21" s="1"/>
  <c r="X235" i="21"/>
  <c r="AJ235" i="21" s="1"/>
  <c r="Q238" i="21" l="1"/>
  <c r="R238" i="21" s="1"/>
  <c r="S237" i="21"/>
  <c r="T237" i="21" s="1"/>
  <c r="V237" i="21" s="1"/>
  <c r="AK236" i="21"/>
  <c r="AC236" i="21" s="1"/>
  <c r="X236" i="21"/>
  <c r="AJ236" i="21" s="1"/>
  <c r="AF452" i="21"/>
  <c r="AG452" i="21"/>
  <c r="O452" i="21" s="1"/>
  <c r="AN452" i="21"/>
  <c r="AA452" i="21" s="1"/>
  <c r="W452" i="21" s="1"/>
  <c r="AK237" i="21" l="1"/>
  <c r="AC237" i="21" s="1"/>
  <c r="X237" i="21"/>
  <c r="AJ237" i="21" s="1"/>
  <c r="S238" i="21"/>
  <c r="T238" i="21" s="1"/>
  <c r="V238" i="21" s="1"/>
  <c r="Q239" i="21"/>
  <c r="R239" i="21" s="1"/>
  <c r="AK238" i="21" l="1"/>
  <c r="AC238" i="21" s="1"/>
  <c r="X238" i="21"/>
  <c r="AJ238" i="21" s="1"/>
  <c r="S239" i="21"/>
  <c r="T239" i="21" s="1"/>
  <c r="V239" i="21" s="1"/>
  <c r="Q240" i="21"/>
  <c r="R240" i="21" s="1"/>
  <c r="P453" i="21"/>
  <c r="Q453" i="21"/>
  <c r="AA453" i="21"/>
  <c r="W453" i="21" s="1"/>
  <c r="AF453" i="21"/>
  <c r="AG453" i="21"/>
  <c r="O453" i="21" s="1"/>
  <c r="AN453" i="21"/>
  <c r="L453" i="21" a="1"/>
  <c r="L453" i="21" l="1"/>
  <c r="R453" i="21"/>
  <c r="AK239" i="21"/>
  <c r="AC239" i="21" s="1"/>
  <c r="X239" i="21"/>
  <c r="AJ239" i="21" s="1"/>
  <c r="Q241" i="21"/>
  <c r="R241" i="21" s="1"/>
  <c r="S240" i="21"/>
  <c r="T240" i="21" s="1"/>
  <c r="V240" i="21" s="1"/>
  <c r="M453" i="21" a="1"/>
  <c r="M453" i="21" l="1"/>
  <c r="X240" i="21"/>
  <c r="AJ240" i="21" s="1"/>
  <c r="AK240" i="21"/>
  <c r="AC240" i="21" s="1"/>
  <c r="S241" i="21"/>
  <c r="T241" i="21" s="1"/>
  <c r="V241" i="21" s="1"/>
  <c r="Q242" i="21"/>
  <c r="R242" i="21" s="1"/>
  <c r="S453" i="21"/>
  <c r="T453" i="21" s="1"/>
  <c r="V453" i="21" s="1"/>
  <c r="P454" i="21"/>
  <c r="Q454" i="21"/>
  <c r="AF454" i="21"/>
  <c r="AG454" i="21"/>
  <c r="O454" i="21" s="1"/>
  <c r="AN454" i="21"/>
  <c r="AA454" i="21" s="1"/>
  <c r="W454" i="21" s="1"/>
  <c r="L454" i="21" a="1"/>
  <c r="L454" i="21" l="1"/>
  <c r="R454" i="21"/>
  <c r="AE453" i="21"/>
  <c r="X453" i="21"/>
  <c r="AD453" i="21" s="1"/>
  <c r="Q243" i="21"/>
  <c r="R243" i="21" s="1"/>
  <c r="S242" i="21"/>
  <c r="T242" i="21" s="1"/>
  <c r="V242" i="21" s="1"/>
  <c r="X242" i="21" s="1"/>
  <c r="AK241" i="21"/>
  <c r="AC241" i="21" s="1"/>
  <c r="AC242" i="21" s="1"/>
  <c r="AC243" i="21" s="1"/>
  <c r="AC244" i="21" s="1"/>
  <c r="AC245" i="21" s="1"/>
  <c r="X241" i="21"/>
  <c r="AJ241" i="21" s="1"/>
  <c r="M454" i="21" a="1"/>
  <c r="M454" i="21" l="1"/>
  <c r="S454" i="21"/>
  <c r="T454" i="21" s="1"/>
  <c r="V454" i="21" s="1"/>
  <c r="S243" i="21"/>
  <c r="T243" i="21" s="1"/>
  <c r="V243" i="21" s="1"/>
  <c r="X243" i="21" s="1"/>
  <c r="Q244" i="21"/>
  <c r="R244" i="21" s="1"/>
  <c r="P455" i="21"/>
  <c r="Q455" i="21"/>
  <c r="AA455" i="21"/>
  <c r="W455" i="21" s="1"/>
  <c r="AF455" i="21"/>
  <c r="AG455" i="21"/>
  <c r="O455" i="21" s="1"/>
  <c r="AN455" i="21"/>
  <c r="L455" i="21" a="1"/>
  <c r="L455" i="21" l="1"/>
  <c r="R455" i="21"/>
  <c r="S244" i="21"/>
  <c r="T244" i="21" s="1"/>
  <c r="V244" i="21" s="1"/>
  <c r="X244" i="21" s="1"/>
  <c r="Q245" i="21"/>
  <c r="R245" i="21" s="1"/>
  <c r="AE454" i="21"/>
  <c r="X454" i="21"/>
  <c r="AD454" i="21" s="1"/>
  <c r="M455" i="21" a="1"/>
  <c r="M455" i="21" l="1"/>
  <c r="S455" i="21"/>
  <c r="V455" i="21" s="1"/>
  <c r="Q292" i="21"/>
  <c r="R292" i="21" s="1"/>
  <c r="S245" i="21"/>
  <c r="T245" i="21" s="1"/>
  <c r="V245" i="21" s="1"/>
  <c r="X245" i="21" s="1"/>
  <c r="O456" i="21"/>
  <c r="P456" i="21"/>
  <c r="Q456" i="21"/>
  <c r="AF456" i="21"/>
  <c r="AN456" i="21"/>
  <c r="AA456" i="21" s="1"/>
  <c r="W456" i="21" s="1"/>
  <c r="L456" i="21" a="1"/>
  <c r="L456" i="21" l="1"/>
  <c r="R456" i="21"/>
  <c r="S292" i="21"/>
  <c r="T292" i="21" s="1"/>
  <c r="V292" i="21" s="1"/>
  <c r="Q300" i="21"/>
  <c r="R300" i="21" s="1"/>
  <c r="AE455" i="21"/>
  <c r="X455" i="21"/>
  <c r="AD455" i="21" s="1"/>
  <c r="M456" i="21" a="1"/>
  <c r="M456" i="21" l="1"/>
  <c r="AK292" i="21"/>
  <c r="AC292" i="21" s="1"/>
  <c r="X292" i="21"/>
  <c r="AJ292" i="21" s="1"/>
  <c r="S456" i="21"/>
  <c r="T456" i="21" s="1"/>
  <c r="V456" i="21" s="1"/>
  <c r="Q302" i="21"/>
  <c r="S302" i="21" s="1"/>
  <c r="T302" i="21" s="1"/>
  <c r="V302" i="21" s="1"/>
  <c r="S300" i="21"/>
  <c r="T300" i="21" s="1"/>
  <c r="V300" i="21" s="1"/>
  <c r="O457" i="21"/>
  <c r="P457" i="21"/>
  <c r="Q457" i="21"/>
  <c r="AF457" i="21"/>
  <c r="AN457" i="21"/>
  <c r="AA457" i="21" s="1"/>
  <c r="W457" i="21" s="1"/>
  <c r="L457" i="21" a="1"/>
  <c r="L457" i="21" l="1"/>
  <c r="R457" i="21"/>
  <c r="AE456" i="21"/>
  <c r="X456" i="21"/>
  <c r="AD456" i="21" s="1"/>
  <c r="AK300" i="21"/>
  <c r="AC300" i="21" s="1"/>
  <c r="X300" i="21"/>
  <c r="AJ300" i="21" s="1"/>
  <c r="AK302" i="21"/>
  <c r="X302" i="21"/>
  <c r="M457" i="21" a="1"/>
  <c r="AC302" i="21" l="1"/>
  <c r="M457" i="21"/>
  <c r="S457" i="21"/>
  <c r="T457" i="21" s="1"/>
  <c r="V457" i="21" s="1"/>
  <c r="AJ302" i="21"/>
  <c r="W303" i="21"/>
  <c r="O458" i="21"/>
  <c r="P458" i="21"/>
  <c r="AF458" i="21"/>
  <c r="AN458" i="21"/>
  <c r="AA458" i="21" s="1"/>
  <c r="W458" i="21" s="1"/>
  <c r="AE457" i="21" l="1"/>
  <c r="X457" i="21"/>
  <c r="AD457" i="21" s="1"/>
  <c r="O459" i="21" l="1"/>
  <c r="P459" i="21"/>
  <c r="Q459" i="21"/>
  <c r="AF459" i="21"/>
  <c r="AN459" i="21"/>
  <c r="AA459" i="21" s="1"/>
  <c r="W459" i="21" s="1"/>
  <c r="L459" i="21" a="1"/>
  <c r="L459" i="21" l="1"/>
  <c r="R459" i="21"/>
  <c r="M459" i="21" a="1"/>
  <c r="M459" i="21" l="1"/>
  <c r="S459" i="21"/>
  <c r="T459" i="21" s="1"/>
  <c r="V459" i="21" s="1"/>
  <c r="O460" i="21"/>
  <c r="P460" i="21"/>
  <c r="Q460" i="21"/>
  <c r="AF460" i="21"/>
  <c r="AN460" i="21"/>
  <c r="AA460" i="21" s="1"/>
  <c r="W460" i="21" s="1"/>
  <c r="L460" i="21" a="1"/>
  <c r="L460" i="21" l="1"/>
  <c r="R460" i="21"/>
  <c r="AE459" i="21"/>
  <c r="X459" i="21"/>
  <c r="AD459" i="21" s="1"/>
  <c r="M460" i="21" a="1"/>
  <c r="M460" i="21" l="1"/>
  <c r="S460" i="21"/>
  <c r="T460" i="21" s="1"/>
  <c r="V460" i="21" s="1"/>
  <c r="O461" i="21"/>
  <c r="P461" i="21"/>
  <c r="Q461" i="21"/>
  <c r="AF461" i="21"/>
  <c r="AN461" i="21"/>
  <c r="AA461" i="21" s="1"/>
  <c r="W461" i="21" s="1"/>
  <c r="L461" i="21" a="1"/>
  <c r="L461" i="21" l="1"/>
  <c r="AE460" i="21"/>
  <c r="X460" i="21"/>
  <c r="AD460" i="21" s="1"/>
  <c r="M461" i="21" a="1"/>
  <c r="M461" i="21" l="1"/>
  <c r="S461" i="21"/>
  <c r="T461" i="21" s="1"/>
  <c r="V461" i="21" s="1"/>
  <c r="O462" i="21"/>
  <c r="P462" i="21"/>
  <c r="Q462" i="21"/>
  <c r="AF462" i="21"/>
  <c r="AN462" i="21"/>
  <c r="AA462" i="21" s="1"/>
  <c r="W462" i="21" s="1"/>
  <c r="L462" i="21" a="1"/>
  <c r="L462" i="21" l="1"/>
  <c r="R462" i="21"/>
  <c r="AE461" i="21"/>
  <c r="X461" i="21"/>
  <c r="AD461" i="21" s="1"/>
  <c r="M462" i="21" a="1"/>
  <c r="M462" i="21" l="1"/>
  <c r="S462" i="21"/>
  <c r="T462" i="21" s="1"/>
  <c r="V462" i="21" s="1"/>
  <c r="O463" i="21"/>
  <c r="P463" i="21"/>
  <c r="Q463" i="21"/>
  <c r="R463" i="21"/>
  <c r="AF463" i="21"/>
  <c r="AN463" i="21"/>
  <c r="AA463" i="21" s="1"/>
  <c r="W463" i="21" s="1"/>
  <c r="L463" i="21" a="1"/>
  <c r="M463" i="21" a="1"/>
  <c r="S463" i="21" l="1"/>
  <c r="T463" i="21" s="1"/>
  <c r="V463" i="21" s="1"/>
  <c r="AE463" i="21" s="1"/>
  <c r="L463" i="21"/>
  <c r="M463" i="21"/>
  <c r="AE462" i="21"/>
  <c r="X462" i="21"/>
  <c r="AD462" i="21" s="1"/>
  <c r="X463" i="21" l="1"/>
  <c r="AD463" i="21" s="1"/>
  <c r="O464" i="21"/>
  <c r="P464" i="21"/>
  <c r="AD465" i="21"/>
  <c r="AE465" i="21"/>
  <c r="O466" i="21" l="1"/>
  <c r="P466" i="21"/>
  <c r="Q466" i="21"/>
  <c r="T466" i="21"/>
  <c r="V466" i="21" s="1"/>
  <c r="AE466" i="21" s="1"/>
  <c r="W466" i="21"/>
  <c r="AB466" i="21" s="1"/>
  <c r="AF466" i="21"/>
  <c r="AN466" i="21"/>
  <c r="AA466" i="21" s="1"/>
  <c r="Z466" i="21" s="1"/>
  <c r="L466" i="21" a="1"/>
  <c r="Y466" i="21" l="1"/>
  <c r="W464" i="21" s="1"/>
  <c r="L466" i="21"/>
  <c r="X466" i="21"/>
  <c r="AD466" i="21" s="1"/>
  <c r="R466" i="21"/>
  <c r="M466" i="21" a="1"/>
  <c r="M466" i="21" l="1"/>
  <c r="S466" i="21"/>
  <c r="O467" i="21"/>
  <c r="P467" i="21"/>
  <c r="Q467" i="21"/>
  <c r="W467" i="21"/>
  <c r="L467" i="21" a="1"/>
  <c r="L467" i="21" l="1"/>
  <c r="R467" i="21"/>
  <c r="M467" i="21" a="1"/>
  <c r="M467" i="21" l="1"/>
  <c r="S467" i="21"/>
  <c r="T467" i="21" s="1"/>
  <c r="V467" i="21" s="1"/>
  <c r="O468" i="21"/>
  <c r="P468" i="21"/>
  <c r="Q468" i="21"/>
  <c r="R468" i="21"/>
  <c r="AF468" i="21"/>
  <c r="AN468" i="21"/>
  <c r="AA468" i="21" s="1"/>
  <c r="W468" i="21" s="1"/>
  <c r="M468" i="21" a="1"/>
  <c r="L468" i="21" a="1"/>
  <c r="S468" i="21" l="1"/>
  <c r="T468" i="21" s="1"/>
  <c r="V468" i="21" s="1"/>
  <c r="AE468" i="21" s="1"/>
  <c r="L468" i="21"/>
  <c r="M468" i="21"/>
  <c r="AE467" i="21"/>
  <c r="X467" i="21"/>
  <c r="AD467" i="21" s="1"/>
  <c r="X468" i="21" l="1"/>
  <c r="AD468" i="21" s="1"/>
  <c r="Q469" i="21"/>
  <c r="W469" i="21"/>
  <c r="R469" i="21" s="1"/>
  <c r="L469" i="21" a="1"/>
  <c r="M469" i="21" a="1"/>
  <c r="M469" i="21" l="1"/>
  <c r="L469" i="21"/>
  <c r="S469" i="21"/>
  <c r="T469" i="21" s="1"/>
  <c r="V469" i="21" s="1"/>
  <c r="X469" i="21" s="1"/>
  <c r="O470" i="21" l="1"/>
  <c r="P470" i="21"/>
  <c r="Q470" i="21"/>
  <c r="R470" i="21"/>
  <c r="AF470" i="21"/>
  <c r="AN470" i="21"/>
  <c r="AA470" i="21" s="1"/>
  <c r="W470" i="21" s="1"/>
  <c r="M470" i="21" a="1"/>
  <c r="L470" i="21" a="1"/>
  <c r="S470" i="21" l="1"/>
  <c r="T470" i="21" s="1"/>
  <c r="V470" i="21" s="1"/>
  <c r="AE470" i="21" s="1"/>
  <c r="M470" i="21"/>
  <c r="L470" i="21"/>
  <c r="X470" i="21" l="1"/>
  <c r="AD470" i="21" s="1"/>
  <c r="Q472" i="21"/>
  <c r="L472" i="21" a="1"/>
  <c r="W472" i="21" l="1"/>
  <c r="R472" i="21" s="1"/>
  <c r="L472" i="21"/>
  <c r="M472" i="21" a="1"/>
  <c r="M472" i="21" l="1"/>
  <c r="S472" i="21"/>
  <c r="T472" i="21" s="1"/>
  <c r="V472" i="21" s="1"/>
  <c r="X472" i="21" s="1"/>
  <c r="O473" i="21"/>
  <c r="P473" i="21"/>
  <c r="Q473" i="21"/>
  <c r="AF473" i="21"/>
  <c r="AN473" i="21"/>
  <c r="AA473" i="21" s="1"/>
  <c r="W473" i="21" s="1"/>
  <c r="L473" i="21" a="1"/>
  <c r="L473" i="21" l="1"/>
  <c r="R473" i="21"/>
  <c r="M473" i="21" a="1"/>
  <c r="M473" i="21" l="1"/>
  <c r="S473" i="21"/>
  <c r="T473" i="21" s="1"/>
  <c r="V473" i="21" s="1"/>
  <c r="O474" i="21"/>
  <c r="P474" i="21"/>
  <c r="Q474" i="21"/>
  <c r="AF474" i="21"/>
  <c r="AN474" i="21"/>
  <c r="AA474" i="21" s="1"/>
  <c r="W474" i="21" s="1"/>
  <c r="L474" i="21" a="1"/>
  <c r="L474" i="21" l="1"/>
  <c r="R474" i="21"/>
  <c r="AE473" i="21"/>
  <c r="X473" i="21"/>
  <c r="AD473" i="21" s="1"/>
  <c r="M474" i="21" a="1"/>
  <c r="M474" i="21" l="1"/>
  <c r="S474" i="21"/>
  <c r="T474" i="21" s="1"/>
  <c r="V474" i="21" s="1"/>
  <c r="O475" i="21"/>
  <c r="P475" i="21"/>
  <c r="Q475" i="21"/>
  <c r="AF475" i="21"/>
  <c r="AN475" i="21"/>
  <c r="AA475" i="21" s="1"/>
  <c r="W475" i="21" s="1"/>
  <c r="L475" i="21" a="1"/>
  <c r="R475" i="21" l="1"/>
  <c r="L475" i="21"/>
  <c r="S475" i="21"/>
  <c r="T475" i="21" s="1"/>
  <c r="V475" i="21" s="1"/>
  <c r="AE475" i="21" s="1"/>
  <c r="AE474" i="21"/>
  <c r="X474" i="21"/>
  <c r="AD474" i="21" s="1"/>
  <c r="M475" i="21" a="1"/>
  <c r="M475" i="21" l="1"/>
  <c r="X475" i="21"/>
  <c r="AD475" i="21" s="1"/>
  <c r="O476" i="21"/>
  <c r="P476" i="21"/>
  <c r="Q476" i="21"/>
  <c r="AF476" i="21"/>
  <c r="AN476" i="21"/>
  <c r="AA476" i="21" s="1"/>
  <c r="W476" i="21" s="1"/>
  <c r="L476" i="21" a="1"/>
  <c r="L476" i="21" l="1"/>
  <c r="R476" i="21"/>
  <c r="M476" i="21" a="1"/>
  <c r="M476" i="21" l="1"/>
  <c r="S476" i="21"/>
  <c r="T476" i="21" s="1"/>
  <c r="V476" i="21" s="1"/>
  <c r="O477" i="21"/>
  <c r="P477" i="21"/>
  <c r="Q477" i="21"/>
  <c r="AF477" i="21"/>
  <c r="AN477" i="21"/>
  <c r="AA477" i="21" s="1"/>
  <c r="W477" i="21" s="1"/>
  <c r="L477" i="21" a="1"/>
  <c r="L477" i="21" l="1"/>
  <c r="R477" i="21"/>
  <c r="AE476" i="21"/>
  <c r="X476" i="21"/>
  <c r="AD476" i="21" s="1"/>
  <c r="M477" i="21" a="1"/>
  <c r="M477" i="21" l="1"/>
  <c r="S477" i="21"/>
  <c r="T477" i="21" s="1"/>
  <c r="V477" i="21" s="1"/>
  <c r="O478" i="21"/>
  <c r="P478" i="21"/>
  <c r="Q478" i="21"/>
  <c r="AF478" i="21"/>
  <c r="AN478" i="21"/>
  <c r="AA478" i="21" s="1"/>
  <c r="W478" i="21" s="1"/>
  <c r="L478" i="21" a="1"/>
  <c r="L478" i="21" l="1"/>
  <c r="R478" i="21"/>
  <c r="AE477" i="21"/>
  <c r="X477" i="21"/>
  <c r="AD477" i="21" s="1"/>
  <c r="M478" i="21" a="1"/>
  <c r="M478" i="21" l="1"/>
  <c r="S478" i="21"/>
  <c r="T478" i="21" s="1"/>
  <c r="V478" i="21" s="1"/>
  <c r="O479" i="21"/>
  <c r="P479" i="21"/>
  <c r="Q479" i="21"/>
  <c r="AF479" i="21"/>
  <c r="AN479" i="21"/>
  <c r="AA479" i="21" s="1"/>
  <c r="W479" i="21" s="1"/>
  <c r="O480" i="21"/>
  <c r="P480" i="21"/>
  <c r="Q480" i="21"/>
  <c r="AF480" i="21"/>
  <c r="AN480" i="21"/>
  <c r="AA480" i="21" s="1"/>
  <c r="W480" i="21" s="1"/>
  <c r="O482" i="21"/>
  <c r="P482" i="21"/>
  <c r="AF482" i="21"/>
  <c r="AN482" i="21"/>
  <c r="AA482" i="21" s="1"/>
  <c r="L479" i="21" a="1"/>
  <c r="L479" i="21" l="1"/>
  <c r="R479" i="21"/>
  <c r="Z482" i="21"/>
  <c r="W482" i="21"/>
  <c r="AE478" i="21"/>
  <c r="X478" i="21"/>
  <c r="AD478" i="21" s="1"/>
  <c r="M479" i="21" a="1"/>
  <c r="M483" i="21" a="1"/>
  <c r="M479" i="21" l="1"/>
  <c r="Q464" i="21"/>
  <c r="S479" i="21"/>
  <c r="T479" i="21" s="1"/>
  <c r="V479" i="21" s="1"/>
  <c r="M483" i="21"/>
  <c r="O483" i="21"/>
  <c r="P483" i="21"/>
  <c r="AF483" i="21"/>
  <c r="AN483" i="21"/>
  <c r="AA483" i="21" s="1"/>
  <c r="W483" i="21" s="1"/>
  <c r="AM484" i="21"/>
  <c r="S487" i="21"/>
  <c r="U487" i="21"/>
  <c r="U488" i="21" s="1"/>
  <c r="V487" i="21"/>
  <c r="V480" i="21" s="1"/>
  <c r="W487" i="21"/>
  <c r="W488" i="21" s="1"/>
  <c r="U489" i="21"/>
  <c r="V489" i="21" s="1"/>
  <c r="V482" i="21" s="1"/>
  <c r="AE482" i="21" s="1"/>
  <c r="L464" i="21" a="1"/>
  <c r="V488" i="21" l="1"/>
  <c r="V481" i="21" s="1"/>
  <c r="U490" i="21"/>
  <c r="V490" i="21" s="1"/>
  <c r="L464" i="21"/>
  <c r="X488" i="21"/>
  <c r="X487" i="21"/>
  <c r="Y487" i="21" s="1"/>
  <c r="Z487" i="21" s="1"/>
  <c r="X482" i="21"/>
  <c r="AD482" i="21" s="1"/>
  <c r="AE479" i="21"/>
  <c r="X479" i="21"/>
  <c r="AD479" i="21" s="1"/>
  <c r="AE480" i="21"/>
  <c r="Z480" i="21" s="1"/>
  <c r="X480" i="21"/>
  <c r="R464" i="21"/>
  <c r="M464" i="21" a="1"/>
  <c r="W489" i="21" l="1"/>
  <c r="M464" i="21"/>
  <c r="S464" i="21"/>
  <c r="T464" i="21" s="1"/>
  <c r="V464" i="21" s="1"/>
  <c r="X464" i="21" s="1"/>
  <c r="AD480" i="21"/>
  <c r="W481" i="21"/>
  <c r="X481" i="21" s="1"/>
  <c r="R480" i="21"/>
  <c r="Q488" i="21"/>
  <c r="W490" i="21" l="1"/>
  <c r="X490" i="21" s="1"/>
  <c r="X489" i="21"/>
  <c r="Q481" i="21"/>
  <c r="S488" i="21"/>
  <c r="Y488" i="21" s="1"/>
  <c r="Z488" i="21" s="1"/>
  <c r="C15" i="17"/>
  <c r="C14" i="17"/>
  <c r="C13" i="17"/>
  <c r="C12" i="17"/>
  <c r="C11" i="17"/>
  <c r="C10" i="17"/>
  <c r="C9" i="17"/>
  <c r="C8" i="17"/>
  <c r="R481" i="21" l="1"/>
  <c r="Q489" i="21"/>
  <c r="Z1" i="19"/>
  <c r="Z3" i="19"/>
  <c r="Q482" i="21" l="1"/>
  <c r="S489" i="21"/>
  <c r="Y489" i="21" s="1"/>
  <c r="Z489" i="21" s="1"/>
  <c r="R482" i="21" l="1"/>
  <c r="Q490" i="21"/>
  <c r="Z2" i="19"/>
  <c r="S490" i="21" l="1"/>
  <c r="Y490" i="21" s="1"/>
  <c r="Z490" i="21" s="1"/>
  <c r="F3" i="17"/>
  <c r="BB8" i="19" l="1"/>
  <c r="BB12" i="19" s="1"/>
  <c r="AM6" i="19"/>
  <c r="AX8" i="19"/>
  <c r="AX12" i="19" s="1"/>
  <c r="BF8" i="19"/>
  <c r="BF12" i="19" s="1"/>
  <c r="AE8" i="19"/>
  <c r="AE12" i="19" s="1"/>
  <c r="AI8" i="19"/>
  <c r="AI12" i="19" s="1"/>
  <c r="AO8" i="19"/>
  <c r="AO12" i="19" s="1"/>
  <c r="AQ8" i="19"/>
  <c r="AQ12" i="19" s="1"/>
  <c r="AY8" i="19"/>
  <c r="AY12" i="19" s="1"/>
  <c r="BG8" i="19"/>
  <c r="BG12" i="19" s="1"/>
  <c r="AC8" i="19"/>
  <c r="AC12" i="19" s="1"/>
  <c r="AD8" i="19"/>
  <c r="AD12" i="19" s="1"/>
  <c r="AH8" i="19"/>
  <c r="AH12" i="19" s="1"/>
  <c r="AJ8" i="19"/>
  <c r="AJ12" i="19" s="1"/>
  <c r="AN8" i="19"/>
  <c r="AN12" i="19" s="1"/>
  <c r="AP8" i="19"/>
  <c r="AP12" i="19" s="1"/>
  <c r="AR12" i="19"/>
  <c r="AV8" i="19"/>
  <c r="AV12" i="19" s="1"/>
  <c r="AZ8" i="19"/>
  <c r="AZ12" i="19" s="1"/>
  <c r="BD8" i="19"/>
  <c r="BD12" i="19" s="1"/>
  <c r="BA8" i="19" l="1"/>
  <c r="BA12" i="19" s="1"/>
  <c r="BE8" i="19"/>
  <c r="BE12" i="19" s="1"/>
  <c r="AT8" i="19"/>
  <c r="AT12" i="19" s="1"/>
  <c r="AW8" i="19"/>
  <c r="AW12" i="19" s="1"/>
  <c r="AG8" i="19"/>
  <c r="AG12" i="19" s="1"/>
  <c r="AL8" i="19"/>
  <c r="AL12" i="19" s="1"/>
  <c r="AK8" i="19"/>
  <c r="AK12" i="19" s="1"/>
  <c r="AF8" i="19"/>
  <c r="AF12" i="19" s="1"/>
  <c r="BC8" i="19"/>
  <c r="BC12" i="19" s="1"/>
  <c r="AS12" i="19"/>
  <c r="AM8" i="19"/>
  <c r="AM12" i="19" s="1"/>
  <c r="AU8" i="19"/>
  <c r="AU12" i="19" s="1"/>
  <c r="F4" i="17" a="1"/>
  <c r="F4" i="17" l="1"/>
  <c r="G208" i="6" l="1"/>
  <c r="C208" i="6"/>
  <c r="G201" i="6"/>
  <c r="G202" i="6" s="1"/>
  <c r="C200" i="6"/>
  <c r="C201" i="6" s="1"/>
  <c r="D164" i="6"/>
  <c r="F153" i="6"/>
  <c r="F142" i="6"/>
  <c r="D140" i="6"/>
  <c r="F132" i="6"/>
  <c r="F131" i="6"/>
  <c r="F123" i="6"/>
  <c r="D123" i="6"/>
  <c r="F115" i="6"/>
  <c r="D107" i="6"/>
  <c r="D87" i="6"/>
  <c r="F78" i="6"/>
  <c r="F68" i="6"/>
  <c r="D68" i="6"/>
  <c r="G68" i="6" s="1"/>
  <c r="I68" i="6" s="1"/>
  <c r="F62" i="6"/>
  <c r="D53" i="6"/>
  <c r="F52" i="6"/>
  <c r="F51" i="6"/>
  <c r="I21" i="6"/>
  <c r="F151" i="6" s="1"/>
  <c r="I20" i="6"/>
  <c r="I19" i="6"/>
  <c r="I18" i="6"/>
  <c r="I17" i="6"/>
  <c r="I16" i="6"/>
  <c r="M15" i="6"/>
  <c r="F28" i="6" s="1"/>
  <c r="I15" i="6"/>
  <c r="N14" i="6"/>
  <c r="M14" i="6"/>
  <c r="F50" i="6" s="1"/>
  <c r="I14" i="6"/>
  <c r="N13" i="6"/>
  <c r="M13" i="6" s="1"/>
  <c r="F59" i="6" s="1"/>
  <c r="I13" i="6"/>
  <c r="N12" i="6"/>
  <c r="M12" i="6"/>
  <c r="I12" i="6"/>
  <c r="N11" i="6"/>
  <c r="M11" i="6"/>
  <c r="F77" i="6" s="1"/>
  <c r="J11" i="6"/>
  <c r="I11" i="6"/>
  <c r="N10" i="6"/>
  <c r="M10" i="6" s="1"/>
  <c r="F86" i="6" s="1"/>
  <c r="I10" i="6"/>
  <c r="M9" i="6"/>
  <c r="F105" i="6" s="1"/>
  <c r="I9" i="6"/>
  <c r="F27" i="6" s="1"/>
  <c r="M8" i="6"/>
  <c r="F104" i="6" s="1"/>
  <c r="I8" i="6"/>
  <c r="E8" i="6"/>
  <c r="D31" i="6" s="1"/>
  <c r="G31" i="6" s="1"/>
  <c r="I31" i="6" s="1"/>
  <c r="M7" i="6"/>
  <c r="F113" i="6" s="1"/>
  <c r="I7" i="6"/>
  <c r="E7" i="6"/>
  <c r="M6" i="6"/>
  <c r="F122" i="6" s="1"/>
  <c r="I6" i="6"/>
  <c r="E6" i="6"/>
  <c r="D51" i="6" s="1"/>
  <c r="G51" i="6" s="1"/>
  <c r="I51" i="6" s="1"/>
  <c r="M5" i="6"/>
  <c r="I5" i="6"/>
  <c r="E5" i="6"/>
  <c r="M4" i="6"/>
  <c r="F44" i="6" s="1"/>
  <c r="I4" i="6"/>
  <c r="E4" i="6"/>
  <c r="E3" i="6"/>
  <c r="D27" i="6" s="1"/>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D62" i="6" l="1"/>
  <c r="G62" i="6" s="1"/>
  <c r="I62" i="6" s="1"/>
  <c r="G123" i="6"/>
  <c r="I123" i="6" s="1"/>
  <c r="D134" i="6"/>
  <c r="F70" i="6"/>
  <c r="F140" i="6"/>
  <c r="G140" i="6" s="1"/>
  <c r="I140" i="6" s="1"/>
  <c r="D80" i="6"/>
  <c r="F41" i="6"/>
  <c r="D44" i="6"/>
  <c r="G44" i="6" s="1"/>
  <c r="I44" i="6" s="1"/>
  <c r="D98" i="6"/>
  <c r="D143" i="6"/>
  <c r="D155" i="6"/>
  <c r="G155" i="6" s="1"/>
  <c r="I155" i="6" s="1"/>
  <c r="F42" i="6"/>
  <c r="F43" i="6"/>
  <c r="D103" i="6"/>
  <c r="G103" i="6" s="1"/>
  <c r="I103" i="6" s="1"/>
  <c r="F152" i="6"/>
  <c r="F87" i="6"/>
  <c r="G87" i="6" s="1"/>
  <c r="I87" i="6" s="1"/>
  <c r="F96" i="6"/>
  <c r="F49" i="6"/>
  <c r="AC60" i="2"/>
  <c r="AB60" i="2"/>
  <c r="AD60" i="2" s="1"/>
  <c r="Z92" i="2"/>
  <c r="AB31" i="2"/>
  <c r="T31" i="2"/>
  <c r="V31" i="2" s="1"/>
  <c r="AI31" i="2" s="1"/>
  <c r="Q154" i="2"/>
  <c r="AC92" i="2"/>
  <c r="AD92" i="2" s="1"/>
  <c r="V16" i="2"/>
  <c r="AF16" i="2"/>
  <c r="R179" i="2"/>
  <c r="X31" i="2"/>
  <c r="AC85" i="2"/>
  <c r="AD85" i="2" s="1"/>
  <c r="X85" i="2"/>
  <c r="Y42" i="2"/>
  <c r="Z124" i="2"/>
  <c r="Z125" i="2" s="1"/>
  <c r="Z126" i="2" s="1"/>
  <c r="Z127" i="2" s="1"/>
  <c r="Z128" i="2" s="1"/>
  <c r="Z130" i="2" s="1"/>
  <c r="Z133" i="2" s="1"/>
  <c r="R178" i="2"/>
  <c r="S178" i="2" s="1"/>
  <c r="T178" i="2" s="1"/>
  <c r="V178" i="2" s="1"/>
  <c r="AC88" i="2"/>
  <c r="AD88" i="2" s="1"/>
  <c r="W114" i="2"/>
  <c r="Z114" i="2"/>
  <c r="Z122" i="2" s="1"/>
  <c r="V3" i="2"/>
  <c r="S177" i="2"/>
  <c r="T177" i="2" s="1"/>
  <c r="V177" i="2" s="1"/>
  <c r="AI177" i="2" s="1"/>
  <c r="W141" i="2"/>
  <c r="T60" i="2"/>
  <c r="V60" i="2" s="1"/>
  <c r="AI60" i="2" s="1"/>
  <c r="W60" i="2"/>
  <c r="X60" i="2" s="1"/>
  <c r="Y61" i="2"/>
  <c r="Z66" i="2"/>
  <c r="S32" i="2"/>
  <c r="Q33" i="2"/>
  <c r="V11" i="2"/>
  <c r="AF11" i="2"/>
  <c r="X177" i="2"/>
  <c r="AH177" i="2" s="1"/>
  <c r="T204" i="2"/>
  <c r="V204" i="2" s="1"/>
  <c r="AI204" i="2" s="1"/>
  <c r="X207" i="2"/>
  <c r="F76" i="6"/>
  <c r="F112" i="6"/>
  <c r="F130" i="6"/>
  <c r="F139" i="6"/>
  <c r="F58" i="6"/>
  <c r="F121" i="6"/>
  <c r="F94" i="6"/>
  <c r="F40" i="6"/>
  <c r="F85" i="6"/>
  <c r="F103" i="6"/>
  <c r="F67" i="6"/>
  <c r="AF15" i="2"/>
  <c r="Y65" i="2"/>
  <c r="Z81" i="2"/>
  <c r="G27" i="6"/>
  <c r="I27" i="6" s="1"/>
  <c r="AC90" i="2"/>
  <c r="AD90" i="2" s="1"/>
  <c r="Y43" i="2"/>
  <c r="D52" i="6"/>
  <c r="G52" i="6" s="1"/>
  <c r="I52" i="6" s="1"/>
  <c r="D79" i="6"/>
  <c r="D154" i="6"/>
  <c r="G154" i="6" s="1"/>
  <c r="I154" i="6" s="1"/>
  <c r="D133" i="6"/>
  <c r="D106" i="6"/>
  <c r="D115" i="6"/>
  <c r="G115" i="6" s="1"/>
  <c r="I115" i="6" s="1"/>
  <c r="D88" i="6"/>
  <c r="D142" i="6"/>
  <c r="G142" i="6" s="1"/>
  <c r="I142" i="6" s="1"/>
  <c r="D61" i="6"/>
  <c r="D43" i="6"/>
  <c r="D124" i="6"/>
  <c r="D70" i="6"/>
  <c r="D97" i="6"/>
  <c r="D30" i="6"/>
  <c r="G30" i="6" s="1"/>
  <c r="I30" i="6" s="1"/>
  <c r="Z123" i="2"/>
  <c r="R37" i="2"/>
  <c r="AF21" i="2"/>
  <c r="V21" i="2"/>
  <c r="R154" i="2"/>
  <c r="S154" i="2" s="1"/>
  <c r="T154" i="2" s="1"/>
  <c r="V154" i="2" s="1"/>
  <c r="AI154" i="2" s="1"/>
  <c r="R157" i="2"/>
  <c r="C209" i="6"/>
  <c r="Q153" i="2"/>
  <c r="S153" i="2" s="1"/>
  <c r="T153" i="2" s="1"/>
  <c r="V153" i="2" s="1"/>
  <c r="V14" i="2"/>
  <c r="T208" i="2"/>
  <c r="V208" i="2" s="1"/>
  <c r="AI208" i="2" s="1"/>
  <c r="AB208" i="2" s="1"/>
  <c r="F98" i="6"/>
  <c r="F61" i="6"/>
  <c r="F79" i="6"/>
  <c r="F133" i="6"/>
  <c r="F106" i="6"/>
  <c r="F116" i="6"/>
  <c r="F125" i="6"/>
  <c r="F89" i="6"/>
  <c r="F143" i="6"/>
  <c r="F107" i="6"/>
  <c r="F88" i="6"/>
  <c r="F124" i="6"/>
  <c r="F71" i="6"/>
  <c r="F53" i="6"/>
  <c r="G53" i="6" s="1"/>
  <c r="I53" i="6" s="1"/>
  <c r="F80" i="6"/>
  <c r="G80" i="6" s="1"/>
  <c r="I80" i="6" s="1"/>
  <c r="F97" i="6"/>
  <c r="F134" i="6"/>
  <c r="G134" i="6" s="1"/>
  <c r="I134" i="6" s="1"/>
  <c r="AC142" i="2"/>
  <c r="AD142" i="2" s="1"/>
  <c r="D104" i="6"/>
  <c r="G104" i="6" s="1"/>
  <c r="I104" i="6" s="1"/>
  <c r="D122" i="6"/>
  <c r="G122" i="6" s="1"/>
  <c r="I122" i="6" s="1"/>
  <c r="D50" i="6"/>
  <c r="G50" i="6" s="1"/>
  <c r="I50" i="6" s="1"/>
  <c r="D41" i="6"/>
  <c r="G41" i="6" s="1"/>
  <c r="I41" i="6" s="1"/>
  <c r="D77" i="6"/>
  <c r="G77" i="6" s="1"/>
  <c r="I77" i="6" s="1"/>
  <c r="D113" i="6"/>
  <c r="G113" i="6" s="1"/>
  <c r="I113" i="6" s="1"/>
  <c r="D95" i="6"/>
  <c r="D152" i="6"/>
  <c r="D86" i="6"/>
  <c r="G86" i="6" s="1"/>
  <c r="I86" i="6" s="1"/>
  <c r="D59" i="6"/>
  <c r="G59" i="6" s="1"/>
  <c r="I59" i="6" s="1"/>
  <c r="D131" i="6"/>
  <c r="G131" i="6" s="1"/>
  <c r="I131" i="6" s="1"/>
  <c r="D28" i="6"/>
  <c r="G28" i="6" s="1"/>
  <c r="I28" i="6" s="1"/>
  <c r="D67" i="6"/>
  <c r="D139" i="6"/>
  <c r="D40" i="6"/>
  <c r="G40" i="6" s="1"/>
  <c r="I40" i="6" s="1"/>
  <c r="D112" i="6"/>
  <c r="D85" i="6"/>
  <c r="D151" i="6"/>
  <c r="G151" i="6" s="1"/>
  <c r="I151" i="6" s="1"/>
  <c r="D121" i="6"/>
  <c r="D76" i="6"/>
  <c r="D49" i="6"/>
  <c r="G49" i="6" s="1"/>
  <c r="I49" i="6" s="1"/>
  <c r="D130" i="6"/>
  <c r="G130" i="6" s="1"/>
  <c r="I130" i="6" s="1"/>
  <c r="D94" i="6"/>
  <c r="G94" i="6" s="1"/>
  <c r="I94" i="6" s="1"/>
  <c r="D58" i="6"/>
  <c r="G98" i="6"/>
  <c r="I98" i="6" s="1"/>
  <c r="D141" i="6"/>
  <c r="D29" i="6"/>
  <c r="D132" i="6"/>
  <c r="G132" i="6" s="1"/>
  <c r="I132" i="6" s="1"/>
  <c r="D69" i="6"/>
  <c r="D105" i="6"/>
  <c r="G105" i="6" s="1"/>
  <c r="I105" i="6" s="1"/>
  <c r="D78" i="6"/>
  <c r="G78" i="6" s="1"/>
  <c r="I78" i="6" s="1"/>
  <c r="D114" i="6"/>
  <c r="D60" i="6"/>
  <c r="D153" i="6"/>
  <c r="G153" i="6" s="1"/>
  <c r="I153" i="6" s="1"/>
  <c r="D96" i="6"/>
  <c r="D42" i="6"/>
  <c r="G107" i="6"/>
  <c r="I107" i="6" s="1"/>
  <c r="G143" i="6"/>
  <c r="I143" i="6" s="1"/>
  <c r="F69" i="6"/>
  <c r="F141" i="6"/>
  <c r="F95" i="6"/>
  <c r="F60" i="6"/>
  <c r="F114" i="6"/>
  <c r="F29" i="6"/>
  <c r="D89" i="6"/>
  <c r="D125" i="6"/>
  <c r="D71" i="6"/>
  <c r="D116" i="6"/>
  <c r="G70" i="6" l="1"/>
  <c r="I70" i="6" s="1"/>
  <c r="G96" i="6"/>
  <c r="I96" i="6" s="1"/>
  <c r="G97" i="6"/>
  <c r="I97" i="6" s="1"/>
  <c r="G152" i="6"/>
  <c r="I152" i="6" s="1"/>
  <c r="G71" i="6"/>
  <c r="I71" i="6" s="1"/>
  <c r="G124" i="6"/>
  <c r="I124" i="6" s="1"/>
  <c r="G42" i="6"/>
  <c r="I42" i="6" s="1"/>
  <c r="I45" i="6" s="1"/>
  <c r="G69" i="6"/>
  <c r="I69" i="6" s="1"/>
  <c r="G141" i="6"/>
  <c r="I141" i="6" s="1"/>
  <c r="G43" i="6"/>
  <c r="I43" i="6" s="1"/>
  <c r="AI153" i="2"/>
  <c r="AB153" i="2" s="1"/>
  <c r="AB154" i="2" s="1"/>
  <c r="X153" i="2"/>
  <c r="G139" i="6"/>
  <c r="I139" i="6" s="1"/>
  <c r="I144" i="6" s="1"/>
  <c r="G29" i="6"/>
  <c r="I29" i="6" s="1"/>
  <c r="G67" i="6"/>
  <c r="I67" i="6" s="1"/>
  <c r="I72" i="6" s="1"/>
  <c r="S37" i="2"/>
  <c r="T37" i="2" s="1"/>
  <c r="Q38" i="2"/>
  <c r="R38" i="2" s="1"/>
  <c r="I32" i="6"/>
  <c r="C181" i="6" s="1"/>
  <c r="D181" i="6" s="1"/>
  <c r="W208" i="2"/>
  <c r="X208" i="2" s="1"/>
  <c r="AH207" i="2"/>
  <c r="G58" i="6"/>
  <c r="I58" i="6" s="1"/>
  <c r="I54" i="6"/>
  <c r="G88" i="6"/>
  <c r="I88" i="6" s="1"/>
  <c r="AH31" i="2"/>
  <c r="W32" i="2"/>
  <c r="X32" i="2" s="1"/>
  <c r="W33" i="2" s="1"/>
  <c r="W87" i="2"/>
  <c r="AH85" i="2"/>
  <c r="G76" i="6"/>
  <c r="I76" i="6" s="1"/>
  <c r="G116" i="6"/>
  <c r="I116" i="6" s="1"/>
  <c r="G60" i="6"/>
  <c r="I60" i="6" s="1"/>
  <c r="G121" i="6"/>
  <c r="I121" i="6" s="1"/>
  <c r="I126" i="6" s="1"/>
  <c r="Q158" i="2"/>
  <c r="G106" i="6"/>
  <c r="I106" i="6" s="1"/>
  <c r="I108" i="6" s="1"/>
  <c r="AD31" i="2"/>
  <c r="AC31" i="2"/>
  <c r="AD32" i="2"/>
  <c r="G61" i="6"/>
  <c r="I61" i="6" s="1"/>
  <c r="G114" i="6"/>
  <c r="I114" i="6" s="1"/>
  <c r="I156" i="6"/>
  <c r="K151" i="6" s="1"/>
  <c r="G133" i="6"/>
  <c r="I133" i="6" s="1"/>
  <c r="I135" i="6" s="1"/>
  <c r="X178" i="2"/>
  <c r="AH178" i="2" s="1"/>
  <c r="AI178" i="2"/>
  <c r="W65" i="2"/>
  <c r="AH60" i="2"/>
  <c r="G125" i="6"/>
  <c r="I125" i="6" s="1"/>
  <c r="G85" i="6"/>
  <c r="I85" i="6" s="1"/>
  <c r="S179" i="2"/>
  <c r="T179" i="2" s="1"/>
  <c r="V179" i="2" s="1"/>
  <c r="Q180" i="2"/>
  <c r="R180" i="2" s="1"/>
  <c r="G89" i="6"/>
  <c r="I89" i="6" s="1"/>
  <c r="G112" i="6"/>
  <c r="I112" i="6" s="1"/>
  <c r="I117" i="6" s="1"/>
  <c r="G95" i="6"/>
  <c r="I95" i="6" s="1"/>
  <c r="I99" i="6" s="1"/>
  <c r="G79" i="6"/>
  <c r="I79" i="6" s="1"/>
  <c r="X204" i="2"/>
  <c r="AH204" i="2" s="1"/>
  <c r="C166" i="6" l="1"/>
  <c r="D166" i="6" s="1"/>
  <c r="J135" i="6"/>
  <c r="K135" i="6" s="1"/>
  <c r="C170" i="6"/>
  <c r="D170" i="6" s="1"/>
  <c r="K94" i="6"/>
  <c r="J99" i="6"/>
  <c r="K99" i="6" s="1"/>
  <c r="C176" i="6"/>
  <c r="K40" i="6"/>
  <c r="J45" i="6"/>
  <c r="K45" i="6" s="1"/>
  <c r="C173" i="6"/>
  <c r="H195" i="6" s="1"/>
  <c r="H201" i="6" s="1"/>
  <c r="K67" i="6"/>
  <c r="J72" i="6"/>
  <c r="K72" i="6" s="1"/>
  <c r="C168" i="6"/>
  <c r="D168" i="6" s="1"/>
  <c r="K112" i="6"/>
  <c r="J117" i="6"/>
  <c r="K117" i="6" s="1"/>
  <c r="C169" i="6"/>
  <c r="D169" i="6" s="1"/>
  <c r="K103" i="6"/>
  <c r="J108" i="6"/>
  <c r="K108" i="6" s="1"/>
  <c r="C167" i="6"/>
  <c r="D167" i="6" s="1"/>
  <c r="K121" i="6"/>
  <c r="J126" i="6"/>
  <c r="K126" i="6" s="1"/>
  <c r="C165" i="6"/>
  <c r="D165" i="6" s="1"/>
  <c r="K139" i="6"/>
  <c r="J144" i="6"/>
  <c r="K144" i="6" s="1"/>
  <c r="C175" i="6"/>
  <c r="K49" i="6"/>
  <c r="J54" i="6"/>
  <c r="K54" i="6" s="1"/>
  <c r="AC87" i="2"/>
  <c r="AD87" i="2" s="1"/>
  <c r="AD93" i="2" s="1"/>
  <c r="R87" i="2"/>
  <c r="H193" i="6"/>
  <c r="D193" i="6"/>
  <c r="D199" i="6" s="1"/>
  <c r="D175" i="6"/>
  <c r="AH208" i="2"/>
  <c r="W209" i="2"/>
  <c r="I63" i="6"/>
  <c r="R33" i="2"/>
  <c r="R65" i="2"/>
  <c r="S65" i="2" s="1"/>
  <c r="AE31" i="2"/>
  <c r="AE32" i="2"/>
  <c r="I90" i="6"/>
  <c r="W154" i="2"/>
  <c r="X154" i="2" s="1"/>
  <c r="AH153" i="2"/>
  <c r="AI179" i="2"/>
  <c r="X179" i="2"/>
  <c r="AH179" i="2" s="1"/>
  <c r="S38" i="2"/>
  <c r="T38" i="2" s="1"/>
  <c r="Q39" i="2"/>
  <c r="R39" i="2" s="1"/>
  <c r="S180" i="2"/>
  <c r="T180" i="2" s="1"/>
  <c r="V180" i="2" s="1"/>
  <c r="Q181" i="2"/>
  <c r="S181" i="2" s="1"/>
  <c r="T181" i="2" s="1"/>
  <c r="V181" i="2" s="1"/>
  <c r="I81" i="6"/>
  <c r="V37" i="2"/>
  <c r="AB37" i="2"/>
  <c r="AC37" i="2" s="1"/>
  <c r="S158" i="2"/>
  <c r="T158" i="2" s="1"/>
  <c r="V158" i="2" s="1"/>
  <c r="AI158" i="2" s="1"/>
  <c r="Q182" i="2"/>
  <c r="S5" i="22" l="1"/>
  <c r="S9" i="22" s="1"/>
  <c r="S5" i="21"/>
  <c r="C172" i="6"/>
  <c r="D172" i="6" s="1"/>
  <c r="K76" i="6"/>
  <c r="J81" i="6"/>
  <c r="K81" i="6" s="1"/>
  <c r="C171" i="6"/>
  <c r="D171" i="6" s="1"/>
  <c r="K85" i="6"/>
  <c r="J90" i="6"/>
  <c r="K90" i="6" s="1"/>
  <c r="S2" i="22"/>
  <c r="X4" i="21"/>
  <c r="S2" i="21"/>
  <c r="C174" i="6"/>
  <c r="K58" i="6"/>
  <c r="J63" i="6"/>
  <c r="K63" i="6" s="1"/>
  <c r="D176" i="6"/>
  <c r="H192" i="6"/>
  <c r="D192" i="6"/>
  <c r="S3" i="22"/>
  <c r="S7" i="22" s="1"/>
  <c r="S3" i="21"/>
  <c r="D195" i="6"/>
  <c r="H208" i="6" s="1"/>
  <c r="D173" i="6"/>
  <c r="Q56" i="2"/>
  <c r="S56" i="2" s="1"/>
  <c r="T56" i="2" s="1"/>
  <c r="S39" i="2"/>
  <c r="T39" i="2" s="1"/>
  <c r="W156" i="2"/>
  <c r="AH154" i="2"/>
  <c r="V38" i="2"/>
  <c r="AB38" i="2"/>
  <c r="AC38" i="2" s="1"/>
  <c r="Q88" i="2"/>
  <c r="R88" i="2" s="1"/>
  <c r="S87" i="2"/>
  <c r="T87" i="2" s="1"/>
  <c r="V87" i="2" s="1"/>
  <c r="R209" i="2"/>
  <c r="S209" i="2" s="1"/>
  <c r="T209" i="2" s="1"/>
  <c r="V209" i="2" s="1"/>
  <c r="AI209" i="2" s="1"/>
  <c r="AB209" i="2" s="1"/>
  <c r="AB210" i="2" s="1"/>
  <c r="AB211" i="2" s="1"/>
  <c r="AB212" i="2" s="1"/>
  <c r="H200" i="6"/>
  <c r="H199" i="6"/>
  <c r="H206" i="6"/>
  <c r="H194" i="6"/>
  <c r="H207" i="6" s="1"/>
  <c r="D174" i="6"/>
  <c r="D194" i="6"/>
  <c r="X37" i="2"/>
  <c r="AH37" i="2" s="1"/>
  <c r="AI37" i="2"/>
  <c r="T65" i="2"/>
  <c r="V65" i="2" s="1"/>
  <c r="AA65" i="2"/>
  <c r="AI181" i="2"/>
  <c r="X181" i="2"/>
  <c r="AI180" i="2"/>
  <c r="X180" i="2"/>
  <c r="AH180" i="2" s="1"/>
  <c r="Q34" i="2"/>
  <c r="R34" i="2" s="1"/>
  <c r="S33" i="2"/>
  <c r="T30" i="22"/>
  <c r="T25" i="22"/>
  <c r="V25" i="22" l="1"/>
  <c r="V30" i="22"/>
  <c r="D208" i="6"/>
  <c r="S6" i="22"/>
  <c r="T2" i="21"/>
  <c r="T361" i="21"/>
  <c r="V361" i="21" s="1"/>
  <c r="S4" i="22"/>
  <c r="S8" i="22" s="1"/>
  <c r="S4" i="21"/>
  <c r="R303" i="21" s="1"/>
  <c r="AB33" i="2"/>
  <c r="T33" i="2"/>
  <c r="V33" i="2" s="1"/>
  <c r="AC65" i="2"/>
  <c r="AB65" i="2"/>
  <c r="Q89" i="2"/>
  <c r="R89" i="2" s="1"/>
  <c r="S88" i="2"/>
  <c r="T88" i="2" s="1"/>
  <c r="V88" i="2" s="1"/>
  <c r="H209" i="6"/>
  <c r="G209" i="6"/>
  <c r="H202" i="6"/>
  <c r="AB56" i="2"/>
  <c r="AC56" i="2" s="1"/>
  <c r="V56" i="2"/>
  <c r="AI56" i="2" s="1"/>
  <c r="R156" i="2"/>
  <c r="AI38" i="2"/>
  <c r="X38" i="2"/>
  <c r="AH38" i="2" s="1"/>
  <c r="D206" i="6"/>
  <c r="D209" i="6" s="1"/>
  <c r="D200" i="6"/>
  <c r="D201" i="6" s="1"/>
  <c r="V39" i="2"/>
  <c r="AB39" i="2"/>
  <c r="AC39" i="2" s="1"/>
  <c r="AI87" i="2"/>
  <c r="X87" i="2"/>
  <c r="AH87" i="2" s="1"/>
  <c r="S34" i="2"/>
  <c r="Q41" i="2"/>
  <c r="R41" i="2" s="1"/>
  <c r="AH181" i="2"/>
  <c r="W182" i="2"/>
  <c r="AI65" i="2"/>
  <c r="X65" i="2"/>
  <c r="AH65" i="2" s="1"/>
  <c r="X209" i="2"/>
  <c r="AH209" i="2" s="1"/>
  <c r="T29" i="22"/>
  <c r="V29" i="22" l="1"/>
  <c r="S303" i="21"/>
  <c r="T303" i="21" s="1"/>
  <c r="V303" i="21" s="1"/>
  <c r="Q328" i="21"/>
  <c r="R328" i="21" s="1"/>
  <c r="AK361" i="21"/>
  <c r="AB361" i="21"/>
  <c r="AB30" i="22"/>
  <c r="AC30" i="22"/>
  <c r="X30" i="22"/>
  <c r="W31" i="22" s="1"/>
  <c r="AC25" i="22"/>
  <c r="X25" i="22"/>
  <c r="AB25" i="22"/>
  <c r="AI88" i="2"/>
  <c r="X88" i="2"/>
  <c r="AH88" i="2" s="1"/>
  <c r="AD33" i="2"/>
  <c r="AE33" i="2" s="1"/>
  <c r="AC33" i="2"/>
  <c r="AD65" i="2"/>
  <c r="S89" i="2"/>
  <c r="T89" i="2" s="1"/>
  <c r="V89" i="2" s="1"/>
  <c r="Q90" i="2"/>
  <c r="R90" i="2" s="1"/>
  <c r="R182" i="2"/>
  <c r="AI33" i="2"/>
  <c r="X33" i="2"/>
  <c r="AH33" i="2" s="1"/>
  <c r="Q54" i="2"/>
  <c r="S54" i="2" s="1"/>
  <c r="S41" i="2"/>
  <c r="AB34" i="2"/>
  <c r="T34" i="2"/>
  <c r="V34" i="2" s="1"/>
  <c r="X39" i="2"/>
  <c r="AH39" i="2" s="1"/>
  <c r="AI39" i="2"/>
  <c r="S156" i="2"/>
  <c r="T156" i="2" s="1"/>
  <c r="V156" i="2" s="1"/>
  <c r="Q157" i="2"/>
  <c r="S157" i="2" s="1"/>
  <c r="T157" i="2" s="1"/>
  <c r="V157" i="2" s="1"/>
  <c r="R31" i="22"/>
  <c r="M327" i="21" a="1"/>
  <c r="S31" i="22" l="1"/>
  <c r="M327" i="21"/>
  <c r="AK303" i="21"/>
  <c r="AC303" i="21" s="1"/>
  <c r="AC305" i="21" s="1"/>
  <c r="X303" i="21"/>
  <c r="AJ303" i="21" s="1"/>
  <c r="Q329" i="21"/>
  <c r="R329" i="21" s="1"/>
  <c r="S328" i="21"/>
  <c r="T328" i="21" s="1"/>
  <c r="V328" i="21" s="1"/>
  <c r="X29" i="22"/>
  <c r="AB29" i="22"/>
  <c r="AC29" i="22"/>
  <c r="AD34" i="2"/>
  <c r="AC34" i="2"/>
  <c r="AE34" i="2" s="1"/>
  <c r="T41" i="2"/>
  <c r="V41" i="2" s="1"/>
  <c r="AB41" i="2"/>
  <c r="AA54" i="2"/>
  <c r="T54" i="2"/>
  <c r="V54" i="2" s="1"/>
  <c r="AI156" i="2"/>
  <c r="AB156" i="2" s="1"/>
  <c r="X156" i="2"/>
  <c r="AH156" i="2" s="1"/>
  <c r="S182" i="2"/>
  <c r="T182" i="2" s="1"/>
  <c r="V182" i="2" s="1"/>
  <c r="Q186" i="2"/>
  <c r="R186" i="2" s="1"/>
  <c r="S186" i="2" s="1"/>
  <c r="T186" i="2" s="1"/>
  <c r="V186" i="2" s="1"/>
  <c r="AI89" i="2"/>
  <c r="X89" i="2"/>
  <c r="AH89" i="2" s="1"/>
  <c r="AI34" i="2"/>
  <c r="X34" i="2"/>
  <c r="AH34" i="2" s="1"/>
  <c r="AI157" i="2"/>
  <c r="X157" i="2"/>
  <c r="Q91" i="2"/>
  <c r="R91" i="2" s="1"/>
  <c r="S90" i="2"/>
  <c r="T90" i="2" s="1"/>
  <c r="V90" i="2" s="1"/>
  <c r="M31" i="22"/>
  <c r="Y31" i="22" l="1"/>
  <c r="Q330" i="21"/>
  <c r="R330" i="21" s="1"/>
  <c r="S329" i="21"/>
  <c r="T329" i="21" s="1"/>
  <c r="V329" i="21" s="1"/>
  <c r="AK328" i="21"/>
  <c r="AC328" i="21" s="1"/>
  <c r="X328" i="21"/>
  <c r="AJ328" i="21" s="1"/>
  <c r="AI182" i="2"/>
  <c r="X182" i="2"/>
  <c r="AH182" i="2" s="1"/>
  <c r="AI54" i="2"/>
  <c r="X54" i="2"/>
  <c r="AC41" i="2"/>
  <c r="AD41" i="2"/>
  <c r="AI90" i="2"/>
  <c r="X90" i="2"/>
  <c r="AH90" i="2" s="1"/>
  <c r="Q92" i="2"/>
  <c r="R92" i="2" s="1"/>
  <c r="S91" i="2"/>
  <c r="T91" i="2" s="1"/>
  <c r="V91" i="2" s="1"/>
  <c r="W158" i="2"/>
  <c r="X158" i="2" s="1"/>
  <c r="AH157" i="2"/>
  <c r="AI186" i="2"/>
  <c r="X186" i="2"/>
  <c r="AH186" i="2" s="1"/>
  <c r="AI41" i="2"/>
  <c r="X41" i="2"/>
  <c r="AH41" i="2" s="1"/>
  <c r="AB157" i="2"/>
  <c r="AB158" i="2" s="1"/>
  <c r="AB177" i="2" s="1"/>
  <c r="AB178" i="2" s="1"/>
  <c r="AB179" i="2" s="1"/>
  <c r="AB180" i="2" s="1"/>
  <c r="AB181" i="2" s="1"/>
  <c r="AB182" i="2" s="1"/>
  <c r="AC54" i="2"/>
  <c r="AB54" i="2"/>
  <c r="T31" i="22"/>
  <c r="V31" i="22" l="1"/>
  <c r="AC31" i="22" s="1"/>
  <c r="AC16" i="22" s="1"/>
  <c r="AK329" i="21"/>
  <c r="AC329" i="21" s="1"/>
  <c r="X329" i="21"/>
  <c r="AJ329" i="21" s="1"/>
  <c r="S330" i="21"/>
  <c r="T330" i="21" s="1"/>
  <c r="V330" i="21" s="1"/>
  <c r="Q331" i="21"/>
  <c r="S331" i="21" s="1"/>
  <c r="T331" i="21" s="1"/>
  <c r="V331" i="21" s="1"/>
  <c r="AH54" i="2"/>
  <c r="W56" i="2"/>
  <c r="X56" i="2" s="1"/>
  <c r="AB186" i="2"/>
  <c r="AB189" i="2" s="1"/>
  <c r="W159" i="2"/>
  <c r="AH158" i="2"/>
  <c r="Q94" i="2"/>
  <c r="R94" i="2" s="1"/>
  <c r="S94" i="2" s="1"/>
  <c r="T94" i="2" s="1"/>
  <c r="V94" i="2" s="1"/>
  <c r="Q135" i="2"/>
  <c r="S92" i="2"/>
  <c r="T92" i="2" s="1"/>
  <c r="V92" i="2" s="1"/>
  <c r="AI91" i="2"/>
  <c r="X91" i="2"/>
  <c r="AH91" i="2" s="1"/>
  <c r="AD54" i="2"/>
  <c r="AB66" i="2"/>
  <c r="AB42" i="2"/>
  <c r="AE41" i="2"/>
  <c r="X31" i="22" l="1"/>
  <c r="AB31" i="22"/>
  <c r="AB16" i="22" s="1"/>
  <c r="AK331" i="21"/>
  <c r="X331" i="21"/>
  <c r="AK330" i="21"/>
  <c r="AC330" i="21" s="1"/>
  <c r="X330" i="21"/>
  <c r="AJ330" i="21" s="1"/>
  <c r="AI94" i="2"/>
  <c r="X94" i="2"/>
  <c r="AH94" i="2" s="1"/>
  <c r="AI92" i="2"/>
  <c r="X92" i="2"/>
  <c r="AH92" i="2" s="1"/>
  <c r="W58" i="2"/>
  <c r="AH56" i="2"/>
  <c r="W332" i="21" l="1"/>
  <c r="R332" i="21" s="1"/>
  <c r="AJ331" i="21"/>
  <c r="AC331" i="21"/>
  <c r="R58" i="2"/>
  <c r="S332" i="21" l="1"/>
  <c r="T332" i="21" s="1"/>
  <c r="V332" i="21" s="1"/>
  <c r="X332" i="21" s="1"/>
  <c r="Q333" i="21"/>
  <c r="R333" i="21" s="1"/>
  <c r="S58" i="2"/>
  <c r="T58" i="2" s="1"/>
  <c r="Q74" i="2"/>
  <c r="S74" i="2" s="1"/>
  <c r="T74" i="2" s="1"/>
  <c r="V74" i="2" s="1"/>
  <c r="Q334" i="21" l="1"/>
  <c r="R334" i="21" s="1"/>
  <c r="S333" i="21"/>
  <c r="T333" i="21" s="1"/>
  <c r="V333" i="21" s="1"/>
  <c r="AB58" i="2"/>
  <c r="AC58" i="2" s="1"/>
  <c r="V58" i="2"/>
  <c r="AI74" i="2"/>
  <c r="AC74" i="2"/>
  <c r="X74" i="2"/>
  <c r="X333" i="21" l="1"/>
  <c r="AJ333" i="21" s="1"/>
  <c r="AK333" i="21"/>
  <c r="AC333" i="21" s="1"/>
  <c r="Q335" i="21"/>
  <c r="S335" i="21" s="1"/>
  <c r="T335" i="21" s="1"/>
  <c r="V335" i="21" s="1"/>
  <c r="S334" i="21"/>
  <c r="T334" i="21" s="1"/>
  <c r="V334" i="21" s="1"/>
  <c r="AI58" i="2"/>
  <c r="X58" i="2"/>
  <c r="AH58" i="2" s="1"/>
  <c r="AH74" i="2"/>
  <c r="W76" i="2"/>
  <c r="AE74" i="2"/>
  <c r="AD74" i="2"/>
  <c r="AK334" i="21" l="1"/>
  <c r="AC334" i="21" s="1"/>
  <c r="X334" i="21"/>
  <c r="AJ334" i="21" s="1"/>
  <c r="AK335" i="21"/>
  <c r="AC335" i="21" s="1"/>
  <c r="X335" i="21"/>
  <c r="R76" i="2"/>
  <c r="W346" i="21" l="1"/>
  <c r="AJ335" i="21"/>
  <c r="Q77" i="2"/>
  <c r="R77" i="2" s="1"/>
  <c r="S76" i="2"/>
  <c r="T76" i="2" s="1"/>
  <c r="V76" i="2" s="1"/>
  <c r="R346" i="21" l="1"/>
  <c r="AB346" i="21"/>
  <c r="S77" i="2"/>
  <c r="T77" i="2" s="1"/>
  <c r="V77" i="2" s="1"/>
  <c r="Q78" i="2"/>
  <c r="R78" i="2" s="1"/>
  <c r="AI76" i="2"/>
  <c r="AC76" i="2"/>
  <c r="X76" i="2"/>
  <c r="AH76" i="2" s="1"/>
  <c r="S346" i="21" l="1"/>
  <c r="T346" i="21" s="1"/>
  <c r="V346" i="21" s="1"/>
  <c r="Q347" i="21"/>
  <c r="R347" i="21" s="1"/>
  <c r="AC77" i="2"/>
  <c r="AI77" i="2"/>
  <c r="X77" i="2"/>
  <c r="AH77" i="2" s="1"/>
  <c r="AE76" i="2"/>
  <c r="AD76" i="2"/>
  <c r="Q79" i="2"/>
  <c r="R79" i="2" s="1"/>
  <c r="S78" i="2"/>
  <c r="T78" i="2" s="1"/>
  <c r="V78" i="2" s="1"/>
  <c r="Q348" i="21" l="1"/>
  <c r="S348" i="21" s="1"/>
  <c r="T348" i="21" s="1"/>
  <c r="V348" i="21" s="1"/>
  <c r="S347" i="21"/>
  <c r="T347" i="21" s="1"/>
  <c r="V347" i="21" s="1"/>
  <c r="AK346" i="21"/>
  <c r="AC346" i="21" s="1"/>
  <c r="X346" i="21"/>
  <c r="AJ346" i="21" s="1"/>
  <c r="S79" i="2"/>
  <c r="T79" i="2" s="1"/>
  <c r="V79" i="2" s="1"/>
  <c r="Q80" i="2"/>
  <c r="R80" i="2" s="1"/>
  <c r="AI78" i="2"/>
  <c r="AC78" i="2"/>
  <c r="X78" i="2"/>
  <c r="AH78" i="2" s="1"/>
  <c r="AE77" i="2"/>
  <c r="AD77" i="2"/>
  <c r="AK347" i="21" l="1"/>
  <c r="AC347" i="21" s="1"/>
  <c r="X347" i="21"/>
  <c r="AJ347" i="21" s="1"/>
  <c r="AK348" i="21"/>
  <c r="AC348" i="21" s="1"/>
  <c r="AC361" i="21" s="1"/>
  <c r="AB348" i="21"/>
  <c r="X348" i="21"/>
  <c r="AC79" i="2"/>
  <c r="AI79" i="2"/>
  <c r="X79" i="2"/>
  <c r="AH79" i="2" s="1"/>
  <c r="AD78" i="2"/>
  <c r="AE78" i="2"/>
  <c r="S80" i="2"/>
  <c r="T80" i="2" s="1"/>
  <c r="V80" i="2" s="1"/>
  <c r="Q81" i="2"/>
  <c r="R81" i="2" s="1"/>
  <c r="AJ348" i="21" l="1"/>
  <c r="W361" i="21"/>
  <c r="X361" i="21" s="1"/>
  <c r="AI80" i="2"/>
  <c r="AC80" i="2"/>
  <c r="X80" i="2"/>
  <c r="AH80" i="2" s="1"/>
  <c r="S81" i="2"/>
  <c r="T81" i="2" s="1"/>
  <c r="V81" i="2" s="1"/>
  <c r="Q114" i="2"/>
  <c r="S114" i="2" s="1"/>
  <c r="T114" i="2" s="1"/>
  <c r="AD79" i="2"/>
  <c r="AE79" i="2"/>
  <c r="AJ361" i="21" l="1"/>
  <c r="W366" i="21"/>
  <c r="AI81" i="2"/>
  <c r="AC81" i="2"/>
  <c r="X81" i="2"/>
  <c r="AH81" i="2" s="1"/>
  <c r="AE80" i="2"/>
  <c r="AD80" i="2"/>
  <c r="V114" i="2"/>
  <c r="AC114" i="2"/>
  <c r="R366" i="21" l="1"/>
  <c r="AI114" i="2"/>
  <c r="X114" i="2"/>
  <c r="AD81" i="2"/>
  <c r="AD82" i="2" s="1"/>
  <c r="AE81" i="2"/>
  <c r="AE114" i="2"/>
  <c r="AD114" i="2"/>
  <c r="Q367" i="21" l="1"/>
  <c r="R367" i="21" s="1"/>
  <c r="S366" i="21"/>
  <c r="T366" i="21" s="1"/>
  <c r="V366" i="21" s="1"/>
  <c r="AH114" i="2"/>
  <c r="W121" i="2"/>
  <c r="AK366" i="21" l="1"/>
  <c r="AC366" i="21" s="1"/>
  <c r="AB366" i="21"/>
  <c r="X366" i="21"/>
  <c r="AJ366" i="21" s="1"/>
  <c r="S367" i="21"/>
  <c r="T367" i="21" s="1"/>
  <c r="V367" i="21" s="1"/>
  <c r="Q368" i="21"/>
  <c r="R368" i="21" s="1"/>
  <c r="AC121" i="2"/>
  <c r="R121" i="2"/>
  <c r="S368" i="21" l="1"/>
  <c r="T368" i="21" s="1"/>
  <c r="V368" i="21" s="1"/>
  <c r="Q369" i="21"/>
  <c r="R369" i="21" s="1"/>
  <c r="X367" i="21"/>
  <c r="AJ367" i="21" s="1"/>
  <c r="AK367" i="21"/>
  <c r="AC367" i="21" s="1"/>
  <c r="AE121" i="2"/>
  <c r="AD121" i="2"/>
  <c r="Q122" i="2"/>
  <c r="S121" i="2"/>
  <c r="T121" i="2" s="1"/>
  <c r="V121" i="2" s="1"/>
  <c r="Q370" i="21" l="1"/>
  <c r="R370" i="21" s="1"/>
  <c r="S369" i="21"/>
  <c r="T369" i="21" s="1"/>
  <c r="V369" i="21" s="1"/>
  <c r="AK368" i="21"/>
  <c r="AC368" i="21" s="1"/>
  <c r="X368" i="21"/>
  <c r="AJ368" i="21" s="1"/>
  <c r="AI122" i="2"/>
  <c r="X121" i="2"/>
  <c r="M371" i="21" a="1"/>
  <c r="M371" i="21" l="1"/>
  <c r="AK369" i="21"/>
  <c r="AC369" i="21" s="1"/>
  <c r="X369" i="21"/>
  <c r="AJ369" i="21" s="1"/>
  <c r="S370" i="21"/>
  <c r="T370" i="21" s="1"/>
  <c r="V370" i="21" s="1"/>
  <c r="Q381" i="21"/>
  <c r="R381" i="21" s="1"/>
  <c r="W122" i="2"/>
  <c r="AH122" i="2"/>
  <c r="Q382" i="21" l="1"/>
  <c r="R382" i="21" s="1"/>
  <c r="S381" i="21"/>
  <c r="T381" i="21" s="1"/>
  <c r="V381" i="21" s="1"/>
  <c r="AK370" i="21"/>
  <c r="AC370" i="21" s="1"/>
  <c r="X370" i="21"/>
  <c r="AJ370" i="21" s="1"/>
  <c r="R122" i="2"/>
  <c r="M383" i="21" a="1"/>
  <c r="M383" i="21" l="1"/>
  <c r="AK381" i="21"/>
  <c r="AC381" i="21" s="1"/>
  <c r="X381" i="21"/>
  <c r="AJ381" i="21" s="1"/>
  <c r="S382" i="21"/>
  <c r="T382" i="21" s="1"/>
  <c r="V382" i="21" s="1"/>
  <c r="Q385" i="21"/>
  <c r="R385" i="21" s="1"/>
  <c r="Q123" i="2"/>
  <c r="R123" i="2" s="1"/>
  <c r="S122" i="2"/>
  <c r="T122" i="2" s="1"/>
  <c r="M386" i="21" a="1"/>
  <c r="M386" i="21" l="1"/>
  <c r="S385" i="21"/>
  <c r="T385" i="21" s="1"/>
  <c r="V385" i="21" s="1"/>
  <c r="X385" i="21" s="1"/>
  <c r="Q420" i="21"/>
  <c r="AK382" i="21"/>
  <c r="AC382" i="21" s="1"/>
  <c r="AC385" i="21" s="1"/>
  <c r="AD385" i="21" s="1"/>
  <c r="X382" i="21"/>
  <c r="AJ382" i="21" s="1"/>
  <c r="AC122" i="2"/>
  <c r="V122" i="2"/>
  <c r="Q124" i="2"/>
  <c r="R124" i="2" s="1"/>
  <c r="S123" i="2"/>
  <c r="T123" i="2" s="1"/>
  <c r="L420" i="21" a="1"/>
  <c r="L420" i="21" l="1"/>
  <c r="R420" i="21"/>
  <c r="S124" i="2"/>
  <c r="T124" i="2" s="1"/>
  <c r="Q125" i="2"/>
  <c r="R125" i="2" s="1"/>
  <c r="AE122" i="2"/>
  <c r="AD122" i="2"/>
  <c r="AC123" i="2"/>
  <c r="V123" i="2"/>
  <c r="AI123" i="2"/>
  <c r="X122" i="2"/>
  <c r="AH123" i="2" s="1"/>
  <c r="M420" i="21" a="1"/>
  <c r="M420" i="21" l="1"/>
  <c r="S420" i="21"/>
  <c r="T420" i="21" s="1"/>
  <c r="V420" i="21" s="1"/>
  <c r="Q421" i="21"/>
  <c r="AI124" i="2"/>
  <c r="X123" i="2"/>
  <c r="AH124" i="2" s="1"/>
  <c r="AE123" i="2"/>
  <c r="AD123" i="2"/>
  <c r="Q126" i="2"/>
  <c r="R126" i="2" s="1"/>
  <c r="S125" i="2"/>
  <c r="T125" i="2" s="1"/>
  <c r="V124" i="2"/>
  <c r="AC124" i="2"/>
  <c r="L421" i="21" a="1"/>
  <c r="L421" i="21" l="1"/>
  <c r="R421" i="21"/>
  <c r="AE420" i="21"/>
  <c r="AC420" i="21" s="1"/>
  <c r="X420" i="21"/>
  <c r="AD420" i="21" s="1"/>
  <c r="AE124" i="2"/>
  <c r="AD124" i="2"/>
  <c r="AI125" i="2"/>
  <c r="X124" i="2"/>
  <c r="AH125" i="2" s="1"/>
  <c r="S126" i="2"/>
  <c r="T126" i="2" s="1"/>
  <c r="Q127" i="2"/>
  <c r="R127" i="2" s="1"/>
  <c r="AC125" i="2"/>
  <c r="V125" i="2"/>
  <c r="X125" i="2" s="1"/>
  <c r="M421" i="21" a="1"/>
  <c r="M421" i="21" l="1"/>
  <c r="S421" i="21"/>
  <c r="T421" i="21" s="1"/>
  <c r="V421" i="21" s="1"/>
  <c r="Q422" i="21"/>
  <c r="AE125" i="2"/>
  <c r="AD125" i="2"/>
  <c r="S127" i="2"/>
  <c r="T127" i="2" s="1"/>
  <c r="Q128" i="2"/>
  <c r="R128" i="2" s="1"/>
  <c r="AC126" i="2"/>
  <c r="V126" i="2"/>
  <c r="L422" i="21" a="1"/>
  <c r="L422" i="21" l="1"/>
  <c r="R422" i="21"/>
  <c r="AE421" i="21"/>
  <c r="AC421" i="21" s="1"/>
  <c r="X421" i="21"/>
  <c r="AD421" i="21" s="1"/>
  <c r="AE126" i="2"/>
  <c r="AD126" i="2"/>
  <c r="AI126" i="2"/>
  <c r="X126" i="2"/>
  <c r="AH126" i="2" s="1"/>
  <c r="Q130" i="2"/>
  <c r="S130" i="2" s="1"/>
  <c r="T130" i="2" s="1"/>
  <c r="S128" i="2"/>
  <c r="T128" i="2" s="1"/>
  <c r="AC127" i="2"/>
  <c r="V127" i="2"/>
  <c r="M422" i="21" a="1"/>
  <c r="M422" i="21" l="1"/>
  <c r="S422" i="21"/>
  <c r="T422" i="21" s="1"/>
  <c r="V422" i="21" s="1"/>
  <c r="Q423" i="21"/>
  <c r="V130" i="2"/>
  <c r="AC130" i="2"/>
  <c r="AD130" i="2" s="1"/>
  <c r="AE127" i="2"/>
  <c r="AD127" i="2"/>
  <c r="X127" i="2"/>
  <c r="AH127" i="2" s="1"/>
  <c r="AI127" i="2"/>
  <c r="V128" i="2"/>
  <c r="AC128" i="2"/>
  <c r="AD128" i="2" s="1"/>
  <c r="AD119" i="2" s="1"/>
  <c r="L423" i="21" a="1"/>
  <c r="L423" i="21" l="1"/>
  <c r="R423" i="21"/>
  <c r="AE422" i="21"/>
  <c r="AC422" i="21" s="1"/>
  <c r="X422" i="21"/>
  <c r="AD422" i="21" s="1"/>
  <c r="AI128" i="2"/>
  <c r="X128" i="2"/>
  <c r="AH128" i="2" s="1"/>
  <c r="AI130" i="2"/>
  <c r="X130" i="2"/>
  <c r="M423" i="21" a="1"/>
  <c r="M423" i="21" l="1"/>
  <c r="S423" i="21"/>
  <c r="T423" i="21" s="1"/>
  <c r="V423" i="21" s="1"/>
  <c r="Q424" i="21"/>
  <c r="AH130" i="2"/>
  <c r="W132" i="2"/>
  <c r="L424" i="21" a="1"/>
  <c r="L424" i="21" l="1"/>
  <c r="R424" i="21"/>
  <c r="AE423" i="21"/>
  <c r="AC423" i="21" s="1"/>
  <c r="X423" i="21"/>
  <c r="AD423" i="21" s="1"/>
  <c r="R132" i="2"/>
  <c r="M424" i="21" a="1"/>
  <c r="M424" i="21" l="1"/>
  <c r="S424" i="21"/>
  <c r="T424" i="21" s="1"/>
  <c r="V424" i="21" s="1"/>
  <c r="Q425" i="21"/>
  <c r="Q133" i="2"/>
  <c r="R133" i="2" s="1"/>
  <c r="S132" i="2"/>
  <c r="T132" i="2" s="1"/>
  <c r="L425" i="21" a="1"/>
  <c r="L425" i="21" l="1"/>
  <c r="R425" i="21"/>
  <c r="AE424" i="21"/>
  <c r="AC424" i="21" s="1"/>
  <c r="X424" i="21"/>
  <c r="AD424" i="21" s="1"/>
  <c r="AC132" i="2"/>
  <c r="AD132" i="2" s="1"/>
  <c r="V132" i="2"/>
  <c r="S133" i="2"/>
  <c r="T133" i="2" s="1"/>
  <c r="Q134" i="2"/>
  <c r="S134" i="2" s="1"/>
  <c r="T134" i="2" s="1"/>
  <c r="M425" i="21" a="1"/>
  <c r="M425" i="21" l="1"/>
  <c r="Q433" i="21"/>
  <c r="S425" i="21"/>
  <c r="T425" i="21" s="1"/>
  <c r="V425" i="21" s="1"/>
  <c r="AC134" i="2"/>
  <c r="AD134" i="2" s="1"/>
  <c r="V134" i="2"/>
  <c r="AI132" i="2"/>
  <c r="X132" i="2"/>
  <c r="AH132" i="2" s="1"/>
  <c r="AC133" i="2"/>
  <c r="AD133" i="2" s="1"/>
  <c r="V133" i="2"/>
  <c r="L433" i="21" a="1"/>
  <c r="L433" i="21" l="1"/>
  <c r="R433" i="21"/>
  <c r="AE425" i="21"/>
  <c r="AC425" i="21" s="1"/>
  <c r="X425" i="21"/>
  <c r="AD425" i="21" s="1"/>
  <c r="AI133" i="2"/>
  <c r="X133" i="2"/>
  <c r="AH133" i="2" s="1"/>
  <c r="AI134" i="2"/>
  <c r="AA134" i="2" s="1"/>
  <c r="Z134" i="2" s="1"/>
  <c r="Z142" i="2" s="1"/>
  <c r="AA142" i="2" s="1"/>
  <c r="X134" i="2"/>
  <c r="M433" i="21" a="1"/>
  <c r="M433" i="21" l="1"/>
  <c r="S433" i="21"/>
  <c r="T433" i="21" s="1"/>
  <c r="V433" i="21" s="1"/>
  <c r="Q434" i="21"/>
  <c r="W135" i="2"/>
  <c r="AH134" i="2"/>
  <c r="L434" i="21" a="1"/>
  <c r="L434" i="21" l="1"/>
  <c r="R434" i="21"/>
  <c r="X433" i="21"/>
  <c r="AD433" i="21" s="1"/>
  <c r="AE433" i="21"/>
  <c r="AC433" i="21" s="1"/>
  <c r="Z135" i="2"/>
  <c r="Z136" i="2" s="1"/>
  <c r="Z137" i="2" s="1"/>
  <c r="Z138" i="2" s="1"/>
  <c r="Z139" i="2" s="1"/>
  <c r="Z140" i="2" s="1"/>
  <c r="Z141" i="2" s="1"/>
  <c r="R135" i="2"/>
  <c r="M434" i="21" a="1"/>
  <c r="M434" i="21" l="1"/>
  <c r="S434" i="21"/>
  <c r="T434" i="21" s="1"/>
  <c r="V434" i="21" s="1"/>
  <c r="Q436" i="21"/>
  <c r="Q136" i="2"/>
  <c r="R136" i="2" s="1"/>
  <c r="S135" i="2"/>
  <c r="T135" i="2" s="1"/>
  <c r="L436" i="21" a="1"/>
  <c r="L436" i="21" l="1"/>
  <c r="R436" i="21"/>
  <c r="AE434" i="21"/>
  <c r="AC434" i="21" s="1"/>
  <c r="X434" i="21"/>
  <c r="AD434" i="21" s="1"/>
  <c r="AC135" i="2"/>
  <c r="AD135" i="2" s="1"/>
  <c r="V135" i="2"/>
  <c r="Q137" i="2"/>
  <c r="R137" i="2" s="1"/>
  <c r="S136" i="2"/>
  <c r="T136" i="2" s="1"/>
  <c r="M436" i="21" a="1"/>
  <c r="M436" i="21" l="1"/>
  <c r="S436" i="21"/>
  <c r="T436" i="21" s="1"/>
  <c r="V436" i="21" s="1"/>
  <c r="Q452" i="21"/>
  <c r="S137" i="2"/>
  <c r="T137" i="2" s="1"/>
  <c r="Q138" i="2"/>
  <c r="R138" i="2" s="1"/>
  <c r="AI135" i="2"/>
  <c r="X135" i="2"/>
  <c r="AH135" i="2" s="1"/>
  <c r="AC136" i="2"/>
  <c r="AD136" i="2" s="1"/>
  <c r="V136" i="2"/>
  <c r="L452" i="21" a="1"/>
  <c r="L452" i="21" l="1"/>
  <c r="R452" i="21"/>
  <c r="AE436" i="21"/>
  <c r="AC436" i="21" s="1"/>
  <c r="X436" i="21"/>
  <c r="AD436" i="21" s="1"/>
  <c r="AI136" i="2"/>
  <c r="X136" i="2"/>
  <c r="AH136" i="2" s="1"/>
  <c r="S138" i="2"/>
  <c r="T138" i="2" s="1"/>
  <c r="Q139" i="2"/>
  <c r="R139" i="2" s="1"/>
  <c r="V137" i="2"/>
  <c r="AC137" i="2"/>
  <c r="AD137" i="2" s="1"/>
  <c r="M452" i="21" a="1"/>
  <c r="M452" i="21" l="1"/>
  <c r="S452" i="21"/>
  <c r="T452" i="21" s="1"/>
  <c r="V452" i="21" s="1"/>
  <c r="Q458" i="21"/>
  <c r="AI137" i="2"/>
  <c r="X137" i="2"/>
  <c r="AH137" i="2" s="1"/>
  <c r="Q140" i="2"/>
  <c r="R140" i="2" s="1"/>
  <c r="S139" i="2"/>
  <c r="T139" i="2" s="1"/>
  <c r="AC138" i="2"/>
  <c r="AD138" i="2" s="1"/>
  <c r="V138" i="2"/>
  <c r="L458" i="21" a="1"/>
  <c r="L458" i="21" l="1"/>
  <c r="R458" i="21"/>
  <c r="X452" i="21"/>
  <c r="AD452" i="21" s="1"/>
  <c r="AE452" i="21"/>
  <c r="AC452" i="21" s="1"/>
  <c r="AC453" i="21" s="1"/>
  <c r="AC454" i="21" s="1"/>
  <c r="AC455" i="21" s="1"/>
  <c r="AC456" i="21" s="1"/>
  <c r="AC457" i="21" s="1"/>
  <c r="AC459" i="21" s="1"/>
  <c r="AC460" i="21" s="1"/>
  <c r="AC461" i="21" s="1"/>
  <c r="AC462" i="21" s="1"/>
  <c r="AC463" i="21" s="1"/>
  <c r="AC466" i="21" s="1"/>
  <c r="AC468" i="21" s="1"/>
  <c r="AC470" i="21" s="1"/>
  <c r="AC473" i="21" s="1"/>
  <c r="AC474" i="21" s="1"/>
  <c r="AC475" i="21" s="1"/>
  <c r="AC476" i="21" s="1"/>
  <c r="AI138" i="2"/>
  <c r="X138" i="2"/>
  <c r="AH138" i="2" s="1"/>
  <c r="AC139" i="2"/>
  <c r="AD139" i="2" s="1"/>
  <c r="V139" i="2"/>
  <c r="S140" i="2"/>
  <c r="T140" i="2" s="1"/>
  <c r="Q141" i="2"/>
  <c r="R141" i="2" s="1"/>
  <c r="M458" i="21" a="1"/>
  <c r="M458" i="21" l="1"/>
  <c r="AC477" i="21"/>
  <c r="AC479" i="21" s="1"/>
  <c r="AC480" i="21" s="1"/>
  <c r="AC482" i="21" s="1"/>
  <c r="AC478" i="21"/>
  <c r="S458" i="21"/>
  <c r="T458" i="21" s="1"/>
  <c r="V458" i="21" s="1"/>
  <c r="Q483" i="21"/>
  <c r="AI139" i="2"/>
  <c r="X139" i="2"/>
  <c r="AH139" i="2" s="1"/>
  <c r="Q144" i="2"/>
  <c r="R144" i="2" s="1"/>
  <c r="S141" i="2"/>
  <c r="T141" i="2" s="1"/>
  <c r="V140" i="2"/>
  <c r="AC140" i="2"/>
  <c r="AD140" i="2" s="1"/>
  <c r="L483" i="21" a="1"/>
  <c r="L483" i="21" l="1"/>
  <c r="S483" i="21"/>
  <c r="T483" i="21" s="1"/>
  <c r="V483" i="21" s="1"/>
  <c r="X458" i="21"/>
  <c r="AD458" i="21" s="1"/>
  <c r="AE458" i="21"/>
  <c r="AC458" i="21" s="1"/>
  <c r="X140" i="2"/>
  <c r="AH140" i="2" s="1"/>
  <c r="AI140" i="2"/>
  <c r="AC141" i="2"/>
  <c r="AD141" i="2" s="1"/>
  <c r="V141" i="2"/>
  <c r="S144" i="2"/>
  <c r="T144" i="2" s="1"/>
  <c r="V144" i="2" s="1"/>
  <c r="Q145" i="2"/>
  <c r="R145" i="2" s="1"/>
  <c r="AE483" i="21" l="1"/>
  <c r="AC483" i="21" s="1"/>
  <c r="X483" i="21"/>
  <c r="AD483" i="21" s="1"/>
  <c r="S145" i="2"/>
  <c r="T145" i="2" s="1"/>
  <c r="V145" i="2" s="1"/>
  <c r="Q159" i="2"/>
  <c r="R159" i="2" s="1"/>
  <c r="AI144" i="2"/>
  <c r="X144" i="2"/>
  <c r="AH144" i="2" s="1"/>
  <c r="AI141" i="2"/>
  <c r="X141" i="2"/>
  <c r="AH141" i="2" s="1"/>
  <c r="Q160" i="2" l="1"/>
  <c r="R160" i="2" s="1"/>
  <c r="S159" i="2"/>
  <c r="T159" i="2" s="1"/>
  <c r="V159" i="2" s="1"/>
  <c r="AI145" i="2"/>
  <c r="AH146" i="2" s="1"/>
  <c r="X145" i="2"/>
  <c r="AH145" i="2" s="1"/>
  <c r="S160" i="2" l="1"/>
  <c r="T160" i="2" s="1"/>
  <c r="V160" i="2" s="1"/>
  <c r="Q161" i="2"/>
  <c r="R161" i="2" s="1"/>
  <c r="AI159" i="2"/>
  <c r="AA159" i="2" s="1"/>
  <c r="X159" i="2"/>
  <c r="AH159" i="2" s="1"/>
  <c r="S161" i="2" l="1"/>
  <c r="T161" i="2" s="1"/>
  <c r="V161" i="2" s="1"/>
  <c r="Q162" i="2"/>
  <c r="R162" i="2" s="1"/>
  <c r="AI160" i="2"/>
  <c r="AA160" i="2" s="1"/>
  <c r="X160" i="2"/>
  <c r="AH160" i="2" s="1"/>
  <c r="S162" i="2" l="1"/>
  <c r="T162" i="2" s="1"/>
  <c r="V162" i="2" s="1"/>
  <c r="Q163" i="2"/>
  <c r="R163" i="2" s="1"/>
  <c r="AI161" i="2"/>
  <c r="AA161" i="2" s="1"/>
  <c r="X161" i="2"/>
  <c r="AH161" i="2" s="1"/>
  <c r="S163" i="2" l="1"/>
  <c r="T163" i="2" s="1"/>
  <c r="V163" i="2" s="1"/>
  <c r="Q164" i="2"/>
  <c r="R164" i="2" s="1"/>
  <c r="AI162" i="2"/>
  <c r="AA162" i="2" s="1"/>
  <c r="X162" i="2"/>
  <c r="AH162" i="2" s="1"/>
  <c r="Q165" i="2" l="1"/>
  <c r="R165" i="2" s="1"/>
  <c r="S164" i="2"/>
  <c r="T164" i="2" s="1"/>
  <c r="V164" i="2" s="1"/>
  <c r="AI163" i="2"/>
  <c r="AA163" i="2" s="1"/>
  <c r="X163" i="2"/>
  <c r="AH163" i="2" s="1"/>
  <c r="Q166" i="2" l="1"/>
  <c r="R166" i="2" s="1"/>
  <c r="S165" i="2"/>
  <c r="T165" i="2" s="1"/>
  <c r="V165" i="2" s="1"/>
  <c r="AI164" i="2"/>
  <c r="AA164" i="2" s="1"/>
  <c r="X164" i="2"/>
  <c r="AH164" i="2" s="1"/>
  <c r="AI165" i="2" l="1"/>
  <c r="AA165" i="2" s="1"/>
  <c r="X165" i="2"/>
  <c r="AH165" i="2" s="1"/>
  <c r="S166" i="2"/>
  <c r="T166" i="2" s="1"/>
  <c r="V166" i="2" s="1"/>
  <c r="Q167" i="2"/>
  <c r="R167" i="2" s="1"/>
  <c r="Q168" i="2" l="1"/>
  <c r="R168" i="2" s="1"/>
  <c r="S167" i="2"/>
  <c r="T167" i="2" s="1"/>
  <c r="V167" i="2" s="1"/>
  <c r="AI166" i="2"/>
  <c r="AA166" i="2" s="1"/>
  <c r="X166" i="2"/>
  <c r="AH166" i="2" s="1"/>
  <c r="AI167" i="2" l="1"/>
  <c r="AA167" i="2" s="1"/>
  <c r="X167" i="2"/>
  <c r="AH167" i="2" s="1"/>
  <c r="Q169" i="2"/>
  <c r="R169" i="2" s="1"/>
  <c r="S168" i="2"/>
  <c r="T168" i="2" s="1"/>
  <c r="V168" i="2" s="1"/>
  <c r="AI168" i="2" l="1"/>
  <c r="AA168" i="2" s="1"/>
  <c r="X168" i="2"/>
  <c r="AH168" i="2" s="1"/>
  <c r="Q170" i="2"/>
  <c r="R170" i="2" s="1"/>
  <c r="S169" i="2"/>
  <c r="T169" i="2" s="1"/>
  <c r="V169" i="2" s="1"/>
  <c r="AI169" i="2" l="1"/>
  <c r="AA169" i="2" s="1"/>
  <c r="X169" i="2"/>
  <c r="AH169" i="2" s="1"/>
  <c r="S170" i="2"/>
  <c r="T170" i="2" s="1"/>
  <c r="V170" i="2" s="1"/>
  <c r="Q171" i="2"/>
  <c r="R171" i="2" s="1"/>
  <c r="Q172" i="2" l="1"/>
  <c r="R172" i="2" s="1"/>
  <c r="S171" i="2"/>
  <c r="T171" i="2" s="1"/>
  <c r="V171" i="2" s="1"/>
  <c r="AI170" i="2"/>
  <c r="AA170" i="2" s="1"/>
  <c r="X170" i="2"/>
  <c r="AH170" i="2" s="1"/>
  <c r="AI171" i="2" l="1"/>
  <c r="AA171" i="2" s="1"/>
  <c r="X171" i="2"/>
  <c r="AH171" i="2" s="1"/>
  <c r="S172" i="2"/>
  <c r="T172" i="2" s="1"/>
  <c r="V172" i="2" s="1"/>
  <c r="Q173" i="2"/>
  <c r="R173" i="2" s="1"/>
  <c r="AI172" i="2" l="1"/>
  <c r="AA172" i="2" s="1"/>
  <c r="X172" i="2"/>
  <c r="AH172" i="2" s="1"/>
  <c r="Q174" i="2"/>
  <c r="R174" i="2" s="1"/>
  <c r="S173" i="2"/>
  <c r="T173" i="2" s="1"/>
  <c r="V173" i="2" s="1"/>
  <c r="AI173" i="2" l="1"/>
  <c r="AA173" i="2" s="1"/>
  <c r="X173" i="2"/>
  <c r="AH173" i="2" s="1"/>
  <c r="Q175" i="2"/>
  <c r="R175" i="2" s="1"/>
  <c r="S174" i="2"/>
  <c r="T174" i="2" s="1"/>
  <c r="V174" i="2" s="1"/>
  <c r="X174" i="2" l="1"/>
  <c r="AH174" i="2" s="1"/>
  <c r="AI174" i="2"/>
  <c r="AA174" i="2" s="1"/>
  <c r="Q176" i="2"/>
  <c r="R176" i="2" s="1"/>
  <c r="S175" i="2"/>
  <c r="T175" i="2" s="1"/>
  <c r="V175" i="2" s="1"/>
  <c r="AI175" i="2" l="1"/>
  <c r="AA175" i="2" s="1"/>
  <c r="X175" i="2"/>
  <c r="AH175" i="2" s="1"/>
  <c r="S176" i="2"/>
  <c r="T176" i="2" s="1"/>
  <c r="V176" i="2" s="1"/>
  <c r="Q187" i="2"/>
  <c r="R187" i="2" s="1"/>
  <c r="X176" i="2" l="1"/>
  <c r="AH176" i="2" s="1"/>
  <c r="AI176" i="2"/>
  <c r="AA176" i="2" s="1"/>
  <c r="Q188" i="2"/>
  <c r="R188" i="2" s="1"/>
  <c r="S187" i="2"/>
  <c r="T187" i="2" s="1"/>
  <c r="V187" i="2" s="1"/>
  <c r="S188" i="2" l="1"/>
  <c r="T188" i="2" s="1"/>
  <c r="V188" i="2" s="1"/>
  <c r="Q203" i="2"/>
  <c r="R203" i="2" s="1"/>
  <c r="AI187" i="2"/>
  <c r="AA187" i="2" s="1"/>
  <c r="X187" i="2"/>
  <c r="AH187" i="2" s="1"/>
  <c r="Q205" i="2" l="1"/>
  <c r="R205" i="2" s="1"/>
  <c r="S203" i="2"/>
  <c r="T203" i="2" s="1"/>
  <c r="V203" i="2" s="1"/>
  <c r="AI188" i="2"/>
  <c r="AA188" i="2" s="1"/>
  <c r="X188" i="2"/>
  <c r="AH188" i="2" s="1"/>
  <c r="AI203" i="2" l="1"/>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X210" i="2" l="1"/>
  <c r="AH210" i="2" s="1"/>
  <c r="AI210" i="2"/>
  <c r="AA210" i="2" s="1"/>
  <c r="AI206" i="2"/>
  <c r="AA206" i="2" s="1"/>
  <c r="X206" i="2"/>
  <c r="AH20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R17" authorId="0" shapeId="0" xr:uid="{62BFBB51-170E-4350-8D54-6B79A6C21CD1}">
      <text>
        <r>
          <rPr>
            <b/>
            <sz val="9"/>
            <color indexed="81"/>
            <rFont val="Tahoma"/>
            <family val="2"/>
          </rPr>
          <t xml:space="preserve">0.282361111111111:byte/s_x000D_
2.25888888888889:bit/s_x000D_
AS27:Rate_Cell_x000D_
R17:caller_x000D_
</t>
        </r>
      </text>
    </comment>
    <comment ref="T17" authorId="0" shapeId="0" xr:uid="{B0AF6F5E-69F5-4F4B-97BB-86DFA5FC7FE5}">
      <text>
        <r>
          <rPr>
            <b/>
            <sz val="9"/>
            <color indexed="81"/>
            <rFont val="Tahoma"/>
            <family val="2"/>
          </rPr>
          <t xml:space="preserve">0.282361111111111:byte/s_x000D_
2.25888888888889:bit/s_x000D_
AS27:Rate_Cell_x000D_
T17:caller_x000D_
</t>
        </r>
      </text>
    </comment>
    <comment ref="T18" authorId="0" shapeId="0" xr:uid="{48F10CA4-6A23-47BE-A28C-B58B9A1FE951}">
      <text>
        <r>
          <rPr>
            <b/>
            <sz val="9"/>
            <color indexed="81"/>
            <rFont val="Tahoma"/>
            <family val="2"/>
          </rPr>
          <t xml:space="preserve">0.414652777777778:byte/s_x000D_
3.31722222222222:bit/s_x000D_
AE27:Rate_Cell_x000D_
T18:caller_x000D_
</t>
        </r>
      </text>
    </comment>
    <comment ref="T19" authorId="0" shapeId="0" xr:uid="{00A0E73F-E12B-4711-8614-DB6E38DC22A6}">
      <text>
        <r>
          <rPr>
            <b/>
            <sz val="9"/>
            <color indexed="81"/>
            <rFont val="Tahoma"/>
            <family val="2"/>
          </rPr>
          <t xml:space="preserve">0.414652777777778:byte/s_x000D_
3.31722222222222:bit/s_x000D_
AE27:Rate_Cell_x000D_
T19:caller_x000D_
</t>
        </r>
      </text>
    </comment>
    <comment ref="T20" authorId="0" shapeId="0" xr:uid="{AAAAB343-690A-41FB-974F-0514F391652B}">
      <text>
        <r>
          <rPr>
            <b/>
            <sz val="9"/>
            <color indexed="81"/>
            <rFont val="Tahoma"/>
            <family val="2"/>
          </rPr>
          <t xml:space="preserve">0.414652777777778:byte/s_x000D_
3.31722222222222:bit/s_x000D_
AE27:Rate_Cell_x000D_
T20:caller_x000D_
</t>
        </r>
      </text>
    </comment>
    <comment ref="T21" authorId="0" shapeId="0" xr:uid="{4ADBAF29-BA74-49FD-A14B-442FA8B88D49}">
      <text>
        <r>
          <rPr>
            <b/>
            <sz val="9"/>
            <color indexed="81"/>
            <rFont val="Tahoma"/>
            <family val="2"/>
          </rPr>
          <t xml:space="preserve">0.414652777777778:byte/s_x000D_
3.31722222222222:bit/s_x000D_
AE27:Rate_Cell_x000D_
T21:caller_x000D_
</t>
        </r>
      </text>
    </comment>
    <comment ref="R22" authorId="0" shapeId="0" xr:uid="{E3F89DFF-1105-42F7-85BA-FE57639DDEC6}">
      <text>
        <r>
          <rPr>
            <b/>
            <sz val="9"/>
            <color indexed="81"/>
            <rFont val="Tahoma"/>
            <family val="2"/>
          </rPr>
          <t xml:space="preserve">0.414652777777778:byte/s_x000D_
3.31722222222222:bit/s_x000D_
AE27:Rate_Cell_x000D_
R22:caller_x000D_
</t>
        </r>
      </text>
    </comment>
    <comment ref="T22" authorId="0" shapeId="0" xr:uid="{EF593A3A-A567-443E-B18D-9399E4543131}">
      <text>
        <r>
          <rPr>
            <b/>
            <sz val="9"/>
            <color indexed="81"/>
            <rFont val="Tahoma"/>
            <family val="2"/>
          </rPr>
          <t xml:space="preserve">0.414652777777778:byte/s_x000D_
3.31722222222222:bit/s_x000D_
AE27:Rate_Cell_x000D_
T22:caller_x000D_
</t>
        </r>
      </text>
    </comment>
    <comment ref="R23" authorId="0" shapeId="0" xr:uid="{21339E73-FC30-4F1D-8084-E68BD8403B08}">
      <text>
        <r>
          <rPr>
            <b/>
            <sz val="9"/>
            <color indexed="81"/>
            <rFont val="Tahoma"/>
            <family val="2"/>
          </rPr>
          <t xml:space="preserve">2.19284722222222:byte/s_x000D_
17.5427777777778:bit/s_x000D_
AH27:Rate_Cell_x000D_
R23:caller_x000D_
</t>
        </r>
      </text>
    </comment>
    <comment ref="T23" authorId="0" shapeId="0" xr:uid="{6735172D-9D51-4592-91DB-E2F6C3C1433E}">
      <text>
        <r>
          <rPr>
            <b/>
            <sz val="9"/>
            <color indexed="81"/>
            <rFont val="Tahoma"/>
            <family val="2"/>
          </rPr>
          <t xml:space="preserve">2.19284722222222:byte/s_x000D_
17.5427777777778:bit/s_x000D_
AH27:Rate_Cell_x000D_
T23:caller_x000D_
</t>
        </r>
      </text>
    </comment>
    <comment ref="R24" authorId="0" shapeId="0" xr:uid="{ADA75B8D-A3F1-4D6E-9B6C-3EA0A66223BA}">
      <text>
        <r>
          <rPr>
            <b/>
            <sz val="9"/>
            <color indexed="81"/>
            <rFont val="Tahoma"/>
            <family val="2"/>
          </rPr>
          <t xml:space="preserve">1.84722222222222:byte/s_x000D_
14.7777777777778:bit/s_x000D_
AN27:Rate_Cell_x000D_
R24:caller_x000D_
</t>
        </r>
      </text>
    </comment>
    <comment ref="T24" authorId="0" shapeId="0" xr:uid="{CF6C65B2-5148-4ED6-9DB5-AD21E36BD7C9}">
      <text>
        <r>
          <rPr>
            <b/>
            <sz val="9"/>
            <color indexed="81"/>
            <rFont val="Tahoma"/>
            <family val="2"/>
          </rPr>
          <t xml:space="preserve">1.84722222222222:byte/s_x000D_
14.7777777777778:bit/s_x000D_
AN27:Rate_Cell_x000D_
T24:caller_x000D_
</t>
        </r>
      </text>
    </comment>
    <comment ref="R26" authorId="0" shapeId="0" xr:uid="{BD522B2C-9323-4C22-B7DF-11987F3DA905}">
      <text>
        <r>
          <rPr>
            <b/>
            <sz val="9"/>
            <color indexed="81"/>
            <rFont val="Tahoma"/>
            <family val="2"/>
          </rPr>
          <t xml:space="preserve">0.627986111111111:byte/s_x000D_
5.02388888888889:bit/s_x000D_
AU27:Rate_Cell_x000D_
R26:caller_x000D_
</t>
        </r>
      </text>
    </comment>
    <comment ref="T26" authorId="0" shapeId="0" xr:uid="{56983D25-7346-4E34-A79C-2BF07C170F52}">
      <text>
        <r>
          <rPr>
            <b/>
            <sz val="9"/>
            <color indexed="81"/>
            <rFont val="Tahoma"/>
            <family val="2"/>
          </rPr>
          <t xml:space="preserve">0.627986111111111:byte/s_x000D_
5.02388888888889:bit/s_x000D_
AU27:Rate_Cell_x000D_
T26:caller_x000D_
</t>
        </r>
      </text>
    </comment>
    <comment ref="R27" authorId="0" shapeId="0" xr:uid="{6C2EB7C1-DEBF-4DEF-A6AD-87EEA81DFE1B}">
      <text>
        <r>
          <rPr>
            <b/>
            <sz val="9"/>
            <color indexed="81"/>
            <rFont val="Tahoma"/>
            <family val="2"/>
          </rPr>
          <t xml:space="preserve">2.261875:byte/s_x000D_
18.095:bit/s_x000D_
AI27:Rate_Cell_x000D_
R27:caller_x000D_
</t>
        </r>
      </text>
    </comment>
    <comment ref="T27" authorId="0" shapeId="0" xr:uid="{C0CF6DA7-E8A8-495F-A8E1-C1DB95649C85}">
      <text>
        <r>
          <rPr>
            <b/>
            <sz val="9"/>
            <color indexed="81"/>
            <rFont val="Tahoma"/>
            <family val="2"/>
          </rPr>
          <t xml:space="preserve">2.261875:byte/s_x000D_
18.095:bit/s_x000D_
AI27:Rate_Cell_x000D_
T27:caller_x000D_
</t>
        </r>
      </text>
    </comment>
    <comment ref="R28" authorId="0" shapeId="0" xr:uid="{5586D3F9-F13F-4107-ADF0-394EEE9F52B0}">
      <text>
        <r>
          <rPr>
            <b/>
            <sz val="9"/>
            <color indexed="81"/>
            <rFont val="Tahoma"/>
            <family val="2"/>
          </rPr>
          <t xml:space="preserve">2.19284722222222:byte/s_x000D_
17.5427777777778:bit/s_x000D_
AP27:Rate_Cell_x000D_
R28:caller_x000D_
</t>
        </r>
      </text>
    </comment>
    <comment ref="T28" authorId="0" shapeId="0" xr:uid="{B7A6C7C6-A64D-4878-BCBB-971456D0DC35}">
      <text>
        <r>
          <rPr>
            <b/>
            <sz val="9"/>
            <color indexed="81"/>
            <rFont val="Tahoma"/>
            <family val="2"/>
          </rPr>
          <t xml:space="preserve">2.19284722222222:byte/s_x000D_
17.5427777777778:bit/s_x000D_
AP27:Rate_Cell_x000D_
T28:caller_x000D_
</t>
        </r>
      </text>
    </comment>
    <comment ref="R31" authorId="0" shapeId="0" xr:uid="{B5BBAE50-88D9-4F5A-96A3-5572EE702272}">
      <text>
        <r>
          <rPr>
            <sz val="9"/>
            <color indexed="81"/>
            <rFont val="Tahoma"/>
            <family val="2"/>
          </rPr>
          <t xml:space="preserve">2.47520833333333:byte/s_x000D_
19.8016666666667:bit/s_x000D_
BG27:Rate_Cell_x000D_
R31:caller_x000D_
</t>
        </r>
      </text>
    </comment>
    <comment ref="T31" authorId="0" shapeId="0" xr:uid="{982C27C7-2112-40D3-8077-FD8D741186EE}">
      <text>
        <r>
          <rPr>
            <sz val="9"/>
            <color indexed="81"/>
            <rFont val="Tahoma"/>
            <family val="2"/>
          </rPr>
          <t xml:space="preserve">2.47520833333333:byte/s_x000D_
19.8016666666667:bit/s_x000D_
BG27:Rate_Cell_x000D_
T31:caller_x000D_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1520636A-5BFD-4899-975C-CB842087D80A}">
      <text>
        <r>
          <rPr>
            <sz val="9"/>
            <color indexed="81"/>
            <rFont val="Tahoma"/>
            <family val="2"/>
          </rPr>
          <t xml:space="preserve">init:  590247716,590249566_x000D_
</t>
        </r>
      </text>
    </comment>
    <comment ref="A12" authorId="0" shapeId="0" xr:uid="{41C6A7AE-2C94-4936-A195-BE61520BD26A}">
      <text>
        <r>
          <rPr>
            <sz val="9"/>
            <color indexed="81"/>
            <rFont val="Tahoma"/>
            <family val="2"/>
          </rPr>
          <t xml:space="preserve">append:  590249566,605076786_x000D_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E19F3851-C5B6-4357-B481-BFB0E34A3EFE}">
      <text>
        <r>
          <rPr>
            <sz val="9"/>
            <color indexed="81"/>
            <rFont val="Tahoma"/>
            <family val="2"/>
          </rPr>
          <t xml:space="preserve">init:  606263216,606265066_x000D_
</t>
        </r>
      </text>
    </comment>
    <comment ref="A12" authorId="0" shapeId="0" xr:uid="{56BB3765-3429-4F3F-8899-F120C2F437EF}">
      <text>
        <r>
          <rPr>
            <sz val="9"/>
            <color indexed="81"/>
            <rFont val="Tahoma"/>
            <family val="2"/>
          </rPr>
          <t xml:space="preserve">append:  606265066,607931286_x000D_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F27ED848-B7A2-4872-AB9C-AE060D6CD643}">
      <text>
        <r>
          <rPr>
            <sz val="9"/>
            <color indexed="81"/>
            <rFont val="Tahoma"/>
            <family val="2"/>
          </rPr>
          <t xml:space="preserve">init:  607961216,607963066_x000D_
</t>
        </r>
      </text>
    </comment>
    <comment ref="A12" authorId="0" shapeId="0" xr:uid="{ADFD6B37-0BA0-4259-97CB-87988839CEDF}">
      <text>
        <r>
          <rPr>
            <sz val="9"/>
            <color indexed="81"/>
            <rFont val="Tahoma"/>
            <family val="2"/>
          </rPr>
          <t xml:space="preserve">append:  607963066,608130186_x000D_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01E46809-F181-4E1D-924E-DDFB17B26598}">
      <text>
        <r>
          <rPr>
            <sz val="9"/>
            <color indexed="81"/>
            <rFont val="Tahoma"/>
            <family val="2"/>
          </rPr>
          <t xml:space="preserve">init:  608131016,608132866_x000D_
</t>
        </r>
      </text>
    </comment>
    <comment ref="A12" authorId="0" shapeId="0" xr:uid="{724B739B-4674-4A26-902C-F0EBF6A0FC49}">
      <text>
        <r>
          <rPr>
            <sz val="9"/>
            <color indexed="81"/>
            <rFont val="Tahoma"/>
            <family val="2"/>
          </rPr>
          <t xml:space="preserve">append:  608132866,608536086_x000D_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AC711B68-254D-43BD-8EC0-4AA172D511B0}">
      <text>
        <r>
          <rPr>
            <sz val="9"/>
            <color indexed="81"/>
            <rFont val="Tahoma"/>
            <family val="2"/>
          </rPr>
          <t xml:space="preserve">init:  608566016,608567866_x000D_
</t>
        </r>
      </text>
    </comment>
    <comment ref="A12" authorId="0" shapeId="0" xr:uid="{4BE814F5-2BF8-4178-A2A5-FF0710AFF2F9}">
      <text>
        <r>
          <rPr>
            <sz val="9"/>
            <color indexed="81"/>
            <rFont val="Tahoma"/>
            <family val="2"/>
          </rPr>
          <t xml:space="preserve">append:  608567866,609911766_x000D_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5101F0ED-2ABB-4D1F-8107-9B49F2389263}">
      <text>
        <r>
          <rPr>
            <sz val="9"/>
            <color indexed="81"/>
            <rFont val="Tahoma"/>
            <family val="2"/>
          </rPr>
          <t xml:space="preserve">init:  609912716,609914566_x000D_
</t>
        </r>
      </text>
    </comment>
    <comment ref="A12" authorId="0" shapeId="0" xr:uid="{684A6F83-5D15-4081-9697-00EA16FD23B6}">
      <text>
        <r>
          <rPr>
            <sz val="9"/>
            <color indexed="81"/>
            <rFont val="Tahoma"/>
            <family val="2"/>
          </rPr>
          <t xml:space="preserve">append:  609914566,611743986_x000D_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3372BF3F-CB11-4FC0-98B4-E8E0BEA61580}">
      <text>
        <r>
          <rPr>
            <sz val="9"/>
            <color indexed="81"/>
            <rFont val="Tahoma"/>
            <family val="2"/>
          </rPr>
          <t xml:space="preserve">init:  611744576,611746256_x000D_
</t>
        </r>
      </text>
    </comment>
    <comment ref="A12" authorId="0" shapeId="0" xr:uid="{03046BDB-3FF6-48BB-A1FB-8426397CB4BF}">
      <text>
        <r>
          <rPr>
            <sz val="9"/>
            <color indexed="81"/>
            <rFont val="Tahoma"/>
            <family val="2"/>
          </rPr>
          <t xml:space="preserve">append:  611746256,613555316_x000D_
</t>
        </r>
      </text>
    </comment>
    <comment ref="A13" authorId="0" shapeId="0" xr:uid="{E8FD90A5-69E2-46AD-912F-D32E3AA9D0E4}">
      <text>
        <r>
          <rPr>
            <sz val="9"/>
            <color indexed="81"/>
            <rFont val="Tahoma"/>
            <family val="2"/>
          </rPr>
          <t xml:space="preserve">append:  613555316,615857156_x000D_
</t>
        </r>
      </text>
    </comment>
    <comment ref="A14" authorId="0" shapeId="0" xr:uid="{BC3DB454-071C-4570-AC29-A19D9A9E4571}">
      <text>
        <r>
          <rPr>
            <sz val="9"/>
            <color indexed="81"/>
            <rFont val="Tahoma"/>
            <family val="2"/>
          </rPr>
          <t xml:space="preserve">append:  615857156,616807206_x000D_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C9555F67-3E83-4BAB-80BC-AB081E406C7D}">
      <text>
        <r>
          <rPr>
            <sz val="9"/>
            <color indexed="81"/>
            <rFont val="Tahoma"/>
            <family val="2"/>
          </rPr>
          <t xml:space="preserve">init:  616843136,616844816_x000D_
</t>
        </r>
      </text>
    </comment>
    <comment ref="A12" authorId="0" shapeId="0" xr:uid="{3F8C302E-0326-41C6-B0F4-CC20766651DC}">
      <text>
        <r>
          <rPr>
            <sz val="9"/>
            <color indexed="81"/>
            <rFont val="Tahoma"/>
            <family val="2"/>
          </rPr>
          <t xml:space="preserve">append:  616844816,644287985_x000D_
</t>
        </r>
      </text>
    </comment>
    <comment ref="A13" authorId="0" shapeId="0" xr:uid="{4A01138D-1BAB-481B-8FF1-E15AE70258DB}">
      <text>
        <r>
          <rPr>
            <sz val="9"/>
            <color indexed="81"/>
            <rFont val="Tahoma"/>
            <family val="2"/>
          </rPr>
          <t xml:space="preserve">PB:  622845951,623792487,(HSK3,,,,,,)_x000D_
</t>
        </r>
      </text>
    </comment>
    <comment ref="A14" authorId="0" shapeId="0" xr:uid="{6234586C-6CF7-4831-B612-2A1A462991B3}">
      <text>
        <r>
          <rPr>
            <sz val="9"/>
            <color indexed="81"/>
            <rFont val="Tahoma"/>
            <family val="2"/>
          </rPr>
          <t xml:space="preserve">PB:  622855951,624142263,(,DT1,,,,,)_x000D_
</t>
        </r>
      </text>
    </comment>
    <comment ref="A15" authorId="0" shapeId="0" xr:uid="{CEC67097-AB19-4199-BD78-D6FF8BB62D0C}">
      <text>
        <r>
          <rPr>
            <sz val="9"/>
            <color indexed="81"/>
            <rFont val="Tahoma"/>
            <family val="2"/>
          </rPr>
          <t xml:space="preserve">PB:  622865951,623037141,(,,DT2,,,,)_x000D_
</t>
        </r>
      </text>
    </comment>
    <comment ref="A16" authorId="0" shapeId="0" xr:uid="{3750FAAA-4E9A-4354-8205-9B53CDD6FC54}">
      <text>
        <r>
          <rPr>
            <sz val="9"/>
            <color indexed="81"/>
            <rFont val="Tahoma"/>
            <family val="2"/>
          </rPr>
          <t xml:space="preserve">PB:  622875951,622892887,(HSK3,DT1,DT2,DT3,DT4,,)_x000D_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BBA4FA62-A3BC-4F47-BF8B-B45F3E645254}">
      <text>
        <r>
          <rPr>
            <sz val="9"/>
            <color indexed="81"/>
            <rFont val="Tahoma"/>
            <family val="2"/>
          </rPr>
          <t xml:space="preserve">init:  644923315,644924995_x000D_
</t>
        </r>
      </text>
    </comment>
    <comment ref="A12" authorId="0" shapeId="0" xr:uid="{1DBB685F-36AE-4235-B799-4531CC2B9A09}">
      <text>
        <r>
          <rPr>
            <sz val="9"/>
            <color indexed="81"/>
            <rFont val="Tahoma"/>
            <family val="2"/>
          </rPr>
          <t xml:space="preserve">append:  644924995,646883515_x000D_
</t>
        </r>
      </text>
    </comment>
    <comment ref="A13" authorId="0" shapeId="0" xr:uid="{214C47A3-1BAE-4F53-95CD-9865F2FDA245}">
      <text>
        <r>
          <rPr>
            <sz val="9"/>
            <color indexed="81"/>
            <rFont val="Tahoma"/>
            <family val="2"/>
          </rPr>
          <t xml:space="preserve">append:  646883515,678385315_x000D_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C0FD49-E79D-464E-BAC7-6C3B74AD16EE}" keepAlive="1" name="Query - DoyToDateTime" description="Connection to the 'DoyToDateTime' query in the workbook." type="5" refreshedVersion="0" background="1" saveData="1">
    <dbPr connection="Provider=Microsoft.Mashup.OleDb.1;Data Source=$Workbook$;Location=DoyToDateTime;Extended Properties=&quot;&quot;" command="SELECT * FROM [DoyToDateTime]"/>
  </connection>
  <connection id="2" xr16:uid="{E0D971AC-BEB3-4706-ADC2-D428D33E9062}" keepAlive="1" name="Query - fnIsValidStatesimFilename" description="Connection to the 'fnIsValidStatesimFilename' query in the workbook." type="5" refreshedVersion="0" background="1" saveData="1">
    <dbPr connection="Provider=Microsoft.Mashup.OleDb.1;Data Source=$Workbook$;Location=fnIsValidStatesimFilename;Extended Properties=&quot;&quot;" command="SELECT * FROM [fnIsValidStatesimFilename]"/>
  </connection>
  <connection id="3" xr16:uid="{0A9FD459-BAC6-4605-A580-2CC704BCD19D}" keepAlive="1" name="Query - fnTransformSingleFilePEPSSI" description="Connection to the 'fnTransformSingleFilePEPSSI' query in the workbook." type="5" refreshedVersion="0" background="1" saveData="1">
    <dbPr connection="Provider=Microsoft.Mashup.OleDb.1;Data Source=$Workbook$;Location=fnTransformSingleFilePEPSSI;Extended Properties=&quot;&quot;" command="SELECT * FROM [fnTransformSingleFilePEPSSI]"/>
  </connection>
  <connection id="4" xr16:uid="{CA02D269-24B3-41B8-8C66-A0C6435FF5AF}" keepAlive="1" name="Query - fnTransformSingleFilePlaybacks" description="Connection to the 'fnTransformSingleFilePlaybacks' query in the workbook." type="5" refreshedVersion="0" background="1">
    <dbPr connection="Provider=Microsoft.Mashup.OleDb.1;Data Source=$Workbook$;Location=fnTransformSingleFilePlaybacks;Extended Properties=&quot;&quot;" command="SELECT * FROM [fnTransformSingleFilePlaybacks]"/>
  </connection>
  <connection id="5" xr16:uid="{994911E7-6CDD-433A-9C4B-1E8D87B18EDC}" keepAlive="1" name="Query - fnTransformSingleFileSwap" description="Connection to the 'fnTransformSingleFileSwap' query in the workbook." type="5" refreshedVersion="0" background="1">
    <dbPr connection="Provider=Microsoft.Mashup.OleDb.1;Data Source=$Workbook$;Location=fnTransformSingleFileSwap;Extended Properties=&quot;&quot;" command="SELECT * FROM [fnTransformSingleFileSwap]"/>
  </connection>
  <connection id="6" xr16:uid="{31F1D51C-58EF-435A-AC9B-1709647D9442}" keepAlive="1" name="Query - FolderPath" description="Connection to the 'FolderPath' query in the workbook." type="5" refreshedVersion="0" background="1" saveData="1">
    <dbPr connection="Provider=Microsoft.Mashup.OleDb.1;Data Source=$Workbook$;Location=FolderPath;Extended Properties=&quot;&quot;" command="SELECT * FROM [FolderPath]"/>
  </connection>
  <connection id="7" xr16:uid="{03B222C4-666F-442B-BFC2-E3A1A9BF4CB9}" keepAlive="1" name="Query - PEPSSI Commanding" description="Connection to the 'PEPSSI Commanding' query in the workbook." type="5" refreshedVersion="8" background="1" saveData="1">
    <dbPr connection="Provider=Microsoft.Mashup.OleDb.1;Data Source=$Workbook$;Location=&quot;PEPSSI Commanding&quot;;Extended Properties=&quot;&quot;" command="SELECT * FROM [PEPSSI Commanding]"/>
  </connection>
  <connection id="8" xr16:uid="{2BA63B2B-4FA9-4687-8211-B87B4FA6B4D7}" keepAlive="1" name="Query - Playbacks" description="Connection to the 'Playbacks' query in the workbook." type="5" refreshedVersion="8" background="1" saveData="1">
    <dbPr connection="Provider=Microsoft.Mashup.OleDb.1;Data Source=$Workbook$;Location=Playbacks;Extended Properties=&quot;&quot;" command="SELECT * FROM [Playbacks]"/>
  </connection>
  <connection id="9" xr16:uid="{CA49D626-4DD4-4D4E-BBC6-5B0E4D4474DF}" keepAlive="1" name="Query - SampleFile" description="Connection to the 'SampleFile' query in the workbook." type="5" refreshedVersion="0" background="1" saveData="1">
    <dbPr connection="Provider=Microsoft.Mashup.OleDb.1;Data Source=$Workbook$;Location=SampleFile;Extended Properties=&quot;&quot;" command="SELECT * FROM [SampleFile]"/>
  </connection>
  <connection id="10" xr16:uid="{5BE173E5-83E8-44DA-874C-A334BDDD36A0}" keepAlive="1" name="Query - SWAP Commanding" description="Connection to the 'SWAP Commanding' query in the workbook." type="5" refreshedVersion="8" background="1" saveData="1">
    <dbPr connection="Provider=Microsoft.Mashup.OleDb.1;Data Source=$Workbook$;Location=&quot;SWAP Commanding&quot;;Extended Properties=&quot;&quot;" command="SELECT * FROM [SWAP Commanding]"/>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<sst xmlns="http://schemas.openxmlformats.org/spreadsheetml/2006/main" count="10678" uniqueCount="6282">
  <si>
    <t>bps</t>
  </si>
  <si>
    <t>N1</t>
  </si>
  <si>
    <t>a</t>
  </si>
  <si>
    <t>b</t>
  </si>
  <si>
    <t>Mbits/sec</t>
  </si>
  <si>
    <t>start met</t>
  </si>
  <si>
    <t>end met</t>
  </si>
  <si>
    <t>seconds</t>
  </si>
  <si>
    <t>calculated bytes</t>
  </si>
  <si>
    <t>difference</t>
  </si>
  <si>
    <t>153_1</t>
  </si>
  <si>
    <t>160_1</t>
  </si>
  <si>
    <t>162_1</t>
  </si>
  <si>
    <t>167_1</t>
  </si>
  <si>
    <t>169_1</t>
  </si>
  <si>
    <t>135_1</t>
  </si>
  <si>
    <t>139_1</t>
  </si>
  <si>
    <t>154_1</t>
  </si>
  <si>
    <t>pwr off</t>
  </si>
  <si>
    <t>pwr on</t>
  </si>
  <si>
    <t>bytes</t>
  </si>
  <si>
    <t>sync</t>
  </si>
  <si>
    <t>power ons</t>
  </si>
  <si>
    <t xml:space="preserve"> </t>
  </si>
  <si>
    <t>off</t>
  </si>
  <si>
    <t>total calc bytes</t>
  </si>
  <si>
    <t>bytes avail</t>
  </si>
  <si>
    <t>C&amp;DH  #1</t>
  </si>
  <si>
    <t>SSR_LO_RCRD_SYNC  PEPSSI_DT4</t>
  </si>
  <si>
    <t>114_1</t>
  </si>
  <si>
    <t>TRK_134_2</t>
  </si>
  <si>
    <t>161_2</t>
  </si>
  <si>
    <t>TRK_161_2</t>
  </si>
  <si>
    <t>TRK_169_1</t>
  </si>
  <si>
    <t>TRK_197_2</t>
  </si>
  <si>
    <t xml:space="preserve">remaining </t>
  </si>
  <si>
    <t>on track</t>
  </si>
  <si>
    <t>rel to S</t>
  </si>
  <si>
    <t>TRK_205_1</t>
  </si>
  <si>
    <t>TRK_211_1</t>
  </si>
  <si>
    <t>TRK_213_1</t>
  </si>
  <si>
    <t>TRK_214_1</t>
  </si>
  <si>
    <t>TRK_219_1</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</si>
  <si>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</si>
  <si>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</si>
  <si>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</si>
  <si>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</si>
  <si>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</si>
  <si>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</si>
  <si>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</si>
  <si>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</si>
  <si>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</si>
  <si>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</si>
  <si>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</si>
  <si>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</si>
  <si>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</si>
  <si>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</si>
  <si>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</si>
  <si>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</si>
  <si>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</si>
  <si>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</si>
  <si>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</si>
  <si>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</si>
  <si>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</si>
  <si>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</si>
  <si>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</si>
  <si>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</si>
  <si>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</si>
  <si>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</si>
  <si>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</si>
  <si>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</si>
  <si>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</si>
  <si>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</si>
  <si>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</si>
  <si>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</si>
  <si>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</si>
  <si>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</si>
  <si>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</si>
  <si>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</si>
  <si>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</si>
  <si>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</si>
  <si>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</si>
  <si>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</si>
  <si>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</si>
  <si>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</si>
  <si>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</si>
  <si>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</si>
  <si>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</si>
  <si>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</si>
  <si>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</si>
  <si>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</si>
  <si>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</si>
  <si>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</si>
  <si>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</si>
  <si>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</si>
  <si>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</si>
  <si>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</si>
  <si>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</si>
  <si>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</si>
  <si>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</si>
  <si>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</si>
  <si>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</si>
  <si>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</si>
  <si>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</si>
  <si>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</si>
  <si>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</si>
  <si>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</si>
  <si>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</si>
  <si>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</si>
  <si>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</si>
  <si>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</si>
  <si>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</si>
  <si>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</si>
  <si>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</si>
  <si>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</si>
  <si>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</si>
  <si>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</si>
  <si>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</si>
  <si>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</si>
  <si>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</si>
  <si>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</si>
  <si>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</si>
  <si>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</si>
  <si>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</si>
  <si>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</si>
  <si>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</si>
  <si>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</si>
  <si>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</si>
  <si>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</si>
  <si>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</si>
  <si>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</si>
  <si>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</si>
  <si>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</si>
  <si>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</si>
  <si>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</si>
  <si>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</si>
  <si>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</si>
  <si>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</si>
  <si>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</si>
  <si>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</si>
  <si>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</si>
  <si>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</si>
  <si>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</si>
  <si>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</si>
  <si>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</si>
  <si>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</si>
  <si>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</si>
  <si>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</si>
  <si>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</si>
  <si>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</si>
  <si>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</si>
  <si>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</si>
  <si>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</si>
  <si>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</si>
  <si>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</si>
  <si>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</si>
  <si>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</si>
  <si>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</si>
  <si>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</si>
  <si>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</si>
  <si>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</si>
  <si>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</si>
  <si>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</si>
  <si>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</si>
  <si>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</si>
  <si>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</si>
  <si>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</si>
  <si>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</si>
  <si>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</si>
  <si>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</si>
  <si>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</si>
  <si>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</si>
  <si>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</si>
  <si>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</si>
  <si>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</si>
  <si>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</si>
  <si>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</si>
  <si>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</si>
  <si>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</si>
  <si>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</si>
  <si>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</si>
  <si>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</si>
  <si>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</si>
  <si>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</si>
  <si>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</si>
  <si>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</si>
  <si>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</si>
  <si>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</si>
  <si>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</si>
  <si>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</si>
  <si>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</si>
  <si>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</si>
  <si>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</si>
  <si>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</si>
  <si>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</si>
  <si>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</si>
  <si>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</si>
  <si>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</si>
  <si>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</si>
  <si>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</si>
  <si>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</si>
  <si>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</si>
  <si>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</si>
  <si>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</si>
  <si>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</si>
  <si>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</si>
  <si>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</si>
  <si>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</si>
  <si>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</si>
  <si>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</si>
  <si>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</si>
  <si>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</si>
  <si>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</si>
  <si>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</si>
  <si>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</si>
  <si>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</si>
  <si>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</si>
  <si>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</si>
  <si>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</si>
  <si>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</si>
  <si>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</si>
  <si>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</si>
  <si>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</si>
  <si>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</si>
  <si>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</si>
  <si>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</si>
  <si>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</si>
  <si>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</si>
  <si>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</si>
  <si>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</si>
  <si>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</si>
  <si>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</si>
  <si>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</si>
  <si>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</si>
  <si>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</si>
  <si>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</si>
  <si>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</si>
  <si>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</si>
  <si>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</si>
  <si>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</si>
  <si>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</si>
  <si>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</si>
  <si>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</si>
  <si>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</si>
  <si>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</si>
  <si>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</si>
  <si>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</si>
  <si>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</si>
  <si>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</si>
  <si>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</si>
  <si>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</si>
  <si>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</si>
  <si>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</si>
  <si>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</si>
  <si>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</si>
  <si>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</si>
  <si>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</si>
  <si>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</si>
  <si>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</si>
  <si>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</si>
  <si>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</si>
  <si>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</si>
  <si>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</si>
  <si>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</si>
  <si>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</si>
  <si>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</si>
  <si>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</si>
  <si>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</si>
  <si>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</si>
  <si>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</si>
  <si>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</si>
  <si>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</si>
  <si>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</si>
  <si>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</si>
  <si>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</si>
  <si>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</si>
  <si>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</si>
  <si>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</si>
  <si>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</si>
  <si>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</si>
  <si>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</si>
  <si>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</si>
  <si>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</si>
  <si>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</si>
  <si>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</si>
  <si>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</si>
  <si>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</si>
  <si>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</si>
  <si>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</si>
  <si>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</si>
  <si>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</si>
  <si>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</si>
  <si>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</si>
  <si>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</si>
  <si>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</si>
  <si>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</si>
  <si>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</si>
  <si>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</si>
  <si>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</si>
  <si>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</si>
  <si>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</si>
  <si>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</si>
  <si>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</si>
  <si>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</si>
  <si>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</si>
  <si>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</si>
  <si>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</si>
  <si>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</si>
  <si>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</si>
  <si>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</si>
  <si>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</si>
  <si>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</si>
  <si>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</si>
  <si>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</si>
  <si>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</si>
  <si>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</si>
  <si>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</si>
  <si>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</si>
  <si>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</si>
  <si>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</si>
  <si>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</si>
  <si>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</si>
  <si>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</si>
  <si>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</si>
  <si>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</si>
  <si>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</si>
  <si>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</si>
  <si>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</si>
  <si>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</si>
  <si>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</si>
  <si>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</si>
  <si>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</si>
  <si>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</si>
  <si>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</si>
  <si>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</si>
  <si>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</si>
  <si>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</si>
  <si>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</si>
  <si>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</si>
  <si>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</si>
  <si>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</si>
  <si>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</si>
  <si>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</si>
  <si>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</si>
  <si>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</si>
  <si>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</si>
  <si>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</si>
  <si>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</si>
  <si>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</si>
  <si>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</si>
  <si>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</si>
  <si>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</si>
  <si>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</si>
  <si>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</si>
  <si>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</si>
  <si>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</si>
  <si>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</si>
  <si>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</si>
  <si>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</si>
  <si>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</si>
  <si>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</si>
  <si>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</si>
  <si>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</si>
  <si>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</si>
  <si>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</si>
  <si>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</si>
  <si>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</si>
  <si>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</si>
  <si>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</si>
  <si>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</si>
  <si>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</si>
  <si>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</si>
  <si>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</si>
  <si>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</si>
  <si>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</si>
  <si>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</si>
  <si>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</si>
  <si>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</si>
  <si>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</si>
  <si>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</si>
  <si>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</si>
  <si>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</si>
  <si>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</si>
  <si>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</si>
  <si>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</si>
  <si>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</si>
  <si>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</si>
  <si>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</si>
  <si>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</si>
  <si>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</si>
  <si>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</si>
  <si>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</si>
  <si>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</si>
  <si>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</si>
  <si>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</si>
  <si>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</si>
  <si>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</si>
  <si>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</si>
  <si>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</si>
  <si>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</si>
  <si>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</si>
  <si>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</si>
  <si>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</si>
  <si>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</si>
  <si>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</si>
  <si>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</si>
  <si>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</si>
  <si>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</si>
  <si>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</si>
  <si>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</si>
  <si>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</si>
  <si>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</si>
  <si>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</si>
  <si>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</si>
  <si>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</si>
  <si>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</si>
  <si>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</si>
  <si>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</si>
  <si>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</si>
  <si>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</si>
  <si>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</si>
  <si>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</si>
  <si>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</si>
  <si>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</si>
  <si>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</si>
  <si>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</si>
  <si>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</si>
  <si>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</si>
  <si>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</si>
  <si>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</si>
  <si>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</si>
  <si>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</si>
  <si>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</si>
  <si>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</si>
  <si>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</si>
  <si>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</si>
  <si>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</si>
  <si>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</si>
  <si>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</si>
  <si>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</si>
  <si>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</si>
  <si>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</si>
  <si>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</si>
  <si>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</si>
  <si>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</si>
  <si>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</si>
  <si>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</si>
  <si>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</si>
  <si>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</si>
  <si>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</si>
  <si>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</si>
  <si>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</si>
  <si>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</si>
  <si>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</si>
  <si>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</si>
  <si>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</si>
  <si>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</si>
  <si>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</si>
  <si>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</si>
  <si>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</si>
  <si>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</si>
  <si>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</si>
  <si>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</si>
  <si>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</si>
  <si>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</si>
  <si>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</si>
  <si>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</si>
  <si>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</si>
  <si>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</si>
  <si>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</si>
  <si>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</si>
  <si>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</si>
  <si>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</si>
  <si>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</si>
  <si>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</si>
  <si>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</si>
  <si>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</si>
  <si>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</si>
  <si>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</si>
  <si>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</si>
  <si>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</si>
  <si>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</si>
  <si>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</si>
  <si>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</si>
  <si>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</si>
  <si>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</si>
  <si>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</si>
  <si>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</si>
  <si>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</si>
  <si>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</si>
  <si>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</si>
  <si>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</si>
  <si>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</si>
  <si>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</si>
  <si>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</si>
  <si>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</si>
  <si>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</si>
  <si>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</si>
  <si>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</si>
  <si>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</si>
  <si>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</si>
  <si>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</si>
  <si>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</si>
  <si>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</si>
  <si>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</si>
  <si>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</si>
  <si>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</si>
  <si>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</si>
  <si>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</si>
  <si>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</si>
  <si>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</si>
  <si>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</si>
  <si>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</si>
  <si>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</si>
  <si>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</si>
  <si>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</si>
  <si>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</si>
  <si>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</si>
  <si>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</si>
  <si>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</si>
  <si>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</si>
  <si>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</si>
  <si>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</si>
  <si>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</si>
  <si>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</si>
  <si>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</si>
  <si>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</si>
  <si>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</si>
  <si>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</si>
  <si>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</si>
  <si>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</si>
  <si>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</si>
  <si>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</si>
  <si>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</si>
  <si>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</si>
  <si>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</si>
  <si>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</si>
  <si>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</si>
  <si>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</si>
  <si>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</si>
  <si>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</si>
  <si>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</si>
  <si>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</si>
  <si>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</si>
  <si>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</si>
  <si>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</si>
  <si>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</si>
  <si>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</si>
  <si>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</si>
  <si>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</si>
  <si>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</si>
  <si>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</si>
  <si>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</si>
  <si>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</si>
  <si>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</si>
  <si>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</si>
  <si>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</si>
  <si>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</si>
  <si>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</si>
  <si>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</si>
  <si>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</si>
  <si>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</si>
  <si>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</si>
  <si>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</si>
  <si>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</si>
  <si>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</si>
  <si>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</si>
  <si>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</si>
  <si>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</si>
  <si>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</si>
  <si>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</si>
  <si>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</si>
  <si>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</si>
  <si>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</si>
  <si>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</si>
  <si>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</si>
  <si>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</si>
  <si>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</si>
  <si>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</si>
  <si>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</si>
  <si>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</si>
  <si>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</si>
  <si>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</si>
  <si>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</si>
  <si>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</si>
  <si>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</si>
  <si>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</si>
  <si>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</si>
  <si>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</si>
  <si>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</si>
  <si>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</si>
  <si>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</si>
  <si>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</si>
  <si>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</si>
  <si>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</si>
  <si>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</si>
  <si>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</si>
  <si>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</si>
  <si>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</si>
  <si>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</si>
  <si>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</si>
  <si>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</si>
  <si>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</si>
  <si>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</si>
  <si>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</si>
  <si>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</si>
  <si>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</si>
  <si>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</si>
  <si>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</si>
  <si>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</si>
  <si>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</si>
  <si>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</si>
  <si>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</si>
  <si>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</si>
  <si>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</si>
  <si>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</si>
  <si>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</si>
  <si>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</si>
  <si>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</si>
  <si>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</si>
  <si>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</si>
  <si>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</si>
  <si>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</si>
  <si>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</si>
  <si>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</si>
  <si>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</si>
  <si>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</si>
  <si>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</si>
  <si>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</si>
  <si>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</si>
  <si>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</si>
  <si>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</si>
  <si>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</si>
  <si>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</si>
  <si>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</si>
  <si>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</si>
  <si>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</si>
  <si>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</si>
  <si>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</si>
  <si>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</si>
  <si>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</si>
  <si>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</si>
  <si>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</si>
  <si>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</si>
  <si>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</si>
  <si>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</si>
  <si>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</si>
  <si>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</si>
  <si>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</si>
  <si>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</si>
  <si>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</si>
  <si>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</si>
  <si>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</si>
  <si>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</si>
  <si>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</si>
  <si>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</si>
  <si>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</si>
  <si>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</si>
  <si>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</si>
  <si>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</si>
  <si>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</si>
  <si>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</si>
  <si>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</si>
  <si>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</si>
  <si>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</si>
  <si>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</si>
  <si>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</si>
  <si>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</si>
  <si>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</si>
  <si>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</si>
  <si>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</si>
  <si>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</si>
  <si>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</si>
  <si>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</si>
  <si>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</si>
  <si>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</si>
  <si>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</si>
  <si>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</si>
  <si>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</si>
  <si>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</si>
  <si>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</si>
  <si>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</si>
  <si>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</si>
  <si>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</si>
  <si>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</si>
  <si>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</si>
  <si>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</si>
  <si>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</si>
  <si>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</si>
  <si>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</si>
  <si>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</si>
  <si>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</si>
  <si>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</si>
  <si>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</si>
  <si>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</si>
  <si>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</si>
  <si>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</si>
  <si>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</si>
  <si>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</si>
  <si>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</si>
  <si>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</si>
  <si>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</si>
  <si>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</si>
  <si>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</si>
  <si>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</si>
  <si>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</si>
  <si>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</si>
  <si>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</si>
  <si>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</si>
  <si>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</si>
  <si>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</si>
  <si>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</si>
  <si>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</si>
  <si>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</si>
  <si>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</si>
  <si>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</si>
  <si>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</si>
  <si>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</si>
  <si>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</si>
  <si>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</si>
  <si>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</si>
  <si>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</si>
  <si>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</si>
  <si>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</si>
  <si>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</si>
  <si>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</si>
  <si>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</si>
  <si>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</si>
  <si>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</si>
  <si>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</si>
  <si>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</si>
  <si>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</si>
  <si>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</si>
  <si>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</si>
  <si>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</si>
  <si>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</si>
  <si>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</si>
  <si>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</si>
  <si>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</si>
  <si>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</si>
  <si>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</si>
  <si>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</si>
  <si>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</si>
  <si>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</si>
  <si>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</si>
  <si>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</si>
  <si>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</si>
  <si>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</si>
  <si>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</si>
  <si>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</si>
  <si>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</si>
  <si>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</si>
  <si>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</si>
  <si>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</si>
  <si>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</si>
  <si>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</si>
  <si>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</si>
  <si>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</si>
  <si>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</si>
  <si>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</si>
  <si>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</si>
  <si>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</si>
  <si>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</si>
  <si>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</si>
  <si>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</si>
  <si>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</si>
  <si>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</si>
  <si>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</si>
  <si>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</si>
  <si>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</si>
  <si>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</si>
  <si>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</si>
  <si>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</si>
  <si>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</si>
  <si>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</si>
  <si>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</si>
  <si>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</si>
  <si>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</si>
  <si>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</si>
  <si>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</si>
  <si>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</si>
  <si>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</si>
  <si>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</si>
  <si>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</si>
  <si>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</si>
  <si>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</si>
  <si>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</si>
  <si>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</si>
  <si>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</si>
  <si>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</si>
  <si>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</si>
  <si>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</si>
  <si>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</si>
  <si>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</si>
  <si>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</si>
  <si>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</si>
  <si>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</si>
  <si>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</si>
  <si>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</si>
  <si>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</si>
  <si>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</si>
  <si>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</si>
  <si>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</si>
  <si>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</si>
  <si>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</si>
  <si>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</si>
  <si>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</si>
  <si>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</si>
  <si>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</si>
  <si>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</si>
  <si>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</si>
  <si>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</si>
  <si>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</si>
  <si>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</si>
  <si>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</si>
  <si>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</si>
  <si>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</si>
  <si>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</si>
  <si>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</si>
  <si>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</si>
  <si>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</si>
  <si>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</si>
  <si>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</si>
  <si>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</si>
  <si>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</si>
  <si>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</si>
  <si>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</si>
  <si>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</si>
  <si>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</si>
  <si>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</si>
  <si>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</si>
  <si>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</si>
  <si>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</si>
  <si>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</si>
  <si>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</si>
  <si>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</si>
  <si>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</si>
  <si>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</si>
  <si>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</si>
  <si>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</si>
  <si>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</si>
  <si>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</si>
  <si>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</si>
  <si>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</si>
  <si>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066/15:58</t>
  </si>
  <si>
    <t>069/04:77</t>
  </si>
  <si>
    <t>071/18:36</t>
  </si>
  <si>
    <t>074/07:55</t>
  </si>
  <si>
    <t>Days</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</si>
  <si>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</si>
  <si>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</si>
  <si>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</si>
  <si>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</si>
  <si>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</si>
  <si>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</si>
  <si>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</si>
  <si>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</si>
  <si>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</si>
  <si>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</si>
  <si>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</si>
  <si>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</si>
  <si>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</si>
  <si>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</si>
  <si>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</si>
  <si>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</si>
  <si>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</si>
  <si>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</si>
  <si>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</si>
  <si>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</si>
  <si>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</si>
  <si>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</si>
  <si>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</si>
  <si>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</si>
  <si>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</si>
  <si>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</si>
  <si>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</si>
  <si>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</si>
  <si>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</si>
  <si>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</si>
  <si>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</si>
  <si>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</si>
  <si>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</si>
  <si>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</si>
  <si>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</si>
  <si>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</si>
  <si>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</si>
  <si>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</si>
  <si>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</si>
  <si>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</si>
  <si>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</si>
  <si>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</si>
  <si>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</si>
  <si>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</si>
  <si>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</si>
  <si>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</si>
  <si>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</si>
  <si>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</si>
  <si>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</si>
  <si>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</si>
  <si>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</si>
  <si>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</si>
  <si>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</si>
  <si>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</si>
  <si>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</si>
  <si>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</si>
  <si>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</si>
  <si>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</si>
  <si>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</si>
  <si>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</si>
  <si>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</si>
  <si>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</si>
  <si>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</si>
  <si>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</si>
  <si>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</si>
  <si>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</si>
  <si>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</si>
  <si>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</si>
  <si>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</si>
  <si>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</si>
  <si>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</si>
  <si>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</si>
  <si>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</si>
  <si>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</si>
  <si>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</si>
  <si>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</si>
  <si>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</si>
  <si>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</si>
  <si>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</si>
  <si>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</si>
  <si>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</si>
  <si>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</si>
  <si>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</si>
  <si>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</si>
  <si>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</si>
  <si>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</si>
  <si>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</si>
  <si>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</si>
  <si>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TT  91</t>
  </si>
  <si>
    <t>TT 245</t>
  </si>
  <si>
    <t>Force Trigger</t>
  </si>
  <si>
    <t>PEPSSI_MAC_RUN  102  MACRO=EXEC</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</si>
  <si>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</si>
  <si>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</si>
  <si>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</si>
  <si>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</si>
  <si>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</si>
  <si>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</si>
  <si>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</si>
  <si>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</si>
  <si>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</si>
  <si>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</si>
  <si>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</si>
  <si>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</si>
  <si>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</si>
  <si>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</si>
  <si>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</si>
  <si>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</si>
  <si>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</si>
  <si>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</si>
  <si>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</si>
  <si>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</si>
  <si>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</si>
  <si>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</si>
  <si>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</si>
  <si>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</si>
  <si>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</si>
  <si>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</si>
  <si>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</si>
  <si>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</si>
  <si>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</si>
  <si>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</si>
  <si>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</si>
  <si>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</si>
  <si>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</si>
  <si>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</si>
  <si>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</si>
  <si>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</si>
  <si>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</si>
  <si>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</si>
  <si>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</si>
  <si>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</si>
  <si>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</si>
  <si>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</si>
  <si>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</si>
  <si>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</si>
  <si>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</si>
  <si>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</si>
  <si>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</si>
  <si>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</si>
  <si>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</si>
  <si>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</si>
  <si>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</si>
  <si>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</si>
  <si>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</si>
  <si>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</si>
  <si>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</si>
  <si>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</si>
  <si>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</si>
  <si>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</si>
  <si>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</si>
  <si>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</si>
  <si>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</si>
  <si>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</si>
  <si>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</si>
  <si>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</si>
  <si>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</si>
  <si>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</si>
  <si>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</si>
  <si>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</si>
  <si>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</si>
  <si>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</si>
  <si>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</si>
  <si>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</si>
  <si>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</si>
  <si>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</si>
  <si>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</si>
  <si>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</si>
  <si>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</si>
  <si>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</si>
  <si>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</si>
  <si>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</si>
  <si>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</si>
  <si>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</si>
  <si>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</si>
  <si>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</si>
  <si>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</si>
  <si>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</si>
  <si>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</si>
  <si>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</si>
  <si>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</si>
  <si>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</si>
  <si>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</si>
  <si>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</si>
  <si>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</si>
  <si>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</si>
  <si>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</si>
  <si>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</si>
  <si>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</si>
  <si>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</si>
  <si>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</si>
  <si>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</si>
  <si>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</si>
  <si>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</si>
  <si>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</si>
  <si>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</si>
  <si>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</si>
  <si>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</si>
  <si>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</si>
  <si>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</si>
  <si>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</si>
  <si>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</si>
  <si>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</si>
  <si>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</si>
  <si>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</si>
  <si>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</si>
  <si>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</si>
  <si>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</si>
  <si>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</si>
  <si>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</si>
  <si>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</si>
  <si>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</si>
  <si>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</si>
  <si>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</si>
  <si>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</si>
  <si>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</si>
  <si>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</si>
  <si>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</si>
  <si>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</si>
  <si>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RT30M =&gt;</t>
  </si>
  <si>
    <t>nonh25 30M</t>
  </si>
  <si>
    <t>25-128/04:02</t>
  </si>
  <si>
    <t>25-126/03:18</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</si>
  <si>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</si>
  <si>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</si>
  <si>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</si>
  <si>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</si>
  <si>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</si>
  <si>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</si>
  <si>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</si>
  <si>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</si>
  <si>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</si>
  <si>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</si>
  <si>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</si>
  <si>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</si>
  <si>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</si>
  <si>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</si>
  <si>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</si>
  <si>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</si>
  <si>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</si>
  <si>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</si>
  <si>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</si>
  <si>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</si>
  <si>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</si>
  <si>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</si>
  <si>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</si>
  <si>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</si>
  <si>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</si>
  <si>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</si>
  <si>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</si>
  <si>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</si>
  <si>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</si>
  <si>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</si>
  <si>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</si>
  <si>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</si>
  <si>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</si>
  <si>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</si>
  <si>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</si>
  <si>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</si>
  <si>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</si>
  <si>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</si>
  <si>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</si>
  <si>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</si>
  <si>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</si>
  <si>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</si>
  <si>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</si>
  <si>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</si>
  <si>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</si>
  <si>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</si>
  <si>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</si>
  <si>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</si>
  <si>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</si>
  <si>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</si>
  <si>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</si>
  <si>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</si>
  <si>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</si>
  <si>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</si>
  <si>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</si>
  <si>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</si>
  <si>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</si>
  <si>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</si>
  <si>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</si>
  <si>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</si>
  <si>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</si>
  <si>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</si>
  <si>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</si>
  <si>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</si>
  <si>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</si>
  <si>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</si>
  <si>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</si>
  <si>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</si>
  <si>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</si>
  <si>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</si>
  <si>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</si>
  <si>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</si>
  <si>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</si>
  <si>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</si>
  <si>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</si>
  <si>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</si>
  <si>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</si>
  <si>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</si>
  <si>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</si>
  <si>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</si>
  <si>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</si>
  <si>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</si>
  <si>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</si>
  <si>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</si>
  <si>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</si>
  <si>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</si>
  <si>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</si>
  <si>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</si>
  <si>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</si>
  <si>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</si>
  <si>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</si>
  <si>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</si>
  <si>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</si>
  <si>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</si>
  <si>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</si>
  <si>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</si>
  <si>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</si>
  <si>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</si>
  <si>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</si>
  <si>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</si>
  <si>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</si>
  <si>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</si>
  <si>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</si>
  <si>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</si>
  <si>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</si>
  <si>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</si>
  <si>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</si>
  <si>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</si>
  <si>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</si>
  <si>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</si>
  <si>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</si>
  <si>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</si>
  <si>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</si>
  <si>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</si>
  <si>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</si>
  <si>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</si>
  <si>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</si>
  <si>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</si>
  <si>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</si>
  <si>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</si>
  <si>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</si>
  <si>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</si>
  <si>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</si>
  <si>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</si>
  <si>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</si>
  <si>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</si>
  <si>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</si>
  <si>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</si>
  <si>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</si>
  <si>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</si>
  <si>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</si>
  <si>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</si>
  <si>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</si>
  <si>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</si>
  <si>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</si>
  <si>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</si>
  <si>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</si>
  <si>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</si>
  <si>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</si>
  <si>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</si>
  <si>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</si>
  <si>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</si>
  <si>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</si>
  <si>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</si>
  <si>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</si>
  <si>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</si>
  <si>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</si>
  <si>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</si>
  <si>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</si>
  <si>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</si>
  <si>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</si>
  <si>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</si>
  <si>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</si>
  <si>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</si>
  <si>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</si>
  <si>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</si>
  <si>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</si>
  <si>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</si>
  <si>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</si>
  <si>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</si>
  <si>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</si>
  <si>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</si>
  <si>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</si>
  <si>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</si>
  <si>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</si>
  <si>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</si>
  <si>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</si>
  <si>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</si>
  <si>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</si>
  <si>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</si>
  <si>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</si>
  <si>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</si>
  <si>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</si>
  <si>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</si>
  <si>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</si>
  <si>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</si>
  <si>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</si>
  <si>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</si>
  <si>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</si>
  <si>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</si>
  <si>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</si>
  <si>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</si>
  <si>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</si>
  <si>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</si>
  <si>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</si>
  <si>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</si>
  <si>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</si>
  <si>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</si>
  <si>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</si>
  <si>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</si>
  <si>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</si>
  <si>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</si>
  <si>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no oversubscr</t>
  </si>
  <si>
    <t>typo in sasf</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</si>
  <si>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</si>
  <si>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</si>
  <si>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</si>
  <si>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</si>
  <si>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</si>
  <si>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</si>
  <si>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</si>
  <si>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</si>
  <si>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</si>
  <si>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</si>
  <si>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</si>
  <si>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</si>
  <si>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</si>
  <si>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Not started</t>
  </si>
  <si>
    <t>How user tells eXcel what playback requests and activities  to write to SASF</t>
  </si>
  <si>
    <t>ExportToSASF macro triggered by button near A1</t>
  </si>
  <si>
    <t>E-K:  PEPSSI only or SWAP only</t>
  </si>
  <si>
    <t>L-M:  Start and End MET of acquisition data to play back</t>
  </si>
  <si>
    <t>V:  total calc bytes to playback</t>
  </si>
  <si>
    <t>Select Rows (any Columns) in which to search the following columns for indication that a Row contains playback info to write to SASF</t>
  </si>
  <si>
    <t>Greg Dunn?</t>
  </si>
  <si>
    <t>Possibly result in piecewise linear Worksheets with MET rows and data type columns</t>
  </si>
  <si>
    <t>ON, OFF, N1, N2, N3, Macros 103-104, 105-110, 102</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</si>
  <si>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</si>
  <si>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</si>
  <si>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</si>
  <si>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</si>
  <si>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</si>
  <si>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</si>
  <si>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</si>
  <si>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</si>
  <si>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</si>
  <si>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</si>
  <si>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</si>
  <si>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</si>
  <si>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</si>
  <si>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</si>
  <si>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</si>
  <si>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</si>
  <si>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</si>
  <si>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</si>
  <si>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</si>
  <si>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</si>
  <si>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</si>
  <si>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</si>
  <si>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</si>
  <si>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</si>
  <si>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</si>
  <si>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</si>
  <si>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</si>
  <si>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</si>
  <si>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</si>
  <si>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</si>
  <si>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</si>
  <si>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</si>
  <si>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</si>
  <si>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</si>
  <si>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</si>
  <si>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</si>
  <si>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</si>
  <si>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</si>
  <si>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</si>
  <si>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</si>
  <si>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</si>
  <si>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</si>
  <si>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</si>
  <si>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</si>
  <si>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</si>
  <si>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</si>
  <si>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</si>
  <si>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</si>
  <si>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</si>
  <si>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</si>
  <si>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</si>
  <si>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</si>
  <si>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</si>
  <si>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</si>
  <si>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</si>
  <si>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</si>
  <si>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</si>
  <si>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</si>
  <si>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</si>
  <si>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</si>
  <si>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</si>
  <si>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</si>
  <si>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</si>
  <si>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</si>
  <si>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</si>
  <si>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</si>
  <si>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</si>
  <si>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</si>
  <si>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</si>
  <si>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</si>
  <si>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</si>
  <si>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</si>
  <si>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</si>
  <si>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</si>
  <si>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</si>
  <si>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</si>
  <si>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</si>
  <si>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</si>
  <si>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</si>
  <si>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</si>
  <si>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</si>
  <si>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</si>
  <si>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</si>
  <si>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</si>
  <si>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</si>
  <si>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</si>
  <si>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</si>
  <si>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</si>
  <si>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</si>
  <si>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</si>
  <si>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</si>
  <si>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</si>
  <si>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</si>
  <si>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</si>
  <si>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</si>
  <si>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</si>
  <si>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</si>
  <si>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</si>
  <si>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</si>
  <si>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</si>
  <si>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</si>
  <si>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</si>
  <si>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</si>
  <si>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</si>
  <si>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</si>
  <si>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</si>
  <si>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</si>
  <si>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</si>
  <si>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</si>
  <si>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</si>
  <si>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</si>
  <si>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</si>
  <si>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</si>
  <si>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</si>
  <si>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</si>
  <si>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</si>
  <si>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</si>
  <si>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</si>
  <si>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</si>
  <si>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</si>
  <si>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</si>
  <si>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</si>
  <si>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</si>
  <si>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</si>
  <si>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</si>
  <si>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</si>
  <si>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</si>
  <si>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</si>
  <si>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</si>
  <si>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</si>
  <si>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</si>
  <si>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</si>
  <si>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</si>
  <si>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</si>
  <si>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</si>
  <si>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</si>
  <si>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</si>
  <si>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</si>
  <si>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</si>
  <si>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</si>
  <si>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</si>
  <si>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</si>
  <si>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</si>
  <si>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</si>
  <si>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</si>
  <si>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</si>
  <si>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</si>
  <si>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</si>
  <si>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</si>
  <si>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</si>
  <si>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</si>
  <si>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</si>
  <si>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</si>
  <si>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</si>
  <si>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</si>
  <si>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</si>
  <si>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</si>
  <si>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</si>
  <si>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</si>
  <si>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</si>
  <si>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</si>
  <si>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</si>
  <si>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</si>
  <si>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</si>
  <si>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</si>
  <si>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</si>
  <si>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</si>
  <si>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</si>
  <si>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</si>
  <si>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</si>
  <si>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</si>
  <si>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</si>
  <si>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</si>
  <si>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</si>
  <si>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</si>
  <si>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</si>
  <si>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</si>
  <si>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</si>
  <si>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</si>
  <si>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</si>
  <si>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</si>
  <si>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</si>
  <si>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</si>
  <si>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</si>
  <si>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</si>
  <si>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</si>
  <si>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</si>
  <si>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</si>
  <si>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</si>
  <si>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</si>
  <si>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</si>
  <si>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</si>
  <si>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</si>
  <si>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</si>
  <si>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</si>
  <si>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</si>
  <si>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</si>
  <si>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</si>
  <si>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</si>
  <si>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</si>
  <si>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</si>
  <si>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</si>
  <si>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</si>
  <si>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</si>
  <si>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</si>
  <si>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</si>
  <si>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</si>
  <si>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</si>
  <si>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</si>
  <si>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</si>
  <si>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</si>
  <si>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</si>
  <si>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</si>
  <si>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</si>
  <si>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</si>
  <si>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</si>
  <si>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</si>
  <si>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</si>
  <si>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</si>
  <si>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</si>
  <si>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</si>
  <si>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</si>
  <si>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</si>
  <si>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</si>
  <si>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</si>
  <si>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</si>
  <si>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</si>
  <si>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</si>
  <si>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</si>
  <si>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</si>
  <si>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</si>
  <si>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</si>
  <si>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</si>
  <si>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</si>
  <si>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</si>
  <si>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</si>
  <si>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</si>
  <si>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</si>
  <si>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</si>
  <si>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</si>
  <si>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</si>
  <si>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</si>
  <si>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</si>
  <si>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</si>
  <si>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</si>
  <si>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</si>
  <si>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</si>
  <si>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</si>
  <si>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</si>
  <si>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</si>
  <si>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</si>
  <si>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</si>
  <si>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</si>
  <si>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</si>
  <si>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</si>
  <si>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</si>
  <si>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</si>
  <si>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</si>
  <si>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</si>
  <si>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</si>
  <si>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</si>
  <si>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</si>
  <si>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</si>
  <si>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</si>
  <si>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</si>
  <si>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</si>
  <si>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</si>
  <si>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</si>
  <si>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</si>
  <si>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</si>
  <si>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</si>
  <si>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</si>
  <si>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</si>
  <si>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</si>
  <si>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</si>
  <si>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</si>
  <si>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</si>
  <si>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</si>
  <si>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</si>
  <si>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</si>
  <si>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</si>
  <si>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</si>
  <si>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</si>
  <si>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</si>
  <si>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</si>
  <si>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</si>
  <si>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</si>
  <si>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</si>
  <si>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</si>
  <si>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</si>
  <si>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</si>
  <si>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</si>
  <si>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</si>
  <si>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</si>
  <si>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</si>
  <si>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</si>
  <si>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</si>
  <si>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</si>
  <si>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</si>
  <si>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</si>
  <si>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</si>
  <si>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</si>
  <si>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</si>
  <si>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</si>
  <si>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</si>
  <si>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</si>
  <si>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</si>
  <si>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</si>
  <si>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</si>
  <si>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</si>
  <si>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</si>
  <si>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</si>
  <si>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</si>
  <si>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</si>
  <si>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</si>
  <si>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</si>
  <si>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</si>
  <si>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</si>
  <si>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</si>
  <si>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</si>
  <si>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</si>
  <si>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</si>
  <si>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</si>
  <si>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</si>
  <si>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</si>
  <si>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</si>
  <si>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</si>
  <si>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</si>
  <si>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</si>
  <si>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</si>
  <si>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</si>
  <si>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</si>
  <si>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</si>
  <si>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</si>
  <si>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</si>
  <si>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</si>
  <si>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</si>
  <si>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</si>
  <si>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</si>
  <si>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</si>
  <si>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</si>
  <si>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</si>
  <si>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</si>
  <si>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</si>
  <si>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</si>
  <si>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</si>
  <si>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</si>
  <si>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</si>
  <si>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</si>
  <si>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</si>
  <si>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</si>
  <si>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</si>
  <si>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</si>
  <si>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</si>
  <si>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</si>
  <si>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</si>
  <si>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</si>
  <si>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</si>
  <si>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</si>
  <si>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</si>
  <si>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</si>
  <si>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</si>
  <si>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</si>
  <si>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</si>
  <si>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</si>
  <si>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</si>
  <si>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</si>
  <si>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</si>
  <si>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</si>
  <si>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</si>
  <si>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</si>
  <si>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</si>
  <si>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</si>
  <si>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</si>
  <si>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</si>
  <si>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</si>
  <si>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</si>
  <si>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</si>
  <si>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</si>
  <si>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</si>
  <si>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</si>
  <si>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</si>
  <si>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</si>
  <si>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</si>
  <si>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</si>
  <si>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</si>
  <si>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</si>
  <si>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</si>
  <si>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</si>
  <si>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</si>
  <si>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</si>
  <si>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</si>
  <si>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</si>
  <si>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</si>
  <si>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</si>
  <si>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</si>
  <si>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</si>
  <si>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</si>
  <si>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</si>
  <si>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</si>
  <si>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</si>
  <si>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</si>
  <si>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</si>
  <si>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</si>
  <si>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</si>
  <si>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</si>
  <si>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</si>
  <si>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</si>
  <si>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</si>
  <si>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</si>
  <si>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</si>
  <si>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</si>
  <si>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</si>
  <si>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</si>
  <si>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</si>
  <si>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</si>
  <si>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</si>
  <si>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</si>
  <si>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</si>
  <si>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</si>
  <si>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</si>
  <si>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</si>
  <si>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</si>
  <si>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</si>
  <si>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</si>
  <si>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</si>
  <si>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</si>
  <si>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</si>
  <si>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</si>
  <si>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</si>
  <si>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</si>
  <si>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</si>
  <si>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</si>
  <si>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</si>
  <si>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</si>
  <si>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</si>
  <si>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</si>
  <si>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</si>
  <si>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</si>
  <si>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</si>
  <si>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</si>
  <si>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</si>
  <si>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</si>
  <si>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</si>
  <si>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</si>
  <si>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</si>
  <si>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</si>
  <si>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</si>
  <si>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</si>
  <si>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</si>
  <si>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</si>
  <si>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</si>
  <si>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</si>
  <si>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</si>
  <si>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</si>
  <si>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</si>
  <si>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</si>
  <si>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</si>
  <si>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</si>
  <si>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</si>
  <si>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</si>
  <si>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</si>
  <si>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</si>
  <si>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</si>
  <si>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</si>
  <si>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</si>
  <si>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</si>
  <si>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</si>
  <si>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</si>
  <si>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</si>
  <si>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</si>
  <si>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</si>
  <si>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</si>
  <si>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</si>
  <si>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</si>
  <si>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</si>
  <si>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</si>
  <si>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</si>
  <si>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</si>
  <si>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</si>
  <si>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</si>
  <si>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</si>
  <si>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</si>
  <si>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</si>
  <si>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</si>
  <si>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</si>
  <si>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</si>
  <si>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</si>
  <si>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</si>
  <si>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</si>
  <si>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</si>
  <si>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</si>
  <si>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</si>
  <si>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</si>
  <si>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</si>
  <si>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</si>
  <si>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</si>
  <si>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</si>
  <si>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</si>
  <si>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</si>
  <si>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</si>
  <si>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</si>
  <si>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</si>
  <si>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</si>
  <si>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</si>
  <si>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</si>
  <si>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</si>
  <si>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</si>
  <si>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</si>
  <si>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</si>
  <si>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</si>
  <si>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</si>
  <si>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</si>
  <si>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</si>
  <si>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</si>
  <si>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</si>
  <si>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</si>
  <si>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</si>
  <si>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</si>
  <si>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</si>
  <si>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</si>
  <si>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</si>
  <si>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</si>
  <si>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</si>
  <si>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</si>
  <si>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</si>
  <si>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</si>
  <si>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</si>
  <si>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</si>
  <si>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</si>
  <si>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</si>
  <si>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</si>
  <si>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</si>
  <si>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</si>
  <si>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</si>
  <si>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</si>
  <si>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</si>
  <si>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</si>
  <si>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</si>
  <si>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</si>
  <si>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</si>
  <si>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</si>
  <si>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</si>
  <si>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</si>
  <si>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</si>
  <si>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</si>
  <si>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</si>
  <si>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</si>
  <si>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</si>
  <si>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</si>
  <si>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</si>
  <si>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</si>
  <si>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</si>
  <si>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</si>
  <si>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</si>
  <si>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</si>
  <si>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</si>
  <si>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</si>
  <si>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</si>
  <si>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</si>
  <si>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</si>
  <si>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</si>
  <si>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</si>
  <si>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</si>
  <si>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</si>
  <si>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</si>
  <si>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</si>
  <si>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</si>
  <si>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</si>
  <si>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</si>
  <si>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</si>
  <si>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</si>
  <si>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</si>
  <si>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</si>
  <si>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</si>
  <si>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</si>
  <si>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</si>
  <si>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</si>
  <si>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</si>
  <si>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</si>
  <si>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</si>
  <si>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</si>
  <si>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</si>
  <si>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</si>
  <si>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</si>
  <si>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</si>
  <si>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</si>
  <si>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</si>
  <si>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</si>
  <si>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</si>
  <si>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</si>
  <si>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</si>
  <si>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</si>
  <si>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</si>
  <si>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</si>
  <si>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</si>
  <si>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</si>
  <si>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</si>
  <si>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</si>
  <si>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</si>
  <si>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</si>
  <si>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</si>
  <si>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</si>
  <si>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</si>
  <si>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</si>
  <si>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</si>
  <si>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</si>
  <si>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</si>
  <si>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</si>
  <si>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</si>
  <si>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</si>
  <si>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</si>
  <si>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</si>
  <si>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</si>
  <si>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</si>
  <si>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</si>
  <si>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</si>
  <si>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</si>
  <si>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</si>
  <si>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</si>
  <si>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</si>
  <si>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</si>
  <si>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</si>
  <si>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</si>
  <si>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</si>
  <si>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</si>
  <si>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</si>
  <si>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</si>
  <si>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</si>
  <si>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</si>
  <si>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</si>
  <si>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</si>
  <si>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</si>
  <si>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</si>
  <si>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</si>
  <si>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</si>
  <si>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</si>
  <si>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</si>
  <si>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</si>
  <si>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</si>
  <si>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</si>
  <si>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</si>
  <si>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</si>
  <si>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</si>
  <si>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</si>
  <si>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</si>
  <si>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</si>
  <si>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</si>
  <si>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</si>
  <si>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</si>
  <si>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</si>
  <si>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</si>
  <si>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</si>
  <si>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</si>
  <si>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</si>
  <si>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</si>
  <si>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</si>
  <si>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</si>
  <si>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</si>
  <si>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</si>
  <si>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</si>
  <si>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</si>
  <si>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</si>
  <si>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</si>
  <si>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</si>
  <si>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</si>
  <si>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</si>
  <si>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</si>
  <si>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</si>
  <si>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</si>
  <si>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</si>
  <si>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</si>
  <si>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</si>
  <si>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</si>
  <si>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</si>
  <si>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</si>
  <si>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</si>
  <si>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</si>
  <si>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</si>
  <si>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</si>
  <si>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</si>
  <si>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</si>
  <si>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</si>
  <si>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</si>
  <si>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</si>
  <si>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</si>
  <si>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</si>
  <si>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</si>
  <si>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</si>
  <si>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</si>
  <si>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</si>
  <si>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</si>
  <si>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</si>
  <si>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</si>
  <si>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</si>
  <si>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</si>
  <si>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</si>
  <si>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</si>
  <si>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</si>
  <si>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</si>
  <si>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</si>
  <si>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</si>
  <si>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</si>
  <si>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</si>
  <si>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</si>
  <si>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</si>
  <si>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</si>
  <si>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</si>
  <si>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</si>
  <si>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</si>
  <si>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</si>
  <si>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</si>
  <si>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</si>
  <si>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</si>
  <si>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</si>
  <si>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</si>
  <si>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</si>
  <si>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</si>
  <si>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</si>
  <si>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</si>
  <si>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</si>
  <si>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</si>
  <si>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</si>
  <si>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</si>
  <si>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</si>
  <si>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</si>
  <si>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</si>
  <si>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</si>
  <si>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</si>
  <si>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</si>
  <si>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</si>
  <si>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</si>
  <si>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</si>
  <si>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</si>
  <si>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</si>
  <si>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</si>
  <si>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</si>
  <si>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</si>
  <si>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</si>
  <si>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</si>
  <si>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</si>
  <si>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</si>
  <si>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</si>
  <si>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</si>
  <si>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</si>
  <si>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</si>
  <si>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</si>
  <si>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</si>
  <si>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</si>
  <si>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</si>
  <si>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</si>
  <si>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</si>
  <si>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</si>
  <si>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</si>
  <si>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</si>
  <si>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</si>
  <si>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</si>
  <si>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</si>
  <si>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</si>
  <si>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</si>
  <si>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</si>
  <si>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</si>
  <si>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</si>
  <si>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</si>
  <si>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</si>
  <si>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</si>
  <si>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</si>
  <si>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</si>
  <si>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</si>
  <si>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</si>
  <si>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</si>
  <si>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</si>
  <si>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</si>
  <si>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</si>
  <si>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</si>
  <si>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</si>
  <si>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</si>
  <si>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</si>
  <si>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</si>
  <si>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</si>
  <si>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</si>
  <si>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</si>
  <si>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</si>
  <si>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</si>
  <si>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</si>
  <si>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</si>
  <si>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</si>
  <si>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</si>
  <si>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</si>
  <si>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</si>
  <si>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</si>
  <si>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</si>
  <si>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</si>
  <si>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</si>
  <si>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</si>
  <si>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</si>
  <si>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</si>
  <si>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</si>
  <si>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</si>
  <si>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</si>
  <si>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</si>
  <si>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</si>
  <si>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</si>
  <si>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</si>
  <si>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</si>
  <si>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</si>
  <si>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</si>
  <si>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</si>
  <si>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</si>
  <si>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</si>
  <si>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</si>
  <si>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</si>
  <si>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</si>
  <si>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</si>
  <si>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</si>
  <si>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</si>
  <si>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</si>
  <si>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</si>
  <si>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</si>
  <si>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</si>
  <si>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</si>
  <si>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</si>
  <si>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</si>
  <si>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</si>
  <si>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</si>
  <si>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</si>
  <si>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</si>
  <si>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</si>
  <si>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</si>
  <si>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</si>
  <si>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</si>
  <si>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</si>
  <si>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</si>
  <si>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</si>
  <si>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</si>
  <si>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</si>
  <si>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</si>
  <si>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</si>
  <si>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</si>
  <si>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</si>
  <si>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</si>
  <si>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</si>
  <si>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</si>
  <si>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</si>
  <si>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</si>
  <si>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</si>
  <si>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</si>
  <si>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</si>
  <si>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</si>
  <si>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</si>
  <si>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</si>
  <si>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</si>
  <si>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</si>
  <si>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</si>
  <si>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</si>
  <si>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</si>
  <si>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</si>
  <si>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</si>
  <si>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</si>
  <si>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</si>
  <si>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</si>
  <si>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</si>
  <si>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</si>
  <si>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</si>
  <si>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</si>
  <si>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</si>
  <si>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</si>
  <si>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</si>
  <si>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</si>
  <si>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</si>
  <si>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</si>
  <si>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</si>
  <si>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</si>
  <si>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</si>
  <si>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</si>
  <si>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</si>
  <si>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</si>
  <si>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</si>
  <si>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</si>
  <si>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</si>
  <si>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</si>
  <si>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</si>
  <si>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</si>
  <si>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</si>
  <si>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</si>
  <si>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</si>
  <si>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</si>
  <si>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</si>
  <si>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</si>
  <si>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</si>
  <si>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</si>
  <si>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</si>
  <si>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</si>
  <si>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</si>
  <si>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</si>
  <si>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</si>
  <si>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</si>
  <si>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</si>
  <si>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</si>
  <si>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</si>
  <si>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</si>
  <si>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</si>
  <si>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</si>
  <si>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</si>
  <si>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</si>
  <si>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</si>
  <si>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</si>
  <si>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</si>
  <si>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</si>
  <si>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</si>
  <si>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</si>
  <si>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</si>
  <si>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</si>
  <si>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</si>
  <si>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</si>
  <si>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</si>
  <si>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</si>
  <si>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</si>
  <si>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</si>
  <si>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</si>
  <si>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</si>
  <si>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</si>
  <si>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</si>
  <si>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</si>
  <si>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</si>
  <si>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</si>
  <si>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</si>
  <si>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</si>
  <si>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</si>
  <si>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</si>
  <si>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</si>
  <si>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</si>
  <si>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</si>
  <si>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</si>
  <si>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</si>
  <si>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</si>
  <si>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</si>
  <si>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</si>
  <si>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</si>
  <si>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</si>
  <si>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</si>
  <si>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</si>
  <si>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</si>
  <si>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</si>
  <si>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</si>
  <si>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</si>
  <si>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</si>
  <si>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</si>
  <si>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</si>
  <si>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</si>
  <si>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</si>
  <si>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</si>
  <si>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</si>
  <si>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</si>
  <si>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</si>
  <si>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</si>
  <si>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</si>
  <si>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</si>
  <si>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</si>
  <si>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</si>
  <si>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</si>
  <si>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</si>
  <si>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</si>
  <si>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</si>
  <si>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</si>
  <si>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</si>
  <si>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</si>
  <si>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</si>
  <si>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</si>
  <si>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</si>
  <si>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</si>
  <si>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</si>
  <si>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</si>
  <si>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</si>
  <si>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</si>
  <si>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</si>
  <si>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</si>
  <si>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</si>
  <si>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</si>
  <si>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</si>
  <si>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</si>
  <si>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</si>
  <si>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</si>
  <si>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</si>
  <si>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</si>
  <si>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</si>
  <si>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</si>
  <si>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</si>
  <si>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</si>
  <si>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</si>
  <si>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</si>
  <si>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</si>
  <si>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</si>
  <si>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</si>
  <si>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</si>
  <si>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</si>
  <si>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</si>
  <si>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</si>
  <si>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</si>
  <si>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</si>
  <si>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</si>
  <si>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</si>
  <si>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</si>
  <si>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</si>
  <si>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</si>
  <si>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</si>
  <si>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</si>
  <si>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</si>
  <si>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</si>
  <si>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</si>
  <si>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</si>
  <si>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</si>
  <si>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</si>
  <si>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</si>
  <si>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</si>
  <si>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</si>
  <si>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</si>
  <si>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</si>
  <si>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</si>
  <si>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</si>
  <si>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</si>
  <si>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</si>
  <si>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</si>
  <si>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</si>
  <si>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</si>
  <si>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</si>
  <si>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</si>
  <si>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</si>
  <si>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</si>
  <si>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</si>
  <si>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</si>
  <si>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</si>
  <si>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</si>
  <si>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</si>
  <si>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</si>
  <si>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</si>
  <si>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</si>
  <si>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</si>
  <si>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</si>
  <si>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</si>
  <si>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</si>
  <si>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</si>
  <si>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</si>
  <si>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</si>
  <si>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</si>
  <si>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</si>
  <si>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</si>
  <si>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</si>
  <si>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</si>
  <si>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</si>
  <si>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</si>
  <si>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</si>
  <si>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</si>
  <si>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</si>
  <si>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</si>
  <si>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</si>
  <si>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</si>
  <si>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</si>
  <si>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</si>
  <si>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</si>
  <si>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</si>
  <si>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</si>
  <si>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</si>
  <si>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</si>
  <si>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</si>
  <si>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</si>
  <si>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</si>
  <si>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</si>
  <si>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</si>
  <si>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</si>
  <si>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</si>
  <si>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</si>
  <si>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</si>
  <si>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</si>
  <si>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</si>
  <si>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</si>
  <si>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</si>
  <si>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</si>
  <si>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</si>
  <si>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</si>
  <si>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</si>
  <si>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</si>
  <si>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</si>
  <si>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</si>
  <si>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</si>
  <si>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</si>
  <si>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</si>
  <si>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</si>
  <si>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</si>
  <si>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</si>
  <si>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</si>
  <si>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</si>
  <si>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</si>
  <si>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</si>
  <si>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</si>
  <si>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</si>
  <si>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</si>
  <si>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</si>
  <si>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</si>
  <si>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</si>
  <si>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</si>
  <si>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</si>
  <si>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</si>
  <si>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</si>
  <si>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</si>
  <si>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</si>
  <si>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</si>
  <si>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</si>
  <si>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</si>
  <si>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</si>
  <si>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</si>
  <si>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</si>
  <si>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</si>
  <si>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</si>
  <si>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</si>
  <si>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</si>
  <si>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</si>
  <si>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</si>
  <si>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</si>
  <si>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</si>
  <si>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</si>
  <si>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</si>
  <si>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</si>
  <si>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</si>
  <si>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</si>
  <si>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</si>
  <si>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</si>
  <si>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</si>
  <si>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</si>
  <si>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</si>
  <si>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</si>
  <si>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</si>
  <si>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</si>
  <si>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</si>
  <si>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</si>
  <si>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</si>
  <si>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</si>
  <si>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</si>
  <si>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</si>
  <si>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</si>
  <si>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</si>
  <si>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</si>
  <si>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</si>
  <si>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</si>
  <si>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</si>
  <si>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</si>
  <si>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</si>
  <si>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</si>
  <si>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</si>
  <si>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</si>
  <si>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</si>
  <si>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</si>
  <si>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</si>
  <si>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</si>
  <si>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</si>
  <si>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</si>
  <si>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</si>
  <si>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</si>
  <si>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</si>
  <si>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</si>
  <si>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</si>
  <si>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</si>
  <si>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</si>
  <si>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</si>
  <si>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</si>
  <si>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</si>
  <si>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</si>
  <si>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</si>
  <si>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</si>
  <si>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</si>
  <si>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</si>
  <si>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</si>
  <si>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</si>
  <si>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</si>
  <si>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</si>
  <si>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</si>
  <si>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</si>
  <si>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</si>
  <si>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</si>
  <si>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</si>
  <si>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</si>
  <si>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</si>
  <si>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</si>
  <si>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</si>
  <si>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</si>
  <si>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</si>
  <si>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</si>
  <si>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</si>
  <si>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</si>
  <si>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</si>
  <si>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</si>
  <si>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</si>
  <si>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</si>
  <si>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</si>
  <si>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</si>
  <si>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</si>
  <si>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</si>
  <si>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</si>
  <si>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</si>
  <si>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</si>
  <si>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</si>
  <si>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</si>
  <si>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</si>
  <si>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</si>
  <si>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</si>
  <si>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</si>
  <si>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</si>
  <si>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</si>
  <si>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</si>
  <si>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</si>
  <si>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</si>
  <si>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</si>
  <si>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</si>
  <si>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</si>
  <si>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</si>
  <si>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</si>
  <si>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</si>
  <si>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</si>
  <si>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</si>
  <si>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</si>
  <si>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</si>
  <si>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</si>
  <si>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</si>
  <si>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</si>
  <si>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</si>
  <si>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</si>
  <si>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</si>
  <si>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</si>
  <si>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</si>
  <si>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</si>
  <si>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</si>
  <si>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</si>
  <si>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</si>
  <si>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</si>
  <si>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</si>
  <si>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</si>
  <si>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</si>
  <si>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</si>
  <si>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</si>
  <si>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</si>
  <si>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</si>
  <si>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</si>
  <si>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</si>
  <si>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</si>
  <si>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</si>
  <si>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</si>
  <si>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</si>
  <si>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</si>
  <si>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</si>
  <si>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</si>
  <si>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</si>
  <si>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</si>
  <si>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</si>
  <si>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</si>
  <si>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</si>
  <si>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</si>
  <si>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</si>
  <si>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</si>
  <si>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</si>
  <si>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</si>
  <si>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</si>
  <si>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</si>
  <si>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</si>
  <si>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</si>
  <si>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</si>
  <si>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</si>
  <si>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</si>
  <si>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</si>
  <si>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</si>
  <si>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</si>
  <si>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</si>
  <si>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</si>
  <si>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</si>
  <si>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</si>
  <si>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</si>
  <si>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</si>
  <si>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</si>
  <si>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</si>
  <si>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</si>
  <si>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</si>
  <si>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</si>
  <si>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</si>
  <si>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</si>
  <si>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</si>
  <si>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</si>
  <si>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</si>
  <si>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</si>
  <si>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</si>
  <si>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</si>
  <si>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</si>
  <si>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</si>
  <si>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</si>
  <si>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</si>
  <si>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</si>
  <si>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</si>
  <si>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</si>
  <si>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</si>
  <si>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</si>
  <si>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</si>
  <si>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</si>
  <si>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</si>
  <si>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</si>
  <si>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</si>
  <si>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</si>
  <si>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</si>
  <si>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</si>
  <si>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</si>
  <si>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</si>
  <si>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</si>
  <si>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</si>
  <si>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</si>
  <si>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</si>
  <si>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</si>
  <si>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</si>
  <si>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</si>
  <si>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</si>
  <si>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</si>
  <si>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</si>
  <si>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</si>
  <si>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</si>
  <si>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</si>
  <si>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</si>
  <si>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</si>
  <si>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</si>
  <si>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</si>
  <si>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</si>
  <si>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</si>
  <si>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</si>
  <si>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</si>
  <si>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</si>
  <si>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</si>
  <si>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</si>
  <si>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</si>
  <si>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</si>
  <si>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</si>
  <si>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</si>
  <si>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</si>
  <si>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</si>
  <si>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</si>
  <si>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</si>
  <si>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</si>
  <si>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</si>
  <si>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</si>
  <si>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</si>
  <si>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</si>
  <si>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</si>
  <si>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</si>
  <si>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</si>
  <si>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</si>
  <si>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</si>
  <si>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</si>
  <si>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</si>
  <si>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</si>
  <si>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</si>
  <si>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</si>
  <si>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</si>
  <si>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</si>
  <si>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</si>
  <si>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</si>
  <si>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</si>
  <si>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</si>
  <si>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</si>
  <si>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</si>
  <si>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</si>
  <si>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</si>
  <si>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</si>
  <si>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</si>
  <si>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</si>
  <si>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</si>
  <si>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</si>
  <si>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</si>
  <si>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</si>
  <si>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</si>
  <si>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</si>
  <si>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</si>
  <si>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</si>
  <si>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</si>
  <si>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</si>
  <si>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</si>
  <si>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</si>
  <si>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</si>
  <si>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</si>
  <si>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</si>
  <si>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</si>
  <si>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</si>
  <si>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</si>
  <si>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</si>
  <si>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</si>
  <si>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</si>
  <si>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</si>
  <si>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</si>
  <si>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</si>
  <si>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</si>
  <si>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</si>
  <si>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</si>
  <si>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</si>
  <si>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</si>
  <si>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</si>
  <si>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</si>
  <si>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</si>
  <si>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</si>
  <si>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</si>
  <si>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</si>
  <si>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</si>
  <si>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</si>
  <si>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</si>
  <si>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</si>
  <si>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</si>
  <si>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</si>
  <si>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</si>
  <si>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</si>
  <si>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</si>
  <si>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</si>
  <si>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</si>
  <si>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</si>
  <si>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</si>
  <si>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</si>
  <si>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</si>
  <si>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</si>
  <si>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</si>
  <si>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</si>
  <si>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</si>
  <si>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</si>
  <si>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</si>
  <si>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</si>
  <si>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</si>
  <si>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</si>
  <si>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</si>
  <si>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</si>
  <si>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</si>
  <si>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</si>
  <si>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</si>
  <si>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</si>
  <si>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</si>
  <si>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</si>
  <si>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</si>
  <si>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</si>
  <si>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</si>
  <si>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</si>
  <si>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</si>
  <si>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</si>
  <si>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</si>
  <si>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</si>
  <si>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</si>
  <si>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</si>
  <si>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</si>
  <si>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</si>
  <si>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</si>
  <si>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</si>
  <si>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</si>
  <si>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</si>
  <si>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</si>
  <si>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</si>
  <si>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</si>
  <si>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</si>
  <si>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</si>
  <si>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</si>
  <si>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</si>
  <si>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</si>
  <si>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</si>
  <si>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</si>
  <si>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</si>
  <si>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</si>
  <si>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</si>
  <si>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</si>
  <si>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</si>
  <si>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</si>
  <si>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</si>
  <si>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</si>
  <si>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</si>
  <si>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</si>
  <si>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</si>
  <si>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</si>
  <si>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</si>
  <si>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</si>
  <si>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</si>
  <si>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</si>
  <si>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</si>
  <si>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</si>
  <si>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</si>
  <si>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</si>
  <si>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</si>
  <si>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</si>
  <si>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</si>
  <si>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</si>
  <si>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</si>
  <si>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</si>
  <si>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</si>
  <si>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</si>
  <si>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</si>
  <si>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</si>
  <si>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</si>
  <si>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</si>
  <si>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</si>
  <si>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</si>
  <si>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</si>
  <si>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</si>
  <si>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</si>
  <si>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</si>
  <si>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</si>
  <si>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</si>
  <si>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</si>
  <si>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</si>
  <si>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</si>
  <si>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</si>
  <si>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</si>
  <si>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</si>
  <si>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</si>
  <si>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</si>
  <si>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</si>
  <si>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</si>
  <si>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</si>
  <si>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</si>
  <si>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</si>
  <si>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</si>
  <si>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</si>
  <si>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</si>
  <si>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</si>
  <si>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</si>
  <si>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</si>
  <si>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</si>
  <si>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</si>
  <si>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</si>
  <si>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</si>
  <si>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</si>
  <si>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</si>
  <si>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</si>
  <si>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</si>
  <si>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</si>
  <si>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</si>
  <si>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</si>
  <si>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</si>
  <si>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</si>
  <si>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</si>
  <si>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</si>
  <si>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</si>
  <si>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</si>
  <si>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</si>
  <si>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</si>
  <si>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</si>
  <si>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</si>
  <si>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</si>
  <si>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</si>
  <si>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</si>
  <si>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</si>
  <si>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</si>
  <si>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</si>
  <si>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</si>
  <si>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</si>
  <si>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</si>
  <si>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</si>
  <si>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</si>
  <si>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</si>
  <si>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</si>
  <si>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</si>
  <si>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</si>
  <si>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</si>
  <si>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</si>
  <si>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</si>
  <si>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</si>
  <si>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</si>
  <si>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</si>
  <si>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</si>
  <si>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</si>
  <si>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</si>
  <si>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</si>
  <si>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</si>
  <si>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</si>
  <si>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</si>
  <si>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</si>
  <si>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</si>
  <si>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</si>
  <si>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</si>
  <si>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</si>
  <si>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</si>
  <si>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</si>
  <si>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</si>
  <si>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</si>
  <si>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</si>
  <si>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</si>
  <si>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</si>
  <si>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</si>
  <si>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</si>
  <si>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</si>
  <si>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</si>
  <si>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</si>
  <si>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</si>
  <si>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</si>
  <si>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</si>
  <si>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</si>
  <si>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</si>
  <si>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</si>
  <si>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</si>
  <si>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</si>
  <si>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</si>
  <si>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</si>
  <si>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</si>
  <si>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</si>
  <si>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</si>
  <si>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</si>
  <si>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</si>
  <si>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</si>
  <si>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</si>
  <si>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</si>
  <si>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</si>
  <si>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</si>
  <si>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</si>
  <si>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</si>
  <si>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</si>
  <si>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</si>
  <si>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</si>
  <si>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</si>
  <si>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</si>
  <si>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</si>
  <si>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</si>
  <si>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</si>
  <si>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</si>
  <si>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</si>
  <si>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</si>
  <si>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</si>
  <si>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</si>
  <si>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</si>
  <si>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</si>
  <si>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</si>
  <si>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</si>
  <si>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</si>
  <si>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</si>
  <si>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</si>
  <si>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</si>
  <si>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</si>
  <si>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</si>
  <si>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</si>
  <si>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</si>
  <si>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</si>
  <si>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</si>
  <si>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</si>
  <si>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</si>
  <si>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</si>
  <si>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</si>
  <si>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</si>
  <si>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</si>
  <si>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</si>
  <si>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</si>
  <si>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</si>
  <si>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</si>
  <si>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</si>
  <si>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</si>
  <si>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</si>
  <si>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</si>
  <si>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</si>
  <si>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</si>
  <si>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</si>
  <si>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</si>
  <si>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</si>
  <si>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</si>
  <si>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</si>
  <si>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</si>
  <si>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</si>
  <si>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</si>
  <si>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</si>
  <si>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</si>
  <si>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</si>
  <si>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</si>
  <si>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</si>
  <si>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</si>
  <si>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</si>
  <si>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</si>
  <si>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</si>
  <si>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</si>
  <si>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</si>
  <si>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</si>
  <si>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</si>
  <si>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</si>
  <si>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</si>
  <si>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</si>
  <si>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</si>
  <si>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</si>
  <si>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</si>
  <si>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</si>
  <si>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</si>
  <si>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</si>
  <si>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</si>
  <si>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</si>
  <si>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</si>
  <si>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</si>
  <si>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</si>
  <si>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</si>
  <si>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</si>
  <si>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</si>
  <si>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</si>
  <si>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</si>
  <si>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</si>
  <si>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</si>
  <si>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</si>
  <si>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</si>
  <si>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</si>
  <si>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</si>
  <si>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</si>
  <si>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</si>
  <si>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</si>
  <si>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</si>
  <si>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</si>
  <si>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</si>
  <si>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</si>
  <si>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</si>
  <si>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</si>
  <si>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</si>
  <si>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</si>
  <si>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</si>
  <si>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</si>
  <si>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</si>
  <si>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</si>
  <si>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</si>
  <si>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</si>
  <si>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</si>
  <si>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</si>
  <si>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</si>
  <si>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</si>
  <si>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</si>
  <si>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</si>
  <si>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</si>
  <si>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</si>
  <si>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</si>
  <si>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</si>
  <si>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</si>
  <si>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</si>
  <si>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</si>
  <si>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</si>
  <si>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</si>
  <si>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</si>
  <si>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</si>
  <si>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</si>
  <si>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</si>
  <si>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</si>
  <si>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</si>
  <si>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</si>
  <si>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</si>
  <si>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</si>
  <si>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</si>
  <si>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</si>
  <si>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</si>
  <si>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</si>
  <si>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</si>
  <si>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</si>
  <si>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</si>
  <si>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</si>
  <si>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</si>
  <si>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</si>
  <si>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</si>
  <si>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</si>
  <si>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</si>
  <si>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</si>
  <si>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</si>
  <si>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</si>
  <si>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</si>
  <si>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</si>
  <si>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</si>
  <si>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</si>
  <si>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</si>
  <si>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</si>
  <si>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</si>
  <si>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</si>
  <si>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</si>
  <si>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</si>
  <si>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</si>
  <si>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</si>
  <si>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</si>
  <si>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</si>
  <si>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</si>
  <si>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</si>
  <si>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</si>
  <si>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</si>
  <si>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</si>
  <si>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</si>
  <si>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</si>
  <si>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</si>
  <si>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</si>
  <si>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</si>
  <si>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</si>
  <si>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</si>
  <si>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</si>
  <si>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</si>
  <si>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</si>
  <si>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</si>
  <si>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</si>
  <si>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</si>
  <si>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</si>
  <si>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</si>
  <si>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</si>
  <si>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</si>
  <si>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</si>
  <si>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</si>
  <si>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</si>
  <si>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</si>
  <si>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</si>
  <si>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</si>
  <si>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</si>
  <si>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</si>
  <si>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</si>
  <si>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</si>
  <si>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</si>
  <si>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</si>
  <si>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</si>
  <si>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</si>
  <si>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</si>
  <si>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</si>
  <si>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</si>
  <si>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</si>
  <si>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</si>
  <si>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</si>
  <si>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</si>
  <si>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</si>
  <si>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</si>
  <si>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</si>
  <si>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</si>
  <si>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</si>
  <si>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</si>
  <si>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</si>
  <si>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</si>
  <si>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</si>
  <si>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</si>
  <si>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</si>
  <si>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</si>
  <si>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</si>
  <si>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</si>
  <si>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</si>
  <si>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</si>
  <si>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</si>
  <si>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</si>
  <si>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</si>
  <si>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</si>
  <si>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</si>
  <si>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</si>
  <si>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</si>
  <si>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</si>
  <si>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</si>
  <si>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</si>
  <si>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</si>
  <si>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</si>
  <si>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</si>
  <si>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</si>
  <si>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</si>
  <si>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</si>
  <si>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</si>
  <si>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</si>
  <si>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</si>
  <si>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</si>
  <si>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</si>
  <si>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</si>
  <si>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</si>
  <si>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</si>
  <si>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</si>
  <si>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</si>
  <si>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</si>
  <si>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</si>
  <si>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</si>
  <si>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</si>
  <si>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</si>
  <si>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</si>
  <si>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</si>
  <si>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</si>
  <si>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</si>
  <si>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</si>
  <si>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</si>
  <si>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</si>
  <si>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</si>
  <si>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</si>
  <si>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</si>
  <si>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</si>
  <si>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</si>
  <si>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</si>
  <si>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</si>
  <si>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</si>
  <si>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</si>
  <si>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</si>
  <si>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</si>
  <si>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</si>
  <si>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</si>
  <si>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</si>
  <si>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</si>
  <si>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</si>
  <si>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</si>
  <si>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</si>
  <si>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</si>
  <si>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</si>
  <si>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</si>
  <si>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</si>
  <si>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</si>
  <si>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</si>
  <si>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</si>
  <si>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</si>
  <si>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</si>
  <si>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</si>
  <si>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</si>
  <si>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</si>
  <si>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</si>
  <si>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</si>
  <si>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</si>
  <si>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</si>
  <si>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</si>
  <si>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</si>
  <si>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</si>
  <si>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</si>
  <si>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</si>
  <si>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</si>
  <si>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</si>
  <si>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</si>
  <si>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</si>
  <si>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</si>
  <si>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</si>
  <si>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</si>
  <si>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</si>
  <si>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</si>
  <si>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</si>
  <si>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</si>
  <si>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</si>
  <si>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</si>
  <si>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</si>
  <si>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</si>
  <si>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</si>
  <si>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</si>
  <si>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</si>
  <si>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</si>
  <si>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</si>
  <si>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</si>
  <si>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</si>
  <si>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</si>
  <si>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</si>
  <si>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</si>
  <si>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</si>
  <si>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</si>
  <si>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</si>
  <si>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</si>
  <si>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</si>
  <si>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</si>
  <si>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</si>
  <si>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</si>
  <si>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</si>
  <si>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</si>
  <si>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</si>
  <si>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</si>
  <si>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</si>
  <si>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</si>
  <si>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</si>
  <si>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</si>
  <si>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</si>
  <si>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</si>
  <si>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</si>
  <si>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</si>
  <si>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</si>
  <si>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</si>
  <si>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</si>
  <si>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</si>
  <si>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</si>
  <si>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</si>
  <si>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</si>
  <si>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</si>
  <si>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</si>
  <si>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</si>
  <si>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</si>
  <si>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</si>
  <si>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</si>
  <si>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</si>
  <si>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</si>
  <si>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</si>
  <si>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</si>
  <si>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</si>
  <si>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</si>
  <si>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</si>
  <si>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</si>
  <si>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</si>
  <si>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</si>
  <si>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</si>
  <si>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</si>
  <si>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</si>
  <si>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</si>
  <si>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</si>
  <si>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</si>
  <si>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</si>
  <si>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</si>
  <si>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</si>
  <si>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</si>
  <si>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</si>
  <si>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</si>
  <si>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</si>
  <si>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</si>
  <si>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</si>
  <si>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</si>
  <si>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</si>
  <si>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</si>
  <si>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</si>
  <si>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</si>
  <si>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</si>
  <si>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</si>
  <si>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</si>
  <si>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</si>
  <si>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</si>
  <si>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</si>
  <si>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</si>
  <si>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</si>
  <si>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</si>
  <si>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</si>
  <si>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</si>
  <si>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</si>
  <si>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</si>
  <si>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</si>
  <si>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</si>
  <si>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</si>
  <si>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</si>
  <si>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</si>
  <si>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</si>
  <si>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</si>
  <si>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</si>
  <si>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</si>
  <si>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</si>
  <si>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</si>
  <si>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</si>
  <si>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</si>
  <si>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</si>
  <si>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</si>
  <si>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</si>
  <si>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</si>
  <si>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</si>
  <si>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</si>
  <si>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</si>
  <si>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</si>
  <si>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</si>
  <si>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</si>
  <si>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</si>
  <si>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</si>
  <si>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</si>
  <si>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</si>
  <si>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</si>
  <si>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</si>
  <si>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</si>
  <si>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</si>
  <si>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</si>
  <si>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</si>
  <si>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</si>
  <si>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</si>
  <si>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</si>
  <si>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</si>
  <si>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</si>
  <si>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</si>
  <si>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</si>
  <si>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</si>
  <si>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</si>
  <si>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</si>
  <si>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</si>
  <si>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</si>
  <si>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</si>
  <si>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</si>
  <si>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</si>
  <si>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</si>
  <si>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</si>
  <si>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</si>
  <si>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</si>
  <si>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</si>
  <si>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</si>
  <si>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</si>
  <si>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</si>
  <si>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</si>
  <si>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</si>
  <si>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</si>
  <si>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</si>
  <si>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</si>
  <si>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</si>
  <si>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</si>
  <si>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</si>
  <si>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</si>
  <si>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</si>
  <si>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</si>
  <si>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</si>
  <si>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</si>
  <si>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</si>
  <si>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</si>
  <si>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</si>
  <si>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</si>
  <si>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</si>
  <si>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</si>
  <si>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</si>
  <si>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</si>
  <si>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</si>
  <si>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</si>
  <si>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</si>
  <si>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</si>
  <si>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</si>
  <si>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</si>
  <si>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</si>
  <si>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</si>
  <si>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</si>
  <si>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</si>
  <si>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</si>
  <si>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</si>
  <si>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</si>
  <si>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</si>
  <si>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</si>
  <si>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</si>
  <si>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</si>
  <si>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</si>
  <si>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</si>
  <si>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</si>
  <si>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</si>
  <si>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</si>
  <si>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</si>
  <si>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</si>
  <si>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</si>
  <si>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</si>
  <si>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</si>
  <si>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</si>
  <si>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</si>
  <si>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</si>
  <si>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</si>
  <si>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</si>
  <si>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</si>
  <si>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</si>
  <si>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</si>
  <si>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</si>
  <si>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</si>
  <si>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</si>
  <si>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</si>
  <si>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</si>
  <si>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</si>
  <si>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</si>
  <si>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</si>
  <si>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</si>
  <si>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</si>
  <si>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</si>
  <si>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</si>
  <si>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</si>
  <si>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</si>
  <si>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</si>
  <si>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</si>
  <si>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</si>
  <si>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</si>
  <si>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</si>
  <si>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</si>
  <si>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</si>
  <si>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</si>
  <si>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</si>
  <si>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</si>
  <si>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</si>
  <si>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</si>
  <si>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</si>
  <si>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</si>
  <si>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</si>
  <si>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</si>
  <si>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</si>
  <si>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</si>
  <si>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</si>
  <si>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</si>
  <si>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</si>
  <si>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</si>
  <si>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</si>
  <si>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</si>
  <si>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</si>
  <si>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</si>
  <si>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</si>
  <si>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</si>
  <si>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</si>
  <si>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</si>
  <si>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</si>
  <si>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</si>
  <si>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</si>
  <si>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</si>
  <si>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</si>
  <si>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</si>
  <si>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</si>
  <si>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</si>
  <si>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</si>
  <si>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</si>
  <si>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</si>
  <si>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</si>
  <si>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</si>
  <si>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</si>
  <si>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</si>
  <si>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</si>
  <si>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</si>
  <si>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</si>
  <si>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</si>
  <si>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</si>
  <si>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</si>
  <si>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</si>
  <si>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</si>
  <si>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</si>
  <si>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</si>
  <si>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</si>
  <si>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</si>
  <si>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</si>
  <si>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</si>
  <si>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</si>
  <si>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</si>
  <si>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</si>
  <si>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</si>
  <si>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</si>
  <si>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</si>
  <si>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</si>
  <si>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</si>
  <si>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</si>
  <si>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</si>
  <si>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</si>
  <si>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</si>
  <si>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</si>
  <si>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</si>
  <si>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</si>
  <si>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</si>
  <si>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</si>
  <si>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</si>
  <si>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</si>
  <si>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</si>
  <si>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</si>
  <si>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</si>
  <si>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</si>
  <si>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</si>
  <si>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</si>
  <si>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</si>
  <si>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</si>
  <si>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</si>
  <si>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</si>
  <si>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</si>
  <si>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</si>
  <si>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</si>
  <si>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</si>
  <si>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</si>
  <si>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</si>
  <si>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</si>
  <si>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</si>
  <si>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</si>
  <si>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</si>
  <si>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</si>
  <si>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</si>
  <si>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</si>
  <si>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</si>
  <si>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</si>
  <si>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</si>
  <si>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</si>
  <si>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</si>
  <si>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</si>
  <si>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</si>
  <si>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</si>
  <si>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</si>
  <si>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</si>
  <si>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</si>
  <si>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</si>
  <si>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</si>
  <si>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</si>
  <si>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</si>
  <si>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</si>
  <si>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</si>
  <si>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</si>
  <si>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</si>
  <si>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</si>
  <si>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</si>
  <si>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</si>
  <si>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</si>
  <si>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</si>
  <si>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</si>
  <si>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</si>
  <si>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</si>
  <si>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</si>
  <si>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</si>
  <si>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</si>
  <si>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</si>
  <si>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</si>
  <si>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</si>
  <si>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</si>
  <si>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</si>
  <si>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</si>
  <si>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</si>
  <si>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</si>
  <si>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</si>
  <si>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</si>
  <si>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</si>
  <si>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</si>
  <si>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</si>
  <si>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</si>
  <si>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</si>
  <si>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</si>
  <si>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</si>
  <si>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</si>
  <si>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</si>
  <si>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</si>
  <si>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</si>
  <si>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</si>
  <si>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</si>
  <si>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</si>
  <si>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</si>
  <si>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</si>
  <si>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</si>
  <si>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</si>
  <si>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</si>
  <si>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</si>
  <si>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</si>
  <si>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</si>
  <si>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</si>
  <si>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</si>
  <si>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</si>
  <si>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</si>
  <si>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</si>
  <si>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</si>
  <si>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</si>
  <si>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</si>
  <si>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</si>
  <si>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</si>
  <si>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</si>
  <si>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</si>
  <si>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</si>
  <si>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</si>
  <si>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</si>
  <si>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</si>
  <si>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</si>
  <si>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</si>
  <si>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</si>
  <si>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</si>
  <si>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</si>
  <si>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</si>
  <si>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</si>
  <si>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</si>
  <si>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</si>
  <si>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</si>
  <si>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</si>
  <si>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</si>
  <si>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</si>
  <si>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</si>
  <si>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</si>
  <si>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</si>
  <si>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</si>
  <si>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</si>
  <si>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</si>
  <si>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</si>
  <si>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</si>
  <si>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</si>
  <si>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</si>
  <si>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</si>
  <si>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</si>
  <si>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</si>
  <si>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</si>
  <si>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</si>
  <si>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</si>
  <si>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</si>
  <si>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</si>
  <si>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</si>
  <si>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</si>
  <si>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</si>
  <si>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</si>
  <si>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</si>
  <si>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</si>
  <si>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</si>
  <si>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</si>
  <si>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</si>
  <si>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</si>
  <si>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</si>
  <si>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</si>
  <si>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</si>
  <si>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</si>
  <si>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</si>
  <si>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</si>
  <si>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</si>
  <si>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</si>
  <si>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</si>
  <si>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</si>
  <si>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</si>
  <si>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</si>
  <si>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</si>
  <si>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</si>
  <si>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</si>
  <si>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</si>
  <si>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</si>
  <si>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</si>
  <si>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</si>
  <si>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</si>
  <si>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</si>
  <si>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</si>
  <si>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</si>
  <si>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</si>
  <si>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</si>
  <si>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</si>
  <si>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</si>
  <si>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</si>
  <si>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</si>
  <si>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</si>
  <si>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</si>
  <si>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</si>
  <si>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</si>
  <si>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</si>
  <si>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</si>
  <si>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</si>
  <si>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</si>
  <si>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</si>
  <si>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</si>
  <si>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</si>
  <si>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</si>
  <si>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</si>
  <si>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</si>
  <si>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</si>
  <si>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</si>
  <si>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</si>
  <si>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</si>
  <si>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</si>
  <si>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</si>
  <si>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</si>
  <si>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</si>
  <si>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</si>
  <si>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</si>
  <si>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</si>
  <si>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</si>
  <si>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</si>
  <si>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</si>
  <si>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</si>
  <si>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</si>
  <si>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</si>
  <si>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</si>
  <si>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</si>
  <si>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</si>
  <si>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</si>
  <si>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</si>
  <si>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</si>
  <si>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</si>
  <si>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</si>
  <si>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</si>
  <si>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</si>
  <si>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</si>
  <si>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</si>
  <si>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</si>
  <si>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</si>
  <si>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</si>
  <si>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</si>
  <si>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</si>
  <si>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</si>
  <si>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</si>
  <si>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</si>
  <si>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</si>
  <si>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</si>
  <si>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</si>
  <si>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</si>
  <si>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</si>
  <si>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</si>
  <si>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</si>
  <si>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</si>
  <si>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</si>
  <si>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</si>
  <si>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</si>
  <si>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</si>
  <si>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</si>
  <si>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</si>
  <si>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</si>
  <si>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</si>
  <si>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</si>
  <si>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</si>
  <si>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</si>
  <si>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</si>
  <si>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</si>
  <si>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</si>
  <si>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</si>
  <si>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</si>
  <si>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</si>
  <si>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</si>
  <si>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</si>
  <si>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</si>
  <si>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</si>
  <si>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</si>
  <si>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</si>
  <si>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</si>
  <si>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</si>
  <si>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</si>
  <si>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</si>
  <si>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</si>
  <si>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</si>
  <si>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</si>
  <si>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</si>
  <si>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</si>
  <si>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</si>
  <si>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</si>
  <si>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</si>
  <si>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</si>
  <si>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</si>
  <si>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</si>
  <si>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</si>
  <si>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</si>
  <si>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</si>
  <si>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</si>
  <si>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</si>
  <si>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</si>
  <si>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</si>
  <si>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</si>
  <si>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</si>
  <si>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</si>
  <si>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</si>
  <si>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</si>
  <si>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</si>
  <si>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</si>
  <si>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</si>
  <si>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</si>
  <si>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</si>
  <si>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</si>
  <si>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</si>
  <si>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</si>
  <si>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</si>
  <si>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</si>
  <si>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</si>
  <si>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</si>
  <si>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</si>
  <si>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</si>
  <si>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</si>
  <si>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</si>
  <si>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</si>
  <si>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</si>
  <si>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</si>
  <si>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</si>
  <si>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</si>
  <si>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</si>
  <si>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</si>
  <si>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</si>
  <si>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</si>
  <si>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</si>
  <si>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</si>
  <si>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</si>
  <si>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</si>
  <si>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</si>
  <si>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</si>
  <si>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</si>
  <si>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</si>
  <si>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</si>
  <si>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</si>
  <si>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</si>
  <si>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</si>
  <si>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</si>
  <si>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</si>
  <si>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</si>
  <si>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</si>
  <si>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</si>
  <si>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</si>
  <si>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</si>
  <si>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</si>
  <si>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</si>
  <si>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</si>
  <si>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</si>
  <si>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</si>
  <si>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</si>
  <si>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</si>
  <si>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</si>
  <si>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</si>
  <si>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</si>
  <si>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</si>
  <si>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</si>
  <si>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</si>
  <si>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</si>
  <si>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</si>
  <si>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</si>
  <si>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</si>
  <si>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</si>
  <si>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</si>
  <si>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</si>
  <si>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</si>
  <si>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</si>
  <si>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</si>
  <si>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</si>
  <si>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</si>
  <si>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</si>
  <si>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</si>
  <si>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</si>
  <si>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</si>
  <si>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</si>
  <si>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</si>
  <si>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</si>
  <si>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</si>
  <si>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</si>
  <si>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</si>
  <si>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</si>
  <si>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</si>
  <si>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</si>
  <si>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</si>
  <si>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</si>
  <si>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</si>
  <si>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</si>
  <si>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</si>
  <si>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</si>
  <si>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</si>
  <si>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</si>
  <si>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</si>
  <si>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</si>
  <si>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</si>
  <si>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</si>
  <si>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</si>
  <si>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</si>
  <si>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</si>
  <si>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</si>
  <si>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</si>
  <si>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</si>
  <si>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</si>
  <si>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</si>
  <si>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</si>
  <si>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</si>
  <si>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</si>
  <si>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</si>
  <si>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</si>
  <si>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</si>
  <si>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</si>
  <si>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</si>
  <si>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</si>
  <si>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</si>
  <si>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</si>
  <si>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</si>
  <si>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</si>
  <si>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</si>
  <si>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</si>
  <si>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</si>
  <si>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</si>
  <si>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</si>
  <si>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</si>
  <si>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</si>
  <si>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</si>
  <si>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</si>
  <si>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</si>
  <si>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</si>
  <si>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</si>
  <si>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</si>
  <si>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</si>
  <si>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</si>
  <si>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</si>
  <si>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</si>
  <si>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</si>
  <si>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</si>
  <si>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</si>
  <si>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</si>
  <si>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</si>
  <si>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</si>
  <si>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</si>
  <si>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</si>
  <si>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</si>
  <si>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</si>
  <si>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</si>
  <si>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</si>
  <si>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</si>
  <si>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</si>
  <si>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</si>
  <si>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</si>
  <si>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</si>
  <si>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</si>
  <si>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</si>
  <si>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</si>
  <si>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</si>
  <si>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</si>
  <si>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</si>
  <si>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</si>
  <si>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</si>
  <si>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</si>
  <si>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</si>
  <si>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</si>
  <si>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</si>
  <si>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</si>
  <si>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</si>
  <si>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</si>
  <si>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</si>
  <si>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</si>
  <si>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</si>
  <si>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</si>
  <si>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</si>
  <si>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</si>
  <si>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</si>
  <si>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</si>
  <si>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</si>
  <si>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</si>
  <si>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</si>
  <si>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</si>
  <si>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</si>
  <si>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</si>
  <si>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</si>
  <si>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</si>
  <si>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</si>
  <si>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</si>
  <si>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</si>
  <si>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</si>
  <si>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</si>
  <si>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</si>
  <si>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</si>
  <si>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</si>
  <si>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</si>
  <si>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</si>
  <si>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</si>
  <si>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</si>
  <si>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</si>
  <si>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</si>
  <si>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</si>
  <si>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</si>
  <si>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</si>
  <si>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</si>
  <si>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</si>
  <si>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</si>
  <si>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</si>
  <si>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</si>
  <si>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</si>
  <si>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</si>
  <si>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</si>
  <si>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</si>
  <si>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</si>
  <si>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</si>
  <si>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</si>
  <si>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</si>
  <si>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</si>
  <si>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</si>
  <si>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</si>
  <si>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</si>
  <si>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</si>
  <si>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</si>
  <si>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</si>
  <si>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</si>
  <si>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</si>
  <si>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</si>
  <si>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</si>
  <si>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</si>
  <si>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</si>
  <si>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</si>
  <si>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</si>
  <si>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</si>
  <si>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</si>
  <si>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</si>
  <si>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</si>
  <si>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</si>
  <si>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</si>
  <si>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</si>
  <si>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</si>
  <si>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</si>
  <si>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</si>
  <si>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</si>
  <si>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</si>
  <si>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</si>
  <si>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</si>
  <si>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</si>
  <si>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</si>
  <si>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</si>
  <si>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</si>
  <si>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</si>
  <si>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</si>
  <si>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</si>
  <si>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</si>
  <si>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</si>
  <si>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</si>
  <si>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</si>
  <si>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</si>
  <si>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</si>
  <si>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</si>
  <si>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</si>
  <si>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</si>
  <si>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</si>
  <si>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</si>
  <si>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</si>
  <si>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</si>
  <si>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</si>
  <si>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</si>
  <si>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</si>
  <si>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</si>
  <si>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</si>
  <si>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</si>
  <si>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</si>
  <si>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</si>
  <si>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</si>
  <si>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</si>
  <si>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</si>
  <si>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</si>
  <si>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</si>
  <si>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</si>
  <si>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</si>
  <si>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</si>
  <si>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</si>
  <si>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</si>
  <si>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</si>
  <si>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</si>
  <si>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</si>
  <si>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</si>
  <si>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</si>
  <si>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</si>
  <si>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</si>
  <si>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</si>
  <si>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</si>
  <si>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</si>
  <si>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</si>
  <si>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</si>
  <si>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</si>
  <si>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</si>
  <si>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</si>
  <si>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</si>
  <si>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</si>
  <si>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</si>
  <si>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</si>
  <si>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</si>
  <si>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</si>
  <si>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</si>
  <si>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</si>
  <si>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</si>
  <si>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</si>
  <si>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</si>
  <si>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</si>
  <si>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</si>
  <si>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</si>
  <si>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</si>
  <si>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</si>
  <si>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</si>
  <si>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</si>
  <si>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</si>
  <si>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</si>
  <si>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</si>
  <si>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</si>
  <si>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</si>
  <si>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</si>
  <si>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</si>
  <si>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</si>
  <si>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</si>
  <si>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</si>
  <si>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</si>
  <si>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</si>
  <si>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</si>
  <si>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</si>
  <si>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</si>
  <si>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</si>
  <si>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</si>
  <si>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</si>
  <si>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</si>
  <si>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</si>
  <si>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</si>
  <si>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</si>
  <si>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</si>
  <si>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</si>
  <si>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</si>
  <si>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</si>
  <si>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</si>
  <si>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</si>
  <si>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</si>
  <si>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</si>
  <si>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</si>
  <si>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</si>
  <si>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</si>
  <si>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</si>
  <si>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</si>
  <si>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</si>
  <si>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</si>
  <si>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</si>
  <si>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</si>
  <si>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</si>
  <si>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</si>
  <si>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</si>
  <si>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</si>
  <si>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</si>
  <si>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</si>
  <si>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</si>
  <si>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</si>
  <si>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</si>
  <si>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</si>
  <si>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</si>
  <si>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</si>
  <si>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</si>
  <si>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</si>
  <si>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</si>
  <si>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</si>
  <si>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</si>
  <si>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</si>
  <si>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</si>
  <si>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</si>
  <si>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</si>
  <si>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</si>
  <si>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</si>
  <si>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</si>
  <si>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</si>
  <si>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</si>
  <si>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</si>
  <si>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</si>
  <si>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</si>
  <si>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</si>
  <si>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</si>
  <si>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</si>
  <si>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</si>
  <si>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</si>
  <si>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</si>
  <si>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</si>
  <si>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</si>
  <si>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</si>
  <si>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</si>
  <si>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</si>
  <si>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</si>
  <si>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</si>
  <si>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</si>
  <si>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</si>
  <si>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</si>
  <si>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</si>
  <si>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</si>
  <si>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</si>
  <si>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</si>
  <si>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</si>
  <si>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</si>
  <si>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</si>
  <si>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</si>
  <si>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</si>
  <si>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</si>
  <si>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</si>
  <si>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</si>
  <si>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</si>
  <si>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</si>
  <si>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</si>
  <si>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</si>
  <si>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</si>
  <si>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</si>
  <si>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</si>
  <si>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</si>
  <si>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</si>
  <si>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</si>
  <si>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</si>
  <si>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</si>
  <si>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</si>
  <si>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</si>
  <si>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</si>
  <si>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</si>
  <si>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</si>
  <si>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</si>
  <si>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</si>
  <si>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</si>
  <si>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</si>
  <si>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</si>
  <si>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</si>
  <si>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</si>
  <si>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</si>
  <si>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</si>
  <si>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</si>
  <si>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</si>
  <si>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</si>
  <si>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</si>
  <si>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</si>
  <si>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</si>
  <si>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</si>
  <si>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</si>
  <si>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</si>
  <si>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</si>
  <si>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</si>
  <si>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</si>
  <si>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</si>
  <si>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</si>
  <si>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</si>
  <si>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</si>
  <si>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</si>
  <si>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</si>
  <si>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</si>
  <si>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</si>
  <si>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</si>
  <si>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</si>
  <si>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</si>
  <si>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</si>
  <si>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</si>
  <si>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</si>
  <si>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</si>
  <si>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</si>
  <si>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</si>
  <si>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</si>
  <si>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</si>
  <si>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</si>
  <si>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</si>
  <si>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</si>
  <si>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</si>
  <si>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</si>
  <si>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</si>
  <si>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</si>
  <si>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</si>
  <si>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</si>
  <si>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</si>
  <si>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</si>
  <si>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</si>
  <si>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</si>
  <si>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</si>
  <si>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</si>
  <si>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</si>
  <si>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</si>
  <si>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</si>
  <si>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</si>
  <si>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</si>
  <si>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</si>
  <si>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</si>
  <si>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</si>
  <si>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</si>
  <si>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</si>
  <si>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</si>
  <si>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</si>
  <si>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</si>
  <si>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</si>
  <si>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</si>
  <si>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</si>
  <si>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</si>
  <si>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</si>
  <si>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</si>
  <si>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</si>
  <si>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</si>
  <si>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</si>
  <si>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</si>
  <si>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</si>
  <si>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</si>
  <si>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</si>
  <si>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</si>
  <si>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</si>
  <si>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</si>
  <si>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</si>
  <si>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</si>
  <si>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</si>
  <si>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</si>
  <si>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</si>
  <si>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</si>
  <si>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</si>
  <si>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</si>
  <si>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</si>
  <si>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</si>
  <si>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</si>
  <si>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</si>
  <si>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</si>
  <si>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</si>
  <si>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</si>
  <si>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</si>
  <si>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</si>
  <si>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</si>
  <si>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</si>
  <si>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</si>
  <si>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</si>
  <si>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</si>
  <si>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</si>
  <si>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</si>
  <si>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</si>
  <si>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</si>
  <si>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</si>
  <si>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</si>
  <si>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</si>
  <si>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</si>
  <si>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</si>
  <si>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</si>
  <si>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</si>
  <si>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</si>
  <si>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</si>
  <si>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</si>
  <si>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</si>
  <si>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</si>
  <si>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</si>
  <si>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</si>
  <si>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</si>
  <si>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</si>
  <si>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</si>
  <si>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</si>
  <si>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</si>
  <si>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</si>
  <si>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</si>
  <si>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</si>
  <si>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</si>
  <si>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</si>
  <si>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</si>
  <si>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</si>
  <si>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</si>
  <si>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</si>
  <si>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</si>
  <si>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</si>
  <si>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</si>
  <si>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</si>
  <si>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</si>
  <si>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</si>
  <si>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</si>
  <si>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</si>
  <si>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</si>
  <si>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</si>
  <si>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</si>
  <si>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</si>
  <si>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</si>
  <si>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</si>
  <si>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</si>
  <si>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</si>
  <si>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</si>
  <si>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</si>
  <si>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</si>
  <si>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</si>
  <si>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</si>
  <si>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</si>
  <si>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</si>
  <si>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</si>
  <si>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</si>
  <si>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</si>
  <si>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</si>
  <si>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</si>
  <si>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</si>
  <si>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</si>
  <si>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</si>
  <si>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</si>
  <si>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</si>
  <si>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</si>
  <si>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</si>
  <si>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</si>
  <si>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</si>
  <si>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</si>
  <si>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</si>
  <si>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</si>
  <si>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</si>
  <si>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</si>
  <si>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</si>
  <si>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</si>
  <si>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</si>
  <si>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</si>
  <si>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</si>
  <si>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</si>
  <si>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</si>
  <si>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</si>
  <si>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</si>
  <si>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</si>
  <si>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</si>
  <si>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</si>
  <si>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</si>
  <si>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</si>
  <si>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</si>
  <si>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</si>
  <si>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</si>
  <si>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</si>
  <si>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</si>
  <si>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</si>
  <si>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</si>
  <si>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</si>
  <si>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</si>
  <si>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</si>
  <si>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</si>
  <si>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</si>
  <si>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</si>
  <si>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</si>
  <si>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</si>
  <si>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</si>
  <si>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</si>
  <si>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</si>
  <si>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</si>
  <si>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</si>
  <si>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</si>
  <si>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</si>
  <si>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</si>
  <si>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</si>
  <si>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</si>
  <si>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</si>
  <si>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</si>
  <si>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</si>
  <si>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</si>
  <si>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</si>
  <si>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</si>
  <si>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</si>
  <si>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</si>
  <si>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</si>
  <si>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</si>
  <si>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</si>
  <si>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</si>
  <si>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</si>
  <si>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</si>
  <si>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</si>
  <si>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</si>
  <si>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</si>
  <si>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</si>
  <si>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</si>
  <si>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</si>
  <si>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</si>
  <si>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</si>
  <si>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</si>
  <si>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</si>
  <si>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</si>
  <si>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</si>
  <si>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</si>
  <si>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</si>
  <si>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</si>
  <si>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</si>
  <si>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</si>
  <si>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</si>
  <si>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</si>
  <si>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</si>
  <si>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</si>
  <si>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</si>
  <si>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</si>
  <si>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</si>
  <si>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</si>
  <si>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</si>
  <si>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</si>
  <si>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</si>
  <si>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</si>
  <si>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</si>
  <si>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</si>
  <si>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</si>
  <si>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</si>
  <si>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</si>
  <si>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</si>
  <si>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</si>
  <si>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</si>
  <si>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</si>
  <si>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</si>
  <si>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</si>
  <si>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</si>
  <si>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</si>
  <si>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</si>
  <si>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</si>
  <si>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</si>
  <si>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</si>
  <si>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</si>
  <si>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</si>
  <si>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</si>
  <si>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</si>
  <si>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</si>
  <si>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</si>
  <si>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</si>
  <si>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</si>
  <si>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</si>
  <si>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</si>
  <si>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</si>
  <si>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</si>
  <si>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</si>
  <si>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</si>
  <si>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</si>
  <si>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</si>
  <si>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</si>
  <si>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</si>
  <si>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</si>
  <si>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</si>
  <si>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</si>
  <si>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</si>
  <si>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</si>
  <si>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</si>
  <si>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</si>
  <si>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</si>
  <si>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</si>
  <si>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</si>
  <si>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</si>
  <si>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</si>
  <si>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</si>
  <si>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</si>
  <si>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</si>
  <si>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</si>
  <si>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</si>
  <si>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</si>
  <si>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</si>
  <si>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</si>
  <si>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</si>
  <si>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</si>
  <si>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</si>
  <si>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</si>
  <si>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</si>
  <si>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</si>
  <si>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</si>
  <si>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</si>
  <si>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</si>
  <si>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</si>
  <si>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</si>
  <si>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</si>
  <si>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</si>
  <si>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</si>
  <si>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</si>
  <si>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</si>
  <si>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</si>
  <si>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</si>
  <si>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</si>
  <si>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</si>
  <si>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</si>
  <si>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</si>
  <si>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</si>
  <si>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</si>
  <si>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</si>
  <si>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</si>
  <si>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</si>
  <si>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</si>
  <si>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</si>
  <si>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</si>
  <si>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</si>
  <si>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</si>
  <si>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</si>
  <si>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</si>
  <si>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</si>
  <si>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</si>
  <si>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</si>
  <si>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</si>
  <si>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</si>
  <si>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</si>
  <si>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</si>
  <si>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</si>
  <si>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</si>
  <si>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</si>
  <si>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</si>
  <si>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</si>
  <si>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</si>
  <si>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</si>
  <si>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</si>
  <si>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</si>
  <si>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</si>
  <si>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</si>
  <si>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</si>
  <si>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</si>
  <si>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</si>
  <si>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</si>
  <si>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</si>
  <si>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</si>
  <si>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</si>
  <si>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</si>
  <si>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</si>
  <si>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</si>
  <si>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</si>
  <si>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</si>
  <si>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</si>
  <si>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</si>
  <si>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</si>
  <si>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</si>
  <si>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</si>
  <si>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</si>
  <si>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</si>
  <si>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</si>
  <si>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</si>
  <si>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</si>
  <si>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</si>
  <si>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</si>
  <si>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</si>
  <si>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</si>
  <si>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</si>
  <si>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</si>
  <si>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</si>
  <si>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</si>
  <si>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</si>
  <si>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</si>
  <si>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</si>
  <si>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</si>
  <si>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</si>
  <si>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</si>
  <si>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</si>
  <si>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</si>
  <si>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</si>
  <si>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</si>
  <si>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</si>
  <si>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</si>
  <si>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</si>
  <si>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</si>
  <si>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</si>
  <si>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</si>
  <si>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</si>
  <si>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</si>
  <si>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</si>
  <si>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</si>
  <si>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</si>
  <si>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</si>
  <si>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</si>
  <si>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</si>
  <si>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</si>
  <si>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</si>
  <si>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</si>
  <si>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</si>
  <si>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</si>
  <si>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</si>
  <si>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</si>
  <si>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</si>
  <si>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</si>
  <si>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</si>
  <si>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</si>
  <si>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</si>
  <si>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</si>
  <si>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</si>
  <si>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</si>
  <si>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</si>
  <si>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</si>
  <si>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</si>
  <si>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</si>
  <si>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</si>
  <si>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</si>
  <si>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</si>
  <si>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</si>
  <si>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</si>
  <si>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</si>
  <si>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</si>
  <si>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</si>
  <si>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</si>
  <si>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</si>
  <si>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</si>
  <si>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</si>
  <si>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</si>
  <si>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</si>
  <si>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</si>
  <si>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</si>
  <si>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</si>
  <si>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</si>
  <si>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</si>
  <si>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</si>
  <si>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</si>
  <si>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</si>
  <si>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</si>
  <si>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</si>
  <si>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</si>
  <si>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</si>
  <si>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</si>
  <si>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</si>
  <si>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</si>
  <si>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</si>
  <si>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</si>
  <si>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</si>
  <si>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</si>
  <si>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</si>
  <si>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</si>
  <si>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</si>
  <si>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</si>
  <si>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</si>
  <si>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</si>
  <si>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</si>
  <si>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</si>
  <si>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</si>
  <si>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</si>
  <si>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</si>
  <si>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</si>
  <si>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</si>
  <si>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</si>
  <si>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</si>
  <si>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</si>
  <si>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</si>
  <si>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</si>
  <si>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</si>
  <si>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</si>
  <si>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</si>
  <si>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</si>
  <si>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</si>
  <si>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</si>
  <si>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</si>
  <si>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</si>
  <si>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</si>
  <si>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</si>
  <si>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</si>
  <si>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</si>
  <si>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</si>
  <si>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</si>
  <si>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</si>
  <si>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</si>
  <si>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</si>
  <si>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</si>
  <si>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</si>
  <si>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</si>
  <si>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</si>
  <si>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</si>
  <si>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</si>
  <si>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</si>
  <si>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</si>
  <si>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</si>
  <si>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</si>
  <si>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</si>
  <si>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</si>
  <si>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</si>
  <si>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</si>
  <si>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</si>
  <si>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</si>
  <si>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</si>
  <si>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</si>
  <si>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</si>
  <si>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</si>
  <si>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</si>
  <si>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</si>
  <si>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</si>
  <si>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</si>
  <si>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</si>
  <si>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</si>
  <si>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</si>
  <si>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</si>
  <si>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</si>
  <si>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</si>
  <si>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</si>
  <si>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</si>
  <si>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</si>
  <si>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</si>
  <si>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</si>
  <si>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</si>
  <si>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</si>
  <si>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</si>
  <si>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</si>
  <si>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</si>
  <si>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</si>
  <si>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</si>
  <si>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</si>
  <si>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</si>
  <si>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</si>
  <si>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</si>
  <si>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</si>
  <si>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</si>
  <si>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</si>
  <si>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</si>
  <si>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</si>
  <si>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</si>
  <si>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</si>
  <si>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</si>
  <si>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</si>
  <si>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</si>
  <si>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</si>
  <si>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</si>
  <si>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</si>
  <si>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</si>
  <si>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</si>
  <si>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</si>
  <si>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</si>
  <si>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</si>
  <si>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</si>
  <si>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</si>
  <si>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</si>
  <si>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</si>
  <si>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</si>
  <si>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</si>
  <si>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</si>
  <si>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</si>
  <si>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</si>
  <si>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</si>
  <si>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</si>
  <si>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</si>
  <si>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</si>
  <si>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</si>
  <si>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</si>
  <si>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</si>
  <si>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</si>
  <si>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</si>
  <si>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</si>
  <si>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</si>
  <si>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</si>
  <si>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</si>
  <si>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</si>
  <si>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</si>
  <si>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</si>
  <si>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</si>
  <si>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</si>
  <si>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</si>
  <si>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</si>
  <si>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</si>
  <si>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</si>
  <si>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</si>
  <si>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</si>
  <si>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</si>
  <si>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</si>
  <si>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</si>
  <si>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</si>
  <si>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</si>
  <si>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</si>
  <si>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</si>
  <si>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</si>
  <si>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</si>
  <si>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</si>
  <si>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</si>
  <si>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</si>
  <si>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</si>
  <si>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</si>
  <si>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</si>
  <si>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</si>
  <si>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</si>
  <si>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</si>
  <si>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</si>
  <si>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</si>
  <si>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</si>
  <si>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</si>
  <si>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</si>
  <si>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</si>
  <si>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</si>
  <si>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</si>
  <si>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</si>
  <si>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</si>
  <si>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</si>
  <si>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</si>
  <si>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</si>
  <si>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</si>
  <si>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</si>
  <si>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</si>
  <si>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</si>
  <si>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</si>
  <si>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</si>
  <si>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</si>
  <si>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</si>
  <si>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</si>
  <si>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</si>
  <si>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</si>
  <si>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</si>
  <si>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</si>
  <si>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</si>
  <si>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</si>
  <si>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</si>
  <si>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</si>
  <si>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</si>
  <si>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</si>
  <si>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</si>
  <si>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</si>
  <si>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</si>
  <si>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</si>
  <si>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</si>
  <si>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</si>
  <si>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</si>
  <si>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</si>
  <si>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</si>
  <si>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</si>
  <si>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</si>
  <si>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</si>
  <si>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</si>
  <si>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</si>
  <si>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</si>
  <si>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</si>
  <si>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</si>
  <si>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</si>
  <si>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</si>
  <si>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</si>
  <si>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</si>
  <si>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</si>
  <si>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</si>
  <si>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</si>
  <si>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</si>
  <si>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</si>
  <si>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</si>
  <si>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</si>
  <si>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</si>
  <si>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</si>
  <si>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</si>
  <si>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</si>
  <si>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</si>
  <si>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</si>
  <si>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</si>
  <si>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</si>
  <si>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</si>
  <si>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</si>
  <si>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</si>
  <si>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</si>
  <si>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</si>
  <si>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</si>
  <si>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</si>
  <si>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</si>
  <si>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</si>
  <si>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</si>
  <si>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</si>
  <si>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</si>
  <si>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</si>
  <si>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</si>
  <si>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</si>
  <si>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</si>
  <si>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</si>
  <si>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</si>
  <si>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</si>
  <si>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</si>
  <si>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</si>
  <si>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</si>
  <si>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</si>
  <si>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</si>
  <si>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</si>
  <si>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</si>
  <si>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</si>
  <si>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</si>
  <si>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</si>
  <si>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</si>
  <si>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</si>
  <si>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</si>
  <si>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</si>
  <si>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</si>
  <si>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</si>
  <si>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</si>
  <si>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</si>
  <si>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</si>
  <si>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</si>
  <si>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</si>
  <si>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</si>
  <si>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</si>
  <si>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</si>
  <si>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</si>
  <si>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</si>
  <si>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</si>
  <si>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</si>
  <si>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</si>
  <si>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</si>
  <si>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</si>
  <si>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</si>
  <si>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</si>
  <si>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</si>
  <si>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</si>
  <si>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</si>
  <si>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</si>
  <si>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</si>
  <si>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</si>
  <si>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</si>
  <si>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</si>
  <si>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</si>
  <si>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</si>
  <si>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</si>
  <si>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</si>
  <si>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</si>
  <si>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</si>
  <si>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</si>
  <si>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</si>
  <si>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</si>
  <si>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</si>
  <si>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</si>
  <si>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</si>
  <si>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</si>
  <si>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</si>
  <si>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</si>
  <si>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</si>
  <si>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</si>
  <si>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</si>
  <si>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</si>
  <si>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</si>
  <si>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</si>
  <si>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</si>
  <si>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</si>
  <si>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</si>
  <si>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</si>
  <si>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</si>
  <si>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</si>
  <si>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</si>
  <si>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</si>
  <si>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</si>
  <si>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</si>
  <si>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</si>
  <si>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</si>
  <si>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</si>
  <si>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</si>
  <si>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</si>
  <si>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</si>
  <si>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</si>
  <si>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</si>
  <si>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</si>
  <si>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</si>
  <si>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</si>
  <si>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</si>
  <si>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</si>
  <si>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</si>
  <si>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</si>
  <si>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</si>
  <si>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</si>
  <si>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</si>
  <si>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</si>
  <si>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</si>
  <si>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</si>
  <si>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</si>
  <si>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</si>
  <si>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</si>
  <si>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</si>
  <si>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</si>
  <si>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</si>
  <si>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</si>
  <si>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</si>
  <si>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</si>
  <si>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</si>
  <si>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</si>
  <si>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</si>
  <si>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</si>
  <si>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</si>
  <si>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</si>
  <si>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</si>
  <si>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</si>
  <si>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</si>
  <si>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</si>
  <si>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</si>
  <si>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</si>
  <si>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</si>
  <si>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</si>
  <si>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</si>
  <si>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</si>
  <si>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</si>
  <si>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</si>
  <si>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</si>
  <si>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</si>
  <si>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</si>
  <si>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</si>
  <si>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</si>
  <si>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</si>
  <si>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</si>
  <si>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</si>
  <si>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</si>
  <si>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</si>
  <si>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</si>
  <si>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</si>
  <si>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</si>
  <si>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</si>
  <si>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</si>
  <si>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</si>
  <si>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</si>
  <si>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</si>
  <si>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</si>
  <si>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</si>
  <si>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</si>
  <si>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</si>
  <si>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</si>
  <si>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</si>
  <si>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</si>
  <si>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</si>
  <si>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</si>
  <si>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</si>
  <si>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</si>
  <si>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</si>
  <si>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</si>
  <si>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</si>
  <si>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</si>
  <si>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</si>
  <si>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</si>
  <si>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</si>
  <si>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</si>
  <si>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</si>
  <si>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</si>
  <si>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</si>
  <si>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</si>
  <si>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</si>
  <si>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</si>
  <si>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</si>
  <si>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</si>
  <si>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</si>
  <si>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</si>
  <si>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</si>
  <si>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</si>
  <si>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</si>
  <si>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</si>
  <si>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</si>
  <si>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</si>
  <si>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</si>
  <si>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</si>
  <si>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</si>
  <si>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</si>
  <si>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</si>
  <si>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</si>
  <si>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</si>
  <si>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</si>
  <si>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</si>
  <si>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</si>
  <si>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</si>
  <si>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</si>
  <si>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</si>
  <si>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</si>
  <si>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</si>
  <si>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</si>
  <si>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</si>
  <si>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</si>
  <si>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</si>
  <si>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</si>
  <si>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</si>
  <si>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</si>
  <si>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</si>
  <si>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</si>
  <si>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</si>
  <si>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</si>
  <si>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</si>
  <si>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</si>
  <si>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</si>
  <si>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</si>
  <si>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</si>
  <si>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</si>
  <si>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</si>
  <si>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</si>
  <si>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</si>
  <si>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</si>
  <si>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</si>
  <si>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</si>
  <si>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</si>
  <si>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</si>
  <si>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</si>
  <si>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</si>
  <si>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</si>
  <si>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</si>
  <si>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</si>
  <si>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</si>
  <si>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</si>
  <si>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</si>
  <si>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</si>
  <si>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</si>
  <si>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</si>
  <si>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</si>
  <si>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</si>
  <si>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</si>
  <si>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</si>
  <si>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</si>
  <si>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</si>
  <si>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</si>
  <si>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</si>
  <si>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</si>
  <si>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</si>
  <si>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</si>
  <si>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</si>
  <si>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</si>
  <si>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</si>
  <si>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</si>
  <si>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</si>
  <si>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</si>
  <si>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</si>
  <si>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</si>
  <si>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</si>
  <si>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</si>
  <si>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</si>
  <si>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</si>
  <si>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</si>
  <si>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</si>
  <si>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</si>
  <si>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</si>
  <si>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</si>
  <si>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</si>
  <si>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</si>
  <si>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</si>
  <si>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</si>
  <si>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</si>
  <si>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</si>
  <si>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</si>
  <si>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</si>
  <si>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</si>
  <si>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</si>
  <si>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</si>
  <si>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</si>
  <si>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</si>
  <si>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</si>
  <si>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</si>
  <si>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</si>
  <si>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</si>
  <si>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</si>
  <si>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</si>
  <si>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</si>
  <si>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</si>
  <si>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</si>
  <si>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</si>
  <si>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</si>
  <si>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</si>
  <si>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</si>
  <si>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</si>
  <si>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</si>
  <si>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</si>
  <si>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</si>
  <si>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</si>
  <si>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</si>
  <si>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</si>
  <si>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</si>
  <si>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</si>
  <si>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</si>
  <si>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</si>
  <si>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</si>
  <si>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</si>
  <si>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</si>
  <si>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</si>
  <si>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</si>
  <si>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</si>
  <si>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</si>
  <si>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</si>
  <si>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</si>
  <si>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</si>
  <si>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</si>
  <si>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</si>
  <si>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</si>
  <si>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</si>
  <si>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</si>
  <si>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</si>
  <si>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</si>
  <si>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</si>
  <si>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</si>
  <si>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</si>
  <si>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</si>
  <si>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</si>
  <si>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</si>
  <si>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</si>
  <si>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</si>
  <si>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</si>
  <si>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</si>
  <si>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</si>
  <si>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</si>
  <si>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</si>
  <si>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</si>
  <si>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</si>
  <si>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</si>
  <si>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</si>
  <si>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</si>
  <si>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</si>
  <si>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</si>
  <si>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</si>
  <si>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</si>
  <si>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</si>
  <si>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</si>
  <si>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</si>
  <si>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</si>
  <si>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</si>
  <si>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</si>
  <si>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</si>
  <si>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</si>
  <si>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</si>
  <si>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</si>
  <si>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</si>
  <si>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</si>
  <si>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</si>
  <si>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</si>
  <si>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</si>
  <si>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</si>
  <si>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</si>
  <si>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</si>
  <si>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</si>
  <si>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</si>
  <si>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</si>
  <si>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</si>
  <si>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</si>
  <si>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</si>
  <si>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</si>
  <si>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</si>
  <si>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</si>
  <si>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</si>
  <si>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</si>
  <si>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</si>
  <si>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</si>
  <si>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</si>
  <si>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</si>
  <si>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</si>
  <si>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</si>
  <si>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</si>
  <si>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</si>
  <si>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</si>
  <si>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</si>
  <si>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</si>
  <si>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</si>
  <si>
    <t>MET</t>
  </si>
  <si>
    <t>cmd</t>
  </si>
  <si>
    <t>STAT</t>
  </si>
  <si>
    <t>MAC</t>
  </si>
  <si>
    <t>arg</t>
  </si>
  <si>
    <t>ProdRate</t>
  </si>
  <si>
    <t>SSRRAte</t>
  </si>
  <si>
    <t>Macro</t>
  </si>
  <si>
    <r>
      <rPr>
        <sz val="11"/>
        <color theme="1"/>
        <rFont val="Aptos Narrow"/>
        <family val="2"/>
      </rPr>
      <t>→</t>
    </r>
    <r>
      <rPr>
        <sz val="11"/>
        <color theme="1"/>
        <rFont val="Calibri"/>
        <family val="2"/>
      </rPr>
      <t>DT4</t>
    </r>
  </si>
  <si>
    <t>→DT3|DT2</t>
  </si>
  <si>
    <t>→HSK3</t>
  </si>
  <si>
    <t>→DT1</t>
  </si>
  <si>
    <t>→DT3</t>
  </si>
  <si>
    <t>→DT2</t>
  </si>
  <si>
    <t>BRD
bit/s</t>
  </si>
  <si>
    <t>STAT
bit/s</t>
  </si>
  <si>
    <t>N1
bit/s</t>
  </si>
  <si>
    <t>N2
bit/s</t>
  </si>
  <si>
    <t>N3
bit/s</t>
  </si>
  <si>
    <t>TrgAssess
bit/s</t>
  </si>
  <si>
    <t>105-110
s/12h</t>
  </si>
  <si>
    <t>102
active?</t>
  </si>
  <si>
    <t>MET Start</t>
  </si>
  <si>
    <t>N2 disabled</t>
  </si>
  <si>
    <t>→</t>
  </si>
  <si>
    <t>binary check</t>
  </si>
  <si>
    <t>cmd+arg</t>
  </si>
  <si>
    <t>009 - ?</t>
  </si>
  <si>
    <t>010 - Add pep_ssf Worksheet to calculate bits per acquisition second DLDVs from MET and PB data type lookups</t>
  </si>
  <si>
    <t>011 - More samples and improved formatting in  pep_ssf Worksheet</t>
  </si>
  <si>
    <t>←MET Range</t>
  </si>
  <si>
    <t>←PB data types</t>
  </si>
  <si>
    <t>PEPSSI_LVPS_POWER</t>
  </si>
  <si>
    <t>PEPSSI_MAC_RUN</t>
  </si>
  <si>
    <t>PEPSSI_SPECTRUM_INTERVAL</t>
  </si>
  <si>
    <t>PEPSSI_STAT_INT</t>
  </si>
  <si>
    <t>OFF</t>
  </si>
  <si>
    <t>HSK3DT4DT3DT2DT1</t>
  </si>
  <si>
    <t>HSK3DT4DT3DT2</t>
  </si>
  <si>
    <t>HSK3DT4DT3DT1</t>
  </si>
  <si>
    <t>HSK3DT4DT3</t>
  </si>
  <si>
    <t>HSK3DT4DT2DT1</t>
  </si>
  <si>
    <t>HSK3DT4DT2</t>
  </si>
  <si>
    <t>HSK3DT4DT1</t>
  </si>
  <si>
    <t>HSK3DT4</t>
  </si>
  <si>
    <t>HSK3DT3DT2DT1</t>
  </si>
  <si>
    <t>HSK3DT3DT2</t>
  </si>
  <si>
    <t>HSK3DT3DT1</t>
  </si>
  <si>
    <t>HSK3DT3</t>
  </si>
  <si>
    <t>HSK3DT2DT1</t>
  </si>
  <si>
    <t>HSK3DT2</t>
  </si>
  <si>
    <t>HSK3DT1</t>
  </si>
  <si>
    <t>DT4DT3DT2DT1</t>
  </si>
  <si>
    <t>DT4DT3DT2</t>
  </si>
  <si>
    <t>DT4DT3DT1</t>
  </si>
  <si>
    <t>DT4DT3</t>
  </si>
  <si>
    <t>DT4DT2DT1</t>
  </si>
  <si>
    <t>DT4DT2</t>
  </si>
  <si>
    <t>DT4DT1</t>
  </si>
  <si>
    <t>DT3DT2DT1</t>
  </si>
  <si>
    <t>DT3DT2</t>
  </si>
  <si>
    <t>DT3DT1</t>
  </si>
  <si>
    <t>DT2DT1</t>
  </si>
  <si>
    <t>d</t>
  </si>
  <si>
    <t>N2
bit/s2</t>
  </si>
  <si>
    <t>c</t>
  </si>
  <si>
    <t>CommandStr</t>
  </si>
  <si>
    <t>c:\temp\nh-sandbox\</t>
  </si>
  <si>
    <t>Statesim Files Directory</t>
  </si>
  <si>
    <t>012 - improved formatting and formulas in pep_ssf Worksheet</t>
  </si>
  <si>
    <t>Right-Click yellow to Validate</t>
  </si>
  <si>
    <t>Parm</t>
  </si>
  <si>
    <t>Macr/Prm</t>
  </si>
  <si>
    <t>Offset
fr ON</t>
  </si>
  <si>
    <t>Offset
to End</t>
  </si>
  <si>
    <t>013 - more work on pep_ssf Worksheet and UDF peprate(…)</t>
  </si>
  <si>
    <t>add code so peprate(…) is not called via background query (refresh) while pep_ssf is updating</t>
  </si>
  <si>
    <t>improve formulas and conditional formatting in pep_ssf to delimit constant-rate acquisition segments</t>
  </si>
  <si>
    <t>Segment
MET Start</t>
  </si>
  <si>
    <t>Segment
MET End</t>
  </si>
  <si>
    <r>
      <t xml:space="preserve">015 - Add cell DoubleClick handler in Worksheet </t>
    </r>
    <r>
      <rPr>
        <b/>
        <sz val="11"/>
        <color theme="5" tint="-0.249977111117893"/>
        <rFont val="Calibri"/>
        <family val="2"/>
      </rPr>
      <t>pep_ssf</t>
    </r>
    <r>
      <rPr>
        <sz val="11"/>
        <color theme="1"/>
        <rFont val="Calibri"/>
        <family val="2"/>
      </rPr>
      <t xml:space="preserve"> to toggle between PEPSSI command string and UTC from MET</t>
    </r>
  </si>
  <si>
    <t>AC13:BG13</t>
  </si>
  <si>
    <t>MET→UTC</t>
  </si>
  <si>
    <t>016 - fiddling with UTC/MET some more</t>
  </si>
  <si>
    <r>
      <t xml:space="preserve">017 - added UTC column to statesim Worksheet </t>
    </r>
    <r>
      <rPr>
        <sz val="11"/>
        <color theme="5" tint="-0.499984740745262"/>
        <rFont val="Calibri"/>
        <family val="2"/>
      </rPr>
      <t>pep_ssf</t>
    </r>
  </si>
  <si>
    <t>put provenance in comments of MET cell</t>
  </si>
  <si>
    <r>
      <t xml:space="preserve">uses data in Worksheet </t>
    </r>
    <r>
      <rPr>
        <sz val="11"/>
        <color theme="5" tint="-0.499984740745262"/>
        <rFont val="Calibri"/>
        <family val="2"/>
      </rPr>
      <t>pep_ssf</t>
    </r>
  </si>
  <si>
    <t>primitive error handling:  MET source cell font is red; error messages in comments</t>
  </si>
  <si>
    <t>uses cell ranges for source MET and PB data types as lookup parameters</t>
  </si>
  <si>
    <t>018 - UDF peprate(…) extracts PEPSSI PB rate</t>
  </si>
  <si>
    <t>019 - Update to peprate(…) and Peprate_Test</t>
  </si>
  <si>
    <t>Write provenance to caller cell using appcaller() UDF and Application.Caller</t>
  </si>
  <si>
    <t>Create test section</t>
  </si>
  <si>
    <t>Change logic for advancing to next segment</t>
  </si>
  <si>
    <t>020 - Update packet sizes; update Sub ExportToSASF</t>
  </si>
  <si>
    <t>Import newest version of ExportToSASF with fixes from Ann's feedback ca. 2026-07-27</t>
  </si>
  <si>
    <t>2026-07-27 updated based on feedback from Ann Harch</t>
  </si>
  <si>
    <t>Parser of SSF - DONE</t>
  </si>
  <si>
    <t>P:  Track name (DOY_#); or blank with non-blank value in O to continue playing back more data on the same (previous) track</t>
  </si>
  <si>
    <t>Database, by data type, of Acquisition and Playback history</t>
  </si>
  <si>
    <t>Worksheet pep_ssf and Refresh button there</t>
  </si>
  <si>
    <t>Module/Sub ExportToSASF</t>
  </si>
  <si>
    <t>Spreadsheet =&gt; SASF - IN TESTING</t>
  </si>
  <si>
    <t>Converting data types and MET to data rates -IN TESTING</t>
  </si>
  <si>
    <r>
      <t xml:space="preserve">Worksheet </t>
    </r>
    <r>
      <rPr>
        <b/>
        <sz val="11"/>
        <color theme="5" tint="-0.249977111117893"/>
        <rFont val="Calibri"/>
        <family val="2"/>
      </rPr>
      <t>pep_ssf</t>
    </r>
  </si>
  <si>
    <t>&gt;</t>
  </si>
  <si>
    <t>UDF peprate([PB data types range E:K], MET cell)</t>
  </si>
  <si>
    <r>
      <t xml:space="preserve">Worksheet </t>
    </r>
    <r>
      <rPr>
        <b/>
        <sz val="11"/>
        <color theme="5" tint="-0.249977111117893"/>
        <rFont val="Calibri"/>
        <family val="2"/>
      </rPr>
      <t>2025_pb_2</t>
    </r>
  </si>
  <si>
    <t>O:  request start time (DOY/HH:MM); or non-blank with blank value in P to continue playing back on the same track</t>
  </si>
  <si>
    <t>[OLD 12_8] Measured Avg packet sizes (bits)→</t>
  </si>
  <si>
    <t>[CURRENT 13_3] Measured Avg packet sizes (bits)→</t>
  </si>
  <si>
    <t>Interval</t>
  </si>
  <si>
    <t>N2/103/104</t>
  </si>
  <si>
    <t>105:110</t>
  </si>
  <si>
    <t>Loop macro</t>
  </si>
  <si>
    <t>Attenuation</t>
  </si>
  <si>
    <t>minutes</t>
  </si>
  <si>
    <t>BRD</t>
  </si>
  <si>
    <t>TrigAssess</t>
  </si>
  <si>
    <t>denominator =&gt;</t>
  </si>
  <si>
    <t>numerator (pkt size) =&gt;</t>
  </si>
  <si>
    <t>stored numerator (12_8) =&gt;</t>
  </si>
  <si>
    <t>stored numerator (13_3) =&gt;</t>
  </si>
  <si>
    <t>Error, AH-Y</t>
  </si>
  <si>
    <t>13_3</t>
  </si>
  <si>
    <t>Source</t>
  </si>
  <si>
    <t>Packet size</t>
  </si>
  <si>
    <t>Right-click</t>
  </si>
  <si>
    <t>↑</t>
  </si>
  <si>
    <t>MET Stop</t>
  </si>
  <si>
    <t>UTC Start</t>
  </si>
  <si>
    <t>UTC Stop</t>
  </si>
  <si>
    <t>A11</t>
  </si>
  <si>
    <t>← First MET Start</t>
  </si>
  <si>
    <t>I11</t>
  </si>
  <si>
    <t>← Last DT4</t>
  </si>
  <si>
    <t>testing sample →</t>
  </si>
  <si>
    <r>
      <t xml:space="preserve">022 - Add acquisition/playback database and Ui, see Worksheet </t>
    </r>
    <r>
      <rPr>
        <b/>
        <sz val="11"/>
        <color theme="5" tint="-0.499984740745262"/>
        <rFont val="Calibri"/>
        <family val="2"/>
      </rPr>
      <t>_tl_template</t>
    </r>
  </si>
  <si>
    <t>Duration</t>
  </si>
  <si>
    <t>023 - Add timeline functionality</t>
  </si>
  <si>
    <t>Add subroutine tl_append to extend timeline on one Worksheet</t>
  </si>
  <si>
    <t>Add subroutine tl_init to create initial timelines, one per Worksheet, after ON command</t>
  </si>
  <si>
    <t>Add helper functions, including tl_playback to update PEPSSI data types over a time range from a PB row</t>
  </si>
  <si>
    <t>Add subroutine tl_update_from_pbws, driven by button on PB Worksheet, to parse PB row to fill timelines</t>
  </si>
  <si>
    <t>In PB Worksheet:  (i) select rows in PB Worksheet; (ii) click button over A3:A4</t>
  </si>
  <si>
    <t>024 - Put Steve's 12_8 spreadhseet packet sizes back into Worksheet pep_ssf so TESTING errors are 0</t>
  </si>
  <si>
    <t>[Active] Measured Avg packet sizes (bits) →</t>
  </si>
  <si>
    <t>2026-01-270 12:00:00</t>
  </si>
  <si>
    <t>Apid</t>
  </si>
  <si>
    <t>[bps]</t>
  </si>
  <si>
    <t>263_1</t>
  </si>
  <si>
    <t>261_3</t>
  </si>
  <si>
    <t>fract time del</t>
  </si>
  <si>
    <t>fraction</t>
  </si>
  <si>
    <t>total bytes</t>
  </si>
  <si>
    <t>bytes this pb</t>
  </si>
  <si>
    <t>mbits this pb</t>
  </si>
  <si>
    <t>total duration</t>
  </si>
  <si>
    <t>full end met</t>
  </si>
  <si>
    <t>strt pickup met</t>
  </si>
  <si>
    <t>PB Queu Cmd Time</t>
  </si>
  <si>
    <t>DSN Track</t>
  </si>
  <si>
    <t>Mbits Used</t>
  </si>
  <si>
    <t>Remainder</t>
  </si>
  <si>
    <t>rmaining to p b</t>
  </si>
  <si>
    <t>below is remaining data row 491</t>
  </si>
  <si>
    <t>2026-263T18:11:00</t>
  </si>
  <si>
    <t>2026-263T18:26:00</t>
  </si>
  <si>
    <t>TRK_263_2</t>
  </si>
  <si>
    <t>263/18:11</t>
  </si>
  <si>
    <t>post hib 26</t>
  </si>
  <si>
    <t>2026-263T08:07:00</t>
  </si>
  <si>
    <t>2026-263T08:22:00</t>
  </si>
  <si>
    <t>TRK_263_1</t>
  </si>
  <si>
    <t>263/08:07</t>
  </si>
  <si>
    <t>alice spin pixellist</t>
  </si>
  <si>
    <t>2026-261T23:22:00</t>
  </si>
  <si>
    <t>2026-261T23:37:00</t>
  </si>
  <si>
    <t>TRK_261_3</t>
  </si>
  <si>
    <t>261/23:22</t>
  </si>
  <si>
    <t>2026-261T00:32:00</t>
  </si>
  <si>
    <t>2026-261T00:47:00</t>
  </si>
  <si>
    <t>TRK_261_1_</t>
  </si>
  <si>
    <t>261/00:32</t>
  </si>
  <si>
    <t>oct 2025 br/n3</t>
  </si>
  <si>
    <t>2026-259T10:52:00</t>
  </si>
  <si>
    <t>2026-259T11:07:00</t>
  </si>
  <si>
    <t>TRK_259_1</t>
  </si>
  <si>
    <t>259/10:52</t>
  </si>
  <si>
    <t>2026-258T20:07:00</t>
  </si>
  <si>
    <t>2026-258T20:22:00</t>
  </si>
  <si>
    <t>TRK_258_2</t>
  </si>
  <si>
    <t>258/20:07</t>
  </si>
  <si>
    <t>2026-258T10:53:00</t>
  </si>
  <si>
    <t>2026-258T11:08:00</t>
  </si>
  <si>
    <t>TRK_258_1_</t>
  </si>
  <si>
    <t>258/10:53</t>
  </si>
  <si>
    <t>2026-257T09:58:00</t>
  </si>
  <si>
    <t>2026-257T10:13:00</t>
  </si>
  <si>
    <t>TRK_257_1</t>
  </si>
  <si>
    <t>257/09:58</t>
  </si>
  <si>
    <t>2026-256T18:43:00</t>
  </si>
  <si>
    <t>2026-256T18:58:00</t>
  </si>
  <si>
    <t>TRK_256_3</t>
  </si>
  <si>
    <t>256/18:43</t>
  </si>
  <si>
    <t>2026-256T10:08:00</t>
  </si>
  <si>
    <t>2026-256T10:23:00</t>
  </si>
  <si>
    <t>TRK_256_2</t>
  </si>
  <si>
    <t>256/10:08</t>
  </si>
  <si>
    <t>273 16:34:07</t>
  </si>
  <si>
    <t>2026-256T00:53:00</t>
  </si>
  <si>
    <t>2026-256T01:08:00</t>
  </si>
  <si>
    <t>TRK_256_1</t>
  </si>
  <si>
    <t>256/00:53</t>
  </si>
  <si>
    <t>26179 ta only</t>
  </si>
  <si>
    <t>2026-255T00:23:00</t>
  </si>
  <si>
    <t>2026-255T00:38:00</t>
  </si>
  <si>
    <t>TRK_255_1_</t>
  </si>
  <si>
    <t>255/00:23</t>
  </si>
  <si>
    <t>25159 ta only</t>
  </si>
  <si>
    <t>2026-253T18:53:00</t>
  </si>
  <si>
    <t>2026-253T19:08:00</t>
  </si>
  <si>
    <t>TRK_253_3</t>
  </si>
  <si>
    <t>253/18:53</t>
  </si>
  <si>
    <t>25159 pwr on</t>
  </si>
  <si>
    <t>oct 2025 br/n3(ooo)</t>
  </si>
  <si>
    <t>2026-253T11:14:00</t>
  </si>
  <si>
    <t>2026-253T11:29:00</t>
  </si>
  <si>
    <t>TRK_253_2</t>
  </si>
  <si>
    <t>253/11:14</t>
  </si>
  <si>
    <t>25 hib ta only</t>
  </si>
  <si>
    <t>2026-253T00:44:00</t>
  </si>
  <si>
    <t>2026-253T00:59:00</t>
  </si>
  <si>
    <t>TRK_253_1</t>
  </si>
  <si>
    <t>253/00:44</t>
  </si>
  <si>
    <t>2026-252T09:44:00</t>
  </si>
  <si>
    <t>2026-252T09:59:00</t>
  </si>
  <si>
    <t>TRK_252_1</t>
  </si>
  <si>
    <t>252/09:54</t>
  </si>
  <si>
    <t>2026-251T20:34:00</t>
  </si>
  <si>
    <t>2026-251T20:49:00</t>
  </si>
  <si>
    <t>TRK_251_1_</t>
  </si>
  <si>
    <t>251/20:34</t>
  </si>
  <si>
    <t>2026-250T21:44:00</t>
  </si>
  <si>
    <t>2026-250T21:59:00</t>
  </si>
  <si>
    <t>TRK_250_3</t>
  </si>
  <si>
    <t>250/21:44</t>
  </si>
  <si>
    <t>2026-250T11:04:00</t>
  </si>
  <si>
    <t>2026-250T11:19:00</t>
  </si>
  <si>
    <t>TRK_250_2</t>
  </si>
  <si>
    <t>250/11:04</t>
  </si>
  <si>
    <t>post hib 26 2H</t>
  </si>
  <si>
    <t>2026-250T02:19:00</t>
  </si>
  <si>
    <t>2026-250T02:34:00</t>
  </si>
  <si>
    <t>TRK_250_1</t>
  </si>
  <si>
    <t>250/02:19</t>
  </si>
  <si>
    <t>2026-249T23:59:00</t>
  </si>
  <si>
    <t>2026-249T00:14:00</t>
  </si>
  <si>
    <t>TRK_248_2</t>
  </si>
  <si>
    <t>248/23:59</t>
  </si>
  <si>
    <t>2026-248T09:30:00</t>
  </si>
  <si>
    <t>2026-248T09:45:00</t>
  </si>
  <si>
    <t>TRK_248_1</t>
  </si>
  <si>
    <t>2026-247T20:25:00</t>
  </si>
  <si>
    <t>2026-247T20:40:00</t>
  </si>
  <si>
    <t>TRK_247_2_</t>
  </si>
  <si>
    <t>2026-247T00:35:00</t>
  </si>
  <si>
    <t>2026-247T00:50:00</t>
  </si>
  <si>
    <t>TRK_247_1</t>
  </si>
  <si>
    <t>2026-246T02:55:00</t>
  </si>
  <si>
    <t>2026-246T03:10:00</t>
  </si>
  <si>
    <t>TRK_246_1</t>
  </si>
  <si>
    <t>Mbits</t>
  </si>
  <si>
    <t>acquitision times</t>
  </si>
  <si>
    <t>2026-243T00:25:00</t>
  </si>
  <si>
    <t>TRK_243_1_</t>
  </si>
  <si>
    <t>243/00:10</t>
  </si>
  <si>
    <t>26222 all dt</t>
  </si>
  <si>
    <t>2026-242T09:16:00</t>
  </si>
  <si>
    <t>TRK_242_1</t>
  </si>
  <si>
    <t>242/09:01</t>
  </si>
  <si>
    <t>2026-241T02:41:00</t>
  </si>
  <si>
    <t>TRK_241_1</t>
  </si>
  <si>
    <t>241/02:26</t>
  </si>
  <si>
    <t>2026-240T09:36:00</t>
  </si>
  <si>
    <t>TRK_240_1</t>
  </si>
  <si>
    <t>240/09:21</t>
  </si>
  <si>
    <t>26201 all dt</t>
  </si>
  <si>
    <t>2026-239T21:41:00</t>
  </si>
  <si>
    <t>TRK_239_1_</t>
  </si>
  <si>
    <t>239/21:26</t>
  </si>
  <si>
    <t>25 hib early all dt</t>
  </si>
  <si>
    <t>2026-238T12:36:00</t>
  </si>
  <si>
    <t>TRK_238_1</t>
  </si>
  <si>
    <t>238/12:21</t>
  </si>
  <si>
    <t>2026-237T21:46:00</t>
  </si>
  <si>
    <t>TRK_237_3</t>
  </si>
  <si>
    <t>237/21:31</t>
  </si>
  <si>
    <t>2026-237T13:16:00</t>
  </si>
  <si>
    <t>TRK_237_2</t>
  </si>
  <si>
    <t>237/13:01</t>
  </si>
  <si>
    <t>2026-237T00:46:00</t>
  </si>
  <si>
    <t>TRK_237_1</t>
  </si>
  <si>
    <t>237/00:31</t>
  </si>
  <si>
    <t>2026-236T11:32:00</t>
  </si>
  <si>
    <t>TRK_236_1</t>
  </si>
  <si>
    <t>236/11:17</t>
  </si>
  <si>
    <t>2026-235T21:22:00</t>
  </si>
  <si>
    <t>TRK_235_3</t>
  </si>
  <si>
    <t>235/21:07</t>
  </si>
  <si>
    <t>2026-235T12:27:00</t>
  </si>
  <si>
    <t>TRK_235_2</t>
  </si>
  <si>
    <t>235/12:12</t>
  </si>
  <si>
    <t>2026-235T04:42:00</t>
  </si>
  <si>
    <t>TRK_235_1_</t>
  </si>
  <si>
    <t>235/04:27</t>
  </si>
  <si>
    <t>2026-234T02:47:00</t>
  </si>
  <si>
    <t>TRK_234_1</t>
  </si>
  <si>
    <t>234/02:32</t>
  </si>
  <si>
    <t>2026-233T12:17:00</t>
  </si>
  <si>
    <t>TRK_233_1</t>
  </si>
  <si>
    <t>233/12:02</t>
  </si>
  <si>
    <t>2026-232T23:12:00</t>
  </si>
  <si>
    <t>TRK_232_3</t>
  </si>
  <si>
    <t>232/22:57</t>
  </si>
  <si>
    <t>2026-232T11:32:00</t>
  </si>
  <si>
    <t>TRK_232_2</t>
  </si>
  <si>
    <t>232/11:17</t>
  </si>
  <si>
    <t>2026-232T03:02:00</t>
  </si>
  <si>
    <t>TRK_232_1</t>
  </si>
  <si>
    <t>232/02:47</t>
  </si>
  <si>
    <t>hib 26 2H</t>
  </si>
  <si>
    <t>2026-231T10:22:00</t>
  </si>
  <si>
    <t>TRK_231_1_</t>
  </si>
  <si>
    <t>231/10:07</t>
  </si>
  <si>
    <t>2026-230T11:13:00</t>
  </si>
  <si>
    <t>TRK_230_1</t>
  </si>
  <si>
    <t>230/10:58</t>
  </si>
  <si>
    <t>2026-229T22:03:00</t>
  </si>
  <si>
    <t>TRK_229_2</t>
  </si>
  <si>
    <t>229/21:48</t>
  </si>
  <si>
    <t>2026-229T11:13:00</t>
  </si>
  <si>
    <t>TRK_229_1</t>
  </si>
  <si>
    <t>229/10:58</t>
  </si>
  <si>
    <t>2026-228T22:03:00</t>
  </si>
  <si>
    <t>TRK_228_1</t>
  </si>
  <si>
    <t>228/21:48</t>
  </si>
  <si>
    <t>2026-227T11:03:00</t>
  </si>
  <si>
    <t>TRK_227_1_</t>
  </si>
  <si>
    <t>227/10:48</t>
  </si>
  <si>
    <t>Alice Pixellist partial</t>
  </si>
  <si>
    <t>2026-226T11:03:00</t>
  </si>
  <si>
    <t>TRK_226_1</t>
  </si>
  <si>
    <t>226/10:48</t>
  </si>
  <si>
    <t>2026-225T23:38:00</t>
  </si>
  <si>
    <t>TRK_225_3</t>
  </si>
  <si>
    <t>225/23:23</t>
  </si>
  <si>
    <t>2026-225T11:33:00</t>
  </si>
  <si>
    <t>TRK_225_2</t>
  </si>
  <si>
    <t>225/11:18</t>
  </si>
  <si>
    <t>per chunk</t>
  </si>
  <si>
    <t>2026-225T02:23:00</t>
  </si>
  <si>
    <t>TRK_225_1</t>
  </si>
  <si>
    <t>225/02:08</t>
  </si>
  <si>
    <t>continue</t>
  </si>
  <si>
    <t>2026-222T22:04:00</t>
  </si>
  <si>
    <t>TRK_222_2</t>
  </si>
  <si>
    <t>222/21:49</t>
  </si>
  <si>
    <t>25 hib early pwr on</t>
  </si>
  <si>
    <t>SciDv(*1.05)</t>
  </si>
  <si>
    <t>Queued DV (MB)</t>
  </si>
  <si>
    <t>~SSR1 PB Start</t>
  </si>
  <si>
    <t>DSN Track Name</t>
  </si>
  <si>
    <t>track bytes avail</t>
  </si>
  <si>
    <t>calc bytes</t>
  </si>
  <si>
    <t>end utc</t>
  </si>
  <si>
    <t>start utc</t>
  </si>
  <si>
    <t>K2PE_PEPSSI_Power_On_Macros_102_104_105_2025_219</t>
  </si>
  <si>
    <t>TT 269</t>
  </si>
  <si>
    <t>219 04:16:01</t>
  </si>
  <si>
    <t>219 12:47:39</t>
  </si>
  <si>
    <t>run 105</t>
  </si>
  <si>
    <t>PEPSSI commands moved to RTC doy 205</t>
  </si>
  <si>
    <t>TT 268</t>
  </si>
  <si>
    <t>219 04:06:01</t>
  </si>
  <si>
    <t>219 12:37:39</t>
  </si>
  <si>
    <t>run 104</t>
  </si>
  <si>
    <t>Alice played back on 225_3, 226_1, 227_1</t>
  </si>
  <si>
    <t>219 03:56:01</t>
  </si>
  <si>
    <t>219 12:27:39</t>
  </si>
  <si>
    <t>run 102</t>
  </si>
  <si>
    <t>219 03:55:10</t>
  </si>
  <si>
    <t>219 12:26:48</t>
  </si>
  <si>
    <t>set status</t>
  </si>
  <si>
    <t>219 03:55:07</t>
  </si>
  <si>
    <t>219 12:26:45</t>
  </si>
  <si>
    <t>set n3</t>
  </si>
  <si>
    <t>219 03:55:04</t>
  </si>
  <si>
    <t>219 12:26:42</t>
  </si>
  <si>
    <t>set n1</t>
  </si>
  <si>
    <t>219 03:55:01</t>
  </si>
  <si>
    <t>219 12:26:39</t>
  </si>
  <si>
    <t>set n2</t>
  </si>
  <si>
    <t>219 03:27:01</t>
  </si>
  <si>
    <t>219 11:58:39</t>
  </si>
  <si>
    <t>pwr on 25 hib</t>
  </si>
  <si>
    <t>r</t>
  </si>
  <si>
    <t>pb by 274</t>
  </si>
  <si>
    <t>pk1</t>
  </si>
  <si>
    <t>dt2</t>
  </si>
  <si>
    <t>dt1</t>
  </si>
  <si>
    <t>used wrong values br/n3</t>
  </si>
  <si>
    <t xml:space="preserve">pwr on =&gt; </t>
  </si>
  <si>
    <t>ta</t>
  </si>
  <si>
    <t>26201/26222</t>
  </si>
  <si>
    <t>correct</t>
  </si>
  <si>
    <t>wrong</t>
  </si>
  <si>
    <t>360/900/1800</t>
  </si>
  <si>
    <t>br/n3</t>
  </si>
  <si>
    <t>MAC 104/105</t>
  </si>
  <si>
    <t>2025 hib</t>
  </si>
  <si>
    <t>BR/N3</t>
  </si>
  <si>
    <t>2025 hib and 26179 MAC 104/105</t>
  </si>
  <si>
    <t>oversubscribed extra 10%</t>
  </si>
  <si>
    <t xml:space="preserve">values wrong should be 22.12 and 18.28 - will be </t>
  </si>
  <si>
    <t>26222 also</t>
  </si>
  <si>
    <t>025 - Merge Ann's 2025_pb_2 Worksheet from _btc008_7</t>
  </si>
  <si>
    <t>Move (rename) Brian's development 2025_pb_2 to 2025_pb_2.dev</t>
  </si>
  <si>
    <t>Delete obsolete worksheets</t>
  </si>
  <si>
    <t>Move Brian's Worsheets to the end (btc_mods, pep_ssf, sclk_data, _t1_template)</t>
  </si>
  <si>
    <t>Add UDF deltautc to subtract 15minutes from DLDV track start for PB command start time</t>
  </si>
  <si>
    <r>
      <t xml:space="preserve">Merge TESTING block back in, PB sheet rows 391:396; use 13_3 packet sizes in </t>
    </r>
    <r>
      <rPr>
        <b/>
        <sz val="11"/>
        <color theme="5" tint="-0.499984740745262"/>
        <rFont val="Calibri"/>
        <family val="2"/>
      </rPr>
      <t>pep_ssf</t>
    </r>
    <r>
      <rPr>
        <sz val="11"/>
        <color theme="1"/>
        <rFont val="Calibri"/>
        <family val="2"/>
      </rPr>
      <t>; use new data and 13_3 rates for testing</t>
    </r>
  </si>
  <si>
    <t>PB data types</t>
  </si>
  <si>
    <r>
      <rPr>
        <b/>
        <sz val="11"/>
        <color theme="1"/>
        <rFont val="Calibri"/>
        <family val="2"/>
      </rPr>
      <t>pep_ssf</t>
    </r>
    <r>
      <rPr>
        <sz val="11"/>
        <color theme="1"/>
        <rFont val="Calibri"/>
        <family val="2"/>
      </rPr>
      <t xml:space="preserve"> Worksheet</t>
    </r>
  </si>
  <si>
    <t>↗</t>
  </si>
  <si>
    <t>Statesim models cmd+arg parameters as a function of MET↑</t>
  </si>
  <si>
    <r>
      <t xml:space="preserve">The </t>
    </r>
    <r>
      <rPr>
        <b/>
        <sz val="11"/>
        <color theme="1"/>
        <rFont val="Calibri"/>
        <family val="2"/>
      </rPr>
      <t>pep_ssf</t>
    </r>
    <r>
      <rPr>
        <sz val="11"/>
        <color theme="1"/>
        <rFont val="Calibri"/>
        <family val="2"/>
      </rPr>
      <t xml:space="preserve"> bps cells model rate as a function of PB Data Type and MET</t>
    </r>
  </si>
  <si>
    <r>
      <rPr>
        <sz val="11"/>
        <color theme="1"/>
        <rFont val="Aptos Narrow"/>
        <family val="2"/>
      </rPr>
      <t>←</t>
    </r>
    <r>
      <rPr>
        <sz val="11"/>
        <color theme="1"/>
        <rFont val="Calibri"/>
        <family val="2"/>
      </rPr>
      <t>Steve's spreadsheet formulas are on each line (MET), and
   model rates as functions of Data-Type &amp; params [cmd+arg]</t>
    </r>
  </si>
  <si>
    <r>
      <rPr>
        <b/>
        <sz val="11"/>
        <color theme="1"/>
        <rFont val="Calibri"/>
        <family val="2"/>
      </rPr>
      <t>=peprate([PB Data Types] MET)</t>
    </r>
    <r>
      <rPr>
        <sz val="11"/>
        <color theme="1"/>
        <rFont val="Calibri"/>
        <family val="2"/>
      </rPr>
      <t xml:space="preserve"> </t>
    </r>
    <r>
      <rPr>
        <sz val="11"/>
        <color theme="1"/>
        <rFont val="Aptos Narrow"/>
        <family val="2"/>
      </rPr>
      <t>→</t>
    </r>
    <r>
      <rPr>
        <sz val="11"/>
        <color theme="1"/>
        <rFont val="Calibri"/>
        <family val="2"/>
      </rPr>
      <t xml:space="preserve"> </t>
    </r>
    <r>
      <rPr>
        <sz val="11"/>
        <color theme="1"/>
        <rFont val="Calibri"/>
        <family val="2"/>
      </rPr>
      <t>bytes/s</t>
    </r>
    <r>
      <rPr>
        <b/>
        <sz val="11"/>
        <color theme="1"/>
        <rFont val="Calibri"/>
        <family val="2"/>
      </rPr>
      <t xml:space="preserve">
- </t>
    </r>
    <r>
      <rPr>
        <sz val="11"/>
        <color theme="1"/>
        <rFont val="Calibri"/>
        <family val="2"/>
      </rPr>
      <t>This function looks up a rate based on MET (Row)
  PB Data Types  (Column) for a single playback</t>
    </r>
  </si>
  <si>
    <t>Each row comprises, for on MET, Steve's per-ApID spreadsheet formulas, plus Ann's sums of per-PB-datatype rates</t>
  </si>
  <si>
    <t>Each row is one MET, and keeps track of the intervals and Macros that are active at that MET</t>
  </si>
  <si>
    <t>eXcel Macro Function peprate(PBdt, MET) has two arguments:</t>
  </si>
  <si>
    <t>A range of 1 cell containing an MET value to use to determine the intervals and macros active at the time of the acquisition</t>
  </si>
  <si>
    <t>the MET value for the row lookup</t>
  </si>
  <si>
    <r>
      <t xml:space="preserve">A range of 7 cells containing datatypes (HSK3, DT1-4, SDT1, HSK4; typ. in Cells </t>
    </r>
    <r>
      <rPr>
        <b/>
        <sz val="11"/>
        <color theme="1"/>
        <rFont val="Calibri"/>
        <family val="2"/>
      </rPr>
      <t>E:K</t>
    </r>
    <r>
      <rPr>
        <sz val="11"/>
        <color theme="1"/>
        <rFont val="Calibri"/>
        <family val="2"/>
      </rPr>
      <t>) to be played back for which a rate is desired</t>
    </r>
  </si>
  <si>
    <r>
      <t xml:space="preserve">Worksheet </t>
    </r>
    <r>
      <rPr>
        <b/>
        <sz val="11"/>
        <color theme="5" tint="-0.499984740745262"/>
        <rFont val="Calibri"/>
        <family val="2"/>
      </rPr>
      <t>pep_ssf</t>
    </r>
    <r>
      <rPr>
        <sz val="11"/>
        <color theme="1"/>
        <rFont val="Calibri"/>
        <family val="2"/>
      </rPr>
      <t xml:space="preserve"> and function </t>
    </r>
    <r>
      <rPr>
        <b/>
        <sz val="11"/>
        <color theme="5" tint="-0.499984740745262"/>
        <rFont val="Calibri"/>
        <family val="2"/>
      </rPr>
      <t>peprate(…)</t>
    </r>
    <r>
      <rPr>
        <sz val="11"/>
        <color theme="1"/>
        <rFont val="Calibri"/>
        <family val="2"/>
      </rPr>
      <t xml:space="preserve"> (User-Defined Function; UDF)</t>
    </r>
  </si>
  <si>
    <t>peprate(…) looks up the row and column, in the pepssf Worksheet, of the bps (bit/s) rate, by using the function arguments:</t>
  </si>
  <si>
    <r>
      <t xml:space="preserve">Finally, peprate(…) converts the bit/s rate to </t>
    </r>
    <r>
      <rPr>
        <b/>
        <sz val="11"/>
        <color theme="5" tint="-0.499984740745262"/>
        <rFont val="Calibri"/>
        <family val="2"/>
      </rPr>
      <t>return the rate in byte/s</t>
    </r>
  </si>
  <si>
    <t>the PB datatypes range values for the column lookup</t>
  </si>
  <si>
    <t>Add pep_ssf/peprate(…) documentation below</t>
  </si>
  <si>
    <t>026 - New sandbox files for mid-2026 playbacks for testing</t>
  </si>
  <si>
    <t xml:space="preserve"> HSK3 →</t>
  </si>
  <si>
    <t>B14:B183</t>
  </si>
  <si>
    <t>105-110</t>
  </si>
  <si>
    <t>103-104</t>
  </si>
  <si>
    <t>TrgAssess</t>
  </si>
  <si>
    <t>Off</t>
  </si>
  <si>
    <t>X</t>
  </si>
  <si>
    <t>IntervalDenominator</t>
  </si>
  <si>
    <t>PacketNumerator</t>
  </si>
  <si>
    <t>DT3|DT2</t>
  </si>
  <si>
    <t>-</t>
  </si>
  <si>
    <t>On</t>
  </si>
  <si>
    <t>ApIDs to SSR</t>
  </si>
  <si>
    <t>Macros</t>
  </si>
  <si>
    <t>Rate equation:</t>
  </si>
  <si>
    <t>packet numerator</t>
  </si>
  <si>
    <t>526/64</t>
  </si>
  <si>
    <t>2340/64</t>
  </si>
  <si>
    <t>Production Rate</t>
  </si>
  <si>
    <t>On +
Macro 10</t>
  </si>
  <si>
    <r>
      <t xml:space="preserve">Modeling of per-ApID data rates to SSR based on commanding </t>
    </r>
    <r>
      <rPr>
        <b/>
        <i/>
        <sz val="11"/>
        <rFont val="Calibri"/>
        <family val="2"/>
      </rPr>
      <t>only</t>
    </r>
  </si>
  <si>
    <r>
      <t xml:space="preserve">PeriodDenominator = 43200s </t>
    </r>
    <r>
      <rPr>
        <sz val="11"/>
        <rFont val="Aptos Narrow"/>
        <family val="2"/>
      </rPr>
      <t>≡</t>
    </r>
    <r>
      <rPr>
        <sz val="11"/>
        <rFont val="Calibri"/>
        <family val="2"/>
      </rPr>
      <t xml:space="preserve"> 12h</t>
    </r>
  </si>
  <si>
    <t>- =&gt; changes nothing about the rate of that ApID being written to the SSR</t>
  </si>
  <si>
    <t>On =&gt; sets a constant rate of that ApID to be regularly written to the SSR</t>
  </si>
  <si>
    <t>We do not model, and therefore assume there are no, external (helio-driven) triggers</t>
  </si>
  <si>
    <r>
      <rPr>
        <vertAlign val="superscript"/>
        <sz val="11"/>
        <rFont val="Calibri"/>
        <family val="2"/>
      </rPr>
      <t>2</t>
    </r>
    <r>
      <rPr>
        <sz val="11"/>
        <rFont val="Calibri"/>
        <family val="2"/>
      </rPr>
      <t xml:space="preserve"> and only after 105-110 with no subsequent 103/104/111/Power-Cycle</t>
    </r>
  </si>
  <si>
    <r>
      <t>Recording Rate</t>
    </r>
    <r>
      <rPr>
        <vertAlign val="superscript"/>
        <sz val="11"/>
        <rFont val="Calibri"/>
        <family val="2"/>
      </rPr>
      <t>1,2</t>
    </r>
  </si>
  <si>
    <r>
      <t>PeriodNumerator</t>
    </r>
    <r>
      <rPr>
        <vertAlign val="superscript"/>
        <sz val="11"/>
        <rFont val="Calibri"/>
        <family val="2"/>
      </rPr>
      <t>3</t>
    </r>
  </si>
  <si>
    <r>
      <rPr>
        <vertAlign val="superscript"/>
        <sz val="11"/>
        <rFont val="Calibri"/>
        <family val="2"/>
      </rPr>
      <t>3</t>
    </r>
    <r>
      <rPr>
        <sz val="11"/>
        <rFont val="Calibri"/>
        <family val="2"/>
      </rPr>
      <t xml:space="preserve"> for non-N2 data:  this does not apply; it is as if PeriodNumerator is 43200s = PeriodDenominator</t>
    </r>
  </si>
  <si>
    <r>
      <t>PeriodDenominator</t>
    </r>
    <r>
      <rPr>
        <vertAlign val="superscript"/>
        <sz val="11"/>
        <rFont val="Calibri"/>
        <family val="2"/>
      </rPr>
      <t>3</t>
    </r>
  </si>
  <si>
    <r>
      <t>Off</t>
    </r>
    <r>
      <rPr>
        <vertAlign val="superscript"/>
        <sz val="11"/>
        <rFont val="Calibri"/>
        <family val="2"/>
      </rPr>
      <t>4</t>
    </r>
  </si>
  <si>
    <r>
      <rPr>
        <vertAlign val="superscript"/>
        <sz val="11"/>
        <rFont val="Calibri"/>
        <family val="2"/>
      </rPr>
      <t>1</t>
    </r>
    <r>
      <rPr>
        <sz val="11"/>
        <rFont val="Calibri"/>
        <family val="2"/>
      </rPr>
      <t xml:space="preserve"> For N2 (0x692) only; recording attenuation rate factor is 1.0 otherwise</t>
    </r>
  </si>
  <si>
    <t>Off =&gt; sets none of that ApID to be regularly written to the SSR</t>
  </si>
  <si>
    <t>We are only modeling data rates that are regularly written to the SSR</t>
  </si>
  <si>
    <r>
      <rPr>
        <vertAlign val="superscript"/>
        <sz val="11"/>
        <rFont val="Calibri"/>
        <family val="2"/>
      </rPr>
      <t>4</t>
    </r>
    <r>
      <rPr>
        <sz val="11"/>
        <rFont val="Calibri"/>
        <family val="2"/>
      </rPr>
      <t xml:space="preserve"> Any future BRD will be ApID 0x699 → DT3</t>
    </r>
  </si>
  <si>
    <r>
      <t>-</t>
    </r>
    <r>
      <rPr>
        <vertAlign val="superscript"/>
        <sz val="11"/>
        <rFont val="Calibri"/>
        <family val="2"/>
      </rPr>
      <t>5</t>
    </r>
  </si>
  <si>
    <r>
      <rPr>
        <vertAlign val="superscript"/>
        <sz val="11"/>
        <rFont val="Calibri"/>
        <family val="2"/>
      </rPr>
      <t>5</t>
    </r>
    <r>
      <rPr>
        <sz val="11"/>
        <rFont val="Calibri"/>
        <family val="2"/>
      </rPr>
      <t xml:space="preserve"> Designates any future BRD as ApID 0x697 → DT2</t>
    </r>
  </si>
  <si>
    <r>
      <rPr>
        <sz val="11"/>
        <rFont val="Calibri"/>
        <family val="2"/>
      </rPr>
      <t>Off</t>
    </r>
    <r>
      <rPr>
        <vertAlign val="superscript"/>
        <sz val="11"/>
        <rFont val="Calibri"/>
        <family val="2"/>
      </rPr>
      <t>6</t>
    </r>
  </si>
  <si>
    <r>
      <t>On</t>
    </r>
    <r>
      <rPr>
        <vertAlign val="superscript"/>
        <sz val="11"/>
        <rFont val="Calibri"/>
        <family val="2"/>
      </rPr>
      <t>7</t>
    </r>
  </si>
  <si>
    <r>
      <rPr>
        <vertAlign val="superscript"/>
        <sz val="11"/>
        <rFont val="Calibri"/>
        <family val="2"/>
      </rPr>
      <t>6</t>
    </r>
    <r>
      <rPr>
        <sz val="11"/>
        <rFont val="Calibri"/>
        <family val="2"/>
      </rPr>
      <t xml:space="preserve"> Burst mode (TA and BRD) is configured; excludes external heliospheric triggers</t>
    </r>
  </si>
  <si>
    <r>
      <rPr>
        <vertAlign val="superscript"/>
        <sz val="11"/>
        <rFont val="Calibri"/>
        <family val="2"/>
      </rPr>
      <t>7</t>
    </r>
    <r>
      <rPr>
        <sz val="11"/>
        <rFont val="Calibri"/>
        <family val="2"/>
      </rPr>
      <t xml:space="preserve"> Assumes Burst Mode currently Configured via 103-104</t>
    </r>
  </si>
  <si>
    <t>N2 attenuation (105-110) and Burst mode (TA+BRD) are disabled (no longer configured)</t>
  </si>
  <si>
    <t>Restore buttons in 2025_pb_2 Worksheet</t>
  </si>
  <si>
    <t>Fix BRD calculation in pep_ssf Worksheet</t>
  </si>
  <si>
    <t>Remove ROCKPILE PBs; update testing section</t>
  </si>
  <si>
    <t>Fix HSK3 header in pep_ssf Worksheet</t>
  </si>
  <si>
    <t>Update pepssf Worksheet to include 25159)V2.xlsx</t>
  </si>
  <si>
    <t>027 - Misc fixes</t>
  </si>
  <si>
    <t>028 - Misc fixes and updates</t>
  </si>
  <si>
    <t>Remove 2025_pb_2.dev Worksheet</t>
  </si>
  <si>
    <t>Add dev Worksheet with DLDV button to trigger new SCI DLDV parser module</t>
  </si>
  <si>
    <t>Fix N2-related rates and formulas in pep_ssf Worksheet</t>
  </si>
  <si>
    <t>Add Macro 101 handling</t>
  </si>
  <si>
    <t>029 - Misc fixes and updates</t>
  </si>
  <si>
    <t>Add summary of per-ApID rate modeling (below, in this Worksheet)</t>
  </si>
  <si>
    <t>Update formulas and conditional formatting in dev Worksheet</t>
  </si>
  <si>
    <t>% to add:</t>
  </si>
  <si>
    <t>DSN_x000D_
Track_x000D_
Name</t>
  </si>
  <si>
    <t>~SSR1_x000D_
PB_x000D_
Start</t>
  </si>
  <si>
    <t>Queued_x000D_
DV_x000D_
(MB)</t>
  </si>
  <si>
    <t>Avail_x000D_
DV_x000D_
(MB)</t>
  </si>
  <si>
    <t>Sci_x000D_
DV_x000D_
(MB)</t>
  </si>
  <si>
    <t>Sci_x000D_
DV(*1.1)_x000D_
(Mbits)</t>
  </si>
  <si>
    <t>Rejected lines follow:</t>
  </si>
  <si>
    <t>1  2  3  4  5  6</t>
  </si>
  <si>
    <t>2025-209T23:09:01</t>
  </si>
  <si>
    <t>2025-210T21:04:01</t>
  </si>
  <si>
    <t>2025-211T13:54:01</t>
  </si>
  <si>
    <t>2025-212T08:34:01</t>
  </si>
  <si>
    <t>2025-212T21:09:01</t>
  </si>
  <si>
    <t>2025-213T12:04:01</t>
  </si>
  <si>
    <t>2025-215T17:58:01</t>
  </si>
  <si>
    <t>2025-216T12:03:01</t>
  </si>
  <si>
    <t>2025-217T20:28:01</t>
  </si>
  <si>
    <t>2025-218T19:58:01</t>
  </si>
  <si>
    <t xml:space="preserve">TRK_208_1         2025-208T18:24:01     2.758844        1.700862      0.000000       0.000000 </t>
  </si>
  <si>
    <t xml:space="preserve">TRK_209_1         2025-209T14:49:01     1.326912        0.843261      0.000000       0.000000 </t>
  </si>
  <si>
    <t>C:\Users\brian.carcich\Downloads\25207_1_test.sci_dldv</t>
  </si>
  <si>
    <t>030 - Add initial formulas to add-DLDV actions</t>
  </si>
  <si>
    <t>031 - More enhancements to dev Worksheet</t>
  </si>
  <si>
    <t>Add button and macro to toggle blue fill for Start and End METs</t>
  </si>
  <si>
    <t>J12</t>
  </si>
  <si>
    <t>J13</t>
  </si>
  <si>
    <t>J14</t>
  </si>
  <si>
    <t>J20</t>
  </si>
  <si>
    <t>Add right-click to change SWAP rates</t>
  </si>
  <si>
    <t>Add button in Timeline sheets to copyt METs and PB data types</t>
  </si>
  <si>
    <t>032 - Integration from Timeline Worksheet to PB Worksheet (dev)</t>
  </si>
  <si>
    <t>Copy MET offset insertion button from 2025_pb_2 to dev</t>
  </si>
  <si>
    <t>Fix one-second rounding error in met2utc</t>
  </si>
  <si>
    <t>Clean up 2025_pb_2 (PB track continuation rows with blanks in Columns O and P)</t>
  </si>
  <si>
    <t>Rearrange Worksheet ordering:  ancillary sheets are now out to the right</t>
  </si>
  <si>
    <t>Update tl_init macro to insert new timeline Worksheets before _tl_template</t>
  </si>
  <si>
    <r>
      <t xml:space="preserve">add test cases to </t>
    </r>
    <r>
      <rPr>
        <b/>
        <sz val="11"/>
        <color theme="5" tint="-0.249977111117893"/>
        <rFont val="Calibri"/>
        <family val="2"/>
      </rPr>
      <t>2025_pb_2 cells Q388:R411</t>
    </r>
    <r>
      <rPr>
        <sz val="11"/>
        <color theme="1"/>
        <rFont val="Calibri"/>
        <family val="2"/>
      </rPr>
      <t xml:space="preserve"> but no actual rates yet</t>
    </r>
  </si>
  <si>
    <r>
      <t xml:space="preserve">014 - Add "Segment" to header Cell </t>
    </r>
    <r>
      <rPr>
        <b/>
        <sz val="11"/>
        <color theme="5" tint="-0.249977111117893"/>
        <rFont val="Calibri"/>
        <family val="2"/>
      </rPr>
      <t>G14 in pep_ssf</t>
    </r>
    <r>
      <rPr>
        <sz val="11"/>
        <color theme="1"/>
        <rFont val="Calibri"/>
        <family val="2"/>
      </rPr>
      <t>; new version of workbook to correct some problems with eXcel hanging</t>
    </r>
  </si>
  <si>
    <r>
      <t xml:space="preserve">Update packet rates in </t>
    </r>
    <r>
      <rPr>
        <b/>
        <sz val="11"/>
        <color theme="5" tint="-0.249977111117893"/>
        <rFont val="Calibri"/>
        <family val="2"/>
      </rPr>
      <t>pep_ssf cells U1:AA1</t>
    </r>
  </si>
  <si>
    <r>
      <t xml:space="preserve">021 - Add shadow PEPSSI rate calculation in </t>
    </r>
    <r>
      <rPr>
        <b/>
        <sz val="11"/>
        <color theme="5" tint="-0.499984740745262"/>
        <rFont val="Calibri"/>
        <family val="2"/>
      </rPr>
      <t>2025_pb_2 cells AG1:AU36</t>
    </r>
    <r>
      <rPr>
        <sz val="11"/>
        <color theme="1"/>
        <rFont val="Calibri"/>
        <family val="2"/>
      </rPr>
      <t xml:space="preserve"> ; less manual, more automated</t>
    </r>
  </si>
  <si>
    <t>Remove external link dependencies (='C:\...\oldWorsheet]|SWAP Data Volumns'...)</t>
  </si>
  <si>
    <r>
      <t xml:space="preserve"> </t>
    </r>
    <r>
      <rPr>
        <b/>
        <sz val="11"/>
        <color theme="1"/>
        <rFont val="Aptos Narrow"/>
        <family val="2"/>
      </rPr>
      <t>←</t>
    </r>
    <r>
      <rPr>
        <b/>
        <sz val="11"/>
        <color theme="1"/>
        <rFont val="Calibri"/>
        <family val="2"/>
      </rPr>
      <t xml:space="preserve"> pwron bytes $U$2</t>
    </r>
  </si>
  <si>
    <t>Remove TESTING block from dev worksheet</t>
  </si>
  <si>
    <t>Make miscellaneous cosmetic changes (label power-on bytes in dev)</t>
  </si>
  <si>
    <t>033 - Add utc2met UDF; fix bug in met2utc</t>
  </si>
  <si>
    <t>Add utc2met UDF</t>
  </si>
  <si>
    <t>Found one-second rounding error in met2utc</t>
  </si>
  <si>
    <t>Remove Worksheet 2025_pb</t>
  </si>
  <si>
    <t>Ancillary sheets are now out to the right</t>
  </si>
  <si>
    <t>PEP</t>
  </si>
  <si>
    <t>Write macro to serialize Conditional Formatting in dev Worksheet</t>
  </si>
  <si>
    <t>Add per-load, per-instrument PB sums to Worksheet dev</t>
  </si>
  <si>
    <t>SDT1HSK4</t>
  </si>
  <si>
    <t>Leave blank=&gt;</t>
  </si>
  <si>
    <t>&lt;=RT1H</t>
  </si>
  <si>
    <t>E</t>
  </si>
  <si>
    <t>...</t>
  </si>
  <si>
    <t>Assume forward calculation; back calculation and Macro 10 not automated yet</t>
  </si>
  <si>
    <t>034 - Add macros and buttons to automate adding SCI DLDV files and inserting rows</t>
  </si>
  <si>
    <t>Handle cycling through SWAP data types and rates via right-click in Column K</t>
  </si>
  <si>
    <t>&lt;=Forward calc</t>
  </si>
  <si>
    <t>Reverse calc=&gt;</t>
  </si>
  <si>
    <t>S</t>
  </si>
  <si>
    <t>Add forward- and back-calculation formulas to header area of Worksheet dev</t>
  </si>
  <si>
    <t>Remove split, freeze header area of Worksheet dev</t>
  </si>
  <si>
    <t>035 - Misc updates from zoom with Nicole</t>
  </si>
  <si>
    <t>Add Mbits units in PEPSSI and SWAP cumulative PB columns</t>
  </si>
  <si>
    <t>Duplicate all right-click handlers as double-click handlers, mainly for cycling thorugh SWAP rates</t>
  </si>
  <si>
    <t>Change font size in Intert-row button to make it fit</t>
  </si>
  <si>
    <t>Remove obsolete click handlers</t>
  </si>
  <si>
    <t>Turn off auto-calculation to speed up adding SCI DLDV data</t>
  </si>
  <si>
    <t>Remove double-click handler for Worksheet pep_ssf</t>
  </si>
  <si>
    <t>Fix bug - cellStr should be cellText in right-click handler for Worksheet pep_ssf that validates MET and PB data type ranges</t>
  </si>
  <si>
    <t>fwd calc</t>
  </si>
  <si>
    <t>55ks of 155ks</t>
  </si>
  <si>
    <t>… 50ks …</t>
  </si>
  <si>
    <t>… 25ks …</t>
  </si>
  <si>
    <t>…12.5ks …</t>
  </si>
  <si>
    <t>… balance</t>
  </si>
  <si>
    <t>…other half</t>
  </si>
  <si>
    <t>half of trk …</t>
  </si>
  <si>
    <t>&lt;=RT1HnoHK</t>
  </si>
  <si>
    <t>&lt;=RT10MnoHK</t>
  </si>
  <si>
    <t>&lt;=RT30MnoHK</t>
  </si>
  <si>
    <t>&lt;=RT2HnoHK</t>
  </si>
  <si>
    <t>&lt;=RT2H</t>
  </si>
  <si>
    <t>&lt;=RT30M</t>
  </si>
  <si>
    <t>&lt;=RT10M</t>
  </si>
  <si>
    <t>036 - Handle no-HSK4 case for SWAP</t>
  </si>
  <si>
    <t>Exclude HSK4 rate contribution in dev Cells T6:T9</t>
  </si>
  <si>
    <t>Extend cells covered by CycleSwapRates Right-Click Handler Sub</t>
  </si>
  <si>
    <t>Extend cells covered by swaprates Function</t>
  </si>
  <si>
    <t>Update formula for Column J in anCell_dldv</t>
  </si>
  <si>
    <t>Handle SDT1-only case in Sub ExportToSASF</t>
  </si>
  <si>
    <t>Update conditional formatting in Worksheet dev</t>
  </si>
  <si>
    <t>Include IF($A="&lt;cell range&gt;",…) prefix to conditional formatting</t>
  </si>
  <si>
    <t>037 - Misc updates, including recommendation from 2026-09-15 zoom with Ann and Nicole</t>
  </si>
  <si>
    <t>Add formula and conditional formatting to column AA to copy DLDV Mbits</t>
  </si>
  <si>
    <t>TRK
Mbit</t>
  </si>
  <si>
    <t>SWAP_LVPS_POWER</t>
  </si>
  <si>
    <t/>
  </si>
  <si>
    <t>SWAP_SYS_MODE</t>
  </si>
  <si>
    <t>MODE</t>
  </si>
  <si>
    <t>HVENG</t>
  </si>
  <si>
    <t>SWAP_TLM_HK_RATE</t>
  </si>
  <si>
    <t>HVSCI</t>
  </si>
  <si>
    <t>SWAP_TLM_RT_RATE</t>
  </si>
  <si>
    <t>RT</t>
  </si>
  <si>
    <t>SWAP_TLM_SM_RATE</t>
  </si>
  <si>
    <t>SM</t>
  </si>
  <si>
    <t>SWAP_TLM_HX_RATE</t>
  </si>
  <si>
    <t>HX</t>
  </si>
  <si>
    <t>Map SWAP Rate IDs to Period/Frequence</t>
  </si>
  <si>
    <t>Map Rate IDs to Per-packet Bit-rates</t>
  </si>
  <si>
    <t>RateCmd</t>
  </si>
  <si>
    <t>Period</t>
  </si>
  <si>
    <t>Frequency (Hz)</t>
  </si>
  <si>
    <t>Histogram (Sum)</t>
  </si>
  <si>
    <t>Per-Packet sizing and Generation Details</t>
  </si>
  <si>
    <t>CommandArg2</t>
  </si>
  <si>
    <t>SSR_PBACK</t>
  </si>
  <si>
    <t>GRT UTC</t>
  </si>
  <si>
    <t>S/C UTC</t>
  </si>
  <si>
    <t>PbkStartMET</t>
  </si>
  <si>
    <t>PbkEndMET</t>
  </si>
  <si>
    <t>203 05:29:40</t>
  </si>
  <si>
    <t>202 23:00:05</t>
  </si>
  <si>
    <t>203 05:29:45</t>
  </si>
  <si>
    <t>202 23:00:10</t>
  </si>
  <si>
    <t>203 05:29:50</t>
  </si>
  <si>
    <t>202 23:00:15</t>
  </si>
  <si>
    <t>203 05:29:55</t>
  </si>
  <si>
    <t>202 23:00:20</t>
  </si>
  <si>
    <t>203 05:30:00</t>
  </si>
  <si>
    <t>202 23:00:25</t>
  </si>
  <si>
    <t>203 19:49:44</t>
  </si>
  <si>
    <t>203 13:20:05</t>
  </si>
  <si>
    <t>203 19:49:49</t>
  </si>
  <si>
    <t>203 13:20:10</t>
  </si>
  <si>
    <t>203 19:49:54</t>
  </si>
  <si>
    <t>203 13:20:15</t>
  </si>
  <si>
    <t>203 19:49:59</t>
  </si>
  <si>
    <t>203 13:20:20</t>
  </si>
  <si>
    <t>203 19:50:04</t>
  </si>
  <si>
    <t>203 13:20:25</t>
  </si>
  <si>
    <t>204 19:44:49</t>
  </si>
  <si>
    <t>204 13:15:05</t>
  </si>
  <si>
    <t>204 19:44:54</t>
  </si>
  <si>
    <t>204 13:15:10</t>
  </si>
  <si>
    <t>204 19:44:59</t>
  </si>
  <si>
    <t>204 13:15:15</t>
  </si>
  <si>
    <t>204 19:45:04</t>
  </si>
  <si>
    <t>204 13:15:20</t>
  </si>
  <si>
    <t>204 19:45:09</t>
  </si>
  <si>
    <t>204 13:15:25</t>
  </si>
  <si>
    <t>204 19:45:14</t>
  </si>
  <si>
    <t>204 13:15:30</t>
  </si>
  <si>
    <t>204 19:45:19</t>
  </si>
  <si>
    <t>204 13:15:35</t>
  </si>
  <si>
    <t>206 04:59:58</t>
  </si>
  <si>
    <t>205 22:30:05</t>
  </si>
  <si>
    <t>206 05:00:03</t>
  </si>
  <si>
    <t>205 22:30:10</t>
  </si>
  <si>
    <t>206 05:00:08</t>
  </si>
  <si>
    <t>205 22:30:15</t>
  </si>
  <si>
    <t>206 05:00:13</t>
  </si>
  <si>
    <t>205 22:30:20</t>
  </si>
  <si>
    <t>206 05:00:18</t>
  </si>
  <si>
    <t>205 22:30:25</t>
  </si>
  <si>
    <t>206 05:00:23</t>
  </si>
  <si>
    <t>205 22:30:30</t>
  </si>
  <si>
    <t>206 05:00:28</t>
  </si>
  <si>
    <t>205 22:30:35</t>
  </si>
  <si>
    <t>206 19:35:02</t>
  </si>
  <si>
    <t>206 13:05:05</t>
  </si>
  <si>
    <t>206 19:35:07</t>
  </si>
  <si>
    <t>206 13:05:10</t>
  </si>
  <si>
    <t>206 19:35:12</t>
  </si>
  <si>
    <t>206 13:05:15</t>
  </si>
  <si>
    <t>206 19:35:17</t>
  </si>
  <si>
    <t>206 13:05:20</t>
  </si>
  <si>
    <t>206 19:35:22</t>
  </si>
  <si>
    <t>206 13:05:25</t>
  </si>
  <si>
    <t>206 19:35:27</t>
  </si>
  <si>
    <t>206 13:05:30</t>
  </si>
  <si>
    <t>206 19:35:32</t>
  </si>
  <si>
    <t>206 13:05:35</t>
  </si>
  <si>
    <t>209 22:44:22</t>
  </si>
  <si>
    <t>209 16:14:05</t>
  </si>
  <si>
    <t>209 22:44:27</t>
  </si>
  <si>
    <t>209 16:14:10</t>
  </si>
  <si>
    <t>209 22:44:32</t>
  </si>
  <si>
    <t>209 16:14:15</t>
  </si>
  <si>
    <t>209 22:44:37</t>
  </si>
  <si>
    <t>209 16:14:20</t>
  </si>
  <si>
    <t>209 22:44:42</t>
  </si>
  <si>
    <t>209 16:14:25</t>
  </si>
  <si>
    <t>209 22:44:47</t>
  </si>
  <si>
    <t>209 16:14:30</t>
  </si>
  <si>
    <t>209 22:44:52</t>
  </si>
  <si>
    <t>209 16:14:35</t>
  </si>
  <si>
    <t>209 22:44:57</t>
  </si>
  <si>
    <t>209 16:14:40</t>
  </si>
  <si>
    <t>209 22:45:02</t>
  </si>
  <si>
    <t>209 16:14:45</t>
  </si>
  <si>
    <t>209 22:45:07</t>
  </si>
  <si>
    <t>209 16:14:50</t>
  </si>
  <si>
    <t>209 22:45:12</t>
  </si>
  <si>
    <t>209 16:14:55</t>
  </si>
  <si>
    <t>209 22:45:17</t>
  </si>
  <si>
    <t>209 16:15:00</t>
  </si>
  <si>
    <t>209 22:45:22</t>
  </si>
  <si>
    <t>209 16:15:05</t>
  </si>
  <si>
    <t>209 22:45:27</t>
  </si>
  <si>
    <t>209 16:15:10</t>
  </si>
  <si>
    <t>211 02:29:30</t>
  </si>
  <si>
    <t>210 19:59:05</t>
  </si>
  <si>
    <t>211 02:29:35</t>
  </si>
  <si>
    <t>210 19:59:10</t>
  </si>
  <si>
    <t>211 02:29:40</t>
  </si>
  <si>
    <t>210 19:59:15</t>
  </si>
  <si>
    <t>211 02:29:45</t>
  </si>
  <si>
    <t>210 19:59:20</t>
  </si>
  <si>
    <t>211 02:29:50</t>
  </si>
  <si>
    <t>210 19:59:25</t>
  </si>
  <si>
    <t>211 02:29:55</t>
  </si>
  <si>
    <t>210 19:59:30</t>
  </si>
  <si>
    <t>211 02:30:00</t>
  </si>
  <si>
    <t>210 19:59:35</t>
  </si>
  <si>
    <t>211 02:30:05</t>
  </si>
  <si>
    <t>210 19:59:40</t>
  </si>
  <si>
    <t>211 02:30:10</t>
  </si>
  <si>
    <t>210 19:59:45</t>
  </si>
  <si>
    <t>211 02:30:15</t>
  </si>
  <si>
    <t>210 19:59:50</t>
  </si>
  <si>
    <t>211 02:30:20</t>
  </si>
  <si>
    <t>210 19:59:55</t>
  </si>
  <si>
    <t>211 02:30:25</t>
  </si>
  <si>
    <t>210 20:00:00</t>
  </si>
  <si>
    <t>214 05:04:52</t>
  </si>
  <si>
    <t>213 22:34:05</t>
  </si>
  <si>
    <t>214 05:04:57</t>
  </si>
  <si>
    <t>213 22:34:10</t>
  </si>
  <si>
    <t>214 05:05:02</t>
  </si>
  <si>
    <t>213 22:34:15</t>
  </si>
  <si>
    <t>214 05:05:07</t>
  </si>
  <si>
    <t>213 22:34:20</t>
  </si>
  <si>
    <t>214 05:05:12</t>
  </si>
  <si>
    <t>213 22:34:25</t>
  </si>
  <si>
    <t>214 05:05:17</t>
  </si>
  <si>
    <t>213 22:34:30</t>
  </si>
  <si>
    <t>214 05:05:22</t>
  </si>
  <si>
    <t>213 22:34:35</t>
  </si>
  <si>
    <t>215 03:49:59</t>
  </si>
  <si>
    <t>214 21:19:05</t>
  </si>
  <si>
    <t>215 03:50:04</t>
  </si>
  <si>
    <t>214 21:19:10</t>
  </si>
  <si>
    <t>215 03:50:09</t>
  </si>
  <si>
    <t>214 21:19:15</t>
  </si>
  <si>
    <t>215 03:50:14</t>
  </si>
  <si>
    <t>214 21:19:20</t>
  </si>
  <si>
    <t>215 03:50:19</t>
  </si>
  <si>
    <t>214 21:19:25</t>
  </si>
  <si>
    <t>215 03:50:24</t>
  </si>
  <si>
    <t>214 21:19:30</t>
  </si>
  <si>
    <t>215 03:50:29</t>
  </si>
  <si>
    <t>214 21:19:35</t>
  </si>
  <si>
    <t>215 03:50:34</t>
  </si>
  <si>
    <t>214 21:19:40</t>
  </si>
  <si>
    <t>215 03:50:39</t>
  </si>
  <si>
    <t>214 21:19:45</t>
  </si>
  <si>
    <t>215 19:00:03</t>
  </si>
  <si>
    <t>215 12:29:05</t>
  </si>
  <si>
    <t>215 19:00:08</t>
  </si>
  <si>
    <t>215 12:29:10</t>
  </si>
  <si>
    <t>215 19:00:13</t>
  </si>
  <si>
    <t>215 12:29:15</t>
  </si>
  <si>
    <t>215 19:00:18</t>
  </si>
  <si>
    <t>215 12:29:20</t>
  </si>
  <si>
    <t>215 19:00:23</t>
  </si>
  <si>
    <t>215 12:29:25</t>
  </si>
  <si>
    <t>217 03:44:14</t>
  </si>
  <si>
    <t>216 21:13:05</t>
  </si>
  <si>
    <t>217 03:44:19</t>
  </si>
  <si>
    <t>216 21:13:10</t>
  </si>
  <si>
    <t>217 03:44:24</t>
  </si>
  <si>
    <t>216 21:13:15</t>
  </si>
  <si>
    <t>217 03:44:29</t>
  </si>
  <si>
    <t>216 21:13:20</t>
  </si>
  <si>
    <t>217 03:44:34</t>
  </si>
  <si>
    <t>216 21:13:25</t>
  </si>
  <si>
    <t>217 03:44:39</t>
  </si>
  <si>
    <t>216 21:13:30</t>
  </si>
  <si>
    <t>217 03:44:44</t>
  </si>
  <si>
    <t>216 21:13:35</t>
  </si>
  <si>
    <t>217 03:44:49</t>
  </si>
  <si>
    <t>216 21:13:40</t>
  </si>
  <si>
    <t>217 03:44:54</t>
  </si>
  <si>
    <t>216 21:13:45</t>
  </si>
  <si>
    <t>217 03:44:59</t>
  </si>
  <si>
    <t>216 21:13:50</t>
  </si>
  <si>
    <t>218 03:34:22</t>
  </si>
  <si>
    <t>217 21:03:05</t>
  </si>
  <si>
    <t>218 03:34:27</t>
  </si>
  <si>
    <t>217 21:03:10</t>
  </si>
  <si>
    <t>218 20:09:27</t>
  </si>
  <si>
    <t>218 13:38:05</t>
  </si>
  <si>
    <t>218 20:09:32</t>
  </si>
  <si>
    <t>218 13:38:10</t>
  </si>
  <si>
    <t>218 20:09:37</t>
  </si>
  <si>
    <t>218 13:38:15</t>
  </si>
  <si>
    <t>218 20:09:42</t>
  </si>
  <si>
    <t>218 13:38:20</t>
  </si>
  <si>
    <t>218 20:09:47</t>
  </si>
  <si>
    <t>218 13:38:25</t>
  </si>
  <si>
    <t>218 20:09:52</t>
  </si>
  <si>
    <t>218 13:38:30</t>
  </si>
  <si>
    <t>218 20:09:57</t>
  </si>
  <si>
    <t>218 13:38:35</t>
  </si>
  <si>
    <t>218 20:10:02</t>
  </si>
  <si>
    <t>218 13:38:40</t>
  </si>
  <si>
    <t>218 20:10:07</t>
  </si>
  <si>
    <t>218 13:38:45</t>
  </si>
  <si>
    <t>220 18:39:42</t>
  </si>
  <si>
    <t>220 12:08:05</t>
  </si>
  <si>
    <t>220 18:39:47</t>
  </si>
  <si>
    <t>220 12:08:10</t>
  </si>
  <si>
    <t>220 18:39:52</t>
  </si>
  <si>
    <t>220 12:08:15</t>
  </si>
  <si>
    <t>220 18:39:57</t>
  </si>
  <si>
    <t>220 12:08:20</t>
  </si>
  <si>
    <t>220 18:40:02</t>
  </si>
  <si>
    <t>220 12:08:25</t>
  </si>
  <si>
    <t>220 18:40:07</t>
  </si>
  <si>
    <t>220 12:08:30</t>
  </si>
  <si>
    <t>220 18:40:12</t>
  </si>
  <si>
    <t>220 12:08:35</t>
  </si>
  <si>
    <t>220 18:40:17</t>
  </si>
  <si>
    <t>220 12:08:40</t>
  </si>
  <si>
    <t>220 18:40:22</t>
  </si>
  <si>
    <t>220 12:08:45</t>
  </si>
  <si>
    <t>220 18:40:27</t>
  </si>
  <si>
    <t>220 12:08:50</t>
  </si>
  <si>
    <t>220 18:40:32</t>
  </si>
  <si>
    <t>220 12:08:55</t>
  </si>
  <si>
    <t>220 18:40:37</t>
  </si>
  <si>
    <t>220 12:09:00</t>
  </si>
  <si>
    <t>220 18:40:42</t>
  </si>
  <si>
    <t>220 12:09:05</t>
  </si>
  <si>
    <t>220 18:40:47</t>
  </si>
  <si>
    <t>220 12:09:10</t>
  </si>
  <si>
    <t>220 18:40:52</t>
  </si>
  <si>
    <t>220 12:09:15</t>
  </si>
  <si>
    <t>220 18:40:57</t>
  </si>
  <si>
    <t>220 12:09:20</t>
  </si>
  <si>
    <t>220 18:41:02</t>
  </si>
  <si>
    <t>220 12:09:25</t>
  </si>
  <si>
    <t>220 18:41:07</t>
  </si>
  <si>
    <t>220 12:09:30</t>
  </si>
  <si>
    <t>220 18:41:12</t>
  </si>
  <si>
    <t>220 12:09:35</t>
  </si>
  <si>
    <t>220 18:41:17</t>
  </si>
  <si>
    <t>220 12:09:40</t>
  </si>
  <si>
    <t>220 18:41:22</t>
  </si>
  <si>
    <t>220 12:09:45</t>
  </si>
  <si>
    <t>222 01:44:53</t>
  </si>
  <si>
    <t>221 19:13:05</t>
  </si>
  <si>
    <t>222 01:44:58</t>
  </si>
  <si>
    <t>221 19:13:10</t>
  </si>
  <si>
    <t>222 01:45:03</t>
  </si>
  <si>
    <t>221 19:13:15</t>
  </si>
  <si>
    <t>222 01:45:08</t>
  </si>
  <si>
    <t>221 19:13:20</t>
  </si>
  <si>
    <t>223 01:44:02</t>
  </si>
  <si>
    <t>222 19:12:05</t>
  </si>
  <si>
    <t>295 18:39:48</t>
  </si>
  <si>
    <t>295 11:54:05</t>
  </si>
  <si>
    <t>295 18:39:53</t>
  </si>
  <si>
    <t>295 11:54:10</t>
  </si>
  <si>
    <t>305 13:04:52</t>
  </si>
  <si>
    <t>305 06:17:10</t>
  </si>
  <si>
    <t>305 13:04:57</t>
  </si>
  <si>
    <t>305 06:17:15</t>
  </si>
  <si>
    <t>305 13:05:02</t>
  </si>
  <si>
    <t>305 06:17:20</t>
  </si>
  <si>
    <t>305 13:05:07</t>
  </si>
  <si>
    <t>305 06:17:25</t>
  </si>
  <si>
    <t>306 14:15:00</t>
  </si>
  <si>
    <t>306 07:27:05</t>
  </si>
  <si>
    <t>306 14:15:05</t>
  </si>
  <si>
    <t>306 07:27:10</t>
  </si>
  <si>
    <t>306 14:15:10</t>
  </si>
  <si>
    <t>306 07:27:15</t>
  </si>
  <si>
    <t>306 14:15:15</t>
  </si>
  <si>
    <t>306 07:27:20</t>
  </si>
  <si>
    <t>306 14:15:20</t>
  </si>
  <si>
    <t>306 07:27:25</t>
  </si>
  <si>
    <t>306 14:15:25</t>
  </si>
  <si>
    <t>306 07:27:30</t>
  </si>
  <si>
    <t>306 14:15:30</t>
  </si>
  <si>
    <t>306 07:27:35</t>
  </si>
  <si>
    <t>306 14:15:35</t>
  </si>
  <si>
    <t>306 07:27:40</t>
  </si>
  <si>
    <t>306 23:55:04</t>
  </si>
  <si>
    <t>306 17:07:05</t>
  </si>
  <si>
    <t>306 23:55:09</t>
  </si>
  <si>
    <t>306 17:07:10</t>
  </si>
  <si>
    <t>306 23:55:14</t>
  </si>
  <si>
    <t>306 17:07:15</t>
  </si>
  <si>
    <t>306 23:55:19</t>
  </si>
  <si>
    <t>306 17:07:20</t>
  </si>
  <si>
    <t>306 23:55:24</t>
  </si>
  <si>
    <t>306 17:07:25</t>
  </si>
  <si>
    <t>306 23:55:29</t>
  </si>
  <si>
    <t>306 17:07:30</t>
  </si>
  <si>
    <t>307 12:54:11</t>
  </si>
  <si>
    <t>307 06:06:05</t>
  </si>
  <si>
    <t>307 12:54:16</t>
  </si>
  <si>
    <t>307 06:06:10</t>
  </si>
  <si>
    <t>307 12:54:21</t>
  </si>
  <si>
    <t>307 06:06:15</t>
  </si>
  <si>
    <t>307 12:54:26</t>
  </si>
  <si>
    <t>307 06:06:20</t>
  </si>
  <si>
    <t>310 01:39:41</t>
  </si>
  <si>
    <t>309 18:51:05</t>
  </si>
  <si>
    <t>311 00:59:52</t>
  </si>
  <si>
    <t>310 18:11:05</t>
  </si>
  <si>
    <t>311 00:59:57</t>
  </si>
  <si>
    <t>310 18:11:10</t>
  </si>
  <si>
    <t>311 01:00:02</t>
  </si>
  <si>
    <t>310 18:11:15</t>
  </si>
  <si>
    <t>311 01:00:07</t>
  </si>
  <si>
    <t>310 18:11:20</t>
  </si>
  <si>
    <t>311 01:00:12</t>
  </si>
  <si>
    <t>310 18:11:25</t>
  </si>
  <si>
    <t>311 18:10:00</t>
  </si>
  <si>
    <t>311 11:21:05</t>
  </si>
  <si>
    <t>311 18:10:05</t>
  </si>
  <si>
    <t>311 11:21:10</t>
  </si>
  <si>
    <t>311 18:10:10</t>
  </si>
  <si>
    <t>311 11:21:15</t>
  </si>
  <si>
    <t>311 18:10:15</t>
  </si>
  <si>
    <t>311 11:21:20</t>
  </si>
  <si>
    <t>311 18:10:20</t>
  </si>
  <si>
    <t>311 11:21:25</t>
  </si>
  <si>
    <t>311 18:10:25</t>
  </si>
  <si>
    <t>311 11:21:30</t>
  </si>
  <si>
    <t>314 23:14:37</t>
  </si>
  <si>
    <t>314 16:25:05</t>
  </si>
  <si>
    <t>314 23:14:42</t>
  </si>
  <si>
    <t>314 16:25:10</t>
  </si>
  <si>
    <t>194 21:20:00</t>
  </si>
  <si>
    <t>194 12:27:06</t>
  </si>
  <si>
    <t>194 21:20:05</t>
  </si>
  <si>
    <t>194 12:27:11</t>
  </si>
  <si>
    <t>195 07:50:02</t>
  </si>
  <si>
    <t>194 22:57:06</t>
  </si>
  <si>
    <t>195 21:15:04</t>
  </si>
  <si>
    <t>195 12:22:06</t>
  </si>
  <si>
    <t>196 09:29:07</t>
  </si>
  <si>
    <t>196 00:36:06</t>
  </si>
  <si>
    <t>196 21:44:09</t>
  </si>
  <si>
    <t>196 12:51:06</t>
  </si>
  <si>
    <t>196 21:44:14</t>
  </si>
  <si>
    <t>196 12:51:11</t>
  </si>
  <si>
    <t>197 12:19:12</t>
  </si>
  <si>
    <t>197 03:26:06</t>
  </si>
  <si>
    <t>197 23:54:19</t>
  </si>
  <si>
    <t>197 15:01:11</t>
  </si>
  <si>
    <t>198 12:49:17</t>
  </si>
  <si>
    <t>198 03:56:06</t>
  </si>
  <si>
    <t>199 11:29:21</t>
  </si>
  <si>
    <t>199 02:36:06</t>
  </si>
  <si>
    <t>199 20:34:23</t>
  </si>
  <si>
    <t>199 11:41:06</t>
  </si>
  <si>
    <t>200 22:44:29</t>
  </si>
  <si>
    <t>200 13:51:06</t>
  </si>
  <si>
    <t>201 15:34:32</t>
  </si>
  <si>
    <t>201 06:41:06</t>
  </si>
  <si>
    <t>201 15:34:37</t>
  </si>
  <si>
    <t>201 06:41:11</t>
  </si>
  <si>
    <t>SWP_HK</t>
  </si>
  <si>
    <t>PEP_HK</t>
  </si>
  <si>
    <t>SWP_DT1</t>
  </si>
  <si>
    <t>PEP_DT2</t>
  </si>
  <si>
    <t>PEP_DT1</t>
  </si>
  <si>
    <t>00000208</t>
  </si>
  <si>
    <t>00000103</t>
  </si>
  <si>
    <t>08010103</t>
  </si>
  <si>
    <t>00000002</t>
  </si>
  <si>
    <t>PEP_DT3</t>
  </si>
  <si>
    <t>PEP_DT4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</si>
</sst>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
    <numFmt numFmtId="165" formatCode="#,##0.0000000000_);\(#,##0.0000000000\)"/>
    <numFmt numFmtId="166" formatCode="0.000000"/>
    <numFmt numFmtId="167" formatCode="0.0000"/>
    <numFmt numFmtId="168" formatCode="0.0000000"/>
    <numFmt numFmtId="169" formatCode="0.000"/>
    <numFmt numFmtId="170" formatCode="[hh]:mm:ss"/>
    <numFmt numFmtId="171" formatCode="_(* #,##0.0000_);_(* \(#,##0.0\);_(* \-??_);_(@_)"/>
    <numFmt numFmtId="172" formatCode="m/d/yyyy\ hh:mm:ss"/>
    <numFmt numFmtId="173" formatCode="yyyy\-mm\-dd\ hh:mm:ss"/>
  </numFmts>
  <fonts count="78">
    <font>
      <sz val="11"/>
      <color theme="1"/>
      <name val="Calibri"/>
      <family val="2"/>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2"/>
      <color theme="1"/>
      <name val="Calibri"/>
      <family val="2"/>
    </font>
    <font>
      <b/>
      <sz val="11"/>
      <color theme="1"/>
      <name val="Calibri"/>
      <family val="2"/>
    </font>
    <font>
      <sz val="11"/>
      <color rgb="FF000000"/>
      <name val="Calibri"/>
      <family val="2"/>
    </font>
    <font>
      <sz val="11"/>
      <color theme="0"/>
      <name val="Calibri"/>
      <family val="2"/>
    </font>
    <font>
      <sz val="11"/>
      <color theme="4" tint="-0.249977111117893"/>
      <name val="Calibri"/>
      <family val="2"/>
    </font>
    <font>
      <sz val="8"/>
      <color theme="1"/>
      <name val="Arial"/>
      <family val="2"/>
    </font>
    <font>
      <b/>
      <sz val="8"/>
      <color theme="1"/>
      <name val="Arial"/>
      <family val="2"/>
    </font>
    <font>
      <b/>
      <sz val="12"/>
      <color theme="1"/>
      <name val="Calibri"/>
      <family val="2"/>
    </font>
    <font>
      <sz val="8"/>
      <color theme="1"/>
      <name val="Calibri"/>
      <family val="2"/>
    </font>
    <font>
      <strike/>
      <sz val="11"/>
      <color theme="1"/>
      <name val="Calibri"/>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u/>
      <sz val="11"/>
      <color theme="1"/>
      <name val="Calibri"/>
      <family val="2"/>
    </font>
    <font>
      <sz val="10"/>
      <name val="Arial"/>
      <family val="2"/>
      <charset val="1"/>
    </font>
    <font>
      <sz val="11"/>
      <name val="Calibri"/>
      <family val="2"/>
    </font>
    <font>
      <b/>
      <sz val="8"/>
      <color theme="1"/>
      <name val="Calibri"/>
      <family val="2"/>
    </font>
    <font>
      <b/>
      <sz val="11"/>
      <name val="Calibri"/>
      <family val="2"/>
    </font>
    <font>
      <b/>
      <sz val="14"/>
      <color rgb="FF000000"/>
      <name val="Aptos Narrow"/>
      <family val="2"/>
    </font>
    <font>
      <b/>
      <sz val="11"/>
      <color theme="5" tint="-0.249977111117893"/>
      <name val="Calibri"/>
      <family val="2"/>
    </font>
    <font>
      <sz val="11"/>
      <name val="Arial"/>
      <family val="2"/>
      <scheme val="minor"/>
    </font>
    <font>
      <b/>
      <sz val="11"/>
      <name val="Arial"/>
      <family val="2"/>
      <scheme val="minor"/>
    </font>
    <font>
      <sz val="11"/>
      <color theme="5" tint="-0.499984740745262"/>
      <name val="Calibri"/>
      <family val="2"/>
    </font>
    <font>
      <b/>
      <sz val="11"/>
      <color theme="5" tint="-0.499984740745262"/>
      <name val="Calibri"/>
      <family val="2"/>
    </font>
    <font>
      <b/>
      <sz val="8"/>
      <name val="Arial"/>
      <family val="2"/>
    </font>
    <font>
      <sz val="8"/>
      <color theme="0"/>
      <name val="Calibri"/>
      <family val="2"/>
    </font>
    <font>
      <b/>
      <i/>
      <sz val="11"/>
      <name val="Calibri"/>
      <family val="2"/>
    </font>
    <font>
      <sz val="11"/>
      <name val="Aptos Narrow"/>
      <family val="2"/>
    </font>
    <font>
      <vertAlign val="superscript"/>
      <sz val="11"/>
      <name val="Calibri"/>
      <family val="2"/>
    </font>
    <font>
      <sz val="9"/>
      <color indexed="81"/>
      <name val="Tahoma"/>
      <family val="2"/>
    </font>
    <font>
      <sz val="10"/>
      <color rgb="FF000000"/>
      <name val="Calibri"/>
      <family val="2"/>
    </font>
    <font>
      <sz val="11"/>
      <color indexed="10"/>
      <name val="Calibri"/>
      <family val="2"/>
    </font>
    <font>
      <b/>
      <sz val="9"/>
      <color indexed="81"/>
      <name val="Tahoma"/>
      <family val="2"/>
    </font>
    <font>
      <sz val="8"/>
      <name val="Calibri"/>
      <family val="2"/>
    </font>
  </fonts>
  <fills count="75">
    <fill>
      <patternFill patternType="none"/>
    </fill>
    <fill>
      <patternFill patternType="gray125"/>
    </fill>
    <fill>
      <patternFill patternType="solid">
        <fgColor theme="4" tint="0.79979857783745845"/>
        <bgColor rgb="FFDAE3F3"/>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FFFF00"/>
        <bgColor rgb="FFE6E905"/>
      </patternFill>
    </fill>
    <fill>
      <patternFill patternType="solid">
        <fgColor theme="0" tint="-0.14999847407452621"/>
        <bgColor rgb="FFDDDDDD"/>
      </patternFill>
    </fill>
    <fill>
      <patternFill patternType="solid">
        <fgColor theme="7" tint="0.59978026673177287"/>
        <bgColor rgb="FFE8F2A1"/>
      </patternFill>
    </fill>
    <fill>
      <patternFill patternType="solid">
        <fgColor rgb="FFB4C7DC"/>
        <bgColor rgb="FFB4C7E7"/>
      </patternFill>
    </fill>
    <fill>
      <patternFill patternType="solid">
        <fgColor rgb="FFFFF5CE"/>
        <bgColor rgb="FFFFF2CC"/>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theme="0"/>
        <bgColor rgb="FFF2F2F2"/>
      </patternFill>
    </fill>
    <fill>
      <patternFill patternType="solid">
        <fgColor rgb="FFFFF678"/>
        <bgColor rgb="FFFFE699"/>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
      <patternFill patternType="solid">
        <fgColor theme="9" tint="0.59996337778862885"/>
        <bgColor indexed="64"/>
      </patternFill>
    </fill>
    <fill>
      <patternFill patternType="solid">
        <fgColor theme="9"/>
        <bgColor indexed="64"/>
      </patternFill>
    </fill>
    <fill>
      <patternFill patternType="solid">
        <fgColor rgb="FF66FFFF"/>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FFF2CC"/>
        <bgColor rgb="FFFFF5CE"/>
      </patternFill>
    </fill>
    <fill>
      <patternFill patternType="solid">
        <fgColor theme="4" tint="0.59999389629810485"/>
        <bgColor indexed="64"/>
      </patternFill>
    </fill>
    <fill>
      <patternFill patternType="solid">
        <fgColor rgb="FF00B0F0"/>
        <bgColor rgb="FFCCFF33"/>
      </patternFill>
    </fill>
    <fill>
      <patternFill patternType="solid">
        <fgColor rgb="FF00B0F0"/>
        <bgColor rgb="FFCCFFFF"/>
      </patternFill>
    </fill>
    <fill>
      <patternFill patternType="solid">
        <fgColor rgb="FFCCFFCC"/>
        <bgColor indexed="64"/>
      </patternFill>
    </fill>
    <fill>
      <patternFill patternType="solid">
        <fgColor theme="4" tint="0.59999389629810485"/>
        <bgColor rgb="FFCCFFFF"/>
      </patternFill>
    </fill>
    <fill>
      <patternFill patternType="solid">
        <fgColor theme="0" tint="-0.14999847407452621"/>
        <bgColor rgb="FFE6E905"/>
      </patternFill>
    </fill>
    <fill>
      <patternFill patternType="solid">
        <fgColor theme="0" tint="-0.14996795556505021"/>
        <bgColor indexed="64"/>
      </patternFill>
    </fill>
    <fill>
      <patternFill patternType="solid">
        <fgColor theme="5" tint="0.59999389629810485"/>
        <bgColor indexed="64"/>
      </patternFill>
    </fill>
    <fill>
      <patternFill patternType="solid">
        <fgColor theme="7" tint="-0.499984740745262"/>
        <bgColor indexed="64"/>
      </patternFill>
    </fill>
    <fill>
      <patternFill patternType="solid">
        <fgColor theme="8" tint="-0.499984740745262"/>
        <bgColor indexed="64"/>
      </patternFill>
    </fill>
    <fill>
      <patternFill patternType="solid">
        <fgColor rgb="FF26C50B"/>
        <bgColor indexed="64"/>
      </patternFill>
    </fill>
    <fill>
      <patternFill patternType="solid">
        <fgColor rgb="FFF8CBAD"/>
        <bgColor indexed="64"/>
      </patternFill>
    </fill>
    <fill>
      <patternFill patternType="solid">
        <fgColor theme="2" tint="-9.9948118533890809E-2"/>
        <bgColor indexed="64"/>
      </patternFill>
    </fill>
    <fill>
      <patternFill patternType="solid">
        <fgColor rgb="FFFFFFFF"/>
        <bgColor indexed="64"/>
      </patternFill>
    </fill>
    <fill>
      <patternFill patternType="solid">
        <fgColor rgb="FFE6F405"/>
        <bgColor indexed="64"/>
      </patternFill>
    </fill>
    <fill>
      <patternFill patternType="solid">
        <fgColor rgb="FFE6E905"/>
        <bgColor indexed="64"/>
      </patternFill>
    </fill>
  </fills>
  <borders count="58">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top style="thin">
        <color indexed="64"/>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auto="1"/>
      </left>
      <right/>
      <top style="medium">
        <color auto="1"/>
      </top>
      <bottom style="thin">
        <color indexed="64"/>
      </bottom>
      <diagonal/>
    </border>
    <border>
      <left/>
      <right style="thin">
        <color auto="1"/>
      </right>
      <top style="medium">
        <color auto="1"/>
      </top>
      <bottom style="thin">
        <color indexed="64"/>
      </bottom>
      <diagonal/>
    </border>
    <border>
      <left style="thick">
        <color auto="1"/>
      </left>
      <right/>
      <top/>
      <bottom/>
      <diagonal/>
    </border>
    <border>
      <left/>
      <right style="medium">
        <color indexed="64"/>
      </right>
      <top style="thin">
        <color auto="1"/>
      </top>
      <bottom/>
      <diagonal/>
    </border>
    <border>
      <left style="thin">
        <color auto="1"/>
      </left>
      <right/>
      <top/>
      <bottom style="medium">
        <color indexed="64"/>
      </bottom>
      <diagonal/>
    </border>
    <border>
      <left style="thin">
        <color indexed="64"/>
      </left>
      <right/>
      <top style="medium">
        <color auto="1"/>
      </top>
      <bottom style="thin">
        <color auto="1"/>
      </bottom>
      <diagonal/>
    </border>
    <border>
      <left style="medium">
        <color auto="1"/>
      </left>
      <right style="thin">
        <color indexed="64"/>
      </right>
      <top style="medium">
        <color auto="1"/>
      </top>
      <bottom style="thin">
        <color indexed="64"/>
      </bottom>
      <diagonal/>
    </border>
    <border>
      <left/>
      <right style="medium">
        <color auto="1"/>
      </right>
      <top/>
      <bottom style="thin">
        <color indexed="64"/>
      </bottom>
      <diagonal/>
    </border>
    <border>
      <left/>
      <right style="thin">
        <color indexed="64"/>
      </right>
      <top/>
      <bottom/>
      <diagonal/>
    </border>
    <border>
      <left style="thin">
        <color auto="1"/>
      </left>
      <right style="medium">
        <color indexed="64"/>
      </right>
      <top style="thin">
        <color auto="1"/>
      </top>
      <bottom style="medium">
        <color indexed="64"/>
      </bottom>
      <diagonal/>
    </border>
    <border>
      <left style="thin">
        <color auto="1"/>
      </left>
      <right style="thin">
        <color auto="1"/>
      </right>
      <top style="thin">
        <color auto="1"/>
      </top>
      <bottom style="medium">
        <color indexed="64"/>
      </bottom>
      <diagonal/>
    </border>
    <border>
      <left style="medium">
        <color indexed="64"/>
      </left>
      <right style="thin">
        <color auto="1"/>
      </right>
      <top style="thin">
        <color auto="1"/>
      </top>
      <bottom style="medium">
        <color indexed="64"/>
      </bottom>
      <diagonal/>
    </border>
    <border>
      <left style="thin">
        <color auto="1"/>
      </left>
      <right style="medium">
        <color auto="1"/>
      </right>
      <top style="thin">
        <color auto="1"/>
      </top>
      <bottom style="thin">
        <color auto="1"/>
      </bottom>
      <diagonal/>
    </border>
    <border>
      <left style="thin">
        <color indexed="64"/>
      </left>
      <right/>
      <top style="medium">
        <color auto="1"/>
      </top>
      <bottom style="medium">
        <color auto="1"/>
      </bottom>
      <diagonal/>
    </border>
    <border>
      <left style="thin">
        <color indexed="64"/>
      </left>
      <right/>
      <top style="medium">
        <color auto="1"/>
      </top>
      <bottom/>
      <diagonal/>
    </border>
    <border>
      <left/>
      <right/>
      <top style="medium">
        <color indexed="64"/>
      </top>
      <bottom style="medium">
        <color indexed="64"/>
      </bottom>
      <diagonal/>
    </border>
    <border>
      <left/>
      <right style="thin">
        <color indexed="64"/>
      </right>
      <top style="medium">
        <color auto="1"/>
      </top>
      <bottom style="medium">
        <color indexed="64"/>
      </bottom>
      <diagonal/>
    </border>
    <border>
      <left style="medium">
        <color auto="1"/>
      </left>
      <right style="medium">
        <color auto="1"/>
      </right>
      <top style="thin">
        <color indexed="64"/>
      </top>
      <bottom style="thin">
        <color indexed="64"/>
      </bottom>
      <diagonal/>
    </border>
    <border>
      <left style="medium">
        <color auto="1"/>
      </left>
      <right style="thin">
        <color indexed="64"/>
      </right>
      <top style="medium">
        <color auto="1"/>
      </top>
      <bottom/>
      <diagonal/>
    </border>
    <border>
      <left style="medium">
        <color auto="1"/>
      </left>
      <right style="thin">
        <color indexed="64"/>
      </right>
      <top/>
      <bottom/>
      <diagonal/>
    </border>
    <border>
      <left style="medium">
        <color indexed="64"/>
      </left>
      <right style="thin">
        <color auto="1"/>
      </right>
      <top style="thin">
        <color auto="1"/>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style="medium">
        <color indexed="64"/>
      </left>
      <right/>
      <top/>
      <bottom style="thin">
        <color auto="1"/>
      </bottom>
      <diagonal/>
    </border>
    <border>
      <left style="thin">
        <color auto="1"/>
      </left>
      <right style="medium">
        <color indexed="64"/>
      </right>
      <top/>
      <bottom/>
      <diagonal/>
    </border>
    <border>
      <left style="thin">
        <color auto="1"/>
      </left>
      <right style="medium">
        <color indexed="64"/>
      </right>
      <top style="medium">
        <color indexed="64"/>
      </top>
      <bottom/>
      <diagonal/>
    </border>
    <border>
      <left style="thin">
        <color auto="1"/>
      </left>
      <right style="thin">
        <color auto="1"/>
      </right>
      <top style="medium">
        <color auto="1"/>
      </top>
      <bottom/>
      <diagonal/>
    </border>
    <border>
      <left style="medium">
        <color indexed="64"/>
      </left>
      <right style="thin">
        <color auto="1"/>
      </right>
      <top style="thin">
        <color auto="1"/>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style="thin">
        <color auto="1"/>
      </top>
      <bottom style="thin">
        <color auto="1"/>
      </bottom>
      <diagonal/>
    </border>
  </borders>
  <cellStyleXfs count="7">
    <xf numFmtId="0" fontId="0" fillId="0" borderId="0"/>
    <xf numFmtId="0" fontId="10" fillId="0" borderId="0"/>
    <xf numFmtId="0" fontId="9" fillId="0" borderId="0"/>
    <xf numFmtId="0" fontId="58" fillId="0" borderId="0"/>
    <xf numFmtId="0" fontId="8" fillId="0" borderId="0"/>
    <xf numFmtId="0" fontId="2" fillId="0" borderId="0"/>
    <xf numFmtId="0" fontId="2" fillId="0" borderId="0"/>
  </cellStyleXfs>
  <cellXfs count="588">
    <xf numFmtId="0" fontId="0" fillId="0" borderId="0" xfId="0"/>
    <xf numFmtId="0" fontId="40" fillId="23" borderId="21"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0" fillId="0" borderId="0" xfId="0" applyAlignment="1">
      <alignment horizontal="right"/>
    </xf>
    <xf numFmtId="0" fontId="0" fillId="4" borderId="4" xfId="0" applyFill="1" applyBorder="1"/>
    <xf numFmtId="164" fontId="0" fillId="4" borderId="4" xfId="0" applyNumberFormat="1" applyFill="1" applyBorder="1" applyAlignment="1">
      <alignment horizontal="center"/>
    </xf>
    <xf numFmtId="0" fontId="11" fillId="4" borderId="3" xfId="0" applyFont="1" applyFill="1" applyBorder="1" applyAlignment="1">
      <alignment horizontal="center"/>
    </xf>
    <xf numFmtId="0" fontId="0" fillId="4" borderId="6" xfId="0" applyFill="1" applyBorder="1" applyAlignment="1">
      <alignment horizontal="center"/>
    </xf>
    <xf numFmtId="0" fontId="14" fillId="4" borderId="2" xfId="0" applyFont="1" applyFill="1" applyBorder="1" applyAlignment="1">
      <alignment horizontal="center"/>
    </xf>
    <xf numFmtId="0" fontId="0" fillId="4" borderId="2" xfId="0" applyFill="1" applyBorder="1" applyAlignment="1">
      <alignment horizontal="center"/>
    </xf>
    <xf numFmtId="165" fontId="0" fillId="4" borderId="2" xfId="0" applyNumberFormat="1" applyFill="1" applyBorder="1" applyAlignment="1">
      <alignment horizontal="center"/>
    </xf>
    <xf numFmtId="0" fontId="15" fillId="0" borderId="2" xfId="0" applyFont="1" applyBorder="1"/>
    <xf numFmtId="0" fontId="15" fillId="5" borderId="2" xfId="0" applyFont="1" applyFill="1" applyBorder="1"/>
    <xf numFmtId="0" fontId="16" fillId="5" borderId="2" xfId="0" applyFont="1" applyFill="1" applyBorder="1"/>
    <xf numFmtId="0" fontId="11" fillId="0" borderId="0" xfId="0" applyFont="1"/>
    <xf numFmtId="0" fontId="0" fillId="0" borderId="0" xfId="0" applyAlignment="1">
      <alignment horizontal="left"/>
    </xf>
    <xf numFmtId="0" fontId="0" fillId="0" borderId="14" xfId="0" applyBorder="1" applyAlignment="1">
      <alignment horizontal="center"/>
    </xf>
    <xf numFmtId="1" fontId="0" fillId="0" borderId="0" xfId="0" applyNumberFormat="1" applyAlignment="1">
      <alignment horizontal="center"/>
    </xf>
    <xf numFmtId="1" fontId="0" fillId="4" borderId="0" xfId="0" applyNumberFormat="1" applyFill="1" applyAlignment="1">
      <alignment horizontal="center"/>
    </xf>
    <xf numFmtId="1" fontId="0" fillId="4" borderId="8" xfId="0" applyNumberFormat="1" applyFill="1" applyBorder="1" applyAlignment="1">
      <alignment horizontal="center"/>
    </xf>
    <xf numFmtId="0" fontId="11" fillId="6" borderId="3" xfId="0" applyFont="1" applyFill="1" applyBorder="1" applyAlignment="1">
      <alignment horizontal="center"/>
    </xf>
    <xf numFmtId="0" fontId="0" fillId="6" borderId="5" xfId="0" applyFill="1" applyBorder="1" applyAlignment="1">
      <alignment horizontal="center"/>
    </xf>
    <xf numFmtId="0" fontId="11" fillId="6" borderId="11" xfId="0" applyFont="1" applyFill="1" applyBorder="1" applyAlignment="1">
      <alignment horizontal="center"/>
    </xf>
    <xf numFmtId="0" fontId="0" fillId="6" borderId="13" xfId="0" applyFill="1" applyBorder="1" applyAlignment="1">
      <alignment horizontal="center"/>
    </xf>
    <xf numFmtId="1" fontId="11" fillId="0" borderId="0" xfId="0" applyNumberFormat="1" applyFont="1" applyAlignment="1">
      <alignment horizontal="center"/>
    </xf>
    <xf numFmtId="1" fontId="11" fillId="4" borderId="0" xfId="0" applyNumberFormat="1" applyFont="1" applyFill="1" applyAlignment="1">
      <alignment horizontal="center"/>
    </xf>
    <xf numFmtId="0" fontId="11" fillId="0" borderId="0" xfId="0" applyFont="1" applyAlignment="1">
      <alignment horizontal="center"/>
    </xf>
    <xf numFmtId="0" fontId="11" fillId="0" borderId="0" xfId="0" applyFont="1" applyAlignment="1">
      <alignment horizontal="right"/>
    </xf>
    <xf numFmtId="0" fontId="10" fillId="2" borderId="0" xfId="1" applyFill="1"/>
    <xf numFmtId="0" fontId="11" fillId="4" borderId="6" xfId="0" applyFont="1" applyFill="1" applyBorder="1" applyAlignment="1">
      <alignment horizontal="center"/>
    </xf>
    <xf numFmtId="0" fontId="17" fillId="3" borderId="0" xfId="1" applyFont="1" applyFill="1"/>
    <xf numFmtId="0" fontId="10" fillId="2" borderId="0" xfId="1" applyFill="1" applyAlignment="1">
      <alignment vertical="center" wrapText="1"/>
    </xf>
    <xf numFmtId="1" fontId="11" fillId="9" borderId="0" xfId="0" applyNumberFormat="1" applyFont="1" applyFill="1" applyAlignment="1">
      <alignment horizontal="center"/>
    </xf>
    <xf numFmtId="0" fontId="11" fillId="6" borderId="3" xfId="0" applyFont="1" applyFill="1" applyBorder="1" applyAlignment="1">
      <alignment horizontal="right"/>
    </xf>
    <xf numFmtId="0" fontId="20" fillId="10" borderId="0" xfId="0" applyFont="1" applyFill="1" applyAlignment="1">
      <alignment horizontal="center"/>
    </xf>
    <xf numFmtId="0" fontId="0" fillId="11" borderId="0" xfId="0" applyFill="1" applyAlignment="1">
      <alignment horizontal="center"/>
    </xf>
    <xf numFmtId="166" fontId="0" fillId="6" borderId="5" xfId="0" applyNumberFormat="1" applyFill="1" applyBorder="1" applyAlignment="1">
      <alignment horizontal="center"/>
    </xf>
    <xf numFmtId="0" fontId="21" fillId="0" borderId="0" xfId="0" applyFont="1"/>
    <xf numFmtId="0" fontId="21" fillId="0" borderId="0" xfId="0" applyFont="1" applyAlignment="1">
      <alignment horizontal="right"/>
    </xf>
    <xf numFmtId="0" fontId="21" fillId="0" borderId="0" xfId="0" applyFont="1" applyAlignment="1">
      <alignment horizontal="center"/>
    </xf>
    <xf numFmtId="0" fontId="22" fillId="6" borderId="3" xfId="0" applyFont="1" applyFill="1" applyBorder="1" applyAlignment="1">
      <alignment horizontal="center"/>
    </xf>
    <xf numFmtId="166" fontId="21" fillId="6" borderId="5" xfId="0" applyNumberFormat="1" applyFont="1" applyFill="1" applyBorder="1" applyAlignment="1">
      <alignment horizontal="center"/>
    </xf>
    <xf numFmtId="0" fontId="15" fillId="12" borderId="2" xfId="0" applyFont="1" applyFill="1" applyBorder="1"/>
    <xf numFmtId="0" fontId="16" fillId="12" borderId="2" xfId="0" applyFont="1" applyFill="1" applyBorder="1"/>
    <xf numFmtId="0" fontId="0" fillId="13" borderId="0" xfId="0" applyFill="1" applyAlignment="1">
      <alignment horizontal="center"/>
    </xf>
    <xf numFmtId="0" fontId="0" fillId="13" borderId="0" xfId="0" applyFill="1"/>
    <xf numFmtId="0" fontId="10" fillId="13" borderId="0" xfId="1" applyFill="1" applyAlignment="1">
      <alignment vertical="center" wrapText="1"/>
    </xf>
    <xf numFmtId="0" fontId="17" fillId="3" borderId="0" xfId="1" applyFont="1" applyFill="1" applyAlignment="1">
      <alignment horizontal="center"/>
    </xf>
    <xf numFmtId="1" fontId="17" fillId="3" borderId="16" xfId="1" applyNumberFormat="1" applyFont="1" applyFill="1" applyBorder="1" applyAlignment="1">
      <alignment horizontal="center"/>
    </xf>
    <xf numFmtId="166" fontId="17" fillId="3" borderId="17" xfId="1" applyNumberFormat="1" applyFont="1" applyFill="1" applyBorder="1" applyAlignment="1">
      <alignment horizontal="center"/>
    </xf>
    <xf numFmtId="0" fontId="23" fillId="0" borderId="0" xfId="0" applyFont="1"/>
    <xf numFmtId="0" fontId="17" fillId="3" borderId="18" xfId="1" applyFont="1" applyFill="1" applyBorder="1" applyAlignment="1">
      <alignment horizontal="center"/>
    </xf>
    <xf numFmtId="0" fontId="17" fillId="3" borderId="19" xfId="1" applyFont="1" applyFill="1" applyBorder="1" applyAlignment="1">
      <alignment horizontal="center"/>
    </xf>
    <xf numFmtId="1" fontId="17" fillId="3" borderId="0" xfId="1" applyNumberFormat="1" applyFont="1" applyFill="1" applyAlignment="1">
      <alignment horizontal="center"/>
    </xf>
    <xf numFmtId="166" fontId="17" fillId="3" borderId="0" xfId="1" applyNumberFormat="1" applyFont="1" applyFill="1" applyAlignment="1">
      <alignment horizontal="center"/>
    </xf>
    <xf numFmtId="1" fontId="0" fillId="4" borderId="0" xfId="0" applyNumberFormat="1" applyFill="1" applyAlignment="1">
      <alignment horizontal="center" wrapText="1"/>
    </xf>
    <xf numFmtId="0" fontId="0" fillId="5" borderId="0" xfId="0" applyFill="1" applyAlignment="1">
      <alignment horizontal="center"/>
    </xf>
    <xf numFmtId="0" fontId="0" fillId="5" borderId="0" xfId="0" applyFill="1"/>
    <xf numFmtId="0" fontId="0" fillId="9" borderId="0" xfId="0" applyFill="1" applyAlignment="1">
      <alignment horizontal="center" wrapText="1"/>
    </xf>
    <xf numFmtId="2" fontId="17" fillId="14" borderId="0" xfId="1" applyNumberFormat="1" applyFont="1" applyFill="1" applyAlignment="1">
      <alignment horizontal="center"/>
    </xf>
    <xf numFmtId="0" fontId="0" fillId="15" borderId="0" xfId="0" applyFill="1"/>
    <xf numFmtId="2" fontId="0" fillId="13" borderId="0" xfId="0" applyNumberFormat="1" applyFill="1" applyAlignment="1">
      <alignment horizontal="center"/>
    </xf>
    <xf numFmtId="0" fontId="24" fillId="0" borderId="0" xfId="0" applyFont="1" applyAlignment="1">
      <alignment vertical="center" wrapText="1"/>
    </xf>
    <xf numFmtId="0" fontId="24" fillId="6" borderId="0" xfId="0" applyFont="1" applyFill="1" applyAlignment="1">
      <alignment vertical="center" wrapText="1"/>
    </xf>
    <xf numFmtId="0" fontId="25" fillId="6" borderId="0" xfId="0" applyFont="1" applyFill="1" applyAlignment="1">
      <alignment vertical="center" wrapText="1"/>
    </xf>
    <xf numFmtId="170" fontId="0" fillId="0" borderId="0" xfId="0" applyNumberFormat="1" applyAlignment="1">
      <alignment horizontal="center"/>
    </xf>
    <xf numFmtId="0" fontId="25" fillId="0" borderId="0" xfId="0" applyFont="1"/>
    <xf numFmtId="0" fontId="25" fillId="0" borderId="0" xfId="0" applyFont="1" applyAlignment="1">
      <alignment vertical="center" wrapText="1"/>
    </xf>
    <xf numFmtId="0" fontId="24" fillId="16" borderId="0" xfId="0" applyFont="1" applyFill="1" applyAlignment="1">
      <alignment vertical="center" wrapText="1"/>
    </xf>
    <xf numFmtId="0" fontId="25" fillId="16" borderId="0" xfId="0" applyFont="1" applyFill="1" applyAlignment="1">
      <alignment vertical="center" wrapText="1"/>
    </xf>
    <xf numFmtId="0" fontId="0" fillId="13" borderId="0" xfId="0" applyFill="1" applyAlignment="1">
      <alignment horizontal="left"/>
    </xf>
    <xf numFmtId="0" fontId="17" fillId="6" borderId="0" xfId="1" applyFont="1" applyFill="1"/>
    <xf numFmtId="0" fontId="0" fillId="17" borderId="0" xfId="0" applyFill="1"/>
    <xf numFmtId="0" fontId="0" fillId="5" borderId="0" xfId="0" applyFill="1" applyAlignment="1">
      <alignment horizontal="left"/>
    </xf>
    <xf numFmtId="0" fontId="17" fillId="16" borderId="0" xfId="1" applyFont="1" applyFill="1"/>
    <xf numFmtId="0" fontId="11" fillId="5" borderId="0" xfId="0" applyFont="1" applyFill="1" applyAlignment="1">
      <alignment horizontal="center"/>
    </xf>
    <xf numFmtId="0" fontId="17" fillId="18" borderId="0" xfId="1" applyFont="1" applyFill="1"/>
    <xf numFmtId="0" fontId="24" fillId="18" borderId="0" xfId="0" applyFont="1" applyFill="1" applyAlignment="1">
      <alignment vertical="center" wrapText="1"/>
    </xf>
    <xf numFmtId="0" fontId="25" fillId="18" borderId="0" xfId="0" applyFont="1" applyFill="1" applyAlignment="1">
      <alignment vertical="center" wrapText="1"/>
    </xf>
    <xf numFmtId="0" fontId="16" fillId="9" borderId="2" xfId="0" applyFont="1" applyFill="1" applyBorder="1"/>
    <xf numFmtId="0" fontId="25" fillId="0" borderId="0" xfId="0" applyFont="1" applyAlignment="1">
      <alignment horizontal="center" vertical="center" wrapText="1"/>
    </xf>
    <xf numFmtId="0" fontId="17" fillId="2" borderId="0" xfId="1" applyFont="1" applyFill="1" applyAlignment="1">
      <alignment vertical="center" wrapText="1"/>
    </xf>
    <xf numFmtId="1" fontId="11" fillId="4" borderId="0" xfId="0" applyNumberFormat="1" applyFont="1" applyFill="1" applyAlignment="1">
      <alignment horizontal="center" wrapText="1"/>
    </xf>
    <xf numFmtId="1" fontId="11" fillId="19" borderId="0" xfId="0" applyNumberFormat="1" applyFont="1" applyFill="1" applyAlignment="1">
      <alignment horizontal="center"/>
    </xf>
    <xf numFmtId="1" fontId="23" fillId="4" borderId="8" xfId="0" applyNumberFormat="1" applyFont="1" applyFill="1" applyBorder="1" applyAlignment="1">
      <alignment horizontal="center"/>
    </xf>
    <xf numFmtId="0" fontId="17" fillId="14" borderId="0" xfId="1" applyFont="1" applyFill="1" applyAlignment="1">
      <alignment horizontal="center"/>
    </xf>
    <xf numFmtId="0" fontId="0" fillId="19" borderId="0" xfId="0" applyFill="1" applyAlignment="1">
      <alignment vertical="center" wrapText="1"/>
    </xf>
    <xf numFmtId="2" fontId="0" fillId="5" borderId="0" xfId="0" applyNumberFormat="1" applyFill="1" applyAlignment="1">
      <alignment horizontal="center"/>
    </xf>
    <xf numFmtId="0" fontId="11" fillId="9" borderId="0" xfId="0" applyFont="1" applyFill="1" applyAlignment="1">
      <alignment horizontal="center" wrapText="1"/>
    </xf>
    <xf numFmtId="0" fontId="0" fillId="19" borderId="0" xfId="0" applyFill="1"/>
    <xf numFmtId="0" fontId="17" fillId="5" borderId="0" xfId="1" applyFont="1" applyFill="1" applyAlignment="1">
      <alignment horizontal="center"/>
    </xf>
    <xf numFmtId="0" fontId="11" fillId="13" borderId="0" xfId="0" applyFont="1" applyFill="1" applyAlignment="1">
      <alignment horizontal="center"/>
    </xf>
    <xf numFmtId="0" fontId="0" fillId="13" borderId="0" xfId="0" applyFill="1" applyAlignment="1">
      <alignment vertical="center" wrapText="1"/>
    </xf>
    <xf numFmtId="0" fontId="17" fillId="13" borderId="0" xfId="1" applyFont="1" applyFill="1" applyAlignment="1">
      <alignment horizontal="center"/>
    </xf>
    <xf numFmtId="0" fontId="0" fillId="0" borderId="0" xfId="0" applyAlignment="1">
      <alignment vertical="center" wrapText="1"/>
    </xf>
    <xf numFmtId="2" fontId="17" fillId="3" borderId="0" xfId="1" applyNumberFormat="1" applyFont="1" applyFill="1" applyAlignment="1">
      <alignment horizontal="center"/>
    </xf>
    <xf numFmtId="2" fontId="0" fillId="0" borderId="0" xfId="0" applyNumberFormat="1"/>
    <xf numFmtId="1" fontId="11" fillId="9" borderId="0" xfId="0" applyNumberFormat="1" applyFont="1" applyFill="1" applyAlignment="1">
      <alignment horizontal="center" wrapText="1"/>
    </xf>
    <xf numFmtId="1" fontId="23" fillId="0" borderId="0" xfId="0" applyNumberFormat="1" applyFont="1" applyAlignment="1">
      <alignment horizontal="center"/>
    </xf>
    <xf numFmtId="0" fontId="23" fillId="0" borderId="0" xfId="0" applyFont="1" applyAlignment="1">
      <alignment horizontal="center"/>
    </xf>
    <xf numFmtId="169" fontId="17" fillId="16" borderId="0" xfId="1" applyNumberFormat="1" applyFont="1" applyFill="1"/>
    <xf numFmtId="0" fontId="26" fillId="0" borderId="0" xfId="0" applyFont="1" applyAlignment="1">
      <alignment horizontal="center"/>
    </xf>
    <xf numFmtId="0" fontId="26" fillId="0" borderId="0" xfId="0" applyFont="1"/>
    <xf numFmtId="0" fontId="26" fillId="0" borderId="0" xfId="0" applyFont="1" applyAlignment="1">
      <alignment horizontal="right"/>
    </xf>
    <xf numFmtId="169" fontId="0" fillId="5" borderId="0" xfId="0" applyNumberFormat="1" applyFill="1"/>
    <xf numFmtId="170" fontId="11" fillId="5" borderId="0" xfId="0" applyNumberFormat="1" applyFont="1" applyFill="1" applyAlignment="1">
      <alignment horizontal="center"/>
    </xf>
    <xf numFmtId="169" fontId="17" fillId="5" borderId="0" xfId="1" applyNumberFormat="1" applyFont="1" applyFill="1" applyAlignment="1">
      <alignment horizontal="center"/>
    </xf>
    <xf numFmtId="169" fontId="17" fillId="3" borderId="0" xfId="1" applyNumberFormat="1" applyFont="1" applyFill="1" applyAlignment="1">
      <alignment horizontal="center"/>
    </xf>
    <xf numFmtId="169" fontId="0" fillId="13" borderId="0" xfId="0" applyNumberFormat="1" applyFill="1" applyAlignment="1">
      <alignment horizontal="center"/>
    </xf>
    <xf numFmtId="0" fontId="0" fillId="17" borderId="0" xfId="0" applyFill="1" applyAlignment="1">
      <alignment horizontal="center"/>
    </xf>
    <xf numFmtId="0" fontId="27" fillId="0" borderId="0" xfId="0" applyFont="1" applyAlignment="1">
      <alignment horizontal="right"/>
    </xf>
    <xf numFmtId="0" fontId="15" fillId="6" borderId="2" xfId="0" applyFont="1" applyFill="1" applyBorder="1"/>
    <xf numFmtId="0" fontId="28" fillId="6" borderId="2" xfId="0" applyFont="1" applyFill="1" applyBorder="1"/>
    <xf numFmtId="0" fontId="11" fillId="6" borderId="0" xfId="0" applyFont="1" applyFill="1" applyAlignment="1">
      <alignment horizontal="center"/>
    </xf>
    <xf numFmtId="1" fontId="29" fillId="6" borderId="0" xfId="0" applyNumberFormat="1" applyFont="1" applyFill="1" applyAlignment="1">
      <alignment horizontal="center"/>
    </xf>
    <xf numFmtId="2" fontId="17" fillId="5" borderId="0" xfId="1" applyNumberFormat="1" applyFont="1" applyFill="1" applyAlignment="1">
      <alignment horizontal="center"/>
    </xf>
    <xf numFmtId="0" fontId="30" fillId="5" borderId="0" xfId="0" applyFont="1" applyFill="1" applyAlignment="1">
      <alignment horizontal="center"/>
    </xf>
    <xf numFmtId="1" fontId="0" fillId="6" borderId="0" xfId="0" applyNumberFormat="1" applyFill="1" applyAlignment="1">
      <alignment horizontal="center" wrapText="1"/>
    </xf>
    <xf numFmtId="1" fontId="26" fillId="9" borderId="0" xfId="0" applyNumberFormat="1" applyFont="1" applyFill="1" applyAlignment="1">
      <alignment horizontal="center"/>
    </xf>
    <xf numFmtId="0" fontId="31" fillId="5" borderId="2" xfId="0" applyFont="1" applyFill="1" applyBorder="1"/>
    <xf numFmtId="2" fontId="0" fillId="14" borderId="0" xfId="0" applyNumberFormat="1" applyFill="1"/>
    <xf numFmtId="1" fontId="0" fillId="9" borderId="0" xfId="0" applyNumberFormat="1" applyFill="1" applyAlignment="1">
      <alignment horizontal="center" wrapText="1"/>
    </xf>
    <xf numFmtId="1" fontId="26" fillId="4" borderId="8" xfId="0" applyNumberFormat="1" applyFont="1" applyFill="1" applyBorder="1" applyAlignment="1">
      <alignment horizontal="center"/>
    </xf>
    <xf numFmtId="1" fontId="23" fillId="9" borderId="0" xfId="0" applyNumberFormat="1" applyFont="1" applyFill="1" applyAlignment="1">
      <alignment horizontal="center"/>
    </xf>
    <xf numFmtId="1" fontId="23" fillId="4" borderId="0" xfId="0" applyNumberFormat="1" applyFont="1" applyFill="1" applyAlignment="1">
      <alignment horizontal="center" wrapText="1"/>
    </xf>
    <xf numFmtId="1" fontId="0" fillId="9" borderId="0" xfId="0" applyNumberFormat="1" applyFill="1" applyAlignment="1">
      <alignment horizontal="center"/>
    </xf>
    <xf numFmtId="2" fontId="17" fillId="13" borderId="0" xfId="1" applyNumberFormat="1" applyFont="1" applyFill="1" applyAlignment="1">
      <alignment horizontal="center"/>
    </xf>
    <xf numFmtId="0" fontId="20" fillId="0" borderId="0" xfId="0" applyFont="1"/>
    <xf numFmtId="1" fontId="32" fillId="4" borderId="0" xfId="0" applyNumberFormat="1" applyFont="1" applyFill="1" applyAlignment="1">
      <alignment horizontal="center" wrapText="1"/>
    </xf>
    <xf numFmtId="1" fontId="26" fillId="0" borderId="0" xfId="0" applyNumberFormat="1" applyFont="1" applyAlignment="1">
      <alignment horizontal="center"/>
    </xf>
    <xf numFmtId="0" fontId="0" fillId="6" borderId="0" xfId="0" applyFill="1" applyAlignment="1">
      <alignment vertical="center" wrapText="1"/>
    </xf>
    <xf numFmtId="0" fontId="0" fillId="6" borderId="0" xfId="0" applyFill="1"/>
    <xf numFmtId="1" fontId="21" fillId="0" borderId="0" xfId="0" applyNumberFormat="1" applyFont="1" applyAlignment="1">
      <alignment horizontal="center"/>
    </xf>
    <xf numFmtId="0" fontId="0" fillId="20" borderId="0" xfId="0" applyFill="1"/>
    <xf numFmtId="0" fontId="33" fillId="0" borderId="0" xfId="0" applyFont="1"/>
    <xf numFmtId="1" fontId="11" fillId="4" borderId="6" xfId="0" applyNumberFormat="1" applyFont="1" applyFill="1" applyBorder="1" applyAlignment="1">
      <alignment horizontal="center"/>
    </xf>
    <xf numFmtId="0" fontId="11" fillId="7" borderId="2" xfId="0" applyFont="1" applyFill="1" applyBorder="1" applyAlignment="1">
      <alignment horizontal="center"/>
    </xf>
    <xf numFmtId="0" fontId="11" fillId="7" borderId="2" xfId="0" applyFont="1" applyFill="1" applyBorder="1" applyAlignment="1">
      <alignment horizontal="center" wrapText="1"/>
    </xf>
    <xf numFmtId="0" fontId="0" fillId="7" borderId="2" xfId="0" applyFill="1" applyBorder="1" applyAlignment="1">
      <alignment horizontal="center"/>
    </xf>
    <xf numFmtId="0" fontId="0" fillId="0" borderId="2" xfId="0" applyBorder="1"/>
    <xf numFmtId="0" fontId="0" fillId="0" borderId="2" xfId="0" applyBorder="1" applyAlignment="1">
      <alignment horizontal="right"/>
    </xf>
    <xf numFmtId="0" fontId="11" fillId="22" borderId="2" xfId="0" applyFont="1" applyFill="1" applyBorder="1" applyAlignment="1">
      <alignment horizontal="center"/>
    </xf>
    <xf numFmtId="0" fontId="11" fillId="0" borderId="2" xfId="0" applyFont="1" applyBorder="1" applyAlignment="1">
      <alignment horizontal="center"/>
    </xf>
    <xf numFmtId="0" fontId="11" fillId="0" borderId="2" xfId="0" applyFont="1" applyBorder="1"/>
    <xf numFmtId="0" fontId="38" fillId="0" borderId="0" xfId="0" applyFont="1"/>
    <xf numFmtId="0" fontId="37" fillId="0" borderId="0" xfId="0" applyFont="1"/>
    <xf numFmtId="0" fontId="38" fillId="0" borderId="0" xfId="0" applyFont="1" applyAlignment="1">
      <alignment horizontal="center"/>
    </xf>
    <xf numFmtId="0" fontId="39" fillId="0" borderId="0" xfId="0" applyFont="1" applyAlignment="1">
      <alignment horizontal="center"/>
    </xf>
    <xf numFmtId="0" fontId="11" fillId="0" borderId="2" xfId="0" applyFont="1" applyBorder="1" applyAlignment="1">
      <alignment horizontal="left"/>
    </xf>
    <xf numFmtId="0" fontId="40" fillId="23" borderId="16" xfId="0" applyFont="1" applyFill="1" applyBorder="1" applyAlignment="1">
      <alignment vertical="center" wrapText="1"/>
    </xf>
    <xf numFmtId="0" fontId="40" fillId="23" borderId="2" xfId="0" applyFont="1" applyFill="1" applyBorder="1" applyAlignment="1">
      <alignment vertical="center" wrapText="1"/>
    </xf>
    <xf numFmtId="0" fontId="42" fillId="0" borderId="2" xfId="0" applyFont="1" applyBorder="1" applyAlignment="1">
      <alignment horizontal="center" wrapText="1" readingOrder="1"/>
    </xf>
    <xf numFmtId="168" fontId="42" fillId="0" borderId="7" xfId="0" applyNumberFormat="1" applyFont="1" applyBorder="1" applyAlignment="1">
      <alignment horizontal="right" wrapText="1" readingOrder="1"/>
    </xf>
    <xf numFmtId="168" fontId="42" fillId="0" borderId="7" xfId="0" applyNumberFormat="1" applyFont="1" applyBorder="1" applyAlignment="1">
      <alignment horizontal="right"/>
    </xf>
    <xf numFmtId="168" fontId="42" fillId="0" borderId="2" xfId="0" applyNumberFormat="1" applyFont="1" applyBorder="1" applyAlignment="1">
      <alignment horizontal="right" wrapText="1" readingOrder="1"/>
    </xf>
    <xf numFmtId="168" fontId="42" fillId="0" borderId="2" xfId="0" applyNumberFormat="1" applyFont="1" applyBorder="1" applyAlignment="1">
      <alignment horizontal="right"/>
    </xf>
    <xf numFmtId="0" fontId="42" fillId="0" borderId="2" xfId="0" applyFont="1" applyBorder="1"/>
    <xf numFmtId="0" fontId="43" fillId="0" borderId="0" xfId="0" applyFont="1"/>
    <xf numFmtId="0" fontId="10" fillId="0" borderId="3" xfId="0" applyFont="1" applyBorder="1"/>
    <xf numFmtId="0" fontId="10" fillId="0" borderId="4" xfId="0" applyFont="1" applyBorder="1"/>
    <xf numFmtId="0" fontId="10" fillId="0" borderId="5" xfId="0" applyFont="1" applyBorder="1"/>
    <xf numFmtId="0" fontId="10" fillId="0" borderId="6" xfId="0" applyFont="1" applyBorder="1"/>
    <xf numFmtId="0" fontId="10" fillId="0" borderId="0" xfId="0" applyFont="1"/>
    <xf numFmtId="2" fontId="10" fillId="0" borderId="8" xfId="0" applyNumberFormat="1" applyFont="1" applyBorder="1"/>
    <xf numFmtId="0" fontId="10" fillId="0" borderId="8" xfId="0" applyFont="1" applyBorder="1"/>
    <xf numFmtId="0" fontId="0" fillId="0" borderId="8" xfId="0" applyBorder="1"/>
    <xf numFmtId="1" fontId="10" fillId="0" borderId="8" xfId="0" applyNumberFormat="1" applyFont="1" applyBorder="1"/>
    <xf numFmtId="1" fontId="17" fillId="0" borderId="8" xfId="0" applyNumberFormat="1" applyFont="1" applyBorder="1"/>
    <xf numFmtId="0" fontId="10" fillId="0" borderId="11" xfId="0" applyFont="1" applyBorder="1"/>
    <xf numFmtId="0" fontId="10" fillId="0" borderId="12" xfId="0" applyFont="1" applyBorder="1"/>
    <xf numFmtId="1" fontId="17" fillId="0" borderId="13" xfId="0" applyNumberFormat="1" applyFont="1" applyBorder="1"/>
    <xf numFmtId="1" fontId="45" fillId="0" borderId="0" xfId="0" applyNumberFormat="1" applyFont="1" applyAlignment="1">
      <alignment horizontal="center"/>
    </xf>
    <xf numFmtId="0" fontId="0" fillId="28" borderId="0" xfId="0" applyFill="1"/>
    <xf numFmtId="1" fontId="0" fillId="31" borderId="0" xfId="0" applyNumberFormat="1" applyFill="1" applyAlignment="1">
      <alignment horizontal="center"/>
    </xf>
    <xf numFmtId="2" fontId="17" fillId="5" borderId="1" xfId="1" applyNumberFormat="1" applyFont="1" applyFill="1" applyBorder="1" applyAlignment="1">
      <alignment horizontal="center"/>
    </xf>
    <xf numFmtId="1" fontId="49" fillId="0" borderId="0" xfId="0" applyNumberFormat="1" applyFont="1" applyAlignment="1">
      <alignment horizontal="center"/>
    </xf>
    <xf numFmtId="2" fontId="17" fillId="5" borderId="23" xfId="1" applyNumberFormat="1" applyFont="1" applyFill="1" applyBorder="1" applyAlignment="1">
      <alignment horizontal="center"/>
    </xf>
    <xf numFmtId="1" fontId="0" fillId="34" borderId="0" xfId="0" applyNumberFormat="1" applyFill="1" applyAlignment="1">
      <alignment horizontal="center"/>
    </xf>
    <xf numFmtId="0" fontId="50" fillId="13" borderId="0" xfId="0" applyFont="1" applyFill="1" applyAlignment="1">
      <alignment horizontal="center"/>
    </xf>
    <xf numFmtId="1" fontId="49" fillId="4" borderId="0" xfId="0" applyNumberFormat="1" applyFont="1" applyFill="1" applyAlignment="1">
      <alignment horizontal="center"/>
    </xf>
    <xf numFmtId="1" fontId="50" fillId="0" borderId="0" xfId="0" applyNumberFormat="1" applyFont="1" applyAlignment="1">
      <alignment horizontal="center"/>
    </xf>
    <xf numFmtId="2" fontId="17" fillId="37" borderId="0" xfId="1" applyNumberFormat="1" applyFont="1" applyFill="1" applyAlignment="1">
      <alignment horizontal="center"/>
    </xf>
    <xf numFmtId="0" fontId="0" fillId="35" borderId="0" xfId="0" applyFill="1" applyAlignment="1">
      <alignment horizontal="right"/>
    </xf>
    <xf numFmtId="1" fontId="0" fillId="38" borderId="0" xfId="0" applyNumberFormat="1" applyFill="1" applyAlignment="1">
      <alignment horizontal="center"/>
    </xf>
    <xf numFmtId="1" fontId="50" fillId="4" borderId="8" xfId="0" applyNumberFormat="1" applyFont="1" applyFill="1" applyBorder="1" applyAlignment="1">
      <alignment horizontal="center"/>
    </xf>
    <xf numFmtId="1" fontId="0" fillId="40" borderId="0" xfId="0" applyNumberFormat="1" applyFill="1" applyAlignment="1">
      <alignment horizontal="center"/>
    </xf>
    <xf numFmtId="2" fontId="11" fillId="28" borderId="0" xfId="0" applyNumberFormat="1" applyFont="1" applyFill="1" applyAlignment="1">
      <alignment horizontal="center"/>
    </xf>
    <xf numFmtId="1" fontId="0" fillId="42" borderId="0" xfId="0" applyNumberFormat="1" applyFill="1" applyAlignment="1">
      <alignment horizontal="center"/>
    </xf>
    <xf numFmtId="1" fontId="54" fillId="0" borderId="0" xfId="0" applyNumberFormat="1" applyFont="1" applyAlignment="1">
      <alignment horizontal="center"/>
    </xf>
    <xf numFmtId="1" fontId="54" fillId="0" borderId="0" xfId="0" applyNumberFormat="1" applyFont="1" applyAlignment="1">
      <alignment horizontal="left"/>
    </xf>
    <xf numFmtId="0" fontId="55" fillId="0" borderId="0" xfId="0" applyFont="1" applyAlignment="1">
      <alignment horizontal="center"/>
    </xf>
    <xf numFmtId="0" fontId="55" fillId="0" borderId="0" xfId="0" applyFont="1" applyAlignment="1">
      <alignment horizontal="right"/>
    </xf>
    <xf numFmtId="1" fontId="56" fillId="4" borderId="8" xfId="0" applyNumberFormat="1" applyFont="1" applyFill="1" applyBorder="1" applyAlignment="1">
      <alignment horizontal="center"/>
    </xf>
    <xf numFmtId="1" fontId="56" fillId="46" borderId="0" xfId="0" applyNumberFormat="1" applyFont="1" applyFill="1" applyAlignment="1">
      <alignment horizontal="center"/>
    </xf>
    <xf numFmtId="0" fontId="57" fillId="0" borderId="0" xfId="0" applyFont="1"/>
    <xf numFmtId="0" fontId="58" fillId="0" borderId="0" xfId="3"/>
    <xf numFmtId="22" fontId="58" fillId="0" borderId="0" xfId="3" applyNumberFormat="1"/>
    <xf numFmtId="0" fontId="11" fillId="49" borderId="0" xfId="0" applyFont="1" applyFill="1"/>
    <xf numFmtId="0" fontId="0" fillId="49" borderId="0" xfId="0" applyFill="1"/>
    <xf numFmtId="0" fontId="13" fillId="50" borderId="0" xfId="0" applyFont="1" applyFill="1" applyAlignment="1">
      <alignment horizontal="center"/>
    </xf>
    <xf numFmtId="0" fontId="13" fillId="50" borderId="0" xfId="0" applyFont="1" applyFill="1" applyAlignment="1">
      <alignment vertical="center"/>
    </xf>
    <xf numFmtId="0" fontId="0" fillId="51" borderId="0" xfId="0" applyFill="1" applyAlignment="1">
      <alignment horizontal="center"/>
    </xf>
    <xf numFmtId="0" fontId="0" fillId="52" borderId="0" xfId="0" applyFill="1" applyAlignment="1">
      <alignment horizontal="center"/>
    </xf>
    <xf numFmtId="0" fontId="59" fillId="52" borderId="0" xfId="0" applyFont="1" applyFill="1" applyAlignment="1">
      <alignment horizontal="center"/>
    </xf>
    <xf numFmtId="0" fontId="59" fillId="52" borderId="0" xfId="0" applyFont="1" applyFill="1" applyAlignment="1">
      <alignment vertical="center"/>
    </xf>
    <xf numFmtId="171" fontId="0" fillId="0" borderId="0" xfId="0" applyNumberFormat="1"/>
    <xf numFmtId="0" fontId="8" fillId="0" borderId="0" xfId="4"/>
    <xf numFmtId="164" fontId="21" fillId="44" borderId="0" xfId="4" applyNumberFormat="1" applyFont="1" applyFill="1" applyAlignment="1">
      <alignment horizontal="right"/>
    </xf>
    <xf numFmtId="164" fontId="8" fillId="44" borderId="0" xfId="4" applyNumberFormat="1" applyFill="1"/>
    <xf numFmtId="0" fontId="8" fillId="0" borderId="0" xfId="4" applyAlignment="1">
      <alignment horizontal="right"/>
    </xf>
    <xf numFmtId="1" fontId="8" fillId="0" borderId="0" xfId="4" applyNumberFormat="1" applyAlignment="1">
      <alignment horizontal="right"/>
    </xf>
    <xf numFmtId="0" fontId="8" fillId="0" borderId="0" xfId="4" applyAlignment="1">
      <alignment horizontal="center"/>
    </xf>
    <xf numFmtId="0" fontId="11" fillId="0" borderId="0" xfId="4" applyFont="1" applyAlignment="1">
      <alignment horizontal="center" wrapText="1"/>
    </xf>
    <xf numFmtId="0" fontId="60" fillId="0" borderId="19" xfId="4" applyFont="1" applyBorder="1" applyAlignment="1">
      <alignment horizontal="center" wrapText="1"/>
    </xf>
    <xf numFmtId="0" fontId="60" fillId="0" borderId="1" xfId="4" applyFont="1" applyBorder="1" applyAlignment="1">
      <alignment horizontal="center" wrapText="1"/>
    </xf>
    <xf numFmtId="0" fontId="60" fillId="0" borderId="18" xfId="4" applyFont="1" applyBorder="1" applyAlignment="1">
      <alignment horizontal="center" wrapText="1"/>
    </xf>
    <xf numFmtId="0" fontId="61" fillId="36" borderId="0" xfId="4" applyFont="1" applyFill="1" applyAlignment="1">
      <alignment horizontal="center" wrapText="1"/>
    </xf>
    <xf numFmtId="0" fontId="61" fillId="30" borderId="0" xfId="4" applyFont="1" applyFill="1" applyAlignment="1">
      <alignment horizontal="center" wrapText="1"/>
    </xf>
    <xf numFmtId="167" fontId="61" fillId="36" borderId="0" xfId="4" applyNumberFormat="1" applyFont="1" applyFill="1" applyAlignment="1">
      <alignment horizontal="center" wrapText="1"/>
    </xf>
    <xf numFmtId="1" fontId="11" fillId="0" borderId="0" xfId="4" applyNumberFormat="1" applyFont="1" applyAlignment="1">
      <alignment horizontal="center" wrapText="1"/>
    </xf>
    <xf numFmtId="1" fontId="11" fillId="0" borderId="0" xfId="4" applyNumberFormat="1" applyFont="1" applyAlignment="1">
      <alignment horizontal="right" wrapText="1"/>
    </xf>
    <xf numFmtId="0" fontId="11" fillId="0" borderId="0" xfId="4" applyFont="1" applyAlignment="1">
      <alignment horizontal="right" wrapText="1"/>
    </xf>
    <xf numFmtId="0" fontId="8" fillId="0" borderId="17" xfId="4" applyBorder="1" applyAlignment="1">
      <alignment horizontal="center"/>
    </xf>
    <xf numFmtId="0" fontId="8" fillId="0" borderId="24" xfId="4" applyBorder="1" applyAlignment="1">
      <alignment horizontal="center"/>
    </xf>
    <xf numFmtId="0" fontId="8" fillId="0" borderId="16" xfId="4" applyBorder="1" applyAlignment="1">
      <alignment horizontal="center"/>
    </xf>
    <xf numFmtId="0" fontId="8" fillId="36" borderId="0" xfId="4" applyFill="1" applyAlignment="1">
      <alignment horizontal="center"/>
    </xf>
    <xf numFmtId="0" fontId="8" fillId="30" borderId="0" xfId="4" applyFill="1" applyAlignment="1">
      <alignment horizontal="center"/>
    </xf>
    <xf numFmtId="1" fontId="8" fillId="0" borderId="0" xfId="4" applyNumberFormat="1"/>
    <xf numFmtId="167" fontId="8" fillId="0" borderId="0" xfId="4" applyNumberFormat="1" applyAlignment="1">
      <alignment horizontal="center"/>
    </xf>
    <xf numFmtId="167" fontId="8" fillId="0" borderId="0" xfId="4" applyNumberFormat="1"/>
    <xf numFmtId="1" fontId="8" fillId="53" borderId="0" xfId="4" applyNumberFormat="1" applyFill="1" applyAlignment="1">
      <alignment horizontal="right"/>
    </xf>
    <xf numFmtId="0" fontId="8" fillId="53" borderId="0" xfId="4" applyFill="1" applyAlignment="1">
      <alignment horizontal="right"/>
    </xf>
    <xf numFmtId="164" fontId="8" fillId="53" borderId="0" xfId="4" applyNumberFormat="1" applyFill="1"/>
    <xf numFmtId="0" fontId="8" fillId="53" borderId="0" xfId="4" applyFill="1"/>
    <xf numFmtId="164" fontId="8" fillId="0" borderId="0" xfId="4" applyNumberFormat="1"/>
    <xf numFmtId="164" fontId="8" fillId="0" borderId="0" xfId="4" applyNumberFormat="1" applyAlignment="1">
      <alignment horizontal="right"/>
    </xf>
    <xf numFmtId="164" fontId="8" fillId="0" borderId="0" xfId="4" applyNumberFormat="1" applyAlignment="1">
      <alignment horizontal="center"/>
    </xf>
    <xf numFmtId="1" fontId="0" fillId="24" borderId="0" xfId="0" applyNumberFormat="1" applyFill="1" applyAlignment="1">
      <alignment horizontal="center"/>
    </xf>
    <xf numFmtId="0" fontId="7" fillId="0" borderId="0" xfId="4" applyFont="1" applyAlignment="1">
      <alignment horizontal="center"/>
    </xf>
    <xf numFmtId="164" fontId="0" fillId="44" borderId="0" xfId="4" applyNumberFormat="1" applyFont="1" applyFill="1" applyAlignment="1">
      <alignment horizontal="right"/>
    </xf>
    <xf numFmtId="1" fontId="8" fillId="53" borderId="0" xfId="4" applyNumberFormat="1" applyFill="1"/>
    <xf numFmtId="0" fontId="11" fillId="0" borderId="0" xfId="4" applyFont="1" applyAlignment="1">
      <alignment wrapText="1"/>
    </xf>
    <xf numFmtId="1" fontId="6" fillId="0" borderId="0" xfId="4" applyNumberFormat="1" applyFont="1"/>
    <xf numFmtId="0" fontId="64" fillId="0" borderId="0" xfId="4" applyFont="1"/>
    <xf numFmtId="0" fontId="6" fillId="0" borderId="0" xfId="4" applyFont="1"/>
    <xf numFmtId="164" fontId="5" fillId="0" borderId="0" xfId="4" applyNumberFormat="1" applyFont="1" applyAlignment="1">
      <alignment horizontal="right"/>
    </xf>
    <xf numFmtId="0" fontId="65" fillId="0" borderId="0" xfId="4" applyFont="1" applyAlignment="1">
      <alignment horizontal="center"/>
    </xf>
    <xf numFmtId="0" fontId="52" fillId="0" borderId="0" xfId="4" applyFont="1" applyAlignment="1">
      <alignment horizontal="center"/>
    </xf>
    <xf numFmtId="0" fontId="0" fillId="0" borderId="25" xfId="0" applyBorder="1" applyAlignment="1">
      <alignment horizontal="center"/>
    </xf>
    <xf numFmtId="0" fontId="19" fillId="0" borderId="0" xfId="0" applyFont="1"/>
    <xf numFmtId="0" fontId="0" fillId="54" borderId="0" xfId="0" applyFill="1"/>
    <xf numFmtId="0" fontId="0" fillId="0" borderId="9" xfId="0" applyBorder="1" applyAlignment="1">
      <alignment horizontal="center"/>
    </xf>
    <xf numFmtId="164" fontId="4" fillId="44" borderId="0" xfId="4" applyNumberFormat="1" applyFont="1" applyFill="1" applyAlignment="1">
      <alignment horizontal="right"/>
    </xf>
    <xf numFmtId="171" fontId="0" fillId="11" borderId="0" xfId="0" applyNumberFormat="1" applyFill="1" applyAlignment="1">
      <alignment horizontal="center"/>
    </xf>
    <xf numFmtId="171" fontId="0" fillId="11" borderId="0" xfId="0" applyNumberFormat="1" applyFill="1" applyAlignment="1">
      <alignment horizontal="right"/>
    </xf>
    <xf numFmtId="0" fontId="0" fillId="0" borderId="10" xfId="0" applyBorder="1" applyAlignment="1">
      <alignment horizontal="center"/>
    </xf>
    <xf numFmtId="0" fontId="0" fillId="0" borderId="7" xfId="0" applyBorder="1" applyAlignment="1">
      <alignment horizontal="center"/>
    </xf>
    <xf numFmtId="0" fontId="0" fillId="0" borderId="29" xfId="0" applyBorder="1" applyAlignment="1">
      <alignment horizontal="center"/>
    </xf>
    <xf numFmtId="0" fontId="24" fillId="0" borderId="0" xfId="0" applyFont="1" applyAlignment="1">
      <alignment horizontal="center"/>
    </xf>
    <xf numFmtId="0" fontId="0" fillId="56" borderId="29" xfId="0" applyFill="1" applyBorder="1" applyAlignment="1">
      <alignment horizontal="center"/>
    </xf>
    <xf numFmtId="168" fontId="0" fillId="56" borderId="29" xfId="0" applyNumberFormat="1" applyFill="1" applyBorder="1" applyAlignment="1">
      <alignment horizontal="center"/>
    </xf>
    <xf numFmtId="0" fontId="0" fillId="55" borderId="9" xfId="0" applyFill="1" applyBorder="1" applyAlignment="1">
      <alignment horizontal="center"/>
    </xf>
    <xf numFmtId="0" fontId="0" fillId="55" borderId="16" xfId="0" applyFill="1" applyBorder="1" applyAlignment="1">
      <alignment horizontal="center"/>
    </xf>
    <xf numFmtId="0" fontId="0" fillId="55" borderId="7" xfId="0" applyFill="1" applyBorder="1" applyAlignment="1">
      <alignment horizontal="center"/>
    </xf>
    <xf numFmtId="0" fontId="0" fillId="55" borderId="18" xfId="0" applyFill="1" applyBorder="1" applyAlignment="1">
      <alignment horizontal="center"/>
    </xf>
    <xf numFmtId="0" fontId="0" fillId="0" borderId="29" xfId="0" applyBorder="1"/>
    <xf numFmtId="0" fontId="0" fillId="24" borderId="0" xfId="0" applyFill="1"/>
    <xf numFmtId="0" fontId="0" fillId="30" borderId="0" xfId="0" applyFill="1"/>
    <xf numFmtId="0" fontId="0" fillId="55" borderId="9" xfId="0" applyFill="1" applyBorder="1"/>
    <xf numFmtId="0" fontId="0" fillId="0" borderId="9" xfId="0" applyBorder="1"/>
    <xf numFmtId="0" fontId="0" fillId="55" borderId="10" xfId="0" applyFill="1" applyBorder="1"/>
    <xf numFmtId="0" fontId="0" fillId="0" borderId="10" xfId="0" applyBorder="1"/>
    <xf numFmtId="0" fontId="0" fillId="55" borderId="7" xfId="0" applyFill="1" applyBorder="1"/>
    <xf numFmtId="0" fontId="0" fillId="0" borderId="7" xfId="0" applyBorder="1"/>
    <xf numFmtId="0" fontId="46" fillId="25" borderId="22" xfId="0" applyFont="1" applyFill="1" applyBorder="1"/>
    <xf numFmtId="0" fontId="21" fillId="2" borderId="0" xfId="1" applyFont="1" applyFill="1"/>
    <xf numFmtId="0" fontId="0" fillId="26" borderId="0" xfId="0" applyFill="1"/>
    <xf numFmtId="0" fontId="46" fillId="27" borderId="22" xfId="0" applyFont="1" applyFill="1" applyBorder="1"/>
    <xf numFmtId="0" fontId="47" fillId="27" borderId="22" xfId="0" applyFont="1" applyFill="1" applyBorder="1"/>
    <xf numFmtId="0" fontId="46" fillId="32" borderId="22" xfId="0" applyFont="1" applyFill="1" applyBorder="1"/>
    <xf numFmtId="0" fontId="46" fillId="29" borderId="2" xfId="0" applyFont="1" applyFill="1" applyBorder="1"/>
    <xf numFmtId="0" fontId="47" fillId="29" borderId="2" xfId="0" applyFont="1" applyFill="1" applyBorder="1"/>
    <xf numFmtId="0" fontId="48" fillId="29" borderId="2" xfId="0" applyFont="1" applyFill="1" applyBorder="1"/>
    <xf numFmtId="0" fontId="0" fillId="35" borderId="0" xfId="0" applyFill="1"/>
    <xf numFmtId="0" fontId="0" fillId="36" borderId="0" xfId="0" applyFill="1"/>
    <xf numFmtId="0" fontId="47" fillId="41" borderId="2" xfId="0" applyFont="1" applyFill="1" applyBorder="1"/>
    <xf numFmtId="0" fontId="48" fillId="39" borderId="2" xfId="0" applyFont="1" applyFill="1" applyBorder="1"/>
    <xf numFmtId="0" fontId="47" fillId="28" borderId="2" xfId="0" applyFont="1" applyFill="1" applyBorder="1"/>
    <xf numFmtId="0" fontId="48" fillId="45" borderId="2" xfId="0" applyFont="1" applyFill="1" applyBorder="1"/>
    <xf numFmtId="0" fontId="55" fillId="47" borderId="0" xfId="0" applyFont="1" applyFill="1"/>
    <xf numFmtId="0" fontId="55" fillId="0" borderId="0" xfId="0" applyFont="1"/>
    <xf numFmtId="0" fontId="48" fillId="48" borderId="2" xfId="0" applyFont="1" applyFill="1" applyBorder="1"/>
    <xf numFmtId="0" fontId="53" fillId="0" borderId="0" xfId="0" applyFont="1"/>
    <xf numFmtId="0" fontId="53" fillId="36" borderId="0" xfId="0" applyFont="1" applyFill="1"/>
    <xf numFmtId="0" fontId="46" fillId="28" borderId="22" xfId="0" applyFont="1" applyFill="1" applyBorder="1"/>
    <xf numFmtId="0" fontId="46" fillId="35" borderId="22" xfId="0" applyFont="1" applyFill="1" applyBorder="1"/>
    <xf numFmtId="0" fontId="46" fillId="44" borderId="22" xfId="0" applyFont="1" applyFill="1" applyBorder="1"/>
    <xf numFmtId="0" fontId="47" fillId="28" borderId="22" xfId="0" applyFont="1" applyFill="1" applyBorder="1"/>
    <xf numFmtId="0" fontId="47" fillId="25" borderId="22" xfId="0" applyFont="1" applyFill="1" applyBorder="1"/>
    <xf numFmtId="0" fontId="52" fillId="0" borderId="0" xfId="0" applyFont="1"/>
    <xf numFmtId="0" fontId="52" fillId="36" borderId="0" xfId="0" applyFont="1" applyFill="1"/>
    <xf numFmtId="0" fontId="51" fillId="0" borderId="0" xfId="0" applyFont="1"/>
    <xf numFmtId="0" fontId="0" fillId="0" borderId="27" xfId="0" applyBorder="1"/>
    <xf numFmtId="0" fontId="0" fillId="0" borderId="6" xfId="0" applyBorder="1"/>
    <xf numFmtId="1" fontId="0" fillId="24" borderId="0" xfId="0" applyNumberFormat="1" applyFill="1"/>
    <xf numFmtId="0" fontId="46" fillId="0" borderId="22" xfId="0" applyFont="1" applyBorder="1"/>
    <xf numFmtId="0" fontId="0" fillId="0" borderId="11" xfId="0" applyBorder="1"/>
    <xf numFmtId="0" fontId="0" fillId="0" borderId="12" xfId="0" applyBorder="1"/>
    <xf numFmtId="0" fontId="24" fillId="0" borderId="0" xfId="0" applyFont="1" applyAlignment="1">
      <alignment horizontal="left"/>
    </xf>
    <xf numFmtId="1" fontId="0" fillId="0" borderId="2" xfId="0" applyNumberFormat="1" applyBorder="1" applyAlignment="1">
      <alignment horizontal="center"/>
    </xf>
    <xf numFmtId="164" fontId="3" fillId="44" borderId="0" xfId="4" applyNumberFormat="1" applyFont="1" applyFill="1" applyAlignment="1">
      <alignment horizontal="right"/>
    </xf>
    <xf numFmtId="172" fontId="58" fillId="0" borderId="0" xfId="3" applyNumberFormat="1"/>
    <xf numFmtId="173" fontId="58" fillId="0" borderId="0" xfId="3" applyNumberFormat="1"/>
    <xf numFmtId="0" fontId="18" fillId="0" borderId="16" xfId="0" applyFont="1" applyBorder="1" applyAlignment="1">
      <alignment horizontal="center"/>
    </xf>
    <xf numFmtId="0" fontId="18" fillId="0" borderId="24" xfId="0" applyFont="1" applyBorder="1" applyAlignment="1">
      <alignment horizontal="center"/>
    </xf>
    <xf numFmtId="0" fontId="18" fillId="0" borderId="20" xfId="0" applyFont="1" applyBorder="1" applyAlignment="1">
      <alignment horizontal="center"/>
    </xf>
    <xf numFmtId="0" fontId="18" fillId="0" borderId="30" xfId="0" applyFont="1" applyBorder="1" applyAlignment="1">
      <alignment horizontal="center"/>
    </xf>
    <xf numFmtId="0" fontId="18" fillId="0" borderId="8" xfId="0" applyFont="1" applyBorder="1" applyAlignment="1">
      <alignment horizontal="center"/>
    </xf>
    <xf numFmtId="0" fontId="18" fillId="0" borderId="31" xfId="0" applyFont="1" applyBorder="1" applyAlignment="1">
      <alignment horizontal="center"/>
    </xf>
    <xf numFmtId="0" fontId="18" fillId="0" borderId="12" xfId="0" applyFont="1" applyBorder="1" applyAlignment="1">
      <alignment horizontal="center"/>
    </xf>
    <xf numFmtId="0" fontId="18" fillId="0" borderId="13" xfId="0" applyFont="1" applyBorder="1" applyAlignment="1">
      <alignment horizontal="center"/>
    </xf>
    <xf numFmtId="169" fontId="0" fillId="0" borderId="0" xfId="0" applyNumberFormat="1"/>
    <xf numFmtId="1" fontId="11" fillId="24" borderId="0" xfId="0" applyNumberFormat="1" applyFont="1" applyFill="1"/>
    <xf numFmtId="0" fontId="17" fillId="2" borderId="0" xfId="1" applyFont="1" applyFill="1" applyAlignment="1">
      <alignment horizontal="center" vertical="center" wrapText="1"/>
    </xf>
    <xf numFmtId="0" fontId="2" fillId="0" borderId="0" xfId="5"/>
    <xf numFmtId="0" fontId="0" fillId="57" borderId="0" xfId="0" applyFill="1"/>
    <xf numFmtId="0" fontId="0" fillId="26" borderId="0" xfId="0" applyFill="1" applyAlignment="1">
      <alignment horizontal="center"/>
    </xf>
    <xf numFmtId="169" fontId="21" fillId="21" borderId="8" xfId="0" applyNumberFormat="1" applyFont="1" applyFill="1" applyBorder="1" applyAlignment="1">
      <alignment horizontal="center"/>
    </xf>
    <xf numFmtId="1" fontId="21" fillId="21" borderId="8" xfId="0" applyNumberFormat="1" applyFont="1" applyFill="1" applyBorder="1" applyAlignment="1">
      <alignment horizontal="center"/>
    </xf>
    <xf numFmtId="1" fontId="21" fillId="4" borderId="8" xfId="0" applyNumberFormat="1" applyFont="1" applyFill="1" applyBorder="1" applyAlignment="1">
      <alignment horizontal="center"/>
    </xf>
    <xf numFmtId="1" fontId="0" fillId="58" borderId="0" xfId="0" applyNumberFormat="1" applyFill="1" applyAlignment="1">
      <alignment horizontal="center"/>
    </xf>
    <xf numFmtId="0" fontId="0" fillId="59" borderId="0" xfId="0" applyFill="1"/>
    <xf numFmtId="169" fontId="11" fillId="60" borderId="8" xfId="0" applyNumberFormat="1" applyFont="1" applyFill="1" applyBorder="1" applyAlignment="1">
      <alignment horizontal="center"/>
    </xf>
    <xf numFmtId="1" fontId="0" fillId="35" borderId="0" xfId="0" applyNumberFormat="1" applyFill="1" applyAlignment="1">
      <alignment horizontal="center"/>
    </xf>
    <xf numFmtId="0" fontId="0" fillId="35" borderId="0" xfId="0" applyFill="1" applyAlignment="1">
      <alignment horizontal="center"/>
    </xf>
    <xf numFmtId="1" fontId="0" fillId="35" borderId="0" xfId="0" applyNumberFormat="1" applyFill="1"/>
    <xf numFmtId="1" fontId="0" fillId="42" borderId="0" xfId="0" applyNumberFormat="1" applyFill="1" applyAlignment="1">
      <alignment horizontal="center" wrapText="1"/>
    </xf>
    <xf numFmtId="1" fontId="56" fillId="0" borderId="0" xfId="0" applyNumberFormat="1" applyFont="1" applyAlignment="1">
      <alignment horizontal="center"/>
    </xf>
    <xf numFmtId="1" fontId="0" fillId="31" borderId="0" xfId="0" applyNumberFormat="1" applyFill="1" applyAlignment="1">
      <alignment horizontal="center" wrapText="1"/>
    </xf>
    <xf numFmtId="0" fontId="48" fillId="5" borderId="2" xfId="0" applyFont="1" applyFill="1" applyBorder="1"/>
    <xf numFmtId="0" fontId="50" fillId="0" borderId="0" xfId="0" applyFont="1"/>
    <xf numFmtId="1" fontId="0" fillId="4" borderId="2" xfId="0" applyNumberFormat="1" applyFill="1" applyBorder="1" applyAlignment="1">
      <alignment horizontal="center" wrapText="1"/>
    </xf>
    <xf numFmtId="1" fontId="11" fillId="4" borderId="2" xfId="0" applyNumberFormat="1" applyFont="1" applyFill="1" applyBorder="1" applyAlignment="1">
      <alignment horizontal="center"/>
    </xf>
    <xf numFmtId="0" fontId="11" fillId="26" borderId="0" xfId="0" applyFont="1" applyFill="1" applyAlignment="1">
      <alignment horizontal="center"/>
    </xf>
    <xf numFmtId="168" fontId="11" fillId="35" borderId="0" xfId="0" applyNumberFormat="1" applyFont="1" applyFill="1"/>
    <xf numFmtId="0" fontId="11" fillId="37" borderId="0" xfId="0" applyFont="1" applyFill="1" applyAlignment="1">
      <alignment horizontal="center"/>
    </xf>
    <xf numFmtId="169" fontId="21" fillId="60" borderId="8" xfId="0" applyNumberFormat="1" applyFont="1" applyFill="1" applyBorder="1" applyAlignment="1">
      <alignment horizontal="center"/>
    </xf>
    <xf numFmtId="2" fontId="17" fillId="61" borderId="0" xfId="1" applyNumberFormat="1" applyFont="1" applyFill="1" applyAlignment="1">
      <alignment horizontal="center"/>
    </xf>
    <xf numFmtId="0" fontId="11" fillId="35" borderId="19" xfId="0" applyFont="1" applyFill="1" applyBorder="1"/>
    <xf numFmtId="1" fontId="21" fillId="42" borderId="34" xfId="0" applyNumberFormat="1" applyFont="1" applyFill="1" applyBorder="1" applyAlignment="1">
      <alignment horizontal="center"/>
    </xf>
    <xf numFmtId="1" fontId="0" fillId="35" borderId="1" xfId="0" applyNumberFormat="1" applyFill="1" applyBorder="1" applyAlignment="1">
      <alignment horizontal="center"/>
    </xf>
    <xf numFmtId="0" fontId="11" fillId="61" borderId="0" xfId="0" applyFont="1" applyFill="1" applyAlignment="1">
      <alignment horizontal="center"/>
    </xf>
    <xf numFmtId="0" fontId="0" fillId="35" borderId="35" xfId="0" applyFill="1" applyBorder="1"/>
    <xf numFmtId="1" fontId="21" fillId="42" borderId="0" xfId="0" applyNumberFormat="1" applyFont="1" applyFill="1" applyAlignment="1">
      <alignment horizontal="center"/>
    </xf>
    <xf numFmtId="0" fontId="0" fillId="35" borderId="17" xfId="0" applyFill="1" applyBorder="1"/>
    <xf numFmtId="1" fontId="21" fillId="42" borderId="8" xfId="0" applyNumberFormat="1" applyFont="1" applyFill="1" applyBorder="1" applyAlignment="1">
      <alignment horizontal="center"/>
    </xf>
    <xf numFmtId="1" fontId="0" fillId="0" borderId="1" xfId="0" applyNumberFormat="1" applyBorder="1" applyAlignment="1">
      <alignment horizontal="center"/>
    </xf>
    <xf numFmtId="0" fontId="0" fillId="0" borderId="1" xfId="0" applyBorder="1" applyAlignment="1">
      <alignment horizontal="center"/>
    </xf>
    <xf numFmtId="0" fontId="46" fillId="25" borderId="0" xfId="0" applyFont="1" applyFill="1"/>
    <xf numFmtId="0" fontId="46" fillId="25" borderId="0" xfId="0" applyFont="1" applyFill="1" applyAlignment="1">
      <alignment horizontal="center"/>
    </xf>
    <xf numFmtId="0" fontId="0" fillId="62" borderId="0" xfId="0" applyFill="1"/>
    <xf numFmtId="0" fontId="46" fillId="62" borderId="22" xfId="0" applyFont="1" applyFill="1" applyBorder="1"/>
    <xf numFmtId="0" fontId="68" fillId="59" borderId="22" xfId="0" applyFont="1" applyFill="1" applyBorder="1"/>
    <xf numFmtId="0" fontId="47" fillId="59" borderId="22" xfId="0" applyFont="1" applyFill="1" applyBorder="1"/>
    <xf numFmtId="1" fontId="0" fillId="43" borderId="0" xfId="0" applyNumberFormat="1" applyFill="1" applyAlignment="1">
      <alignment horizontal="center" wrapText="1"/>
    </xf>
    <xf numFmtId="1" fontId="21" fillId="4" borderId="0" xfId="0" applyNumberFormat="1" applyFont="1" applyFill="1" applyAlignment="1">
      <alignment horizontal="center"/>
    </xf>
    <xf numFmtId="1" fontId="0" fillId="34" borderId="0" xfId="0" applyNumberFormat="1" applyFill="1" applyAlignment="1">
      <alignment horizontal="center" wrapText="1"/>
    </xf>
    <xf numFmtId="0" fontId="10" fillId="2" borderId="0" xfId="1" applyFill="1" applyAlignment="1">
      <alignment horizontal="right" vertical="center" wrapText="1"/>
    </xf>
    <xf numFmtId="0" fontId="48" fillId="0" borderId="7" xfId="0" applyFont="1" applyBorder="1"/>
    <xf numFmtId="2" fontId="0" fillId="0" borderId="36" xfId="0" applyNumberFormat="1" applyBorder="1"/>
    <xf numFmtId="0" fontId="0" fillId="0" borderId="37" xfId="0" applyBorder="1"/>
    <xf numFmtId="0" fontId="17" fillId="16" borderId="37" xfId="1" applyFont="1" applyFill="1" applyBorder="1"/>
    <xf numFmtId="169" fontId="21" fillId="21" borderId="37" xfId="0" applyNumberFormat="1" applyFont="1" applyFill="1" applyBorder="1" applyAlignment="1">
      <alignment horizontal="center"/>
    </xf>
    <xf numFmtId="1" fontId="21" fillId="21" borderId="37" xfId="0" applyNumberFormat="1" applyFont="1" applyFill="1" applyBorder="1" applyAlignment="1">
      <alignment horizontal="center"/>
    </xf>
    <xf numFmtId="1" fontId="21" fillId="4" borderId="37" xfId="0" applyNumberFormat="1" applyFont="1" applyFill="1" applyBorder="1" applyAlignment="1">
      <alignment horizontal="center"/>
    </xf>
    <xf numFmtId="1" fontId="50" fillId="0" borderId="37" xfId="0" applyNumberFormat="1" applyFont="1" applyBorder="1" applyAlignment="1">
      <alignment horizontal="center"/>
    </xf>
    <xf numFmtId="1" fontId="0" fillId="0" borderId="37" xfId="0" applyNumberFormat="1" applyBorder="1" applyAlignment="1">
      <alignment horizontal="center"/>
    </xf>
    <xf numFmtId="0" fontId="0" fillId="0" borderId="37" xfId="0" applyBorder="1" applyAlignment="1">
      <alignment horizontal="center"/>
    </xf>
    <xf numFmtId="1" fontId="0" fillId="4" borderId="37" xfId="0" applyNumberFormat="1" applyFill="1" applyBorder="1" applyAlignment="1">
      <alignment horizontal="center"/>
    </xf>
    <xf numFmtId="0" fontId="11" fillId="4" borderId="37" xfId="0" applyFont="1" applyFill="1" applyBorder="1" applyAlignment="1">
      <alignment horizontal="center"/>
    </xf>
    <xf numFmtId="0" fontId="17" fillId="2" borderId="37" xfId="1" applyFont="1" applyFill="1" applyBorder="1" applyAlignment="1">
      <alignment vertical="center" wrapText="1"/>
    </xf>
    <xf numFmtId="0" fontId="0" fillId="0" borderId="38" xfId="0" applyBorder="1"/>
    <xf numFmtId="0" fontId="0" fillId="0" borderId="39" xfId="0" applyBorder="1"/>
    <xf numFmtId="0" fontId="17" fillId="16" borderId="2" xfId="1" applyFont="1" applyFill="1" applyBorder="1"/>
    <xf numFmtId="169" fontId="21" fillId="21" borderId="2" xfId="0" applyNumberFormat="1" applyFont="1" applyFill="1" applyBorder="1" applyAlignment="1">
      <alignment horizontal="center"/>
    </xf>
    <xf numFmtId="1" fontId="21" fillId="21" borderId="2" xfId="0" applyNumberFormat="1" applyFont="1" applyFill="1" applyBorder="1" applyAlignment="1">
      <alignment horizontal="center"/>
    </xf>
    <xf numFmtId="1" fontId="21" fillId="4" borderId="2" xfId="0" applyNumberFormat="1" applyFont="1" applyFill="1" applyBorder="1" applyAlignment="1">
      <alignment horizontal="center"/>
    </xf>
    <xf numFmtId="1" fontId="50" fillId="0" borderId="2" xfId="0" applyNumberFormat="1" applyFont="1" applyBorder="1" applyAlignment="1">
      <alignment horizontal="center"/>
    </xf>
    <xf numFmtId="1" fontId="0" fillId="4" borderId="2" xfId="0" applyNumberFormat="1" applyFill="1" applyBorder="1" applyAlignment="1">
      <alignment horizontal="center"/>
    </xf>
    <xf numFmtId="0" fontId="11" fillId="4" borderId="2" xfId="0" applyFont="1" applyFill="1" applyBorder="1" applyAlignment="1">
      <alignment horizontal="center"/>
    </xf>
    <xf numFmtId="0" fontId="17" fillId="2" borderId="2" xfId="1" applyFont="1" applyFill="1" applyBorder="1" applyAlignment="1">
      <alignment vertical="center" wrapText="1"/>
    </xf>
    <xf numFmtId="2" fontId="17" fillId="37" borderId="26" xfId="1" applyNumberFormat="1" applyFont="1" applyFill="1" applyBorder="1" applyAlignment="1">
      <alignment horizontal="center"/>
    </xf>
    <xf numFmtId="0" fontId="0" fillId="0" borderId="25" xfId="0" applyBorder="1"/>
    <xf numFmtId="0" fontId="17" fillId="16" borderId="25" xfId="1" applyFont="1" applyFill="1" applyBorder="1"/>
    <xf numFmtId="169" fontId="21" fillId="21" borderId="25" xfId="0" applyNumberFormat="1" applyFont="1" applyFill="1" applyBorder="1" applyAlignment="1">
      <alignment horizontal="center"/>
    </xf>
    <xf numFmtId="1" fontId="21" fillId="21" borderId="25" xfId="0" applyNumberFormat="1" applyFont="1" applyFill="1" applyBorder="1" applyAlignment="1">
      <alignment horizontal="center"/>
    </xf>
    <xf numFmtId="1" fontId="21" fillId="4" borderId="25" xfId="0" applyNumberFormat="1" applyFont="1" applyFill="1" applyBorder="1" applyAlignment="1">
      <alignment horizontal="center"/>
    </xf>
    <xf numFmtId="1" fontId="50" fillId="0" borderId="25" xfId="0" applyNumberFormat="1" applyFont="1" applyBorder="1" applyAlignment="1">
      <alignment horizontal="center"/>
    </xf>
    <xf numFmtId="1" fontId="0" fillId="0" borderId="25" xfId="0" applyNumberFormat="1" applyBorder="1" applyAlignment="1">
      <alignment horizontal="center"/>
    </xf>
    <xf numFmtId="1" fontId="0" fillId="4" borderId="25" xfId="0" applyNumberFormat="1" applyFill="1" applyBorder="1" applyAlignment="1">
      <alignment horizontal="center"/>
    </xf>
    <xf numFmtId="0" fontId="11" fillId="4" borderId="25" xfId="0" applyFont="1" applyFill="1" applyBorder="1" applyAlignment="1">
      <alignment horizontal="center"/>
    </xf>
    <xf numFmtId="0" fontId="17" fillId="2" borderId="25" xfId="1" applyFont="1" applyFill="1" applyBorder="1" applyAlignment="1">
      <alignment vertical="center" wrapText="1"/>
    </xf>
    <xf numFmtId="0" fontId="0" fillId="35" borderId="25" xfId="0" applyFill="1" applyBorder="1" applyAlignment="1">
      <alignment horizontal="right"/>
    </xf>
    <xf numFmtId="0" fontId="0" fillId="35" borderId="33" xfId="0" applyFill="1" applyBorder="1"/>
    <xf numFmtId="1" fontId="21" fillId="33" borderId="8" xfId="0" applyNumberFormat="1" applyFont="1" applyFill="1" applyBorder="1" applyAlignment="1">
      <alignment horizontal="center"/>
    </xf>
    <xf numFmtId="0" fontId="21" fillId="2" borderId="0" xfId="1" applyFont="1" applyFill="1" applyAlignment="1">
      <alignment vertical="center" wrapText="1"/>
    </xf>
    <xf numFmtId="0" fontId="46" fillId="25" borderId="0" xfId="6" applyFont="1" applyFill="1"/>
    <xf numFmtId="0" fontId="46" fillId="25" borderId="22" xfId="6" applyFont="1" applyFill="1" applyBorder="1"/>
    <xf numFmtId="0" fontId="47" fillId="25" borderId="22" xfId="6" applyFont="1" applyFill="1" applyBorder="1"/>
    <xf numFmtId="0" fontId="11" fillId="6" borderId="0" xfId="0" applyFont="1" applyFill="1"/>
    <xf numFmtId="0" fontId="21" fillId="21" borderId="0" xfId="0" applyFont="1" applyFill="1"/>
    <xf numFmtId="0" fontId="11" fillId="21" borderId="0" xfId="0" applyFont="1" applyFill="1"/>
    <xf numFmtId="1" fontId="21" fillId="4" borderId="0" xfId="0" applyNumberFormat="1" applyFont="1" applyFill="1" applyAlignment="1">
      <alignment horizontal="center" wrapText="1"/>
    </xf>
    <xf numFmtId="1" fontId="21" fillId="9" borderId="0" xfId="0" applyNumberFormat="1" applyFont="1" applyFill="1" applyAlignment="1">
      <alignment horizontal="center"/>
    </xf>
    <xf numFmtId="1" fontId="21" fillId="6" borderId="0" xfId="0" applyNumberFormat="1" applyFont="1" applyFill="1" applyAlignment="1">
      <alignment horizontal="center"/>
    </xf>
    <xf numFmtId="0" fontId="16" fillId="63" borderId="2" xfId="0" applyFont="1" applyFill="1" applyBorder="1"/>
    <xf numFmtId="0" fontId="0" fillId="49" borderId="0" xfId="0" applyFill="1" applyAlignment="1">
      <alignment horizontal="center"/>
    </xf>
    <xf numFmtId="0" fontId="50" fillId="49" borderId="0" xfId="0" applyFont="1" applyFill="1"/>
    <xf numFmtId="0" fontId="0" fillId="7" borderId="0" xfId="0" applyFill="1" applyAlignment="1">
      <alignment horizontal="center"/>
    </xf>
    <xf numFmtId="166" fontId="0" fillId="64" borderId="5" xfId="0" applyNumberFormat="1" applyFill="1" applyBorder="1" applyAlignment="1">
      <alignment horizontal="center"/>
    </xf>
    <xf numFmtId="0" fontId="11" fillId="64" borderId="3" xfId="0" applyFont="1" applyFill="1" applyBorder="1" applyAlignment="1">
      <alignment horizontal="center"/>
    </xf>
    <xf numFmtId="0" fontId="11" fillId="49" borderId="0" xfId="0" applyFont="1" applyFill="1" applyAlignment="1">
      <alignment horizontal="right"/>
    </xf>
    <xf numFmtId="0" fontId="49" fillId="0" borderId="0" xfId="0" applyFont="1"/>
    <xf numFmtId="0" fontId="0" fillId="49" borderId="29" xfId="0" applyFill="1" applyBorder="1" applyAlignment="1">
      <alignment horizontal="center"/>
    </xf>
    <xf numFmtId="0" fontId="0" fillId="65" borderId="10" xfId="0" applyFill="1" applyBorder="1"/>
    <xf numFmtId="0" fontId="0" fillId="65" borderId="10" xfId="0" applyFill="1" applyBorder="1" applyAlignment="1">
      <alignment horizontal="center"/>
    </xf>
    <xf numFmtId="171" fontId="0" fillId="65" borderId="0" xfId="0" applyNumberFormat="1" applyFill="1"/>
    <xf numFmtId="0" fontId="18" fillId="0" borderId="0" xfId="0" applyFont="1" applyAlignment="1">
      <alignment horizontal="center"/>
    </xf>
    <xf numFmtId="0" fontId="0" fillId="0" borderId="32" xfId="0" applyBorder="1"/>
    <xf numFmtId="0" fontId="0" fillId="0" borderId="4" xfId="0" applyBorder="1"/>
    <xf numFmtId="0" fontId="0" fillId="0" borderId="5" xfId="0" applyBorder="1"/>
    <xf numFmtId="0" fontId="0" fillId="0" borderId="13" xfId="0" applyBorder="1"/>
    <xf numFmtId="0" fontId="0" fillId="0" borderId="28" xfId="0" applyBorder="1"/>
    <xf numFmtId="0" fontId="0" fillId="0" borderId="42" xfId="0" applyBorder="1"/>
    <xf numFmtId="0" fontId="18" fillId="36" borderId="6" xfId="0" applyFont="1" applyFill="1" applyBorder="1" applyAlignment="1">
      <alignment horizontal="center"/>
    </xf>
    <xf numFmtId="0" fontId="18" fillId="36" borderId="20" xfId="0" applyFont="1" applyFill="1" applyBorder="1" applyAlignment="1">
      <alignment horizontal="center"/>
    </xf>
    <xf numFmtId="0" fontId="18" fillId="36" borderId="11" xfId="0" applyFont="1" applyFill="1" applyBorder="1" applyAlignment="1">
      <alignment horizontal="center"/>
    </xf>
    <xf numFmtId="0" fontId="18" fillId="36" borderId="31" xfId="0" applyFont="1" applyFill="1" applyBorder="1" applyAlignment="1">
      <alignment horizontal="center"/>
    </xf>
    <xf numFmtId="0" fontId="18" fillId="66" borderId="32" xfId="0" applyFont="1" applyFill="1" applyBorder="1" applyAlignment="1">
      <alignment horizontal="center"/>
    </xf>
    <xf numFmtId="0" fontId="18" fillId="66" borderId="4" xfId="0" applyFont="1" applyFill="1" applyBorder="1" applyAlignment="1">
      <alignment horizontal="center"/>
    </xf>
    <xf numFmtId="0" fontId="18" fillId="66" borderId="41" xfId="0" applyFont="1" applyFill="1" applyBorder="1"/>
    <xf numFmtId="0" fontId="18" fillId="66" borderId="4" xfId="0" applyFont="1" applyFill="1" applyBorder="1"/>
    <xf numFmtId="0" fontId="69" fillId="67" borderId="4" xfId="0" applyFont="1" applyFill="1" applyBorder="1"/>
    <xf numFmtId="0" fontId="69" fillId="67" borderId="24" xfId="0" applyFont="1" applyFill="1" applyBorder="1" applyAlignment="1">
      <alignment horizontal="center"/>
    </xf>
    <xf numFmtId="0" fontId="69" fillId="67" borderId="0" xfId="0" applyFont="1" applyFill="1" applyAlignment="1">
      <alignment horizontal="center"/>
    </xf>
    <xf numFmtId="0" fontId="69" fillId="67" borderId="12" xfId="0" applyFont="1" applyFill="1" applyBorder="1" applyAlignment="1">
      <alignment horizontal="center"/>
    </xf>
    <xf numFmtId="0" fontId="69" fillId="68" borderId="6" xfId="0" applyFont="1" applyFill="1" applyBorder="1" applyAlignment="1">
      <alignment horizontal="center"/>
    </xf>
    <xf numFmtId="0" fontId="69" fillId="68" borderId="20" xfId="0" applyFont="1" applyFill="1" applyBorder="1" applyAlignment="1">
      <alignment horizontal="center"/>
    </xf>
    <xf numFmtId="0" fontId="69" fillId="68" borderId="0" xfId="0" applyFont="1" applyFill="1" applyAlignment="1">
      <alignment horizontal="center"/>
    </xf>
    <xf numFmtId="0" fontId="69" fillId="69" borderId="0" xfId="0" applyFont="1" applyFill="1" applyAlignment="1">
      <alignment horizontal="center"/>
    </xf>
    <xf numFmtId="0" fontId="0" fillId="0" borderId="0" xfId="0" applyAlignment="1">
      <alignment wrapText="1"/>
    </xf>
    <xf numFmtId="0" fontId="18" fillId="70" borderId="5" xfId="0" applyFont="1" applyFill="1" applyBorder="1"/>
    <xf numFmtId="0" fontId="0" fillId="71" borderId="21" xfId="0" applyFill="1" applyBorder="1"/>
    <xf numFmtId="0" fontId="0" fillId="71" borderId="23" xfId="0" applyFill="1" applyBorder="1"/>
    <xf numFmtId="0" fontId="0" fillId="71" borderId="1" xfId="0" applyFill="1" applyBorder="1"/>
    <xf numFmtId="0" fontId="0" fillId="71" borderId="1" xfId="0" applyFill="1" applyBorder="1" applyAlignment="1">
      <alignment horizontal="right"/>
    </xf>
    <xf numFmtId="0" fontId="0" fillId="71" borderId="19" xfId="0" applyFill="1" applyBorder="1"/>
    <xf numFmtId="0" fontId="18" fillId="71" borderId="40" xfId="0" applyFont="1" applyFill="1" applyBorder="1" applyAlignment="1">
      <alignment horizontal="center"/>
    </xf>
    <xf numFmtId="0" fontId="0" fillId="71" borderId="43" xfId="0" applyFill="1" applyBorder="1"/>
    <xf numFmtId="0" fontId="0" fillId="70" borderId="44" xfId="0" applyFill="1" applyBorder="1"/>
    <xf numFmtId="0" fontId="0" fillId="72" borderId="0" xfId="0" applyFill="1"/>
    <xf numFmtId="164" fontId="1" fillId="0" borderId="0" xfId="4" applyNumberFormat="1" applyFont="1"/>
    <xf numFmtId="164" fontId="21" fillId="44" borderId="0" xfId="4" applyNumberFormat="1" applyFont="1" applyFill="1" applyAlignment="1">
      <alignment horizontal="left"/>
    </xf>
    <xf numFmtId="171" fontId="8" fillId="0" borderId="0" xfId="4" applyNumberFormat="1"/>
    <xf numFmtId="0" fontId="59" fillId="49" borderId="0" xfId="0" applyFont="1" applyFill="1"/>
    <xf numFmtId="0" fontId="59" fillId="0" borderId="0" xfId="0" applyFont="1"/>
    <xf numFmtId="0" fontId="59" fillId="0" borderId="0" xfId="0" applyFont="1" applyAlignment="1">
      <alignment horizontal="right"/>
    </xf>
    <xf numFmtId="0" fontId="59" fillId="0" borderId="0" xfId="0" applyFont="1" applyAlignment="1">
      <alignment horizontal="center"/>
    </xf>
    <xf numFmtId="0" fontId="59" fillId="0" borderId="0" xfId="0" quotePrefix="1" applyFont="1" applyAlignment="1">
      <alignment horizontal="left" indent="3"/>
    </xf>
    <xf numFmtId="0" fontId="59" fillId="0" borderId="3" xfId="0" applyFont="1" applyBorder="1"/>
    <xf numFmtId="0" fontId="59" fillId="0" borderId="4" xfId="0" applyFont="1" applyBorder="1"/>
    <xf numFmtId="0" fontId="61" fillId="0" borderId="4" xfId="0" applyFont="1" applyBorder="1" applyAlignment="1">
      <alignment horizontal="left"/>
    </xf>
    <xf numFmtId="0" fontId="59" fillId="0" borderId="5" xfId="0" applyFont="1" applyBorder="1"/>
    <xf numFmtId="0" fontId="59" fillId="0" borderId="6" xfId="0" applyFont="1" applyBorder="1" applyAlignment="1">
      <alignment vertical="top"/>
    </xf>
    <xf numFmtId="0" fontId="61" fillId="0" borderId="45" xfId="0" applyFont="1" applyBorder="1" applyAlignment="1">
      <alignment horizontal="center" vertical="top"/>
    </xf>
    <xf numFmtId="0" fontId="61" fillId="0" borderId="53" xfId="0" applyFont="1" applyBorder="1" applyAlignment="1">
      <alignment horizontal="center" vertical="top"/>
    </xf>
    <xf numFmtId="0" fontId="61" fillId="0" borderId="52" xfId="0" applyFont="1" applyBorder="1" applyAlignment="1">
      <alignment horizontal="center" vertical="top"/>
    </xf>
    <xf numFmtId="0" fontId="59" fillId="0" borderId="11" xfId="0" applyFont="1" applyBorder="1" applyAlignment="1">
      <alignment horizontal="right" vertical="top"/>
    </xf>
    <xf numFmtId="0" fontId="61" fillId="0" borderId="46" xfId="0" applyFont="1" applyBorder="1" applyAlignment="1">
      <alignment horizontal="center" vertical="top"/>
    </xf>
    <xf numFmtId="0" fontId="61" fillId="0" borderId="10" xfId="0" applyFont="1" applyBorder="1" applyAlignment="1">
      <alignment horizontal="center" vertical="top"/>
    </xf>
    <xf numFmtId="0" fontId="61" fillId="0" borderId="51" xfId="0" applyFont="1" applyBorder="1" applyAlignment="1">
      <alignment horizontal="center" vertical="top"/>
    </xf>
    <xf numFmtId="0" fontId="61" fillId="0" borderId="50" xfId="0" applyFont="1" applyBorder="1" applyAlignment="1">
      <alignment horizontal="right" vertical="center" wrapText="1"/>
    </xf>
    <xf numFmtId="0" fontId="59" fillId="0" borderId="33" xfId="0" applyFont="1" applyBorder="1" applyAlignment="1">
      <alignment horizontal="center" vertical="center" wrapText="1"/>
    </xf>
    <xf numFmtId="0" fontId="59" fillId="0" borderId="25" xfId="0" applyFont="1" applyBorder="1" applyAlignment="1">
      <alignment horizontal="center" vertical="center" wrapText="1"/>
    </xf>
    <xf numFmtId="0" fontId="71" fillId="0" borderId="26" xfId="0" applyFont="1" applyBorder="1" applyAlignment="1">
      <alignment horizontal="center" vertical="center" wrapText="1"/>
    </xf>
    <xf numFmtId="0" fontId="61" fillId="0" borderId="48" xfId="0" applyFont="1" applyBorder="1" applyAlignment="1">
      <alignment vertical="center"/>
    </xf>
    <xf numFmtId="0" fontId="59" fillId="0" borderId="47" xfId="0" applyFont="1" applyBorder="1" applyAlignment="1">
      <alignment horizontal="center" vertical="top" wrapText="1"/>
    </xf>
    <xf numFmtId="0" fontId="59" fillId="0" borderId="2" xfId="0" applyFont="1" applyBorder="1" applyAlignment="1">
      <alignment horizontal="center" vertical="top" wrapText="1"/>
    </xf>
    <xf numFmtId="0" fontId="71" fillId="0" borderId="39" xfId="0" applyFont="1" applyBorder="1" applyAlignment="1">
      <alignment horizontal="center" vertical="top" wrapText="1"/>
    </xf>
    <xf numFmtId="0" fontId="61" fillId="0" borderId="48" xfId="0" applyFont="1" applyBorder="1" applyAlignment="1">
      <alignment horizontal="right" vertical="center"/>
    </xf>
    <xf numFmtId="0" fontId="59" fillId="0" borderId="39" xfId="0" applyFont="1" applyBorder="1" applyAlignment="1">
      <alignment horizontal="center" vertical="top" wrapText="1"/>
    </xf>
    <xf numFmtId="0" fontId="59" fillId="0" borderId="0" xfId="0" applyFont="1" applyAlignment="1">
      <alignment horizontal="left" indent="1"/>
    </xf>
    <xf numFmtId="0" fontId="59" fillId="0" borderId="0" xfId="0" applyFont="1" applyAlignment="1">
      <alignment horizontal="left"/>
    </xf>
    <xf numFmtId="0" fontId="59" fillId="0" borderId="0" xfId="0" applyFont="1" applyAlignment="1">
      <alignment horizontal="left" vertical="top" indent="1"/>
    </xf>
    <xf numFmtId="0" fontId="61" fillId="0" borderId="49" xfId="0" applyFont="1" applyBorder="1" applyAlignment="1">
      <alignment horizontal="right" vertical="center"/>
    </xf>
    <xf numFmtId="0" fontId="59" fillId="0" borderId="38" xfId="0" applyFont="1" applyBorder="1" applyAlignment="1">
      <alignment horizontal="center" vertical="top" wrapText="1"/>
    </xf>
    <xf numFmtId="0" fontId="59" fillId="0" borderId="37" xfId="0" applyFont="1" applyBorder="1" applyAlignment="1">
      <alignment horizontal="center" vertical="top" wrapText="1"/>
    </xf>
    <xf numFmtId="0" fontId="59" fillId="0" borderId="36" xfId="0" applyFont="1" applyBorder="1" applyAlignment="1">
      <alignment horizontal="center" vertical="top" wrapText="1"/>
    </xf>
    <xf numFmtId="0" fontId="59" fillId="0" borderId="2" xfId="0" applyFont="1" applyBorder="1"/>
    <xf numFmtId="0" fontId="59" fillId="0" borderId="2" xfId="0" applyFont="1" applyBorder="1" applyAlignment="1">
      <alignment horizontal="right"/>
    </xf>
    <xf numFmtId="0" fontId="59" fillId="0" borderId="2" xfId="0" applyFont="1" applyBorder="1" applyAlignment="1">
      <alignment horizontal="center"/>
    </xf>
    <xf numFmtId="0" fontId="59" fillId="0" borderId="2" xfId="0" quotePrefix="1" applyFont="1" applyBorder="1" applyAlignment="1">
      <alignment horizontal="center"/>
    </xf>
    <xf numFmtId="0" fontId="59" fillId="0" borderId="0" xfId="0" quotePrefix="1" applyFont="1" applyAlignment="1">
      <alignment horizontal="center"/>
    </xf>
    <xf numFmtId="0" fontId="59" fillId="0" borderId="0" xfId="0" quotePrefix="1" applyFont="1" applyAlignment="1">
      <alignment horizontal="left" indent="1"/>
    </xf>
    <xf numFmtId="0" fontId="59" fillId="0" borderId="54" xfId="0" applyFont="1" applyBorder="1" applyAlignment="1">
      <alignment horizontal="center" vertical="top" wrapText="1"/>
    </xf>
    <xf numFmtId="0" fontId="59" fillId="0" borderId="47" xfId="0" applyFont="1" applyBorder="1" applyAlignment="1">
      <alignment horizontal="center" vertical="center" wrapText="1"/>
    </xf>
    <xf numFmtId="0" fontId="72" fillId="0" borderId="2" xfId="0" applyFont="1" applyBorder="1" applyAlignment="1">
      <alignment horizontal="center" vertical="top" wrapText="1"/>
    </xf>
    <xf numFmtId="0" fontId="59" fillId="0" borderId="0" xfId="0" applyFont="1" applyAlignment="1">
      <alignment horizontal="left" vertical="center" indent="1"/>
    </xf>
    <xf numFmtId="0" fontId="59" fillId="0" borderId="2" xfId="0" quotePrefix="1" applyFont="1" applyBorder="1" applyAlignment="1">
      <alignment horizontal="center" vertical="top" wrapText="1"/>
    </xf>
    <xf numFmtId="1" fontId="0" fillId="0" borderId="0" xfId="0" applyNumberFormat="1" applyAlignment="1">
      <alignment horizontal="left"/>
    </xf>
    <xf numFmtId="0" fontId="0" fillId="0" borderId="0" xfId="0" applyAlignment="1">
      <alignment horizontal="center" wrapText="1"/>
    </xf>
    <xf numFmtId="1" fontId="14" fillId="0" borderId="0" xfId="0" applyNumberFormat="1" applyFont="1" applyAlignment="1">
      <alignment horizontal="right"/>
    </xf>
    <xf numFmtId="1" fontId="0" fillId="0" borderId="0" xfId="0" applyNumberFormat="1" applyAlignment="1">
      <alignment horizontal="right"/>
    </xf>
    <xf numFmtId="1" fontId="0" fillId="0" borderId="0" xfId="0" applyNumberFormat="1" applyAlignment="1">
      <alignment horizontal="right" wrapText="1"/>
    </xf>
    <xf numFmtId="1" fontId="59" fillId="0" borderId="0" xfId="0" applyNumberFormat="1" applyFont="1" applyAlignment="1">
      <alignment horizontal="right"/>
    </xf>
    <xf numFmtId="1" fontId="0" fillId="24" borderId="55" xfId="0" applyNumberFormat="1" applyFill="1" applyBorder="1" applyAlignment="1">
      <alignment horizontal="right"/>
    </xf>
    <xf numFmtId="1" fontId="11" fillId="24" borderId="56" xfId="0" applyNumberFormat="1" applyFont="1" applyFill="1" applyBorder="1" applyAlignment="1">
      <alignment horizontal="left"/>
    </xf>
    <xf numFmtId="1" fontId="0" fillId="0" borderId="0" xfId="0" applyNumberFormat="1" applyAlignment="1">
      <alignment horizontal="left" wrapText="1"/>
    </xf>
    <xf numFmtId="0" fontId="0" fillId="0" borderId="0" xfId="0" applyAlignment="1">
      <alignment horizontal="right" wrapText="1"/>
    </xf>
    <xf numFmtId="1" fontId="0" fillId="0" borderId="0" xfId="0" applyNumberFormat="1" applyAlignment="1">
      <alignment horizontal="center" wrapText="1"/>
    </xf>
    <xf numFmtId="2" fontId="11" fillId="73" borderId="0" xfId="0" applyNumberFormat="1" applyFont="1" applyFill="1" applyAlignment="1">
      <alignment horizontal="center" wrapText="1"/>
    </xf>
    <xf numFmtId="2" fontId="0" fillId="0" borderId="0" xfId="0" applyNumberFormat="1" applyAlignment="1">
      <alignment horizontal="center"/>
    </xf>
    <xf numFmtId="1" fontId="75" fillId="0" borderId="0" xfId="0" applyNumberFormat="1" applyFont="1" applyAlignment="1">
      <alignment horizontal="right"/>
    </xf>
    <xf numFmtId="0" fontId="0" fillId="24" borderId="0" xfId="0" applyFill="1" applyAlignment="1">
      <alignment horizontal="right"/>
    </xf>
    <xf numFmtId="0" fontId="0" fillId="0" borderId="0" xfId="0" applyAlignment="1">
      <alignment horizontal="left" wrapText="1"/>
    </xf>
    <xf numFmtId="0" fontId="11" fillId="74" borderId="0" xfId="0" applyFont="1" applyFill="1" applyAlignment="1">
      <alignment horizontal="center" wrapText="1"/>
    </xf>
    <xf numFmtId="0" fontId="11" fillId="0" borderId="0" xfId="0" applyFont="1" applyAlignment="1">
      <alignment horizontal="center" wrapText="1"/>
    </xf>
    <xf numFmtId="2" fontId="11" fillId="0" borderId="0" xfId="0" applyNumberFormat="1" applyFont="1" applyAlignment="1">
      <alignment horizontal="center" wrapText="1"/>
    </xf>
    <xf numFmtId="2" fontId="11" fillId="0" borderId="0" xfId="0" applyNumberFormat="1" applyFont="1" applyAlignment="1">
      <alignment horizontal="center"/>
    </xf>
    <xf numFmtId="0" fontId="11" fillId="0" borderId="21" xfId="1" applyFont="1" applyBorder="1" applyAlignment="1">
      <alignment horizontal="centerContinuous"/>
    </xf>
    <xf numFmtId="0" fontId="11" fillId="0" borderId="23" xfId="1" applyFont="1" applyBorder="1" applyAlignment="1">
      <alignment horizontal="centerContinuous"/>
    </xf>
    <xf numFmtId="0" fontId="11" fillId="0" borderId="57" xfId="1" applyFont="1" applyBorder="1" applyAlignment="1">
      <alignment horizontal="centerContinuous"/>
    </xf>
    <xf numFmtId="0" fontId="10" fillId="0" borderId="0" xfId="1"/>
    <xf numFmtId="0" fontId="11" fillId="7" borderId="19" xfId="1" applyFont="1" applyFill="1" applyBorder="1" applyAlignment="1">
      <alignment horizontal="center" wrapText="1"/>
    </xf>
    <xf numFmtId="0" fontId="11" fillId="7" borderId="18" xfId="1" applyFont="1" applyFill="1" applyBorder="1" applyAlignment="1">
      <alignment horizontal="center"/>
    </xf>
    <xf numFmtId="0" fontId="10" fillId="7" borderId="7" xfId="1" applyFill="1" applyBorder="1" applyAlignment="1">
      <alignment horizontal="center"/>
    </xf>
    <xf numFmtId="0" fontId="0" fillId="0" borderId="21" xfId="0" applyBorder="1" applyAlignment="1">
      <alignment textRotation="90"/>
    </xf>
    <xf numFmtId="0" fontId="0" fillId="0" borderId="23" xfId="0" applyBorder="1" applyAlignment="1">
      <alignment textRotation="90"/>
    </xf>
    <xf numFmtId="0" fontId="0" fillId="0" borderId="57" xfId="0" applyBorder="1" applyAlignment="1">
      <alignment textRotation="90"/>
    </xf>
    <xf numFmtId="0" fontId="10" fillId="0" borderId="57" xfId="1" applyBorder="1"/>
    <xf numFmtId="0" fontId="10" fillId="0" borderId="21" xfId="1" applyBorder="1"/>
    <xf numFmtId="0" fontId="10" fillId="0" borderId="9" xfId="1" applyBorder="1"/>
    <xf numFmtId="0" fontId="0" fillId="0" borderId="16" xfId="0" applyBorder="1"/>
    <xf numFmtId="169" fontId="0" fillId="0" borderId="24" xfId="0" applyNumberFormat="1" applyBorder="1"/>
    <xf numFmtId="169" fontId="0" fillId="0" borderId="17" xfId="0" applyNumberFormat="1" applyBorder="1"/>
    <xf numFmtId="0" fontId="0" fillId="0" borderId="20" xfId="0" applyBorder="1"/>
    <xf numFmtId="169" fontId="0" fillId="0" borderId="35" xfId="0" applyNumberFormat="1" applyBorder="1"/>
    <xf numFmtId="0" fontId="10" fillId="0" borderId="17" xfId="1" applyBorder="1"/>
    <xf numFmtId="0" fontId="10" fillId="0" borderId="16" xfId="1" applyBorder="1"/>
    <xf numFmtId="0" fontId="0" fillId="0" borderId="18" xfId="0" applyBorder="1"/>
    <xf numFmtId="169" fontId="0" fillId="0" borderId="1" xfId="0" applyNumberFormat="1" applyBorder="1"/>
    <xf numFmtId="169" fontId="0" fillId="0" borderId="19" xfId="0" applyNumberFormat="1" applyBorder="1"/>
    <xf numFmtId="0" fontId="11" fillId="7" borderId="19" xfId="1" applyFont="1" applyFill="1" applyBorder="1" applyAlignment="1">
      <alignment horizontal="center"/>
    </xf>
    <xf numFmtId="0" fontId="11" fillId="7" borderId="7" xfId="1" applyFont="1" applyFill="1" applyBorder="1" applyAlignment="1">
      <alignment horizontal="center"/>
    </xf>
    <xf numFmtId="0" fontId="10" fillId="0" borderId="2" xfId="1" applyBorder="1"/>
    <xf numFmtId="0" fontId="10" fillId="0" borderId="21" xfId="1" applyBorder="1" applyAlignment="1">
      <alignment horizontal="right"/>
    </xf>
    <xf numFmtId="0" fontId="0" fillId="0" borderId="0" xfId="0" applyAlignment="1">
      <alignment textRotation="90"/>
    </xf>
    <xf numFmtId="0" fontId="59" fillId="0" borderId="4" xfId="0" applyFont="1" applyBorder="1" applyAlignment="1">
      <alignment horizontal="center"/>
    </xf>
    <xf numFmtId="0" fontId="0" fillId="70" borderId="24" xfId="0" applyFill="1" applyBorder="1" applyAlignment="1">
      <alignment wrapText="1"/>
    </xf>
    <xf numFmtId="0" fontId="0" fillId="70" borderId="17" xfId="0" applyFill="1" applyBorder="1" applyAlignment="1">
      <alignment wrapText="1"/>
    </xf>
    <xf numFmtId="0" fontId="0" fillId="70" borderId="1" xfId="0" applyFill="1" applyBorder="1" applyAlignment="1">
      <alignment wrapText="1"/>
    </xf>
    <xf numFmtId="0" fontId="0" fillId="70" borderId="19" xfId="0" applyFill="1" applyBorder="1" applyAlignment="1">
      <alignment wrapText="1"/>
    </xf>
    <xf numFmtId="0" fontId="0" fillId="0" borderId="16" xfId="0" quotePrefix="1" applyBorder="1" applyAlignment="1">
      <alignment wrapText="1"/>
    </xf>
    <xf numFmtId="0" fontId="0" fillId="0" borderId="24" xfId="0" applyBorder="1" applyAlignment="1">
      <alignment wrapText="1"/>
    </xf>
    <xf numFmtId="0" fontId="0" fillId="0" borderId="17" xfId="0" applyBorder="1" applyAlignment="1">
      <alignment wrapText="1"/>
    </xf>
    <xf numFmtId="0" fontId="0" fillId="0" borderId="20" xfId="0" applyBorder="1" applyAlignment="1">
      <alignment wrapText="1"/>
    </xf>
    <xf numFmtId="0" fontId="0" fillId="0" borderId="0" xfId="0" applyAlignment="1">
      <alignment wrapText="1"/>
    </xf>
    <xf numFmtId="0" fontId="0" fillId="0" borderId="35" xfId="0" applyBorder="1" applyAlignment="1">
      <alignment wrapText="1"/>
    </xf>
    <xf numFmtId="0" fontId="0" fillId="0" borderId="18" xfId="0" applyBorder="1" applyAlignment="1">
      <alignment wrapText="1"/>
    </xf>
    <xf numFmtId="0" fontId="0" fillId="0" borderId="1" xfId="0" applyBorder="1" applyAlignment="1">
      <alignment wrapText="1"/>
    </xf>
    <xf numFmtId="0" fontId="0" fillId="0" borderId="19" xfId="0" applyBorder="1" applyAlignment="1">
      <alignment wrapText="1"/>
    </xf>
    <xf numFmtId="0" fontId="59" fillId="0" borderId="0" xfId="0" applyFont="1" applyAlignment="1">
      <alignment horizontal="center"/>
    </xf>
    <xf numFmtId="0" fontId="59" fillId="0" borderId="0" xfId="0" applyFont="1" applyAlignment="1">
      <alignment horizontal="center" wrapText="1"/>
    </xf>
    <xf numFmtId="0" fontId="59" fillId="0" borderId="12" xfId="0" applyFont="1" applyBorder="1" applyAlignment="1">
      <alignment horizontal="center"/>
    </xf>
    <xf numFmtId="0" fontId="44" fillId="0" borderId="15" xfId="0" applyFont="1" applyBorder="1" applyAlignment="1">
      <alignment horizontal="center"/>
    </xf>
    <xf numFmtId="0" fontId="40" fillId="23" borderId="21" xfId="0" applyFont="1" applyFill="1" applyBorder="1" applyAlignment="1">
      <alignment horizontal="center" vertical="center" wrapText="1" readingOrder="1"/>
    </xf>
    <xf numFmtId="0" fontId="41" fillId="0" borderId="20" xfId="0" applyFont="1" applyBorder="1" applyAlignment="1">
      <alignment horizontal="left" vertical="top" wrapText="1"/>
    </xf>
    <xf numFmtId="0" fontId="43" fillId="8" borderId="0" xfId="0" applyFont="1" applyFill="1" applyAlignment="1">
      <alignment horizontal="center"/>
    </xf>
    <xf numFmtId="0" fontId="34" fillId="7" borderId="2" xfId="0" applyFont="1" applyFill="1" applyBorder="1" applyAlignment="1">
      <alignment horizontal="center"/>
    </xf>
    <xf numFmtId="0" fontId="0" fillId="0" borderId="9" xfId="0" applyBorder="1" applyAlignment="1">
      <alignment horizontal="center"/>
    </xf>
    <xf numFmtId="0" fontId="36" fillId="7" borderId="2" xfId="0" applyFont="1" applyFill="1" applyBorder="1" applyAlignment="1">
      <alignment horizontal="center"/>
    </xf>
    <xf numFmtId="0" fontId="38" fillId="0" borderId="20" xfId="0" applyFont="1" applyBorder="1" applyAlignment="1">
      <alignment horizontal="left"/>
    </xf>
    <xf numFmtId="0" fontId="0" fillId="0" borderId="2" xfId="0" applyBorder="1" applyAlignment="1">
      <alignment horizontal="center"/>
    </xf>
    <xf numFmtId="0" fontId="37" fillId="0" borderId="20" xfId="0" applyFont="1" applyBorder="1" applyAlignment="1">
      <alignment horizontal="left" wrapText="1"/>
    </xf>
    <xf numFmtId="0" fontId="37" fillId="0" borderId="20" xfId="0" applyFont="1" applyBorder="1" applyAlignment="1">
      <alignment horizontal="left" vertical="center" wrapText="1"/>
    </xf>
  </cellXfs>
  <cellStyles count="7">
    <cellStyle name="Normal" xfId="0" builtinId="0"/>
    <cellStyle name="Normal 2" xfId="1" xr:uid="{00000000-0005-0000-0000-000006000000}"/>
    <cellStyle name="Normal 3" xfId="2" xr:uid="{C260EE9F-154D-418A-8F21-4716B700A363}"/>
    <cellStyle name="Normal 3 2" xfId="6" xr:uid="{CB11A6DC-EBF1-47B1-A5DF-CD82AC62C3C0}"/>
    <cellStyle name="Normal 4" xfId="3" xr:uid="{C8A07222-4ED6-4F1F-97ED-84F58D7C7624}"/>
    <cellStyle name="Normal 5" xfId="4" xr:uid="{9689FC73-B17A-4C74-A490-0340A642268B}"/>
    <cellStyle name="Normal 5 2" xfId="5" xr:uid="{FE4FCB1D-6FF1-4977-AF0A-CD390CEDC9FE}"/>
  </cellStyles>
  <dxfs count="133">
    <dxf>
      <font>
        <color theme="0" tint="-4.9989318521683403E-2"/>
      </font>
      <fill>
        <patternFill patternType="lightUp">
          <fgColor theme="0" tint="-0.14996795556505021"/>
        </patternFill>
      </fill>
    </dxf>
    <dxf>
      <fill>
        <patternFill>
          <bgColor rgb="FFFF6565"/>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FF0000"/>
      </font>
    </dxf>
    <dxf>
      <font>
        <b/>
        <i val="0"/>
      </font>
      <numFmt numFmtId="2" formatCode="0.00"/>
      <fill>
        <patternFill>
          <bgColor rgb="FFE6E905"/>
        </patternFill>
      </fill>
    </dxf>
    <dxf>
      <font>
        <strike/>
        <color theme="0"/>
      </font>
      <fill>
        <patternFill>
          <bgColor rgb="FFFF0000"/>
        </patternFill>
      </fill>
    </dxf>
    <dxf>
      <fill>
        <patternFill>
          <bgColor rgb="FFE0C2CD"/>
        </patternFill>
      </fill>
    </dxf>
    <dxf>
      <font>
        <b/>
        <i val="0"/>
      </font>
      <fill>
        <patternFill>
          <bgColor rgb="FFFFBF00"/>
        </patternFill>
      </fill>
    </dxf>
    <dxf>
      <font>
        <b/>
        <i val="0"/>
      </font>
      <fill>
        <patternFill>
          <bgColor rgb="FFCCFFCC"/>
        </patternFill>
      </fill>
    </dxf>
    <dxf>
      <font>
        <b val="0"/>
        <i val="0"/>
        <strike val="0"/>
      </font>
      <fill>
        <patternFill patternType="solid">
          <fgColor auto="1"/>
          <bgColor rgb="FFBDD7EE"/>
        </patternFill>
      </fill>
    </dxf>
    <dxf>
      <font>
        <b val="0"/>
        <i val="0"/>
        <strike val="0"/>
      </font>
      <fill>
        <patternFill patternType="solid">
          <fgColor auto="1"/>
          <bgColor rgb="FFBDD7EE"/>
        </patternFill>
      </fill>
    </dxf>
    <dxf>
      <font>
        <b/>
        <i val="0"/>
        <strike val="0"/>
      </font>
      <fill>
        <patternFill>
          <bgColor theme="4" tint="0.79998168889431442"/>
        </patternFill>
      </fill>
    </dxf>
    <dxf>
      <font>
        <b/>
        <i val="0"/>
        <strike val="0"/>
      </font>
      <fill>
        <patternFill patternType="solid">
          <fgColor auto="1"/>
          <bgColor rgb="FFFFF2CC"/>
        </patternFill>
      </fill>
    </dxf>
    <dxf>
      <font>
        <b/>
        <i val="0"/>
        <strike val="0"/>
      </font>
      <fill>
        <patternFill patternType="solid">
          <fgColor auto="1"/>
          <bgColor rgb="FFFFF2CC"/>
        </patternFill>
      </fill>
      <border>
        <left style="thin">
          <color auto="1"/>
        </left>
        <right style="thin">
          <color auto="1"/>
        </right>
        <top style="thin">
          <color auto="1"/>
        </top>
      </border>
    </dxf>
    <dxf>
      <font>
        <b val="0"/>
        <i val="0"/>
        <strike val="0"/>
      </font>
      <fill>
        <patternFill patternType="solid">
          <fgColor auto="1"/>
          <bgColor rgb="FFFFF2CC"/>
        </patternFill>
      </fill>
    </dxf>
    <dxf>
      <font>
        <strike/>
        <color theme="0"/>
      </font>
      <fill>
        <patternFill>
          <bgColor rgb="FFFF0000"/>
        </patternFill>
      </fill>
    </dxf>
    <dxf>
      <font>
        <color rgb="FFFF0000"/>
      </font>
    </dxf>
    <dxf>
      <fill>
        <patternFill>
          <bgColor rgb="FFFFF2CC"/>
        </patternFill>
      </fill>
      <border>
        <left style="thin">
          <color auto="1"/>
        </left>
        <right style="thin">
          <color auto="1"/>
        </right>
        <top style="thin">
          <color auto="1"/>
        </top>
        <bottom style="thin">
          <color auto="1"/>
        </bottom>
      </border>
    </dxf>
    <dxf>
      <font>
        <strike/>
        <color theme="0"/>
      </font>
      <fill>
        <patternFill>
          <bgColor rgb="FFFF0000"/>
        </patternFill>
      </fill>
    </dxf>
    <dxf>
      <border>
        <bottom style="thin">
          <color auto="1"/>
        </bottom>
        <vertical/>
        <horizontal/>
      </border>
    </dxf>
    <dxf>
      <fill>
        <patternFill>
          <bgColor theme="7" tint="0.79998168889431442"/>
        </patternFill>
      </fill>
    </dxf>
    <dxf>
      <border>
        <bottom style="thin">
          <color auto="1"/>
        </bottom>
        <vertical/>
        <horizontal/>
      </border>
    </dxf>
    <dxf>
      <border>
        <top style="thin">
          <color auto="1"/>
        </top>
        <vertical/>
        <horizontal/>
      </border>
    </dxf>
    <dxf>
      <fill>
        <patternFill>
          <bgColor rgb="FFFF0000"/>
        </patternFill>
      </fill>
    </dxf>
    <dxf>
      <fill>
        <patternFill>
          <bgColor theme="0" tint="-0.24994659260841701"/>
        </patternFill>
      </fill>
    </dxf>
    <dxf>
      <border>
        <bottom style="thin">
          <color auto="1"/>
        </bottom>
        <vertical/>
        <horizontal/>
      </border>
    </dxf>
    <dxf>
      <border>
        <bottom style="thin">
          <color auto="1"/>
        </bottom>
        <vertical/>
        <horizontal/>
      </border>
    </dxf>
    <dxf>
      <border>
        <top style="thin">
          <color auto="1"/>
        </top>
        <vertical/>
        <horizontal/>
      </border>
    </dxf>
    <dxf>
      <fill>
        <patternFill>
          <bgColor rgb="FF00B0F0"/>
        </patternFill>
      </fill>
    </dxf>
    <dxf>
      <font>
        <strike/>
        <color theme="0"/>
      </font>
      <fill>
        <patternFill>
          <bgColor rgb="FFFF0000"/>
        </patternFill>
      </fill>
    </dxf>
    <dxf>
      <font>
        <strike/>
        <color theme="0"/>
      </font>
      <fill>
        <patternFill>
          <bgColor rgb="FFFF0000"/>
        </patternFill>
      </fill>
    </dxf>
    <dxf>
      <font>
        <strike/>
        <color theme="0"/>
      </font>
      <fill>
        <patternFill>
          <bgColor rgb="FFFF0000"/>
        </patternFill>
      </fill>
    </dxf>
    <dxf>
      <font>
        <strike/>
        <color theme="0"/>
      </font>
      <fill>
        <patternFill>
          <bgColor rgb="FFFF0000"/>
        </patternFill>
      </fill>
    </dxf>
    <dxf>
      <fill>
        <patternFill>
          <bgColor rgb="FFE0C2CD"/>
        </patternFill>
      </fill>
    </dxf>
    <dxf>
      <numFmt numFmtId="169" formatCode="0.000"/>
      <border diagonalUp="0" diagonalDown="0">
        <left/>
        <right style="thin">
          <color auto="1"/>
        </right>
        <top/>
        <bottom/>
        <vertical/>
        <horizontal/>
      </border>
    </dxf>
    <dxf>
      <numFmt numFmtId="169" formatCode="0.000"/>
    </dxf>
    <dxf>
      <numFmt numFmtId="169" formatCode="0.000"/>
    </dxf>
    <dxf>
      <numFmt numFmtId="169" formatCode="0.000"/>
    </dxf>
    <dxf>
      <numFmt numFmtId="169" formatCode="0.000"/>
    </dxf>
    <dxf>
      <numFmt numFmtId="169" formatCode="0.000"/>
    </dxf>
    <dxf>
      <border diagonalUp="0" diagonalDown="0">
        <left style="thin">
          <color auto="1"/>
        </left>
        <right/>
        <top/>
        <bottom/>
        <vertical/>
        <horizontal/>
      </border>
    </dxf>
    <dxf>
      <border>
        <bottom style="thin">
          <color auto="1"/>
        </bottom>
      </border>
    </dxf>
    <dxf>
      <alignment horizontal="general" vertical="bottom" textRotation="90" wrapText="0" indent="0" justifyLastLine="0" shrinkToFit="0" readingOrder="0"/>
      <border diagonalUp="0" diagonalDown="0" outline="0">
        <left/>
        <right/>
        <top/>
        <bottom/>
      </border>
    </dxf>
    <dxf>
      <border diagonalUp="0" diagonalDown="0">
        <left style="thin">
          <color auto="1"/>
        </left>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1"/>
        <color theme="1"/>
        <name val="Calibri"/>
        <family val="2"/>
        <scheme val="none"/>
      </font>
      <fill>
        <patternFill patternType="solid">
          <fgColor rgb="FFDDDDDD"/>
          <bgColor theme="0" tint="-0.14999847407452621"/>
        </patternFill>
      </fill>
      <alignment horizontal="center" vertical="bottom" textRotation="0" wrapText="0" indent="0" justifyLastLine="0" shrinkToFit="0" readingOrder="0"/>
      <border diagonalUp="0" diagonalDown="0" outline="0">
        <left style="thin">
          <color auto="1"/>
        </left>
        <right style="thin">
          <color auto="1"/>
        </right>
        <top/>
        <bottom/>
      </border>
    </dxf>
    <dxf>
      <border diagonalUp="0" diagonalDown="0">
        <left style="thin">
          <color auto="1"/>
        </left>
        <right style="thin">
          <color auto="1"/>
        </right>
        <top style="thin">
          <color auto="1"/>
        </top>
        <bottom/>
        <vertical/>
        <horizontal/>
      </border>
    </dxf>
    <dxf>
      <border diagonalUp="0" diagonalDown="0">
        <left style="thin">
          <color auto="1"/>
        </left>
        <right/>
        <top style="thin">
          <color auto="1"/>
        </top>
        <bottom style="thin">
          <color auto="1"/>
        </bottom>
        <vertical/>
        <horizontal/>
      </border>
    </dxf>
    <dxf>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border outline="0">
        <bottom style="thin">
          <color auto="1"/>
        </bottom>
      </border>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font>
        <strike val="0"/>
        <outline val="0"/>
        <shadow val="0"/>
        <u val="none"/>
        <vertAlign val="baseline"/>
        <sz val="11"/>
        <color theme="1"/>
        <name val="Calibri"/>
        <family val="2"/>
        <scheme val="none"/>
      </font>
      <numFmt numFmtId="164" formatCode="0.0"/>
      <fill>
        <patternFill patternType="solid">
          <fgColor indexed="64"/>
          <bgColor theme="4" tint="0.79998168889431442"/>
        </patternFill>
      </fill>
      <alignment horizontal="right" vertical="bottom" textRotation="0" wrapText="0" indent="0" justifyLastLine="0" shrinkToFit="0" readingOrder="0"/>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64" formatCode="0.0"/>
      <fill>
        <patternFill patternType="none">
          <fgColor indexed="64"/>
          <bgColor indexed="65"/>
        </patternFill>
      </fill>
      <alignment horizontal="right" vertical="bottom" textRotation="0" wrapText="0" indent="0" justifyLastLine="0" shrinkToFit="0" readingOrder="0"/>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fill>
        <patternFill patternType="none">
          <fgColor indexed="64"/>
          <bgColor indexed="65"/>
        </patternFill>
      </fill>
    </dxf>
    <dxf>
      <numFmt numFmtId="1" formatCode="0"/>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
      <numFmt numFmtId="164" formatCode="0.0"/>
      <fill>
        <patternFill patternType="solid">
          <fgColor indexed="64"/>
          <bgColor theme="4" tint="0.79998168889431442"/>
        </patternFill>
      </fill>
    </dxf>
    <dxf>
      <numFmt numFmtId="164" formatCode="0.0"/>
      <alignment horizontal="right" vertical="bottom" textRotation="0" wrapText="0" indent="0" justifyLastLine="0" shrinkToFit="0" readingOrder="0"/>
    </dxf>
    <dxf>
      <numFmt numFmtId="164" formatCode="0.0"/>
      <fill>
        <patternFill patternType="solid">
          <fgColor indexed="64"/>
          <bgColor theme="4" tint="0.79998168889431442"/>
        </patternFill>
      </fill>
    </dxf>
    <dxf>
      <numFmt numFmtId="0" formatCode="General"/>
    </dxf>
    <dxf>
      <numFmt numFmtId="0" formatCode="General"/>
    </dxf>
    <dxf>
      <numFmt numFmtId="0" formatCode="General"/>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E6E905"/>
      <color rgb="FFBDD7EE"/>
      <color rgb="FFFFF2CC"/>
      <color rgb="FFFF0000"/>
      <color rgb="FFB4C7DC"/>
      <color rgb="FFC00000"/>
      <color rgb="FFCCFFCC"/>
      <color rgb="FFFFBF00"/>
      <color rgb="FFFFFFFF"/>
      <color rgb="FFF8CB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4.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customXml" Target="../ink/ink7.xml"/><Relationship Id="rId3" Type="http://schemas.openxmlformats.org/officeDocument/2006/relationships/customXml" Target="../ink/ink2.xml"/><Relationship Id="rId7" Type="http://schemas.openxmlformats.org/officeDocument/2006/relationships/customXml" Target="../ink/ink4.xml"/><Relationship Id="rId12" Type="http://schemas.openxmlformats.org/officeDocument/2006/relationships/image" Target="../media/image6.png"/><Relationship Id="rId2" Type="http://schemas.openxmlformats.org/officeDocument/2006/relationships/image" Target="../media/image1.png"/><Relationship Id="rId16" Type="http://schemas.openxmlformats.org/officeDocument/2006/relationships/image" Target="../media/image8.png"/><Relationship Id="rId1" Type="http://schemas.openxmlformats.org/officeDocument/2006/relationships/customXml" Target="../ink/ink1.xml"/><Relationship Id="rId6" Type="http://schemas.openxmlformats.org/officeDocument/2006/relationships/image" Target="../media/image3.png"/><Relationship Id="rId11" Type="http://schemas.openxmlformats.org/officeDocument/2006/relationships/customXml" Target="../ink/ink6.xml"/><Relationship Id="rId5" Type="http://schemas.openxmlformats.org/officeDocument/2006/relationships/customXml" Target="../ink/ink3.xml"/><Relationship Id="rId15" Type="http://schemas.openxmlformats.org/officeDocument/2006/relationships/customXml" Target="../ink/ink8.xml"/><Relationship Id="rId10" Type="http://schemas.openxmlformats.org/officeDocument/2006/relationships/image" Target="../media/image5.png"/><Relationship Id="rId4" Type="http://schemas.openxmlformats.org/officeDocument/2006/relationships/image" Target="../media/image2.png"/><Relationship Id="rId9" Type="http://schemas.openxmlformats.org/officeDocument/2006/relationships/customXml" Target="../ink/ink5.xml"/><Relationship Id="rId1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1</xdr:row>
          <xdr:rowOff>180975</xdr:rowOff>
        </xdr:to>
        <xdr:sp macro="" textlink="">
          <xdr:nvSpPr>
            <xdr:cNvPr id="90113" name="Button 1" descr="Write SASF" hidden="1">
              <a:extLst>
                <a:ext uri="{63B3BB69-23CF-44E3-9099-C40C66FF867C}">
                  <a14:compatExt spid="_x0000_s90113"/>
                </a:ext>
                <a:ext uri="{FF2B5EF4-FFF2-40B4-BE49-F238E27FC236}">
                  <a16:creationId xmlns:a16="http://schemas.microsoft.com/office/drawing/2014/main" id="{00000000-0008-0000-0000-000001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 here to write SASF</a:t>
              </a:r>
            </a:p>
          </xdr:txBody>
        </xdr:sp>
        <xdr:clientData fPrintsWithSheet="0"/>
      </xdr:twoCellAnchor>
    </mc:Choice>
    <mc:Fallback/>
  </mc:AlternateContent>
  <xdr:twoCellAnchor>
    <xdr:from>
      <xdr:col>11</xdr:col>
      <xdr:colOff>654194</xdr:colOff>
      <xdr:row>407</xdr:row>
      <xdr:rowOff>117764</xdr:rowOff>
    </xdr:from>
    <xdr:to>
      <xdr:col>11</xdr:col>
      <xdr:colOff>700952</xdr:colOff>
      <xdr:row>415</xdr:row>
      <xdr:rowOff>82694</xdr:rowOff>
    </xdr:to>
    <xdr:cxnSp macro="">
      <xdr:nvCxnSpPr>
        <xdr:cNvPr id="2" name="Straight Arrow Connector 1">
          <a:extLst>
            <a:ext uri="{FF2B5EF4-FFF2-40B4-BE49-F238E27FC236}">
              <a16:creationId xmlns:a16="http://schemas.microsoft.com/office/drawing/2014/main" id="{94BB0326-4164-4CAF-9994-48F2AC5D6EC3}"/>
            </a:ext>
          </a:extLst>
        </xdr:cNvPr>
        <xdr:cNvCxnSpPr/>
      </xdr:nvCxnSpPr>
      <xdr:spPr>
        <a:xfrm flipV="1">
          <a:off x="9140969" y="76317764"/>
          <a:ext cx="46758" cy="1488930"/>
        </a:xfrm>
        <a:prstGeom prst="straightConnector1">
          <a:avLst/>
        </a:prstGeom>
        <a:ln>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631031</xdr:colOff>
      <xdr:row>380</xdr:row>
      <xdr:rowOff>42863</xdr:rowOff>
    </xdr:from>
    <xdr:to>
      <xdr:col>0</xdr:col>
      <xdr:colOff>2114550</xdr:colOff>
      <xdr:row>385</xdr:row>
      <xdr:rowOff>80962</xdr:rowOff>
    </xdr:to>
    <xdr:sp macro="" textlink="">
      <xdr:nvSpPr>
        <xdr:cNvPr id="3" name="TextBox 2">
          <a:extLst>
            <a:ext uri="{FF2B5EF4-FFF2-40B4-BE49-F238E27FC236}">
              <a16:creationId xmlns:a16="http://schemas.microsoft.com/office/drawing/2014/main" id="{9EF550AB-8B8C-4F87-8880-B3DA1272E95C}"/>
            </a:ext>
          </a:extLst>
        </xdr:cNvPr>
        <xdr:cNvSpPr txBox="1"/>
      </xdr:nvSpPr>
      <xdr:spPr>
        <a:xfrm>
          <a:off x="631031" y="72432863"/>
          <a:ext cx="140494" cy="990599"/>
        </a:xfrm>
        <a:prstGeom prst="rect">
          <a:avLst/>
        </a:prstGeom>
        <a:solidFill>
          <a:schemeClr val="lt1"/>
        </a:solidFill>
        <a:ln w="9525"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accent1"/>
              </a:solidFill>
            </a:rPr>
            <a:t>Need to provide rock pile rtc commands for karl for tracks on rows 408-410.</a:t>
          </a:r>
        </a:p>
        <a:p>
          <a:endParaRPr lang="en-US" sz="1100">
            <a:solidFill>
              <a:schemeClr val="accent1"/>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9525</xdr:rowOff>
        </xdr:from>
        <xdr:to>
          <xdr:col>0</xdr:col>
          <xdr:colOff>1704975</xdr:colOff>
          <xdr:row>3</xdr:row>
          <xdr:rowOff>180975</xdr:rowOff>
        </xdr:to>
        <xdr:sp macro="" textlink="">
          <xdr:nvSpPr>
            <xdr:cNvPr id="90269" name="Button 157" descr="Write SASF" hidden="1">
              <a:extLst>
                <a:ext uri="{63B3BB69-23CF-44E3-9099-C40C66FF867C}">
                  <a14:compatExt spid="_x0000_s90269"/>
                </a:ext>
                <a:ext uri="{FF2B5EF4-FFF2-40B4-BE49-F238E27FC236}">
                  <a16:creationId xmlns:a16="http://schemas.microsoft.com/office/drawing/2014/main" id="{00000000-0008-0000-0000-00009D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here to update timelines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4</xdr:row>
          <xdr:rowOff>28575</xdr:rowOff>
        </xdr:from>
        <xdr:to>
          <xdr:col>0</xdr:col>
          <xdr:colOff>1695450</xdr:colOff>
          <xdr:row>5</xdr:row>
          <xdr:rowOff>180975</xdr:rowOff>
        </xdr:to>
        <xdr:sp macro="" textlink="">
          <xdr:nvSpPr>
            <xdr:cNvPr id="90270" name="Button 158" hidden="1">
              <a:extLst>
                <a:ext uri="{63B3BB69-23CF-44E3-9099-C40C66FF867C}">
                  <a14:compatExt spid="_x0000_s90270"/>
                </a:ext>
                <a:ext uri="{FF2B5EF4-FFF2-40B4-BE49-F238E27FC236}">
                  <a16:creationId xmlns:a16="http://schemas.microsoft.com/office/drawing/2014/main" id="{00000000-0008-0000-0000-00009E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Drag corners and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7</xdr:row>
          <xdr:rowOff>104775</xdr:rowOff>
        </xdr:from>
        <xdr:to>
          <xdr:col>1</xdr:col>
          <xdr:colOff>676275</xdr:colOff>
          <xdr:row>11</xdr:row>
          <xdr:rowOff>76200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3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Refresh Table</a:t>
              </a:r>
            </a:p>
            <a:p>
              <a:pPr algn="ctr" rtl="0">
                <a:defRPr sz="1000"/>
              </a:pPr>
              <a:r>
                <a:rPr lang="en-US" sz="1400" b="1" i="0" u="none" strike="noStrike" baseline="0">
                  <a:solidFill>
                    <a:srgbClr val="000000"/>
                  </a:solidFill>
                  <a:latin typeface="Aptos Narrow"/>
                </a:rPr>
                <a:t>(Read Statesim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66675</xdr:colOff>
          <xdr:row>7</xdr:row>
          <xdr:rowOff>142875</xdr:rowOff>
        </xdr:from>
        <xdr:to>
          <xdr:col>8</xdr:col>
          <xdr:colOff>47625</xdr:colOff>
          <xdr:row>11</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300-000002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ea typeface="Calibri"/>
                  <a:cs typeface="Calibri"/>
                </a:rPr>
                <a:t>Clear Timelines,</a:t>
              </a:r>
            </a:p>
            <a:p>
              <a:pPr algn="ctr" rtl="0">
                <a:defRPr sz="1000"/>
              </a:pPr>
              <a:r>
                <a:rPr lang="en-US" sz="1400" b="1" i="0" u="none" strike="noStrike" baseline="0">
                  <a:solidFill>
                    <a:srgbClr val="000000"/>
                  </a:solidFill>
                  <a:latin typeface="Calibri"/>
                  <a:ea typeface="Calibri"/>
                  <a:cs typeface="Calibri"/>
                </a:rPr>
                <a:t>then Load timelines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9525</xdr:colOff>
          <xdr:row>0</xdr:row>
          <xdr:rowOff>0</xdr:rowOff>
        </xdr:from>
        <xdr:to>
          <xdr:col>12</xdr:col>
          <xdr:colOff>819150</xdr:colOff>
          <xdr:row>1</xdr:row>
          <xdr:rowOff>180975</xdr:rowOff>
        </xdr:to>
        <xdr:sp macro="" textlink="">
          <xdr:nvSpPr>
            <xdr:cNvPr id="98498" name="Button 194" descr="Write SASF" hidden="1">
              <a:extLst>
                <a:ext uri="{63B3BB69-23CF-44E3-9099-C40C66FF867C}">
                  <a14:compatExt spid="_x0000_s98498"/>
                </a:ext>
                <a:ext uri="{FF2B5EF4-FFF2-40B4-BE49-F238E27FC236}">
                  <a16:creationId xmlns:a16="http://schemas.microsoft.com/office/drawing/2014/main" id="{00000000-0008-0000-0400-0000C2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 here to write SASF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1</xdr:row>
          <xdr:rowOff>190500</xdr:rowOff>
        </xdr:from>
        <xdr:to>
          <xdr:col>12</xdr:col>
          <xdr:colOff>819150</xdr:colOff>
          <xdr:row>3</xdr:row>
          <xdr:rowOff>180975</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0400-000001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 then click</a:t>
              </a:r>
            </a:p>
            <a:p>
              <a:pPr algn="ctr" rtl="0">
                <a:defRPr sz="1000"/>
              </a:pPr>
              <a:r>
                <a:rPr lang="en-US" sz="1100" b="0" i="0" u="none" strike="noStrike" baseline="0">
                  <a:solidFill>
                    <a:srgbClr val="000000"/>
                  </a:solidFill>
                  <a:latin typeface="Calibri"/>
                  <a:ea typeface="Calibri"/>
                  <a:cs typeface="Calibri"/>
                </a:rPr>
                <a:t>here to add DLDV</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828675</xdr:colOff>
          <xdr:row>4</xdr:row>
          <xdr:rowOff>0</xdr:rowOff>
        </xdr:from>
        <xdr:to>
          <xdr:col>14</xdr:col>
          <xdr:colOff>866775</xdr:colOff>
          <xdr:row>6</xdr:row>
          <xdr:rowOff>0</xdr:rowOff>
        </xdr:to>
        <xdr:sp macro="" textlink="">
          <xdr:nvSpPr>
            <xdr:cNvPr id="98497" name="Button 193" hidden="1">
              <a:extLst>
                <a:ext uri="{63B3BB69-23CF-44E3-9099-C40C66FF867C}">
                  <a14:compatExt spid="_x0000_s98497"/>
                </a:ext>
                <a:ext uri="{FF2B5EF4-FFF2-40B4-BE49-F238E27FC236}">
                  <a16:creationId xmlns:a16="http://schemas.microsoft.com/office/drawing/2014/main" id="{00000000-0008-0000-0400-0000C1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Toggle Selected</a:t>
              </a:r>
            </a:p>
            <a:p>
              <a:pPr algn="ctr" rtl="0">
                <a:defRPr sz="1000"/>
              </a:pPr>
              <a:r>
                <a:rPr lang="en-US" sz="1100" b="0" i="0" u="none" strike="noStrike" baseline="0">
                  <a:solidFill>
                    <a:srgbClr val="000000"/>
                  </a:solidFill>
                  <a:latin typeface="Calibri"/>
                  <a:ea typeface="Calibri"/>
                  <a:cs typeface="Calibri"/>
                </a:rPr>
                <a:t>MET Cells Blue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4</xdr:row>
          <xdr:rowOff>0</xdr:rowOff>
        </xdr:from>
        <xdr:to>
          <xdr:col>12</xdr:col>
          <xdr:colOff>819150</xdr:colOff>
          <xdr:row>6</xdr:row>
          <xdr:rowOff>0</xdr:rowOff>
        </xdr:to>
        <xdr:sp macro="" textlink="">
          <xdr:nvSpPr>
            <xdr:cNvPr id="98504" name="Button 200" hidden="1">
              <a:extLst>
                <a:ext uri="{63B3BB69-23CF-44E3-9099-C40C66FF867C}">
                  <a14:compatExt spid="_x0000_s98504"/>
                </a:ext>
                <a:ext uri="{FF2B5EF4-FFF2-40B4-BE49-F238E27FC236}">
                  <a16:creationId xmlns:a16="http://schemas.microsoft.com/office/drawing/2014/main" id="{00000000-0008-0000-0400-0000C8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Drag corners, then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828675</xdr:colOff>
          <xdr:row>0</xdr:row>
          <xdr:rowOff>0</xdr:rowOff>
        </xdr:from>
        <xdr:to>
          <xdr:col>14</xdr:col>
          <xdr:colOff>866775</xdr:colOff>
          <xdr:row>1</xdr:row>
          <xdr:rowOff>180975</xdr:rowOff>
        </xdr:to>
        <xdr:sp macro="" textlink="">
          <xdr:nvSpPr>
            <xdr:cNvPr id="98506" name="Button 202" descr="Write SASF" hidden="1">
              <a:extLst>
                <a:ext uri="{63B3BB69-23CF-44E3-9099-C40C66FF867C}">
                  <a14:compatExt spid="_x0000_s98506"/>
                </a:ext>
                <a:ext uri="{FF2B5EF4-FFF2-40B4-BE49-F238E27FC236}">
                  <a16:creationId xmlns:a16="http://schemas.microsoft.com/office/drawing/2014/main" id="{00000000-0008-0000-0400-0000CA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here to update timelines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828675</xdr:colOff>
          <xdr:row>1</xdr:row>
          <xdr:rowOff>190500</xdr:rowOff>
        </xdr:from>
        <xdr:to>
          <xdr:col>14</xdr:col>
          <xdr:colOff>866775</xdr:colOff>
          <xdr:row>3</xdr:row>
          <xdr:rowOff>180975</xdr:rowOff>
        </xdr:to>
        <xdr:sp macro="" textlink="">
          <xdr:nvSpPr>
            <xdr:cNvPr id="98596" name="Button 292" descr="Write SASF" hidden="1">
              <a:extLst>
                <a:ext uri="{63B3BB69-23CF-44E3-9099-C40C66FF867C}">
                  <a14:compatExt spid="_x0000_s98596"/>
                </a:ext>
                <a:ext uri="{FF2B5EF4-FFF2-40B4-BE49-F238E27FC236}">
                  <a16:creationId xmlns:a16="http://schemas.microsoft.com/office/drawing/2014/main" id="{00000000-0008-0000-0400-00002481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0" i="0" u="none" strike="noStrike" baseline="0">
                  <a:solidFill>
                    <a:srgbClr val="000000"/>
                  </a:solidFill>
                  <a:latin typeface="Calibri"/>
                  <a:ea typeface="Calibri"/>
                  <a:cs typeface="Calibri"/>
                </a:rPr>
                <a:t>Select non-zero diff cell,</a:t>
              </a:r>
            </a:p>
            <a:p>
              <a:pPr algn="ctr" rtl="0">
                <a:defRPr sz="1000"/>
              </a:pPr>
              <a:r>
                <a:rPr lang="en-US" sz="1000" b="0" i="0" u="none" strike="noStrike" baseline="0">
                  <a:solidFill>
                    <a:srgbClr val="000000"/>
                  </a:solidFill>
                  <a:latin typeface="Calibri"/>
                  <a:ea typeface="Calibri"/>
                  <a:cs typeface="Calibri"/>
                </a:rPr>
                <a:t>then click here to insert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0465" name="Button 1" hidden="1">
              <a:extLst>
                <a:ext uri="{63B3BB69-23CF-44E3-9099-C40C66FF867C}">
                  <a14:compatExt spid="_x0000_s190465"/>
                </a:ext>
                <a:ext uri="{FF2B5EF4-FFF2-40B4-BE49-F238E27FC236}">
                  <a16:creationId xmlns:a16="http://schemas.microsoft.com/office/drawing/2014/main" id="{00000000-0008-0000-0500-000001E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00000000-0008-0000-0600-000001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2513" name="Button 1" hidden="1">
              <a:extLst>
                <a:ext uri="{63B3BB69-23CF-44E3-9099-C40C66FF867C}">
                  <a14:compatExt spid="_x0000_s192513"/>
                </a:ext>
                <a:ext uri="{FF2B5EF4-FFF2-40B4-BE49-F238E27FC236}">
                  <a16:creationId xmlns:a16="http://schemas.microsoft.com/office/drawing/2014/main" id="{00000000-0008-0000-0700-000001F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3537" name="Button 1" hidden="1">
              <a:extLst>
                <a:ext uri="{63B3BB69-23CF-44E3-9099-C40C66FF867C}">
                  <a14:compatExt spid="_x0000_s193537"/>
                </a:ext>
                <a:ext uri="{FF2B5EF4-FFF2-40B4-BE49-F238E27FC236}">
                  <a16:creationId xmlns:a16="http://schemas.microsoft.com/office/drawing/2014/main" id="{00000000-0008-0000-0800-000001F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4561" name="Button 1" hidden="1">
              <a:extLst>
                <a:ext uri="{63B3BB69-23CF-44E3-9099-C40C66FF867C}">
                  <a14:compatExt spid="_x0000_s194561"/>
                </a:ext>
                <a:ext uri="{FF2B5EF4-FFF2-40B4-BE49-F238E27FC236}">
                  <a16:creationId xmlns:a16="http://schemas.microsoft.com/office/drawing/2014/main" id="{00000000-0008-0000-0900-000001F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0A00-000001F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0B00-0000010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7633" name="Button 1" hidden="1">
              <a:extLst>
                <a:ext uri="{63B3BB69-23CF-44E3-9099-C40C66FF867C}">
                  <a14:compatExt spid="_x0000_s197633"/>
                </a:ext>
                <a:ext uri="{FF2B5EF4-FFF2-40B4-BE49-F238E27FC236}">
                  <a16:creationId xmlns:a16="http://schemas.microsoft.com/office/drawing/2014/main" id="{00000000-0008-0000-0C00-0000010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8657" name="Button 1" hidden="1">
              <a:extLst>
                <a:ext uri="{63B3BB69-23CF-44E3-9099-C40C66FF867C}">
                  <a14:compatExt spid="_x0000_s198657"/>
                </a:ext>
                <a:ext uri="{FF2B5EF4-FFF2-40B4-BE49-F238E27FC236}">
                  <a16:creationId xmlns:a16="http://schemas.microsoft.com/office/drawing/2014/main" id="{00000000-0008-0000-0D00-0000010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0E00-0000014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Timeline Test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17</xdr:col>
      <xdr:colOff>120810</xdr:colOff>
      <xdr:row>202</xdr:row>
      <xdr:rowOff>113850</xdr:rowOff>
    </xdr:from>
    <xdr:to>
      <xdr:col>19</xdr:col>
      <xdr:colOff>381135</xdr:colOff>
      <xdr:row>207</xdr:row>
      <xdr:rowOff>152355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5" name="Ink 14">
              <a:extLst>
                <a:ext uri="{FF2B5EF4-FFF2-40B4-BE49-F238E27FC236}">
                  <a16:creationId xmlns:a16="http://schemas.microsoft.com/office/drawing/2014/main" id="{275236A0-AD2A-9A93-401A-A68977642259}"/>
                </a:ext>
              </a:extLst>
            </xdr14:cNvPr>
            <xdr14:cNvContentPartPr/>
          </xdr14:nvContentPartPr>
          <xdr14:nvPr macro=""/>
          <xdr14:xfrm>
            <a:off x="9855360" y="24707400"/>
            <a:ext cx="1546200" cy="1057680"/>
          </xdr14:xfrm>
        </xdr:contentPart>
      </mc:Choice>
      <mc:Fallback xmlns="">
        <xdr:pic>
          <xdr:nvPicPr>
            <xdr:cNvPr id="15" name="Ink 14">
              <a:extLst>
                <a:ext uri="{FF2B5EF4-FFF2-40B4-BE49-F238E27FC236}">
                  <a16:creationId xmlns:a16="http://schemas.microsoft.com/office/drawing/2014/main" id="{275236A0-AD2A-9A93-401A-A68977642259}"/>
                </a:ext>
              </a:extLst>
            </xdr:cNvPr>
            <xdr:cNvPicPr/>
          </xdr:nvPicPr>
          <xdr:blipFill>
            <a:blip xmlns:r="http://schemas.openxmlformats.org/officeDocument/2006/relationships" r:embed="rId2"/>
            <a:stretch>
              <a:fillRect/>
            </a:stretch>
          </xdr:blipFill>
          <xdr:spPr>
            <a:xfrm>
              <a:off x="9837720" y="24689400"/>
              <a:ext cx="1581840" cy="1093320"/>
            </a:xfrm>
            <a:prstGeom prst="rect">
              <a:avLst/>
            </a:prstGeom>
          </xdr:spPr>
        </xdr:pic>
      </mc:Fallback>
    </mc:AlternateContent>
    <xdr:clientData/>
  </xdr:twoCellAnchor>
  <xdr:twoCellAnchor editAs="oneCell">
    <xdr:from>
      <xdr:col>17</xdr:col>
      <xdr:colOff>133050</xdr:colOff>
      <xdr:row>202</xdr:row>
      <xdr:rowOff>133290</xdr:rowOff>
    </xdr:from>
    <xdr:to>
      <xdr:col>17</xdr:col>
      <xdr:colOff>133410</xdr:colOff>
      <xdr:row>202</xdr:row>
      <xdr:rowOff>133650</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22" name="Ink 21">
              <a:extLst>
                <a:ext uri="{FF2B5EF4-FFF2-40B4-BE49-F238E27FC236}">
                  <a16:creationId xmlns:a16="http://schemas.microsoft.com/office/drawing/2014/main" id="{CE3C2B5D-D181-02E7-B92E-EB8386C38753}"/>
                </a:ext>
              </a:extLst>
            </xdr14:cNvPr>
            <xdr14:cNvContentPartPr/>
          </xdr14:nvContentPartPr>
          <xdr14:nvPr macro=""/>
          <xdr14:xfrm>
            <a:off x="9867600" y="24726840"/>
            <a:ext cx="360" cy="360"/>
          </xdr14:xfrm>
        </xdr:contentPart>
      </mc:Choice>
      <mc:Fallback xmlns="">
        <xdr:pic>
          <xdr:nvPicPr>
            <xdr:cNvPr id="22" name="Ink 21">
              <a:extLst>
                <a:ext uri="{FF2B5EF4-FFF2-40B4-BE49-F238E27FC236}">
                  <a16:creationId xmlns:a16="http://schemas.microsoft.com/office/drawing/2014/main" id="{CE3C2B5D-D181-02E7-B92E-EB8386C38753}"/>
                </a:ext>
              </a:extLst>
            </xdr:cNvPr>
            <xdr:cNvPicPr/>
          </xdr:nvPicPr>
          <xdr:blipFill>
            <a:blip xmlns:r="http://schemas.openxmlformats.org/officeDocument/2006/relationships" r:embed="rId4"/>
            <a:stretch>
              <a:fillRect/>
            </a:stretch>
          </xdr:blipFill>
          <xdr:spPr>
            <a:xfrm>
              <a:off x="9849960" y="24709200"/>
              <a:ext cx="36000" cy="36000"/>
            </a:xfrm>
            <a:prstGeom prst="rect">
              <a:avLst/>
            </a:prstGeom>
          </xdr:spPr>
        </xdr:pic>
      </mc:Fallback>
    </mc:AlternateContent>
    <xdr:clientData/>
  </xdr:twoCellAnchor>
  <xdr:twoCellAnchor editAs="oneCell">
    <xdr:from>
      <xdr:col>17</xdr:col>
      <xdr:colOff>133050</xdr:colOff>
      <xdr:row>202</xdr:row>
      <xdr:rowOff>133290</xdr:rowOff>
    </xdr:from>
    <xdr:to>
      <xdr:col>17</xdr:col>
      <xdr:colOff>274890</xdr:colOff>
      <xdr:row>202</xdr:row>
      <xdr:rowOff>133650</xdr:rowOff>
    </xdr:to>
    <mc:AlternateContent xmlns:mc="http://schemas.openxmlformats.org/markup-compatibility/2006" xmlns:xdr14="http://schemas.microsoft.com/office/excel/2010/spreadsheetDrawing">
      <mc:Choice Requires="xdr14">
        <xdr:contentPart xmlns:r="http://schemas.openxmlformats.org/officeDocument/2006/relationships" r:id="rId5">
          <xdr14:nvContentPartPr>
            <xdr14:cNvPr id="25" name="Ink 24">
              <a:extLst>
                <a:ext uri="{FF2B5EF4-FFF2-40B4-BE49-F238E27FC236}">
                  <a16:creationId xmlns:a16="http://schemas.microsoft.com/office/drawing/2014/main" id="{BA8BF2D2-7FD5-08B8-3FD1-9BF8611702ED}"/>
                </a:ext>
              </a:extLst>
            </xdr14:cNvPr>
            <xdr14:cNvContentPartPr/>
          </xdr14:nvContentPartPr>
          <xdr14:nvPr macro=""/>
          <xdr14:xfrm>
            <a:off x="9867600" y="24726840"/>
            <a:ext cx="141840" cy="360"/>
          </xdr14:xfrm>
        </xdr:contentPart>
      </mc:Choice>
      <mc:Fallback xmlns="">
        <xdr:pic>
          <xdr:nvPicPr>
            <xdr:cNvPr id="25" name="Ink 24">
              <a:extLst>
                <a:ext uri="{FF2B5EF4-FFF2-40B4-BE49-F238E27FC236}">
                  <a16:creationId xmlns:a16="http://schemas.microsoft.com/office/drawing/2014/main" id="{BA8BF2D2-7FD5-08B8-3FD1-9BF8611702ED}"/>
                </a:ext>
              </a:extLst>
            </xdr:cNvPr>
            <xdr:cNvPicPr/>
          </xdr:nvPicPr>
          <xdr:blipFill>
            <a:blip xmlns:r="http://schemas.openxmlformats.org/officeDocument/2006/relationships" r:embed="rId6"/>
            <a:stretch>
              <a:fillRect/>
            </a:stretch>
          </xdr:blipFill>
          <xdr:spPr>
            <a:xfrm>
              <a:off x="9849960" y="24709200"/>
              <a:ext cx="177480" cy="36000"/>
            </a:xfrm>
            <a:prstGeom prst="rect">
              <a:avLst/>
            </a:prstGeom>
          </xdr:spPr>
        </xdr:pic>
      </mc:Fallback>
    </mc:AlternateContent>
    <xdr:clientData/>
  </xdr:twoCellAnchor>
  <xdr:twoCellAnchor editAs="oneCell">
    <xdr:from>
      <xdr:col>17</xdr:col>
      <xdr:colOff>133050</xdr:colOff>
      <xdr:row>202</xdr:row>
      <xdr:rowOff>87210</xdr:rowOff>
    </xdr:from>
    <xdr:to>
      <xdr:col>17</xdr:col>
      <xdr:colOff>286770</xdr:colOff>
      <xdr:row>202</xdr:row>
      <xdr:rowOff>114570</xdr:rowOff>
    </xdr:to>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26" name="Ink 25">
              <a:extLst>
                <a:ext uri="{FF2B5EF4-FFF2-40B4-BE49-F238E27FC236}">
                  <a16:creationId xmlns:a16="http://schemas.microsoft.com/office/drawing/2014/main" id="{8D3C40A1-9093-E277-C47C-1709F4011092}"/>
                </a:ext>
              </a:extLst>
            </xdr14:cNvPr>
            <xdr14:cNvContentPartPr/>
          </xdr14:nvContentPartPr>
          <xdr14:nvPr macro=""/>
          <xdr14:xfrm>
            <a:off x="9867600" y="24680760"/>
            <a:ext cx="153720" cy="27360"/>
          </xdr14:xfrm>
        </xdr:contentPart>
      </mc:Choice>
      <mc:Fallback xmlns="">
        <xdr:pic>
          <xdr:nvPicPr>
            <xdr:cNvPr id="26" name="Ink 25">
              <a:extLst>
                <a:ext uri="{FF2B5EF4-FFF2-40B4-BE49-F238E27FC236}">
                  <a16:creationId xmlns:a16="http://schemas.microsoft.com/office/drawing/2014/main" id="{8D3C40A1-9093-E277-C47C-1709F4011092}"/>
                </a:ext>
              </a:extLst>
            </xdr:cNvPr>
            <xdr:cNvPicPr/>
          </xdr:nvPicPr>
          <xdr:blipFill>
            <a:blip xmlns:r="http://schemas.openxmlformats.org/officeDocument/2006/relationships" r:embed="rId8"/>
            <a:stretch>
              <a:fillRect/>
            </a:stretch>
          </xdr:blipFill>
          <xdr:spPr>
            <a:xfrm>
              <a:off x="9849960" y="24662760"/>
              <a:ext cx="189360" cy="63000"/>
            </a:xfrm>
            <a:prstGeom prst="rect">
              <a:avLst/>
            </a:prstGeom>
          </xdr:spPr>
        </xdr:pic>
      </mc:Fallback>
    </mc:AlternateContent>
    <xdr:clientData/>
  </xdr:twoCellAnchor>
  <xdr:twoCellAnchor editAs="oneCell">
    <xdr:from>
      <xdr:col>17</xdr:col>
      <xdr:colOff>59250</xdr:colOff>
      <xdr:row>202</xdr:row>
      <xdr:rowOff>120690</xdr:rowOff>
    </xdr:from>
    <xdr:to>
      <xdr:col>17</xdr:col>
      <xdr:colOff>286410</xdr:colOff>
      <xdr:row>202</xdr:row>
      <xdr:rowOff>152730</xdr:rowOff>
    </xdr:to>
    <mc:AlternateContent xmlns:mc="http://schemas.openxmlformats.org/markup-compatibility/2006" xmlns:xdr14="http://schemas.microsoft.com/office/excel/2010/spreadsheetDrawing">
      <mc:Choice Requires="xdr14">
        <xdr:contentPart xmlns:r="http://schemas.openxmlformats.org/officeDocument/2006/relationships" r:id="rId9">
          <xdr14:nvContentPartPr>
            <xdr14:cNvPr id="31" name="Ink 30">
              <a:extLst>
                <a:ext uri="{FF2B5EF4-FFF2-40B4-BE49-F238E27FC236}">
                  <a16:creationId xmlns:a16="http://schemas.microsoft.com/office/drawing/2014/main" id="{6E1EC4FA-8B68-8963-E60F-C459A025112B}"/>
                </a:ext>
              </a:extLst>
            </xdr14:cNvPr>
            <xdr14:cNvContentPartPr/>
          </xdr14:nvContentPartPr>
          <xdr14:nvPr macro=""/>
          <xdr14:xfrm>
            <a:off x="9793800" y="24714240"/>
            <a:ext cx="227160" cy="32040"/>
          </xdr14:xfrm>
        </xdr:contentPart>
      </mc:Choice>
      <mc:Fallback xmlns="">
        <xdr:pic>
          <xdr:nvPicPr>
            <xdr:cNvPr id="31" name="Ink 30">
              <a:extLst>
                <a:ext uri="{FF2B5EF4-FFF2-40B4-BE49-F238E27FC236}">
                  <a16:creationId xmlns:a16="http://schemas.microsoft.com/office/drawing/2014/main" id="{6E1EC4FA-8B68-8963-E60F-C459A025112B}"/>
                </a:ext>
              </a:extLst>
            </xdr:cNvPr>
            <xdr:cNvPicPr/>
          </xdr:nvPicPr>
          <xdr:blipFill>
            <a:blip xmlns:r="http://schemas.openxmlformats.org/officeDocument/2006/relationships" r:embed="rId10"/>
            <a:stretch>
              <a:fillRect/>
            </a:stretch>
          </xdr:blipFill>
          <xdr:spPr>
            <a:xfrm>
              <a:off x="9775800" y="24696600"/>
              <a:ext cx="262800" cy="67680"/>
            </a:xfrm>
            <a:prstGeom prst="rect">
              <a:avLst/>
            </a:prstGeom>
          </xdr:spPr>
        </xdr:pic>
      </mc:Fallback>
    </mc:AlternateContent>
    <xdr:clientData/>
  </xdr:twoCellAnchor>
  <xdr:twoCellAnchor editAs="oneCell">
    <xdr:from>
      <xdr:col>14</xdr:col>
      <xdr:colOff>380235</xdr:colOff>
      <xdr:row>205</xdr:row>
      <xdr:rowOff>85425</xdr:rowOff>
    </xdr:from>
    <xdr:to>
      <xdr:col>18</xdr:col>
      <xdr:colOff>183615</xdr:colOff>
      <xdr:row>207</xdr:row>
      <xdr:rowOff>161715</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33" name="Ink 32">
              <a:extLst>
                <a:ext uri="{FF2B5EF4-FFF2-40B4-BE49-F238E27FC236}">
                  <a16:creationId xmlns:a16="http://schemas.microsoft.com/office/drawing/2014/main" id="{8B80BB13-D46F-A48D-7290-301FC2A96F83}"/>
                </a:ext>
              </a:extLst>
            </xdr14:cNvPr>
            <xdr14:cNvContentPartPr/>
          </xdr14:nvContentPartPr>
          <xdr14:nvPr macro=""/>
          <xdr14:xfrm>
            <a:off x="8085960" y="25260000"/>
            <a:ext cx="2508480" cy="514440"/>
          </xdr14:xfrm>
        </xdr:contentPart>
      </mc:Choice>
      <mc:Fallback xmlns="">
        <xdr:pic>
          <xdr:nvPicPr>
            <xdr:cNvPr id="33" name="Ink 32">
              <a:extLst>
                <a:ext uri="{FF2B5EF4-FFF2-40B4-BE49-F238E27FC236}">
                  <a16:creationId xmlns:a16="http://schemas.microsoft.com/office/drawing/2014/main" id="{8B80BB13-D46F-A48D-7290-301FC2A96F83}"/>
                </a:ext>
              </a:extLst>
            </xdr:cNvPr>
            <xdr:cNvPicPr/>
          </xdr:nvPicPr>
          <xdr:blipFill>
            <a:blip xmlns:r="http://schemas.openxmlformats.org/officeDocument/2006/relationships" r:embed="rId12"/>
            <a:stretch>
              <a:fillRect/>
            </a:stretch>
          </xdr:blipFill>
          <xdr:spPr>
            <a:xfrm>
              <a:off x="8068320" y="25242360"/>
              <a:ext cx="2544120" cy="550080"/>
            </a:xfrm>
            <a:prstGeom prst="rect">
              <a:avLst/>
            </a:prstGeom>
          </xdr:spPr>
        </xdr:pic>
      </mc:Fallback>
    </mc:AlternateContent>
    <xdr:clientData/>
  </xdr:twoCellAnchor>
  <xdr:twoCellAnchor editAs="oneCell">
    <xdr:from>
      <xdr:col>14</xdr:col>
      <xdr:colOff>336893</xdr:colOff>
      <xdr:row>205</xdr:row>
      <xdr:rowOff>42818</xdr:rowOff>
    </xdr:from>
    <xdr:to>
      <xdr:col>14</xdr:col>
      <xdr:colOff>386213</xdr:colOff>
      <xdr:row>205</xdr:row>
      <xdr:rowOff>137498</xdr:rowOff>
    </xdr:to>
    <mc:AlternateContent xmlns:mc="http://schemas.openxmlformats.org/markup-compatibility/2006" xmlns:xdr14="http://schemas.microsoft.com/office/excel/2010/spreadsheetDrawing">
      <mc:Choice Requires="xdr14">
        <xdr:contentPart xmlns:r="http://schemas.openxmlformats.org/officeDocument/2006/relationships" r:id="rId13">
          <xdr14:nvContentPartPr>
            <xdr14:cNvPr id="34" name="Ink 33">
              <a:extLst>
                <a:ext uri="{FF2B5EF4-FFF2-40B4-BE49-F238E27FC236}">
                  <a16:creationId xmlns:a16="http://schemas.microsoft.com/office/drawing/2014/main" id="{ACDD73EE-AF43-0B87-C231-D839C75A86F6}"/>
                </a:ext>
              </a:extLst>
            </xdr14:cNvPr>
            <xdr14:cNvContentPartPr/>
          </xdr14:nvContentPartPr>
          <xdr14:nvPr macro=""/>
          <xdr14:xfrm>
            <a:off x="8042618" y="25217393"/>
            <a:ext cx="49320" cy="94680"/>
          </xdr14:xfrm>
        </xdr:contentPart>
      </mc:Choice>
      <mc:Fallback xmlns="">
        <xdr:pic>
          <xdr:nvPicPr>
            <xdr:cNvPr id="34" name="Ink 33">
              <a:extLst>
                <a:ext uri="{FF2B5EF4-FFF2-40B4-BE49-F238E27FC236}">
                  <a16:creationId xmlns:a16="http://schemas.microsoft.com/office/drawing/2014/main" id="{ACDD73EE-AF43-0B87-C231-D839C75A86F6}"/>
                </a:ext>
              </a:extLst>
            </xdr:cNvPr>
            <xdr:cNvPicPr/>
          </xdr:nvPicPr>
          <xdr:blipFill>
            <a:blip xmlns:r="http://schemas.openxmlformats.org/officeDocument/2006/relationships" r:embed="rId14"/>
            <a:stretch>
              <a:fillRect/>
            </a:stretch>
          </xdr:blipFill>
          <xdr:spPr>
            <a:xfrm>
              <a:off x="8024618" y="25199393"/>
              <a:ext cx="84960" cy="130320"/>
            </a:xfrm>
            <a:prstGeom prst="rect">
              <a:avLst/>
            </a:prstGeom>
          </xdr:spPr>
        </xdr:pic>
      </mc:Fallback>
    </mc:AlternateContent>
    <xdr:clientData/>
  </xdr:twoCellAnchor>
  <xdr:twoCellAnchor editAs="oneCell">
    <xdr:from>
      <xdr:col>14</xdr:col>
      <xdr:colOff>394133</xdr:colOff>
      <xdr:row>205</xdr:row>
      <xdr:rowOff>33098</xdr:rowOff>
    </xdr:from>
    <xdr:to>
      <xdr:col>14</xdr:col>
      <xdr:colOff>438053</xdr:colOff>
      <xdr:row>205</xdr:row>
      <xdr:rowOff>141458</xdr:rowOff>
    </xdr:to>
    <mc:AlternateContent xmlns:mc="http://schemas.openxmlformats.org/markup-compatibility/2006" xmlns:xdr14="http://schemas.microsoft.com/office/excel/2010/spreadsheetDrawing">
      <mc:Choice Requires="xdr14">
        <xdr:contentPart xmlns:r="http://schemas.openxmlformats.org/officeDocument/2006/relationships" r:id="rId15">
          <xdr14:nvContentPartPr>
            <xdr14:cNvPr id="35" name="Ink 34">
              <a:extLst>
                <a:ext uri="{FF2B5EF4-FFF2-40B4-BE49-F238E27FC236}">
                  <a16:creationId xmlns:a16="http://schemas.microsoft.com/office/drawing/2014/main" id="{F3CB4A32-60F5-9FBA-1FC8-FA07A263D3B7}"/>
                </a:ext>
              </a:extLst>
            </xdr14:cNvPr>
            <xdr14:cNvContentPartPr/>
          </xdr14:nvContentPartPr>
          <xdr14:nvPr macro=""/>
          <xdr14:xfrm>
            <a:off x="8099858" y="25207673"/>
            <a:ext cx="43920" cy="108360"/>
          </xdr14:xfrm>
        </xdr:contentPart>
      </mc:Choice>
      <mc:Fallback xmlns="">
        <xdr:pic>
          <xdr:nvPicPr>
            <xdr:cNvPr id="35" name="Ink 34">
              <a:extLst>
                <a:ext uri="{FF2B5EF4-FFF2-40B4-BE49-F238E27FC236}">
                  <a16:creationId xmlns:a16="http://schemas.microsoft.com/office/drawing/2014/main" id="{F3CB4A32-60F5-9FBA-1FC8-FA07A263D3B7}"/>
                </a:ext>
              </a:extLst>
            </xdr:cNvPr>
            <xdr:cNvPicPr/>
          </xdr:nvPicPr>
          <xdr:blipFill>
            <a:blip xmlns:r="http://schemas.openxmlformats.org/officeDocument/2006/relationships" r:embed="rId16"/>
            <a:stretch>
              <a:fillRect/>
            </a:stretch>
          </xdr:blipFill>
          <xdr:spPr>
            <a:xfrm>
              <a:off x="8082218" y="25190033"/>
              <a:ext cx="79560" cy="144000"/>
            </a:xfrm>
            <a:prstGeom prst="rect">
              <a:avLst/>
            </a:prstGeom>
          </xdr:spPr>
        </xdr:pic>
      </mc:Fallback>
    </mc:AlternateContent>
    <xdr:clientData/>
  </xdr:twoCellAnchor>
</xdr:wsDr>
</file>

<file path=xl/drawings/drawing15.xml><?xml version="1.0" encoding="utf-8"?>
<xdr:wsDr xmlns:xdr="http://schemas.openxmlformats.org/drawingml/2006/spreadsheetDrawing" xmlns:a="http://schemas.openxmlformats.org/drawingml/2006/main">
  <xdr:twoCellAnchor>
    <xdr:from>
      <xdr:col>18</xdr:col>
      <xdr:colOff>276225</xdr:colOff>
      <xdr:row>1</xdr:row>
      <xdr:rowOff>19050</xdr:rowOff>
    </xdr:from>
    <xdr:to>
      <xdr:col>18</xdr:col>
      <xdr:colOff>466725</xdr:colOff>
      <xdr:row>22</xdr:row>
      <xdr:rowOff>57150</xdr:rowOff>
    </xdr:to>
    <xdr:sp macro="" textlink="">
      <xdr:nvSpPr>
        <xdr:cNvPr id="2" name="Right Brace 1">
          <a:extLst>
            <a:ext uri="{FF2B5EF4-FFF2-40B4-BE49-F238E27FC236}">
              <a16:creationId xmlns:a16="http://schemas.microsoft.com/office/drawing/2014/main" id="{F780876C-2269-49D1-B9A7-18FD6626FF9C}"/>
            </a:ext>
          </a:extLst>
        </xdr:cNvPr>
        <xdr:cNvSpPr/>
      </xdr:nvSpPr>
      <xdr:spPr>
        <a:xfrm>
          <a:off x="3648075" y="400050"/>
          <a:ext cx="190500" cy="4972050"/>
        </a:xfrm>
        <a:prstGeom prst="rightBrace">
          <a:avLst/>
        </a:prstGeom>
      </xdr:spPr>
      <xdr:style>
        <a:lnRef idx="2">
          <a:schemeClr val="accent1"/>
        </a:lnRef>
        <a:fillRef idx="0">
          <a:schemeClr val="accent1"/>
        </a:fillRef>
        <a:effectRef idx="1">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20</xdr:col>
      <xdr:colOff>9524</xdr:colOff>
      <xdr:row>23</xdr:row>
      <xdr:rowOff>47625</xdr:rowOff>
    </xdr:from>
    <xdr:to>
      <xdr:col>20</xdr:col>
      <xdr:colOff>342899</xdr:colOff>
      <xdr:row>31</xdr:row>
      <xdr:rowOff>104775</xdr:rowOff>
    </xdr:to>
    <xdr:sp macro="" textlink="">
      <xdr:nvSpPr>
        <xdr:cNvPr id="3" name="Right Brace 2">
          <a:extLst>
            <a:ext uri="{FF2B5EF4-FFF2-40B4-BE49-F238E27FC236}">
              <a16:creationId xmlns:a16="http://schemas.microsoft.com/office/drawing/2014/main" id="{EE06CBC6-B12D-4D95-A600-5D397E83116E}"/>
            </a:ext>
          </a:extLst>
        </xdr:cNvPr>
        <xdr:cNvSpPr/>
      </xdr:nvSpPr>
      <xdr:spPr>
        <a:xfrm>
          <a:off x="4857749" y="5553075"/>
          <a:ext cx="333375" cy="1581150"/>
        </a:xfrm>
        <a:prstGeom prst="rightBrace">
          <a:avLst/>
        </a:prstGeom>
      </xdr:spPr>
      <xdr:style>
        <a:lnRef idx="2">
          <a:schemeClr val="accent1"/>
        </a:lnRef>
        <a:fillRef idx="0">
          <a:schemeClr val="accent1"/>
        </a:fillRef>
        <a:effectRef idx="1">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18</xdr:col>
      <xdr:colOff>466725</xdr:colOff>
      <xdr:row>9</xdr:row>
      <xdr:rowOff>47625</xdr:rowOff>
    </xdr:from>
    <xdr:to>
      <xdr:col>20</xdr:col>
      <xdr:colOff>685800</xdr:colOff>
      <xdr:row>9</xdr:row>
      <xdr:rowOff>47625</xdr:rowOff>
    </xdr:to>
    <xdr:cxnSp macro="">
      <xdr:nvCxnSpPr>
        <xdr:cNvPr id="4" name="Straight Arrow Connector 3">
          <a:extLst>
            <a:ext uri="{FF2B5EF4-FFF2-40B4-BE49-F238E27FC236}">
              <a16:creationId xmlns:a16="http://schemas.microsoft.com/office/drawing/2014/main" id="{AAB06988-9ABD-4681-98DE-F5A51BEFC95A}"/>
            </a:ext>
          </a:extLst>
        </xdr:cNvPr>
        <xdr:cNvCxnSpPr>
          <a:stCxn id="2" idx="1"/>
        </xdr:cNvCxnSpPr>
      </xdr:nvCxnSpPr>
      <xdr:spPr>
        <a:xfrm>
          <a:off x="3838575" y="2886075"/>
          <a:ext cx="1695450" cy="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314325</xdr:colOff>
      <xdr:row>9</xdr:row>
      <xdr:rowOff>85725</xdr:rowOff>
    </xdr:from>
    <xdr:to>
      <xdr:col>20</xdr:col>
      <xdr:colOff>771525</xdr:colOff>
      <xdr:row>27</xdr:row>
      <xdr:rowOff>76200</xdr:rowOff>
    </xdr:to>
    <xdr:cxnSp macro="">
      <xdr:nvCxnSpPr>
        <xdr:cNvPr id="5" name="Straight Arrow Connector 4">
          <a:extLst>
            <a:ext uri="{FF2B5EF4-FFF2-40B4-BE49-F238E27FC236}">
              <a16:creationId xmlns:a16="http://schemas.microsoft.com/office/drawing/2014/main" id="{6CBD46EF-9196-454D-B080-191E28A65764}"/>
            </a:ext>
          </a:extLst>
        </xdr:cNvPr>
        <xdr:cNvCxnSpPr/>
      </xdr:nvCxnSpPr>
      <xdr:spPr>
        <a:xfrm flipV="1">
          <a:off x="5162550" y="2924175"/>
          <a:ext cx="457200" cy="341947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5:12.420"/>
    </inkml:context>
    <inkml:brush xml:id="br0">
      <inkml:brushProperty name="width" value="0.1" units="cm"/>
      <inkml:brushProperty name="height" value="0.1" units="cm"/>
      <inkml:brushProperty name="color" value="#203764"/>
    </inkml:brush>
  </inkml:definitions>
  <inkml:trace contextRef="#ctx0" brushRef="#br0">4295 2938 24575,'-2'-1'0,"1"1"0,0 0 0,0-1 0,0 1 0,0-1 0,0 1 0,0-1 0,0 0 0,0 0 0,1 1 0,-1-1 0,0 0 0,0 0 0,0 0 0,1 0 0,-1 1 0,0-1 0,1 0 0,-1 0 0,1-1 0,-1 1 0,1 0 0,0 0 0,-1 0 0,1 0 0,0 0 0,0-3 0,-6-39 0,5 31 0,-26-193 0,17 128 0,2 18 0,-1-76 0,6 80 0,-2 0 0,-3 1 0,-18-64 0,5 24 0,-40-157 0,57 236 0,-11-36 0,-3 1 0,-2 1 0,-33-58 0,-92-132 0,122 204 0,-9-15 0,-2 1 0,-2 1 0,-66-67 0,31 49 0,-2 3 0,-92-59 0,114 87 0,34 22 0,-1 0 0,0 2 0,-32-15 0,-150-76 0,59 26 0,118 67 0,0 1 0,-1 0 0,-1 2 0,-29-4 0,30 6 0,0-1 0,0 0 0,1-2 0,-34-15 0,-7-8 0,-2 3 0,-100-28 0,137 49 0,0 1 0,-36-1 0,34 4 0,-55-11 0,51 4 0,-362-78 0,300 70 0,-7-2 0,-1 4 0,-141-2 0,186 18 0,-5 1 0,0-3 0,-113-16 0,145 12 0,0 1 0,0 1 0,-56 4 0,-98 20 0,187-21 0,-61 5-453,-103-4 0,150-1-6</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11.135"/>
    </inkml:context>
    <inkml:brush xml:id="br0">
      <inkml:brushProperty name="width" value="0.1" units="cm"/>
      <inkml:brushProperty name="height" value="0.1" units="cm"/>
      <inkml:brushProperty name="color" value="#203764"/>
    </inkml:brush>
  </inkml:definitions>
  <inkml:trace contextRef="#ctx0" brushRef="#br0">1 1 24575,'0'0'-8191</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45.343"/>
    </inkml:context>
    <inkml:brush xml:id="br0">
      <inkml:brushProperty name="width" value="0.1" units="cm"/>
      <inkml:brushProperty name="height" value="0.1" units="cm"/>
      <inkml:brushProperty name="color" value="#203764"/>
    </inkml:brush>
  </inkml:definitions>
  <inkml:trace contextRef="#ctx0" brushRef="#br0">1 1 24575,'9'0'0,"7"0"0,6 0 0,8 0 0,3 0 0,1 0 0,-1 0 0,-2 0 0,-1 0 0,3 0 0,0 0 0,-1 0 0,-1 0 0,-5 0-8191</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52.467"/>
    </inkml:context>
    <inkml:brush xml:id="br0">
      <inkml:brushProperty name="width" value="0.1" units="cm"/>
      <inkml:brushProperty name="height" value="0.1" units="cm"/>
      <inkml:brushProperty name="color" value="#203764"/>
    </inkml:brush>
  </inkml:definitions>
  <inkml:trace contextRef="#ctx0" brushRef="#br0">1 76 24575,'72'-21'0,"40"13"0,-89 8 0,1 0 0,-1-2 0,0-1 0,0-1 0,0-1 0,23-8 0,-6-1-1365,-23 8-5461</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7:49.383"/>
    </inkml:context>
    <inkml:brush xml:id="br0">
      <inkml:brushProperty name="width" value="0.1" units="cm"/>
      <inkml:brushProperty name="height" value="0.1" units="cm"/>
      <inkml:brushProperty name="color" value="#203764"/>
    </inkml:brush>
  </inkml:definitions>
  <inkml:trace contextRef="#ctx0" brushRef="#br0">630 89 24575,'-92'-1'0,"-154"-19"0,209 14-119,-14-1-297,1-3 1,-74-23 0,94 22-6411</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0:53.732"/>
    </inkml:context>
    <inkml:brush xml:id="br0">
      <inkml:brushProperty name="width" value="0.1" units="cm"/>
      <inkml:brushProperty name="height" value="0.1" units="cm"/>
      <inkml:brushProperty name="color" value="#806000"/>
    </inkml:brush>
  </inkml:definitions>
  <inkml:trace contextRef="#ctx0" brushRef="#br0">3 1 24575,'-2'94'0,"4"104"0,-1-190 0,1 0 0,0 0 0,0 0 0,1 0 0,0-1 0,0 1 0,0-1 0,1 1 0,0-1 0,1-1 0,0 1 0,0 0 0,7 6 0,10 9 0,2-1 0,30 21 0,-29-23 0,34 32 0,-32-26 0,1-2 0,1-1 0,1-2 0,1 0 0,0-2 0,2-2 0,38 15 0,56 13 0,232 49 0,-315-83 0,28 2 0,-1-4 0,1-2 0,1-4 0,102-10 0,-60-5 0,35-1 0,-52 10 0,162-29 0,-178 16 0,62-9 0,241-38 0,-230 33 0,-100 24 0,63-2 0,-77 8 0,1-3 0,-1 0 0,61-17 0,-72 15 0,0 0 0,54-3 0,-5 2 0,21-9 0,-38 5 0,114-5 0,-14 4 0,0-1 0,-13 11 0,297 5 0,32 59 0,-261-27 0,-149-28 0,99-4 0,-113-4 0,0 2 0,0 3 0,86 16 0,-100-11 0,0 2 0,-1 2 0,-1 1 0,0 2 0,46 27 0,-68-33 0,14 8 0,-1 1 0,-1 1 0,38 36 0,-40-32 0,1 0 0,0-2 0,2-1 0,42 23 0,-59-37 0,0 1 0,-1 0 0,0 1 0,-1 0 0,1 1 0,-2 0 0,0 1 0,0 0 0,9 15 0,48 52 0,-24-30 0,-11-13 0,-20-23 0,-1-1 0,0 1 0,0 1 0,-2-1 0,0 2 0,10 19 0,-33-68-1365,8 12-5461</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1:31.099"/>
    </inkml:context>
    <inkml:brush xml:id="br0">
      <inkml:brushProperty name="width" value="0.1" units="cm"/>
      <inkml:brushProperty name="height" value="0.1" units="cm"/>
      <inkml:brushProperty name="color" value="#806000"/>
    </inkml:brush>
  </inkml:definitions>
  <inkml:trace contextRef="#ctx0" brushRef="#br0">136 0 24575,'-1'13'0,"0"0"0,0-1 0,-2 1 0,1 0 0,-2-1 0,0 0 0,0 0 0,-1 0 0,0 0 0,-1-1 0,-1 0 0,1 0 0,-2-1 0,0 0 0,-17 18 0,-21 29-1365</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1:35.020"/>
    </inkml:context>
    <inkml:brush xml:id="br0">
      <inkml:brushProperty name="width" value="0.1" units="cm"/>
      <inkml:brushProperty name="height" value="0.1" units="cm"/>
      <inkml:brushProperty name="color" value="#806000"/>
    </inkml:brush>
  </inkml:definitions>
  <inkml:trace contextRef="#ctx0" brushRef="#br0">3 1 24575,'0'29'0,"-1"-20"0,0 0 0,1 0 0,0 0 0,1 0 0,0 0 0,0 0 0,1 0 0,0 0 0,0 0 0,1-1 0,0 1 0,9 15 0,44 77 0,-18-62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connectionId="8" xr16:uid="{A055A45F-C205-4262-8963-6C576DC91CF6}" autoFormatId="16" applyNumberFormats="0" applyBorderFormats="0" applyFontFormats="0" applyPatternFormats="0" applyAlignmentFormats="0" applyWidthHeightFormats="0">
  <queryTableRefresh nextId="44">
    <queryTableFields count="14">
      <queryTableField id="7" name="GRT UTC" tableColumnId="7"/>
      <queryTableField id="8" name="S/C UTC" tableColumnId="8"/>
      <queryTableField id="2" name="MET" tableColumnId="2"/>
      <queryTableField id="29" name="CommandStr" tableColumnId="27"/>
      <queryTableField id="4" name="CommandArg2" tableColumnId="4"/>
      <queryTableField id="9" name="PbkStartMET" tableColumnId="9"/>
      <queryTableField id="10" name="PbkEndMET" tableColumnId="10"/>
      <queryTableField id="35" name="SWP_HK" tableColumnId="1"/>
      <queryTableField id="37" name="SWP_DT1" tableColumnId="5"/>
      <queryTableField id="36" name="PEP_HK" tableColumnId="3"/>
      <queryTableField id="39" name="PEP_DT1" tableColumnId="11"/>
      <queryTableField id="38" name="PEP_DT2" tableColumnId="6"/>
      <queryTableField id="42" name="PEP_DT3" tableColumnId="12"/>
      <queryTableField id="43" name="PEP_DT4"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0" xr16:uid="{428D357A-6222-444F-8686-C96D9EAFF09B}" autoFormatId="16" applyNumberFormats="0" applyBorderFormats="0" applyFontFormats="0" applyPatternFormats="0" applyAlignmentFormats="0" applyWidthHeightFormats="0">
  <queryTableRefresh nextId="13" unboundColumnsRight="8">
    <queryTableFields count="12">
      <queryTableField id="1" name="CommandStr" tableColumnId="1"/>
      <queryTableField id="2" name="MET" tableColumnId="2"/>
      <queryTableField id="3" name="cmd" tableColumnId="3"/>
      <queryTableField id="4" name="arg" tableColumnId="4"/>
      <queryTableField id="5" dataBound="0" tableColumnId="5"/>
      <queryTableField id="6" dataBound="0" tableColumnId="6"/>
      <queryTableField id="7" dataBound="0" tableColumnId="7"/>
      <queryTableField id="8" dataBound="0" tableColumnId="8"/>
      <queryTableField id="9" dataBound="0" tableColumnId="9"/>
      <queryTableField id="10" dataBound="0" tableColumnId="10"/>
      <queryTableField id="11" dataBound="0" tableColumnId="11"/>
      <queryTableField id="12" dataBound="0"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4C205776-0ABB-47A5-9111-8FEAA22FE1FF}" autoFormatId="16" applyNumberFormats="0" applyBorderFormats="0" applyFontFormats="0" applyPatternFormats="0" applyAlignmentFormats="0" applyWidthHeightFormats="0">
  <queryTableRefresh nextId="69" unboundColumnsRight="55">
    <queryTableFields count="59">
      <queryTableField id="3" name="CommandStr" tableColumnId="3"/>
      <queryTableField id="4" name="MET" tableColumnId="4"/>
      <queryTableField id="5" name="cmd" tableColumnId="5"/>
      <queryTableField id="6" name="arg" tableColumnId="6"/>
      <queryTableField id="14" dataBound="0" tableColumnId="14"/>
      <queryTableField id="68" dataBound="0" tableColumnId="1"/>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 id="43" dataBound="0" tableColumnId="43"/>
      <queryTableField id="44" dataBound="0" tableColumnId="44"/>
      <queryTableField id="45" dataBound="0" tableColumnId="45"/>
      <queryTableField id="46" dataBound="0" tableColumnId="46"/>
      <queryTableField id="47" dataBound="0" tableColumnId="47"/>
      <queryTableField id="48" dataBound="0" tableColumnId="48"/>
      <queryTableField id="49" dataBound="0" tableColumnId="49"/>
      <queryTableField id="50" dataBound="0" tableColumnId="50"/>
      <queryTableField id="51" dataBound="0" tableColumnId="51"/>
      <queryTableField id="52" dataBound="0" tableColumnId="52"/>
      <queryTableField id="53" dataBound="0" tableColumnId="53"/>
      <queryTableField id="54" dataBound="0" tableColumnId="54"/>
      <queryTableField id="55" dataBound="0" tableColumnId="55"/>
      <queryTableField id="56" dataBound="0" tableColumnId="56"/>
      <queryTableField id="57" dataBound="0" tableColumnId="57"/>
      <queryTableField id="58" dataBound="0" tableColumnId="58"/>
      <queryTableField id="59" dataBound="0" tableColumnId="59"/>
      <queryTableField id="60" dataBound="0" tableColumnId="60"/>
      <queryTableField id="61" dataBound="0" tableColumnId="61"/>
      <queryTableField id="62" dataBound="0" tableColumnId="62"/>
      <queryTableField id="63" dataBound="0" tableColumnId="63"/>
      <queryTableField id="64" dataBound="0" tableColumnId="64"/>
      <queryTableField id="65" dataBound="0" tableColumnId="65"/>
      <queryTableField id="66" dataBound="0" tableColumnId="66"/>
      <queryTableField id="67" dataBound="0" tableColumnId="6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2D8D4BB-4CFD-46F0-BD1B-73D250CF3EF9}" name="Playbacks" displayName="Playbacks" ref="A1:N194" tableType="queryTable" totalsRowShown="0">
  <tableColumns count="14">
    <tableColumn id="7" xr3:uid="{260FE6D9-63F1-49E4-85FF-C9E06F9ADBAF}" uniqueName="7" name="GRT UTC" queryTableFieldId="7"/>
    <tableColumn id="8" xr3:uid="{68288866-1690-481A-876C-17629B45F39C}" uniqueName="8" name="S/C UTC" queryTableFieldId="8"/>
    <tableColumn id="2" xr3:uid="{C681DF59-AFD9-4B4B-B809-DC047F4CEA54}" uniqueName="2" name="MET" queryTableFieldId="2" dataDxfId="132"/>
    <tableColumn id="27" xr3:uid="{A41D83A5-E777-49D0-8725-DD073C95523F}" uniqueName="27" name="CommandStr" queryTableFieldId="29"/>
    <tableColumn id="4" xr3:uid="{B24217B6-C3D4-409B-9101-5E113BED9A8B}" uniqueName="4" name="CommandArg2" queryTableFieldId="4" dataDxfId="131"/>
    <tableColumn id="9" xr3:uid="{80CB3ED0-2A68-4FB9-9A0E-6CB863AEB3E9}" uniqueName="9" name="PbkStartMET" queryTableFieldId="9"/>
    <tableColumn id="10" xr3:uid="{57536F17-0D40-4D34-B757-259ED37CBA67}" uniqueName="10" name="PbkEndMET" queryTableFieldId="10"/>
    <tableColumn id="1" xr3:uid="{2AE0AE8F-C5B3-4D4F-B70B-D503D4D5B155}" uniqueName="1" name="SWP_HK" queryTableFieldId="35"/>
    <tableColumn id="5" xr3:uid="{D227A3F7-70F1-46AC-9502-9141FCCD7361}" uniqueName="5" name="SWP_DT1" queryTableFieldId="37"/>
    <tableColumn id="3" xr3:uid="{95B81684-97B7-4FCD-AEB5-0CBDC92AC66D}" uniqueName="3" name="PEP_HK" queryTableFieldId="36"/>
    <tableColumn id="11" xr3:uid="{479E7B9F-5BBE-4AFF-8CA5-FCE92C67C39B}" uniqueName="11" name="PEP_DT1" queryTableFieldId="39"/>
    <tableColumn id="6" xr3:uid="{7F75EF00-0239-4E37-9173-5BED277CC254}" uniqueName="6" name="PEP_DT2" queryTableFieldId="38"/>
    <tableColumn id="12" xr3:uid="{BC05C5B8-9C2F-4231-B48C-102ED28EB11A}" uniqueName="12" name="PEP_DT3" queryTableFieldId="42"/>
    <tableColumn id="13" xr3:uid="{A9B20767-445F-4F63-9801-427FF8268FA0}" uniqueName="13" name="PEP_DT4" queryTableFieldId="43"/>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226C84B-08E5-42D2-BD64-D312EA81A8B0}" name="SWAP_Commanding" displayName="SWAP_Commanding" ref="A13:L74" tableType="queryTable" totalsRowShown="0">
  <autoFilter ref="A13:L74" xr:uid="{5226C84B-08E5-42D2-BD64-D312EA81A8B0}"/>
  <tableColumns count="12">
    <tableColumn id="1" xr3:uid="{9216EC65-82C3-401B-8073-2EC34BA306FD}" uniqueName="1" name="CommandStr" queryTableFieldId="1"/>
    <tableColumn id="2" xr3:uid="{1D0D16B6-9A43-4634-B5D8-14DE32DF69A7}" uniqueName="2" name="MET" queryTableFieldId="2"/>
    <tableColumn id="3" xr3:uid="{D2C535B5-5EF3-4B55-9832-29BF5EA2C2BA}" uniqueName="3" name="cmd" queryTableFieldId="3"/>
    <tableColumn id="4" xr3:uid="{91BD512D-7EE9-479C-B630-C9CD23A9EDCB}" uniqueName="4" name="arg" queryTableFieldId="4" dataDxfId="130"/>
    <tableColumn id="5" xr3:uid="{838FF373-E22A-4B97-AB90-71BE455F066A}" uniqueName="5" name="a" queryTableFieldId="5" dataDxfId="129" dataCellStyle="Normal 5"/>
    <tableColumn id="6" xr3:uid="{3BD7F636-758A-49FD-A63B-E20778F630AE}" uniqueName="6" name="MET→UTC" queryTableFieldId="6" dataDxfId="128" dataCellStyle="Normal 5">
      <calculatedColumnFormula array="1">MID(met2utc(SWAP_Commanding[[#This Row],[MET]]),3,15)</calculatedColumnFormula>
    </tableColumn>
    <tableColumn id="7" xr3:uid="{84F96838-BDD6-437E-AE2B-CB59D209A51D}" uniqueName="7" name="cmd+arg" queryTableFieldId="7" dataCellStyle="Normal 5">
      <calculatedColumnFormula>_xlfn.TEXTJOIN("+",TRUE,$C14:$D14)</calculatedColumnFormula>
    </tableColumn>
    <tableColumn id="8" xr3:uid="{670B03E9-43CA-4C89-BAD4-BD00CDF0731E}" uniqueName="8" name="Segment_x000a_MET Start" queryTableFieldId="8" dataCellStyle="Normal 5">
      <calculatedColumnFormula>IF($C14="ON",$B14,IF(RIGHT($H13,9)="MET Start","",IF(AND($K14&lt;&gt;0,$K13=1),$B14,$H13)))</calculatedColumnFormula>
    </tableColumn>
    <tableColumn id="9" xr3:uid="{7A9F63DB-C855-4ADF-BBA8-E5E6F6AEEDC0}" uniqueName="9" name="Segment_x000a_MET End" queryTableFieldId="9" dataCellStyle="Normal 5">
      <calculatedColumnFormula>IF($C14="OFF",$B14,IF($B15="",$B14+31500000,IF($K14=1,$B15,I15)))</calculatedColumnFormula>
    </tableColumn>
    <tableColumn id="10" xr3:uid="{B3E233ED-0C9C-469C-B345-604586E4B9B9}" uniqueName="10" name="Offset_x000a_fr ON" queryTableFieldId="10" dataCellStyle="Normal 5">
      <calculatedColumnFormula>IF($G14="ON",0,IF(OR(J13="",LEFT(J13,6)="Offset"),"",J13+1))</calculatedColumnFormula>
    </tableColumn>
    <tableColumn id="11" xr3:uid="{10E8B5CC-2388-47CB-BAFE-C4549D990D3E}" uniqueName="11" name="Offset_x000a_to End" queryTableFieldId="11" dataCellStyle="Normal 5">
      <calculatedColumnFormula>IF($G14="OFF",0,IF(AND($J15&lt;&gt;0,$J14&lt;&gt;9,$G15&lt;&gt;"MAC+111",($B15-$B14)&lt;7200),K15+1,1))</calculatedColumnFormula>
    </tableColumn>
    <tableColumn id="12" xr3:uid="{064F123A-E27F-48AD-8DA2-9E910A1322F7}" uniqueName="12" name="b" queryTableFieldId="12" dataDxfId="127" dataCellStyle="Normal 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DD97F3-698C-4A51-B02C-DE234D732A2C}" name="PEPSSI_Commanding" displayName="PEPSSI_Commanding" ref="A13:BG68" tableType="queryTable" totalsRowShown="0">
  <tableColumns count="59">
    <tableColumn id="3" xr3:uid="{2388C90F-2358-4631-83F5-0F5E6C4A0452}" uniqueName="3" name="CommandStr" queryTableFieldId="3" dataDxfId="126" dataCellStyle="Normal 5"/>
    <tableColumn id="4" xr3:uid="{E3799C3A-4B31-4D4E-8397-EE7909C117C2}" uniqueName="4" name="MET" queryTableFieldId="4" dataDxfId="125" dataCellStyle="Normal 5"/>
    <tableColumn id="5" xr3:uid="{DE120A99-B5F2-4B1A-A22E-A9BEEE9C55B0}" uniqueName="5" name="cmd" queryTableFieldId="5" dataDxfId="124" dataCellStyle="Normal 5"/>
    <tableColumn id="6" xr3:uid="{19AF7F27-0D9D-4BCE-A533-94878B619783}" uniqueName="6" name="arg" queryTableFieldId="6" dataDxfId="123" dataCellStyle="Normal 5"/>
    <tableColumn id="14" xr3:uid="{662EB3B0-32F5-402D-80A6-61D3564CADAD}" uniqueName="14" name="a" queryTableFieldId="14" dataDxfId="122" dataCellStyle="Normal 5"/>
    <tableColumn id="1" xr3:uid="{7CF75EA0-B63F-443B-B61A-2AE13C55F8DA}" uniqueName="1" name="MET→UTC" queryTableFieldId="68" dataDxfId="121" dataCellStyle="Normal 5">
      <calculatedColumnFormula array="1">MID(met2utc(PEPSSI_Commanding[[#This Row],[MET]]),3,15)</calculatedColumnFormula>
    </tableColumn>
    <tableColumn id="15" xr3:uid="{9C5328F3-FA02-47D1-83DC-B1DBCA9D89BA}" uniqueName="15" name="cmd+arg" queryTableFieldId="15" dataDxfId="120" dataCellStyle="Normal 5">
      <calculatedColumnFormula>_xlfn.TEXTJOIN("+",TRUE,$C14:$D14)</calculatedColumnFormula>
    </tableColumn>
    <tableColumn id="16" xr3:uid="{F4B97D7B-76B9-472C-BE55-DDF523C91B54}" uniqueName="16" name="Segment_x000a_MET Start" queryTableFieldId="16" dataDxfId="119" dataCellStyle="Normal 5">
      <calculatedColumnFormula>IF($C14="ON",$B14,IF(RIGHT($H13,9)="MET Start","",IF(AND($K14&lt;&gt;0,$K13=1),$B14,$H13)))</calculatedColumnFormula>
    </tableColumn>
    <tableColumn id="17" xr3:uid="{75D7A893-75C0-4A6D-8B25-0B595F60D7D7}" uniqueName="17" name="Segment_x000a_MET End" queryTableFieldId="17" dataDxfId="118" dataCellStyle="Normal 5">
      <calculatedColumnFormula>IF($C14="OFF",$B14,IF($B15="",$B14+31500000,IF($K14=1,$B15,I15)))</calculatedColumnFormula>
    </tableColumn>
    <tableColumn id="18" xr3:uid="{FE7FC58F-1F68-4601-9509-6833A5279466}" uniqueName="18" name="Offset_x000a_fr ON" queryTableFieldId="18" dataDxfId="117" dataCellStyle="Normal 5">
      <calculatedColumnFormula>IF($G14="ON",0,IF(OR(J13="",LEFT(J13,6)="Offset"),"",J13+1))</calculatedColumnFormula>
    </tableColumn>
    <tableColumn id="19" xr3:uid="{2E9987EA-D81C-4D54-957D-0506DB032AC5}" uniqueName="19" name="Offset_x000a_to End" queryTableFieldId="19" dataDxfId="116" dataCellStyle="Normal 5">
      <calculatedColumnFormula>IF($G14="OFF",0,IF(AND($J15&lt;&gt;0,$J14&lt;&gt;9,$G15&lt;&gt;"MAC+111",($B15-$B14)&lt;7200),K15+1,1))</calculatedColumnFormula>
    </tableColumn>
    <tableColumn id="20" xr3:uid="{462F98F8-6248-4D4E-8AD2-6EC7109B2E52}" uniqueName="20" name="b" queryTableFieldId="20" dataDxfId="115" dataCellStyle="Normal 5"/>
    <tableColumn id="21" xr3:uid="{0FBD6B38-B1E1-4E9C-81A5-CA14B2F9084A}" uniqueName="21" name="N1" queryTableFieldId="21" dataDxfId="114" dataCellStyle="Normal 5">
      <calculatedColumnFormula>IF($C14="ON","",IF($C14="N1",$D14,IF(M13="N1","",M13)))</calculatedColumnFormula>
    </tableColumn>
    <tableColumn id="22" xr3:uid="{A5045F8C-7AE0-4763-BBC4-A4CC8954069F}" uniqueName="22" name="N2" queryTableFieldId="22" dataDxfId="113" dataCellStyle="Normal 5">
      <calculatedColumnFormula>IF($C14="ON","",IF($C14="N2",$D14,IF($G14="MAC+103",3,IF($G14="MAC+104",2,IF(N13="N2","",N13)))))</calculatedColumnFormula>
    </tableColumn>
    <tableColumn id="23" xr3:uid="{9B014DB1-4E67-4325-A7FF-B51BB73C144C}" uniqueName="23" name="N3" queryTableFieldId="23" dataDxfId="112" dataCellStyle="Normal 5">
      <calculatedColumnFormula>IF($C14="ON","",IF($C14="N3",$D14,IF(O13="N3","",O13)))</calculatedColumnFormula>
    </tableColumn>
    <tableColumn id="24" xr3:uid="{5660ED6E-B39C-41E9-9202-1674D6671C41}" uniqueName="24" name="STAT" queryTableFieldId="24" dataDxfId="111" dataCellStyle="Normal 5">
      <calculatedColumnFormula>IF($C14="ON","",IF($C14="STAT",$D14,IF(P13="STAT","",P13)))</calculatedColumnFormula>
    </tableColumn>
    <tableColumn id="25" xr3:uid="{12FF0207-469E-4F94-A1F8-EBA478DE17D3}" uniqueName="25" name="N2 disabled" queryTableFieldId="25" dataDxfId="110" dataCellStyle="Normal 5">
      <calculatedColumnFormula>IF(OR($C14="ON",$G14="MAC+101",AND($C14="MAC",105&lt;=$D14,$D14&lt;=110)),"",IF(OR($G14="MAC+103",$G14="MAC+104",$G14="MAC+111"),"disabled",IF(Q13="N2 disabled","",Q13)))</calculatedColumnFormula>
    </tableColumn>
    <tableColumn id="26" xr3:uid="{5E06349F-774C-418E-B3FB-63D723605E5A}" uniqueName="26" name="105-110_x000a_s/12h" queryTableFieldId="26" dataDxfId="109" dataCellStyle="Normal 5">
      <calculatedColumnFormula>IF(OR($G14="ON",$G14="MAC+111"),"",IF($G14="MAC+105",300,IF(OR($G14="MAC+106",$G14="MAC+101"),600,IF($G14="MAC+107",840,IF($G14="MAC+108",1200,IF($G14="MAC+109",1800,IF($G14="MAC+110",43200,IF(LEFT(R13,4)="105-","",R13))))))))</calculatedColumnFormula>
    </tableColumn>
    <tableColumn id="27" xr3:uid="{64AF562B-F04F-41BB-8ECA-C5897F819C6A}" uniqueName="27" name="102_x000a_active?" queryTableFieldId="27" dataDxfId="108" dataCellStyle="Normal 5">
      <calculatedColumnFormula>IF($C14="ON","",IF($G14="MAC+102","102",IF(RIGHT(S13,1)="?","",S13)))</calculatedColumnFormula>
    </tableColumn>
    <tableColumn id="28" xr3:uid="{EBBF58EA-A53F-4BBA-A5D0-7897A48C89F7}" uniqueName="28" name="c" queryTableFieldId="28" dataDxfId="107" dataCellStyle="Normal 5"/>
    <tableColumn id="29" xr3:uid="{3369BB1D-534B-4412-A3BF-FEC6F2C8BBA1}" uniqueName="29" name="TrgAssess_x000a_bit/s" queryTableFieldId="29" dataDxfId="106" dataCellStyle="Normal 5">
      <calculatedColumnFormula>IF(OR($N14="",$R14=""),0,U$1/64/$N14)</calculatedColumnFormula>
    </tableColumn>
    <tableColumn id="30" xr3:uid="{55B18AA0-1F9B-467A-B1E9-BA2EE8619FDC}" uniqueName="30" name="BRD_x000a_bit/s" queryTableFieldId="30" dataDxfId="105" dataCellStyle="Normal 5">
      <calculatedColumnFormula>IF(OR($N14="",$R14=""),0,V$1/64/$N14)</calculatedColumnFormula>
    </tableColumn>
    <tableColumn id="31" xr3:uid="{090EFE20-88EA-4674-BD37-BEF6B463F4DB}" uniqueName="31" name="STAT_x000a_bit/s" queryTableFieldId="31" dataDxfId="104" dataCellStyle="Normal 5">
      <calculatedColumnFormula>IF($P14="",0,W$1/$P14)</calculatedColumnFormula>
    </tableColumn>
    <tableColumn id="32" xr3:uid="{B18EAE2A-70E1-4898-A71B-5A3C36BF4EE0}" uniqueName="32" name="N1_x000a_bit/s" queryTableFieldId="32" dataDxfId="103" dataCellStyle="Normal 5">
      <calculatedColumnFormula>IF($M14="",0,X$1/$M14)</calculatedColumnFormula>
    </tableColumn>
    <tableColumn id="33" xr3:uid="{E4838A52-964A-4DE1-B5E0-0AE42E730F68}" uniqueName="33" name="N2_x000a_bit/s" queryTableFieldId="33" dataDxfId="102" dataCellStyle="Normal 5">
      <calculatedColumnFormula>IF(OR($N14="",$Q14&lt;&gt;""),0,Y$1/$N14)</calculatedColumnFormula>
    </tableColumn>
    <tableColumn id="34" xr3:uid="{FB6527D2-6F60-4531-AE7F-873F0C6AB8D6}" uniqueName="34" name="N2_x000a_bit/s2" queryTableFieldId="34" dataDxfId="101" dataCellStyle="Normal 5">
      <calculatedColumnFormula>IF($N14="",0,IF($R14="",1,R14/43200)*Y14)</calculatedColumnFormula>
    </tableColumn>
    <tableColumn id="35" xr3:uid="{9E653D53-4500-4832-A022-C911049DBBA5}" uniqueName="35" name="N3_x000a_bit/s" queryTableFieldId="35" dataDxfId="100" dataCellStyle="Normal 5">
      <calculatedColumnFormula>IF($O14="",0,AA$1/$O14)</calculatedColumnFormula>
    </tableColumn>
    <tableColumn id="36" xr3:uid="{8ED16EFB-45C9-4EDA-AF99-AA59788EFFC4}" uniqueName="36" name="d" queryTableFieldId="36" dataDxfId="99" dataCellStyle="Normal 5"/>
    <tableColumn id="37" xr3:uid="{84B53164-2455-4095-84F3-40F1C7BB6A8F}" uniqueName="37" name="DT1" queryTableFieldId="37" dataDxfId="98" dataCellStyle="Normal 5">
      <calculatedColumnFormula>IF(AC$3&lt;&gt;"",$W14,0)+IF(AC$4&lt;&gt;"",$U14,0)+IF(AC$5&lt;&gt;"",$Z14+IF($S14&lt;&gt;"102",$V14,0),0)+IF(AC$6&lt;&gt;"",$AA14+IF($S14="102",$V14,0),0)+IF(AC$7&lt;&gt;"",$X14,0)</calculatedColumnFormula>
    </tableColumn>
    <tableColumn id="38" xr3:uid="{8ED05B90-FD0D-4641-9784-41EE0A0AF784}" uniqueName="38" name="DT2" queryTableFieldId="38" dataDxfId="97" dataCellStyle="Normal 5">
      <calculatedColumnFormula>IF(AD$3&lt;&gt;"",$W14,0)+IF(AD$4&lt;&gt;"",$U14,0)+IF(AD$5&lt;&gt;"",$Z14+IF($S14&lt;&gt;"102",$V14,0),0)+IF(AD$6&lt;&gt;"",$AA14+IF($S14="102",$V14,0),0)+IF(AD$7&lt;&gt;"",$X14,0)</calculatedColumnFormula>
    </tableColumn>
    <tableColumn id="39" xr3:uid="{21A56DFA-7B01-43C3-AF52-C1FE5F2B5F13}" uniqueName="39" name="DT2DT1" queryTableFieldId="39" dataDxfId="96" dataCellStyle="Normal 5">
      <calculatedColumnFormula>IF(AE$3&lt;&gt;"",$W14,0)+IF(AE$4&lt;&gt;"",$U14,0)+IF(AE$5&lt;&gt;"",$Z14+IF($S14&lt;&gt;"102",$V14,0),0)+IF(AE$6&lt;&gt;"",$AA14+IF($S14="102",$V14,0),0)+IF(AE$7&lt;&gt;"",$X14,0)</calculatedColumnFormula>
    </tableColumn>
    <tableColumn id="40" xr3:uid="{ABBC0F6B-242D-4D3F-8BFD-C7DB67A6041A}" uniqueName="40" name="DT3" queryTableFieldId="40" dataDxfId="95" dataCellStyle="Normal 5">
      <calculatedColumnFormula>IF(AF$3&lt;&gt;"",$W14,0)+IF(AF$4&lt;&gt;"",$U14,0)+IF(AF$5&lt;&gt;"",$Z14+IF($S14&lt;&gt;"102",$V14,0),0)+IF(AF$6&lt;&gt;"",$AA14+IF($S14="102",$V14,0),0)+IF(AF$7&lt;&gt;"",$X14,0)</calculatedColumnFormula>
    </tableColumn>
    <tableColumn id="41" xr3:uid="{3F23E520-626C-43EB-A4F2-E99DE76487E9}" uniqueName="41" name="DT3DT1" queryTableFieldId="41" dataDxfId="94" dataCellStyle="Normal 5">
      <calculatedColumnFormula>IF(AG$3&lt;&gt;"",$W14,0)+IF(AG$4&lt;&gt;"",$U14,0)+IF(AG$5&lt;&gt;"",$Z14+IF($S14&lt;&gt;"102",$V14,0),0)+IF(AG$6&lt;&gt;"",$AA14+IF($S14="102",$V14,0),0)+IF(AG$7&lt;&gt;"",$X14,0)</calculatedColumnFormula>
    </tableColumn>
    <tableColumn id="42" xr3:uid="{776A660A-2DBC-4653-A779-A310CE3B8EFA}" uniqueName="42" name="DT3DT2" queryTableFieldId="42" dataDxfId="93" dataCellStyle="Normal 5">
      <calculatedColumnFormula>IF(AH$3&lt;&gt;"",$W14,0)+IF(AH$4&lt;&gt;"",$U14,0)+IF(AH$5&lt;&gt;"",$Z14+IF($S14&lt;&gt;"102",$V14,0),0)+IF(AH$6&lt;&gt;"",$AA14+IF($S14="102",$V14,0),0)+IF(AH$7&lt;&gt;"",$X14,0)</calculatedColumnFormula>
    </tableColumn>
    <tableColumn id="43" xr3:uid="{3931049E-EE8F-4899-BA67-94BC1581C220}" uniqueName="43" name="DT3DT2DT1" queryTableFieldId="43" dataDxfId="92" dataCellStyle="Normal 5">
      <calculatedColumnFormula>IF(AI$3&lt;&gt;"",$W14,0)+IF(AI$4&lt;&gt;"",$U14,0)+IF(AI$5&lt;&gt;"",$Z14+IF($S14&lt;&gt;"102",$V14,0),0)+IF(AI$6&lt;&gt;"",$AA14+IF($S14="102",$V14,0),0)+IF(AI$7&lt;&gt;"",$X14,0)</calculatedColumnFormula>
    </tableColumn>
    <tableColumn id="44" xr3:uid="{45E0294F-A66B-4BAE-9827-ED3AF39988D8}" uniqueName="44" name="DT4" queryTableFieldId="44" dataDxfId="91" dataCellStyle="Normal 5">
      <calculatedColumnFormula>IF(AJ$3&lt;&gt;"",$W14,0)+IF(AJ$4&lt;&gt;"",$U14,0)+IF(AJ$5&lt;&gt;"",$Z14+IF($S14&lt;&gt;"102",$V14,0),0)+IF(AJ$6&lt;&gt;"",$AA14+IF($S14="102",$V14,0),0)+IF(AJ$7&lt;&gt;"",$X14,0)</calculatedColumnFormula>
    </tableColumn>
    <tableColumn id="45" xr3:uid="{99868B73-D9CB-4D6A-AF51-3624F4A08C17}" uniqueName="45" name="DT4DT1" queryTableFieldId="45" dataDxfId="90" dataCellStyle="Normal 5">
      <calculatedColumnFormula>IF(AK$3&lt;&gt;"",$W14,0)+IF(AK$4&lt;&gt;"",$U14,0)+IF(AK$5&lt;&gt;"",$Z14+IF($S14&lt;&gt;"102",$V14,0),0)+IF(AK$6&lt;&gt;"",$AA14+IF($S14="102",$V14,0),0)+IF(AK$7&lt;&gt;"",$X14,0)</calculatedColumnFormula>
    </tableColumn>
    <tableColumn id="46" xr3:uid="{EFB5ACA6-D706-49A0-B305-CF2DDF0D3A87}" uniqueName="46" name="DT4DT2" queryTableFieldId="46" dataDxfId="89" dataCellStyle="Normal 5">
      <calculatedColumnFormula>IF(AL$3&lt;&gt;"",$W14,0)+IF(AL$4&lt;&gt;"",$U14,0)+IF(AL$5&lt;&gt;"",$Z14+IF($S14&lt;&gt;"102",$V14,0),0)+IF(AL$6&lt;&gt;"",$AA14+IF($S14="102",$V14,0),0)+IF(AL$7&lt;&gt;"",$X14,0)</calculatedColumnFormula>
    </tableColumn>
    <tableColumn id="47" xr3:uid="{0FA7BE0E-A683-4A99-A12C-6395E23C069D}" uniqueName="47" name="DT4DT2DT1" queryTableFieldId="47" dataDxfId="88" dataCellStyle="Normal 5">
      <calculatedColumnFormula>IF(AM$3&lt;&gt;"",$W14,0)+IF(AM$4&lt;&gt;"",$U14,0)+IF(AM$5&lt;&gt;"",$Z14+IF($S14&lt;&gt;"102",$V14,0),0)+IF(AM$6&lt;&gt;"",$AA14+IF($S14="102",$V14,0),0)+IF(AM$7&lt;&gt;"",$X14,0)</calculatedColumnFormula>
    </tableColumn>
    <tableColumn id="48" xr3:uid="{866498C8-9DEB-40C1-AE1D-5446ABF86309}" uniqueName="48" name="DT4DT3" queryTableFieldId="48" dataDxfId="87" dataCellStyle="Normal 5">
      <calculatedColumnFormula>IF(AN$3&lt;&gt;"",$W14,0)+IF(AN$4&lt;&gt;"",$U14,0)+IF(AN$5&lt;&gt;"",$Z14+IF($S14&lt;&gt;"102",$V14,0),0)+IF(AN$6&lt;&gt;"",$AA14+IF($S14="102",$V14,0),0)+IF(AN$7&lt;&gt;"",$X14,0)</calculatedColumnFormula>
    </tableColumn>
    <tableColumn id="49" xr3:uid="{DE51AB0F-398F-434A-A627-E3880F0FFF3B}" uniqueName="49" name="DT4DT3DT1" queryTableFieldId="49" dataDxfId="86" dataCellStyle="Normal 5">
      <calculatedColumnFormula>IF(AO$3&lt;&gt;"",$W14,0)+IF(AO$4&lt;&gt;"",$U14,0)+IF(AO$5&lt;&gt;"",$Z14+IF($S14&lt;&gt;"102",$V14,0),0)+IF(AO$6&lt;&gt;"",$AA14+IF($S14="102",$V14,0),0)+IF(AO$7&lt;&gt;"",$X14,0)</calculatedColumnFormula>
    </tableColumn>
    <tableColumn id="50" xr3:uid="{24D12476-4596-45B8-9EC7-FF4B6C4868AA}" uniqueName="50" name="DT4DT3DT2" queryTableFieldId="50" dataDxfId="85" dataCellStyle="Normal 5">
      <calculatedColumnFormula>IF(AP$3&lt;&gt;"",$W14,0)+IF(AP$4&lt;&gt;"",$U14,0)+IF(AP$5&lt;&gt;"",$Z14+IF($S14&lt;&gt;"102",$V14,0),0)+IF(AP$6&lt;&gt;"",$AA14+IF($S14="102",$V14,0),0)+IF(AP$7&lt;&gt;"",$X14,0)</calculatedColumnFormula>
    </tableColumn>
    <tableColumn id="51" xr3:uid="{BF1BC10A-846C-4E7A-80B1-4CE86A71826B}" uniqueName="51" name="DT4DT3DT2DT1" queryTableFieldId="51" dataDxfId="84" dataCellStyle="Normal 5">
      <calculatedColumnFormula>IF(AQ$3&lt;&gt;"",$W14,0)+IF(AQ$4&lt;&gt;"",$U14,0)+IF(AQ$5&lt;&gt;"",$Z14+IF($S14&lt;&gt;"102",$V14,0),0)+IF(AQ$6&lt;&gt;"",$AA14+IF($S14="102",$V14,0),0)+IF(AQ$7&lt;&gt;"",$X14,0)</calculatedColumnFormula>
    </tableColumn>
    <tableColumn id="52" xr3:uid="{95949A76-5F02-40FF-B992-A0BF67500C10}" uniqueName="52" name="HSK3" queryTableFieldId="52" dataDxfId="83" dataCellStyle="Normal 5">
      <calculatedColumnFormula>IF(AR$3&lt;&gt;"",$W14,0)+IF(AR$4&lt;&gt;"",$U14,0)+IF(AR$5&lt;&gt;"",$Z14+IF($S14&lt;&gt;"102",$V14,0),0)+IF(AR$6&lt;&gt;"",$AA14+IF($S14="102",$V14,0),0)+IF(AR$7&lt;&gt;"",$X14,0)</calculatedColumnFormula>
    </tableColumn>
    <tableColumn id="53" xr3:uid="{307C564A-1F74-4881-BCCE-13EC1452AB24}" uniqueName="53" name="HSK3DT1" queryTableFieldId="53" dataDxfId="82" dataCellStyle="Normal 5">
      <calculatedColumnFormula>IF(AS$3&lt;&gt;"",$W14,0)+IF(AS$4&lt;&gt;"",$U14,0)+IF(AS$5&lt;&gt;"",$Z14+IF($S14&lt;&gt;"102",$V14,0),0)+IF(AS$6&lt;&gt;"",$AA14+IF($S14="102",$V14,0),0)+IF(AS$7&lt;&gt;"",$X14,0)</calculatedColumnFormula>
    </tableColumn>
    <tableColumn id="54" xr3:uid="{31145E34-B3F6-4838-86EB-3080DB6BD4E4}" uniqueName="54" name="HSK3DT2" queryTableFieldId="54" dataDxfId="81" dataCellStyle="Normal 5">
      <calculatedColumnFormula>IF(AT$3&lt;&gt;"",$W14,0)+IF(AT$4&lt;&gt;"",$U14,0)+IF(AT$5&lt;&gt;"",$Z14+IF($S14&lt;&gt;"102",$V14,0),0)+IF(AT$6&lt;&gt;"",$AA14+IF($S14="102",$V14,0),0)+IF(AT$7&lt;&gt;"",$X14,0)</calculatedColumnFormula>
    </tableColumn>
    <tableColumn id="55" xr3:uid="{C60BC714-1883-4909-B09B-55828E53F790}" uniqueName="55" name="HSK3DT2DT1" queryTableFieldId="55" dataDxfId="80" dataCellStyle="Normal 5">
      <calculatedColumnFormula>IF(AU$3&lt;&gt;"",$W14,0)+IF(AU$4&lt;&gt;"",$U14,0)+IF(AU$5&lt;&gt;"",$Z14+IF($S14&lt;&gt;"102",$V14,0),0)+IF(AU$6&lt;&gt;"",$AA14+IF($S14="102",$V14,0),0)+IF(AU$7&lt;&gt;"",$X14,0)</calculatedColumnFormula>
    </tableColumn>
    <tableColumn id="56" xr3:uid="{539D70BE-7180-4948-807E-02785FDFA316}" uniqueName="56" name="HSK3DT3" queryTableFieldId="56" dataDxfId="79" dataCellStyle="Normal 5">
      <calculatedColumnFormula>IF(AV$3&lt;&gt;"",$W14,0)+IF(AV$4&lt;&gt;"",$U14,0)+IF(AV$5&lt;&gt;"",$Z14+IF($S14&lt;&gt;"102",$V14,0),0)+IF(AV$6&lt;&gt;"",$AA14+IF($S14="102",$V14,0),0)+IF(AV$7&lt;&gt;"",$X14,0)</calculatedColumnFormula>
    </tableColumn>
    <tableColumn id="57" xr3:uid="{F8CBCA95-E968-4270-90F8-E641A2335AB9}" uniqueName="57" name="HSK3DT3DT1" queryTableFieldId="57" dataDxfId="78" dataCellStyle="Normal 5">
      <calculatedColumnFormula>IF(AW$3&lt;&gt;"",$W14,0)+IF(AW$4&lt;&gt;"",$U14,0)+IF(AW$5&lt;&gt;"",$Z14+IF($S14&lt;&gt;"102",$V14,0),0)+IF(AW$6&lt;&gt;"",$AA14+IF($S14="102",$V14,0),0)+IF(AW$7&lt;&gt;"",$X14,0)</calculatedColumnFormula>
    </tableColumn>
    <tableColumn id="58" xr3:uid="{3BAC3E93-4423-4691-BC9B-E63079B3B99F}" uniqueName="58" name="HSK3DT3DT2" queryTableFieldId="58" dataDxfId="77" dataCellStyle="Normal 5">
      <calculatedColumnFormula>IF(AX$3&lt;&gt;"",$W14,0)+IF(AX$4&lt;&gt;"",$U14,0)+IF(AX$5&lt;&gt;"",$Z14+IF($S14&lt;&gt;"102",$V14,0),0)+IF(AX$6&lt;&gt;"",$AA14+IF($S14="102",$V14,0),0)+IF(AX$7&lt;&gt;"",$X14,0)</calculatedColumnFormula>
    </tableColumn>
    <tableColumn id="59" xr3:uid="{53527FBB-C0D6-424D-9010-9E99BA6320A2}" uniqueName="59" name="HSK3DT3DT2DT1" queryTableFieldId="59" dataDxfId="76" dataCellStyle="Normal 5">
      <calculatedColumnFormula>IF(AY$3&lt;&gt;"",$W14,0)+IF(AY$4&lt;&gt;"",$U14,0)+IF(AY$5&lt;&gt;"",$Z14+IF($S14&lt;&gt;"102",$V14,0),0)+IF(AY$6&lt;&gt;"",$AA14+IF($S14="102",$V14,0),0)+IF(AY$7&lt;&gt;"",$X14,0)</calculatedColumnFormula>
    </tableColumn>
    <tableColumn id="60" xr3:uid="{3802271E-84EE-44DF-A3AA-C2A5937DE7D3}" uniqueName="60" name="HSK3DT4" queryTableFieldId="60" dataDxfId="75" dataCellStyle="Normal 5">
      <calculatedColumnFormula>IF(AZ$3&lt;&gt;"",$W14,0)+IF(AZ$4&lt;&gt;"",$U14,0)+IF(AZ$5&lt;&gt;"",$Z14+IF($S14&lt;&gt;"102",$V14,0),0)+IF(AZ$6&lt;&gt;"",$AA14+IF($S14="102",$V14,0),0)+IF(AZ$7&lt;&gt;"",$X14,0)</calculatedColumnFormula>
    </tableColumn>
    <tableColumn id="61" xr3:uid="{4B716812-FB9E-43F7-9335-7F3244735086}" uniqueName="61" name="HSK3DT4DT1" queryTableFieldId="61" dataDxfId="74" dataCellStyle="Normal 5">
      <calculatedColumnFormula>IF(BA$3&lt;&gt;"",$W14,0)+IF(BA$4&lt;&gt;"",$U14,0)+IF(BA$5&lt;&gt;"",$Z14+IF($S14&lt;&gt;"102",$V14,0),0)+IF(BA$6&lt;&gt;"",$AA14+IF($S14="102",$V14,0),0)+IF(BA$7&lt;&gt;"",$X14,0)</calculatedColumnFormula>
    </tableColumn>
    <tableColumn id="62" xr3:uid="{50915A5B-8D34-4817-8459-454663B4516A}" uniqueName="62" name="HSK3DT4DT2" queryTableFieldId="62" dataDxfId="73" dataCellStyle="Normal 5">
      <calculatedColumnFormula>IF(BB$3&lt;&gt;"",$W14,0)+IF(BB$4&lt;&gt;"",$U14,0)+IF(BB$5&lt;&gt;"",$Z14+IF($S14&lt;&gt;"102",$V14,0),0)+IF(BB$6&lt;&gt;"",$AA14+IF($S14="102",$V14,0),0)+IF(BB$7&lt;&gt;"",$X14,0)</calculatedColumnFormula>
    </tableColumn>
    <tableColumn id="63" xr3:uid="{F1C56DB0-C72D-47E2-AA9A-5F2DC0A90416}" uniqueName="63" name="HSK3DT4DT2DT1" queryTableFieldId="63" dataDxfId="72" dataCellStyle="Normal 5">
      <calculatedColumnFormula>IF(BC$3&lt;&gt;"",$W14,0)+IF(BC$4&lt;&gt;"",$U14,0)+IF(BC$5&lt;&gt;"",$Z14+IF($S14&lt;&gt;"102",$V14,0),0)+IF(BC$6&lt;&gt;"",$AA14+IF($S14="102",$V14,0),0)+IF(BC$7&lt;&gt;"",$X14,0)</calculatedColumnFormula>
    </tableColumn>
    <tableColumn id="64" xr3:uid="{90EACDF9-5441-4162-BD22-9A7E1B0CEFAB}" uniqueName="64" name="HSK3DT4DT3" queryTableFieldId="64" dataDxfId="71" dataCellStyle="Normal 5">
      <calculatedColumnFormula>IF(BD$3&lt;&gt;"",$W14,0)+IF(BD$4&lt;&gt;"",$U14,0)+IF(BD$5&lt;&gt;"",$Z14+IF($S14&lt;&gt;"102",$V14,0),0)+IF(BD$6&lt;&gt;"",$AA14+IF($S14="102",$V14,0),0)+IF(BD$7&lt;&gt;"",$X14,0)</calculatedColumnFormula>
    </tableColumn>
    <tableColumn id="65" xr3:uid="{660BF87B-D83D-455A-A38B-255500770A17}" uniqueName="65" name="HSK3DT4DT3DT1" queryTableFieldId="65" dataDxfId="70" dataCellStyle="Normal 5">
      <calculatedColumnFormula>IF(BE$3&lt;&gt;"",$W14,0)+IF(BE$4&lt;&gt;"",$U14,0)+IF(BE$5&lt;&gt;"",$Z14+IF($S14&lt;&gt;"102",$V14,0),0)+IF(BE$6&lt;&gt;"",$AA14+IF($S14="102",$V14,0),0)+IF(BE$7&lt;&gt;"",$X14,0)</calculatedColumnFormula>
    </tableColumn>
    <tableColumn id="66" xr3:uid="{71447BA7-412D-422C-A628-EDBB897FD3A4}" uniqueName="66" name="HSK3DT4DT3DT2" queryTableFieldId="66" dataDxfId="69" dataCellStyle="Normal 5">
      <calculatedColumnFormula>IF(BF$3&lt;&gt;"",$W14,0)+IF(BF$4&lt;&gt;"",$U14,0)+IF(BF$5&lt;&gt;"",$Z14+IF($S14&lt;&gt;"102",$V14,0),0)+IF(BF$6&lt;&gt;"",$AA14+IF($S14="102",$V14,0),0)+IF(BF$7&lt;&gt;"",$X14,0)</calculatedColumnFormula>
    </tableColumn>
    <tableColumn id="67" xr3:uid="{F5A113A1-274F-4A94-B976-33A83A2461B6}" uniqueName="67" name="HSK3DT4DT3DT2DT1" queryTableFieldId="67" dataDxfId="68" dataCellStyle="Normal 5">
      <calculatedColumnFormula>IF(BG$3&lt;&gt;"",$W14,0)+IF(BG$4&lt;&gt;"",$U14,0)+IF(BG$5&lt;&gt;"",$Z14+IF($S14&lt;&gt;"102",$V14,0),0)+IF(BG$6&lt;&gt;"",$AA14+IF($S14="102",$V14,0),0)+IF(BG$7&lt;&gt;"",$X14,0)</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021D4CA-276F-4C77-ACB4-29A3A9B4494A}" name="SwpRatesTbl" displayName="SwpRatesTbl" ref="P3:R22" totalsRowShown="0" headerRowBorderDxfId="67" tableBorderDxfId="66" totalsRowBorderDxfId="65">
  <autoFilter ref="P3:R22" xr:uid="{A021D4CA-276F-4C77-ACB4-29A3A9B4494A}"/>
  <tableColumns count="3">
    <tableColumn id="1" xr3:uid="{E6FAAB05-9EE6-41FF-A0CE-14A54FD1F3F6}" name="RateCmd" dataDxfId="64" dataCellStyle="Normal 2"/>
    <tableColumn id="3" xr3:uid="{22059000-64BE-488B-BF43-AEB8FE2CC4F6}" name="Period" dataDxfId="63" dataCellStyle="Normal 2"/>
    <tableColumn id="2" xr3:uid="{716F4887-D789-41FB-B2EA-0651DD31CC90}" name="Frequency (Hz)" dataDxfId="62" dataCellStyle="Normal 2">
      <calculatedColumnFormula>1/SwpRatesTbl[[#This Row],[Period]]</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B712484-F298-4E3D-9C4E-7776B31EC7F6}" name="SwpPktSizesTbl" displayName="SwpPktSizesTbl" ref="P25:T31" totalsRowShown="0" headerRowDxfId="61" headerRowBorderDxfId="60" tableBorderDxfId="59" totalsRowBorderDxfId="58" headerRowCellStyle="Normal 2" dataCellStyle="Normal 2">
  <autoFilter ref="P25:T31" xr:uid="{8B712484-F298-4E3D-9C4E-7776B31EC7F6}"/>
  <tableColumns count="5">
    <tableColumn id="1" xr3:uid="{9689761F-BB31-467F-B0FC-B7DBF406EA21}" name="Packet Names" dataDxfId="57" dataCellStyle="Normal 2"/>
    <tableColumn id="2" xr3:uid="{DF1D1371-17BD-4BF0-9743-898521AD6058}" name="APID" dataDxfId="56" dataCellStyle="Normal 2"/>
    <tableColumn id="3" xr3:uid="{6333F88F-0392-4C35-9280-B3F9E64EC857}" name="Size (bytes)" dataDxfId="55" dataCellStyle="Normal 2"/>
    <tableColumn id="4" xr3:uid="{EB7B92E9-12FB-4D3A-8294-728033F758AD}" name="Size (bits)" dataDxfId="54" dataCellStyle="Normal 2">
      <calculatedColumnFormula>R26*8</calculatedColumnFormula>
    </tableColumn>
    <tableColumn id="5" xr3:uid="{2C9131CC-E3FA-4DDE-B140-0A340917E5B8}" name="Number of Packets in Set" dataDxfId="53"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2C8A442-12B8-4B4B-9D67-4F763B27CAD0}" name="SwpPktRatesTbl" displayName="SwpPktRatesTbl" ref="T3:Z22" totalsRowShown="0" headerRowDxfId="52" headerRowBorderDxfId="51">
  <tableColumns count="7">
    <tableColumn id="1" xr3:uid="{9E84DF2B-BC51-4704-AFBB-1995A04B8E39}" name="RateCmd" dataDxfId="50"/>
    <tableColumn id="2" xr3:uid="{DC400674-4A2C-4D8C-921D-7175E0605B6E}" name="Housekeeping" dataDxfId="49">
      <calculatedColumnFormula>_xlfn.LET(
  _xlpm.per, _xlfn.XLOOKUP($T4, SwpRatesTbl[RateCmd], SwpRatesTbl[Period]),
  _xlpm.bits, _xlfn.XLOOKUP(U$3, SwpPktSizesTbl[Packet Names], SwpPktSizesTbl[Size (bits)]),
  _xlpm.cnt, _xlfn.XLOOKUP(U$3, SwpPktSizesTbl[Packet Names], SwpPktSizesTbl[Number of Packets in Set]),
  IF(_xlpm.per=0, 0, _xlpm.bits*_xlpm.cnt/_xlpm.per)
)</calculatedColumnFormula>
    </tableColumn>
    <tableColumn id="3" xr3:uid="{C2583683-07D2-4C4D-B6BB-795EC50DF5B4}" name="Realtime Science" dataDxfId="48"/>
    <tableColumn id="4" xr3:uid="{01211CC8-6D65-4FDA-AA66-EBE774D86E40}" name="Summary" dataDxfId="47"/>
    <tableColumn id="5" xr3:uid="{2527355F-EE64-4C96-B5B0-CBBB25CFD808}" name="Histogram 0" dataDxfId="46"/>
    <tableColumn id="6" xr3:uid="{27CA2F94-B671-42A6-B6A6-407114A504FB}" name="Histogram 1" dataDxfId="45"/>
    <tableColumn id="7" xr3:uid="{DAA05FED-B851-4325-8C71-1782B52A88A3}" name="Histogram (Sum)" dataDxfId="44">
      <calculatedColumnFormula>SwpPktRatesTbl[[#This Row],[Histogram 1]]+SwpPktRatesTbl[[#This Row],[Histogram 0]]</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61608D0-0CDD-4D80-B096-2C08EE7D11DC}">
  <we:reference id="e849ddb8-6bbd-4833-bd4b-59030099d63e" version="1.0.0.0" store="EXCatalog" storeType="EXCatalog"/>
  <we:alternateReferences>
    <we:reference id="WA200000113" version="1.0.0.0" store="en-US"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3.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comments" Target="../comments9.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comments" Target="../comments10.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drawing" Target="../drawings/drawing15.xml"/><Relationship Id="rId4"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324A5-4A17-4DC3-8D6E-085D85D817D9}">
  <sheetPr codeName="Sheet5"/>
  <dimension ref="A1:BE490"/>
  <sheetViews>
    <sheetView topLeftCell="C34" zoomScaleNormal="100" workbookViewId="0">
      <pane ySplit="2955" topLeftCell="A403" activePane="bottomLeft"/>
      <selection activeCell="N38" sqref="N38"/>
      <selection pane="bottomLeft" activeCell="AA417" sqref="AA417"/>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140625" customWidth="1"/>
    <col min="14" max="14" width="16.42578125" customWidth="1"/>
    <col min="15" max="15" width="13.7109375" customWidth="1"/>
    <col min="16" max="16" width="15.140625" customWidth="1"/>
    <col min="17" max="18" width="11.5703125" customWidth="1"/>
    <col min="19" max="19" width="12" bestFit="1" customWidth="1"/>
    <col min="20" max="20" width="14.42578125" customWidth="1"/>
    <col min="22" max="22" width="16" customWidth="1"/>
    <col min="23" max="23" width="14" customWidth="1"/>
    <col min="24" max="24" width="13.140625" bestFit="1" customWidth="1"/>
    <col min="26" max="26" width="11.7109375" bestFit="1" customWidth="1"/>
    <col min="28" max="28" width="15.42578125" customWidth="1"/>
    <col min="31" max="31" width="13.7109375" customWidth="1"/>
    <col min="32" max="32" width="12.5703125" customWidth="1"/>
    <col min="33" max="33" width="19" customWidth="1"/>
    <col min="34" max="34" width="13.85546875" customWidth="1"/>
    <col min="35" max="35" width="17.7109375" customWidth="1"/>
    <col min="36" max="36" width="17.5703125" customWidth="1"/>
    <col min="37" max="37" width="19.5703125" customWidth="1"/>
    <col min="38" max="38" width="9.85546875" customWidth="1"/>
    <col min="39" max="39" width="17" customWidth="1"/>
    <col min="42" max="42" width="10.85546875" customWidth="1"/>
    <col min="43" max="43" width="14.140625" customWidth="1"/>
  </cols>
  <sheetData>
    <row r="1" spans="2:47" ht="13.5" customHeight="1">
      <c r="B1">
        <v>102</v>
      </c>
      <c r="E1" t="s">
        <v>51</v>
      </c>
      <c r="F1" t="s">
        <v>49</v>
      </c>
      <c r="G1" t="s">
        <v>50</v>
      </c>
      <c r="H1" t="s">
        <v>53</v>
      </c>
      <c r="I1" t="s">
        <v>54</v>
      </c>
      <c r="J1" t="s">
        <v>228</v>
      </c>
      <c r="K1" t="s">
        <v>825</v>
      </c>
      <c r="T1" t="str">
        <f>_xlfn.TEXTJOIN("",FALSE,$E1:$K1)</f>
        <v>HSK3DT1DT2DT3DT4SDT1HSK4</v>
      </c>
      <c r="AF1" s="268"/>
      <c r="AG1" s="268"/>
      <c r="AH1" s="6" t="s">
        <v>5402</v>
      </c>
      <c r="AI1" s="3">
        <v>1988</v>
      </c>
      <c r="AJ1" s="3">
        <v>18176</v>
      </c>
      <c r="AK1" s="3">
        <v>512</v>
      </c>
      <c r="AL1" s="3">
        <v>2087</v>
      </c>
      <c r="AM1" s="3">
        <v>1266</v>
      </c>
      <c r="AN1" s="3">
        <v>526</v>
      </c>
    </row>
    <row r="2" spans="2:47" ht="15">
      <c r="M2" t="s">
        <v>43</v>
      </c>
      <c r="N2">
        <v>126</v>
      </c>
      <c r="O2">
        <v>159</v>
      </c>
      <c r="P2">
        <f>O2-N2</f>
        <v>33</v>
      </c>
      <c r="Q2">
        <f>P2*S6</f>
        <v>31.728378000000003</v>
      </c>
      <c r="R2" s="6" t="s">
        <v>1166</v>
      </c>
      <c r="S2" s="269">
        <f>'SWAP Data Volumns'!K108</f>
        <v>0.5056665308181959</v>
      </c>
      <c r="T2">
        <f>S2*86400*8/1000000</f>
        <v>0.34951670610153701</v>
      </c>
      <c r="AF2" s="268"/>
      <c r="AG2" s="268"/>
      <c r="AH2" s="6" t="s">
        <v>5401</v>
      </c>
      <c r="AI2" s="3">
        <v>1</v>
      </c>
      <c r="AJ2" s="3">
        <v>1</v>
      </c>
      <c r="AK2" s="3">
        <v>1</v>
      </c>
      <c r="AL2" s="3">
        <v>64</v>
      </c>
      <c r="AM2" s="3">
        <v>1</v>
      </c>
      <c r="AN2" s="3">
        <v>64</v>
      </c>
    </row>
    <row r="3" spans="2:47" ht="15">
      <c r="N3">
        <v>159</v>
      </c>
      <c r="O3">
        <v>181</v>
      </c>
      <c r="P3">
        <f>O3-N3</f>
        <v>22</v>
      </c>
      <c r="Q3">
        <f>P3*X6</f>
        <v>56.201820631579039</v>
      </c>
      <c r="R3" s="6" t="s">
        <v>1196</v>
      </c>
      <c r="S3" s="269">
        <f>'SWAP Data Volumns'!K99</f>
        <v>0.80996710526315774</v>
      </c>
      <c r="V3">
        <f>4.513307/V10</f>
        <v>0.92947580888228509</v>
      </c>
      <c r="X3">
        <f>25/X6</f>
        <v>9.7861598400063663</v>
      </c>
      <c r="AF3" s="268"/>
      <c r="AG3" s="268"/>
      <c r="AI3" s="3" t="s">
        <v>1</v>
      </c>
      <c r="AJ3" s="3" t="s">
        <v>58</v>
      </c>
      <c r="AK3" s="3" t="s">
        <v>5284</v>
      </c>
      <c r="AL3" s="3" t="s">
        <v>5399</v>
      </c>
      <c r="AM3" s="3" t="s">
        <v>61</v>
      </c>
      <c r="AN3" s="3" t="s">
        <v>5400</v>
      </c>
    </row>
    <row r="4" spans="2:47" ht="15">
      <c r="N4">
        <v>181</v>
      </c>
      <c r="O4">
        <v>218</v>
      </c>
      <c r="P4">
        <f>O4-N4</f>
        <v>37</v>
      </c>
      <c r="Q4">
        <f>P4*S6</f>
        <v>35.574241999999998</v>
      </c>
      <c r="R4" s="6" t="s">
        <v>1068</v>
      </c>
      <c r="S4" s="269">
        <f>'SWAP Data Volumns'!K90</f>
        <v>1.4028285692679976</v>
      </c>
      <c r="W4" t="s">
        <v>1014</v>
      </c>
      <c r="X4" s="270">
        <f>'SWAP Data Volumns'!K108</f>
        <v>0.5056665308181959</v>
      </c>
      <c r="AF4" s="268"/>
      <c r="AG4" s="268"/>
      <c r="AH4" s="6" t="s">
        <v>5403</v>
      </c>
      <c r="AI4" s="3">
        <v>1988</v>
      </c>
      <c r="AJ4" s="3">
        <v>18176</v>
      </c>
      <c r="AK4" s="3">
        <v>512</v>
      </c>
      <c r="AL4" s="3">
        <v>2087</v>
      </c>
      <c r="AM4" s="3">
        <v>1266</v>
      </c>
      <c r="AN4" s="3">
        <v>526</v>
      </c>
    </row>
    <row r="5" spans="2:47" ht="15">
      <c r="L5">
        <f>66+90+23+164+28+5</f>
        <v>376</v>
      </c>
      <c r="Q5">
        <f>Q4+Q3+Q2</f>
        <v>123.50444063157904</v>
      </c>
      <c r="R5" s="6" t="s">
        <v>1165</v>
      </c>
      <c r="S5" s="269">
        <f>'SWAP Data Volumns'!K72</f>
        <v>3.6959320175438592</v>
      </c>
      <c r="AF5" s="268"/>
      <c r="AG5" s="268"/>
      <c r="AH5" s="6" t="s">
        <v>5404</v>
      </c>
      <c r="AI5" s="3">
        <v>1988</v>
      </c>
      <c r="AJ5" s="3">
        <v>19908</v>
      </c>
      <c r="AK5" s="3">
        <v>512</v>
      </c>
      <c r="AL5" s="3">
        <v>2340</v>
      </c>
      <c r="AM5" s="3">
        <v>1330</v>
      </c>
      <c r="AN5" s="3">
        <v>564</v>
      </c>
    </row>
    <row r="6" spans="2:47" ht="15">
      <c r="L6">
        <f>(51-44)*X6</f>
        <v>17.882397473684239</v>
      </c>
      <c r="M6">
        <f>82+49+54+105+82+39</f>
        <v>411</v>
      </c>
      <c r="R6" t="s">
        <v>44</v>
      </c>
      <c r="S6" s="3">
        <v>0.96146600000000004</v>
      </c>
      <c r="U6" t="s">
        <v>44</v>
      </c>
      <c r="V6" s="3">
        <f>V9*8*86400/1000000</f>
        <v>2.6403840000000001</v>
      </c>
      <c r="W6" s="3">
        <v>2.546459</v>
      </c>
      <c r="X6">
        <v>2.5546282105263201</v>
      </c>
      <c r="AF6" s="268"/>
      <c r="AG6" s="268"/>
    </row>
    <row r="7" spans="2:47" ht="15.75" thickBot="1">
      <c r="L7">
        <f>(83-51)*X6</f>
        <v>81.748102736842242</v>
      </c>
      <c r="M7">
        <f>87+161+205+666+18</f>
        <v>1137</v>
      </c>
      <c r="R7" t="s">
        <v>45</v>
      </c>
      <c r="S7" t="s">
        <v>46</v>
      </c>
      <c r="U7" t="s">
        <v>47</v>
      </c>
      <c r="V7" t="s">
        <v>48</v>
      </c>
      <c r="Z7" s="3" t="s">
        <v>49</v>
      </c>
      <c r="AA7" s="3" t="s">
        <v>50</v>
      </c>
      <c r="AB7" s="3" t="s">
        <v>51</v>
      </c>
      <c r="AC7" s="3" t="s">
        <v>52</v>
      </c>
      <c r="AD7" s="3" t="s">
        <v>53</v>
      </c>
      <c r="AE7" s="3" t="s">
        <v>54</v>
      </c>
      <c r="AF7" s="260"/>
      <c r="AG7" s="268"/>
      <c r="AI7" s="3" t="s">
        <v>49</v>
      </c>
      <c r="AJ7" s="3" t="s">
        <v>50</v>
      </c>
      <c r="AK7" s="3" t="s">
        <v>51</v>
      </c>
      <c r="AL7" s="3" t="s">
        <v>52</v>
      </c>
      <c r="AM7" s="3" t="s">
        <v>53</v>
      </c>
      <c r="AN7" s="3" t="s">
        <v>54</v>
      </c>
      <c r="AT7" s="254" t="s">
        <v>5396</v>
      </c>
    </row>
    <row r="8" spans="2:47" ht="15.75" thickBot="1">
      <c r="L8">
        <f>299+46+23+41</f>
        <v>409</v>
      </c>
      <c r="R8" s="36" t="s">
        <v>55</v>
      </c>
      <c r="S8" s="24">
        <v>14.778454999999999</v>
      </c>
      <c r="T8" s="3">
        <f>T9*1.1</f>
        <v>0.40055257114116738</v>
      </c>
      <c r="U8" s="36" t="s">
        <v>55</v>
      </c>
      <c r="V8" s="24">
        <v>14.778454999999999</v>
      </c>
      <c r="W8" s="29" t="s">
        <v>56</v>
      </c>
      <c r="X8" t="s">
        <v>57</v>
      </c>
      <c r="Z8" s="3" t="s">
        <v>1</v>
      </c>
      <c r="AA8" s="3" t="s">
        <v>58</v>
      </c>
      <c r="AB8" s="4" t="s">
        <v>59</v>
      </c>
      <c r="AC8" s="3" t="s">
        <v>60</v>
      </c>
      <c r="AD8" s="3" t="s">
        <v>61</v>
      </c>
      <c r="AE8" s="3" t="s">
        <v>62</v>
      </c>
      <c r="AF8" s="260" t="s">
        <v>63</v>
      </c>
      <c r="AG8" s="260"/>
      <c r="AI8" s="3" t="s">
        <v>1</v>
      </c>
      <c r="AJ8" s="3" t="s">
        <v>58</v>
      </c>
      <c r="AK8" s="3" t="s">
        <v>59</v>
      </c>
      <c r="AL8" s="3" t="s">
        <v>60</v>
      </c>
      <c r="AM8" s="3" t="s">
        <v>61</v>
      </c>
      <c r="AN8" s="3" t="s">
        <v>62</v>
      </c>
      <c r="AO8" s="264" t="s">
        <v>5393</v>
      </c>
      <c r="AP8" s="264" t="s">
        <v>5393</v>
      </c>
      <c r="AQ8" s="264" t="s">
        <v>5393</v>
      </c>
      <c r="AR8" s="264" t="s">
        <v>5393</v>
      </c>
      <c r="AS8" s="265" t="s">
        <v>5396</v>
      </c>
      <c r="AT8" s="258" t="s">
        <v>5397</v>
      </c>
      <c r="AU8" s="254" t="s">
        <v>5408</v>
      </c>
    </row>
    <row r="9" spans="2:47" ht="16.5" thickBot="1">
      <c r="N9" t="s">
        <v>64</v>
      </c>
      <c r="O9">
        <f>125/X6</f>
        <v>48.930799200031828</v>
      </c>
      <c r="Q9">
        <v>0.96146600000000004</v>
      </c>
      <c r="R9" s="23" t="s">
        <v>65</v>
      </c>
      <c r="S9" s="24">
        <f>S6*1000000/(8*86400)</f>
        <v>1.391009837962963</v>
      </c>
      <c r="T9" s="3">
        <f>S9/V9</f>
        <v>0.36413870103742485</v>
      </c>
      <c r="U9" s="23" t="s">
        <v>65</v>
      </c>
      <c r="V9" s="24">
        <v>3.82</v>
      </c>
      <c r="W9" s="29">
        <f>W6*1000000/(8*86400)</f>
        <v>3.6841131365740742</v>
      </c>
      <c r="X9" s="84">
        <f>X6*1000000/(8*86400)</f>
        <v>3.6959320175438659</v>
      </c>
      <c r="Y9" s="38" t="s">
        <v>66</v>
      </c>
      <c r="Z9" s="3" t="s">
        <v>0</v>
      </c>
      <c r="AA9" s="3" t="s">
        <v>0</v>
      </c>
      <c r="AB9" s="3" t="s">
        <v>0</v>
      </c>
      <c r="AC9" s="3" t="s">
        <v>0</v>
      </c>
      <c r="AD9" s="3" t="s">
        <v>0</v>
      </c>
      <c r="AE9" s="3" t="s">
        <v>0</v>
      </c>
      <c r="AF9" s="260"/>
      <c r="AG9" s="262" t="s">
        <v>5405</v>
      </c>
      <c r="AH9" s="256" t="s">
        <v>66</v>
      </c>
      <c r="AI9" s="3" t="s">
        <v>0</v>
      </c>
      <c r="AJ9" s="3" t="s">
        <v>0</v>
      </c>
      <c r="AK9" s="3" t="s">
        <v>0</v>
      </c>
      <c r="AL9" s="3" t="s">
        <v>0</v>
      </c>
      <c r="AM9" s="3" t="s">
        <v>0</v>
      </c>
      <c r="AN9" s="3" t="s">
        <v>0</v>
      </c>
      <c r="AO9" s="266" t="s">
        <v>1</v>
      </c>
      <c r="AP9" s="266" t="s">
        <v>58</v>
      </c>
      <c r="AQ9" s="266" t="s">
        <v>5284</v>
      </c>
      <c r="AR9" s="266" t="s">
        <v>5394</v>
      </c>
      <c r="AS9" s="267" t="s">
        <v>5395</v>
      </c>
      <c r="AT9" s="259" t="s">
        <v>5398</v>
      </c>
      <c r="AU9" s="259" t="s">
        <v>5407</v>
      </c>
    </row>
    <row r="10" spans="2:47" ht="15.75" thickBot="1">
      <c r="N10" t="s">
        <v>67</v>
      </c>
      <c r="O10">
        <f>347+49-365</f>
        <v>31</v>
      </c>
      <c r="S10" s="6" t="s">
        <v>68</v>
      </c>
      <c r="T10" s="3" t="s">
        <v>69</v>
      </c>
      <c r="U10" s="23" t="s">
        <v>70</v>
      </c>
      <c r="V10" s="39">
        <f t="shared" ref="V10:V36" si="0">Y10/8</f>
        <v>4.8557552083333402</v>
      </c>
      <c r="W10" t="s">
        <v>71</v>
      </c>
      <c r="X10" s="3" t="s">
        <v>72</v>
      </c>
      <c r="Y10" s="38">
        <f t="shared" ref="Y10:Y36" si="1">SUM(Z10:AE10)</f>
        <v>38.846041666666721</v>
      </c>
      <c r="Z10">
        <v>16.566666666666698</v>
      </c>
      <c r="AA10">
        <v>2.5244444444444398</v>
      </c>
      <c r="AB10">
        <v>0.284444444444444</v>
      </c>
      <c r="AC10">
        <v>10.8697916666667</v>
      </c>
      <c r="AD10">
        <v>5.8611111111111098</v>
      </c>
      <c r="AE10">
        <v>2.7395833333333299</v>
      </c>
      <c r="AF10" s="260"/>
      <c r="AG10" s="263">
        <f>AH10-Y10</f>
        <v>0</v>
      </c>
      <c r="AH10" s="257">
        <f>SUM(AI10:AN10)</f>
        <v>38.846041666666672</v>
      </c>
      <c r="AI10" s="208">
        <f>1*(IF(TRIM($AU10)="13_3",AI$5,AI$1)/AI$2)/IF(OR(TRIM(AO10)="",AO10&lt;=0),1E+38,AO10)</f>
        <v>16.566666666666666</v>
      </c>
      <c r="AJ10" s="208">
        <f t="shared" ref="AJ10:AK13" si="2">1*(IF(TRIM($AU10)="13_3",AJ$5,AJ$1)/AJ$2)/IF(OR(TRIM(AP10)="",AP10&lt;=0),1E+38,AP10)</f>
        <v>2.5244444444444443</v>
      </c>
      <c r="AK10" s="208">
        <f t="shared" si="2"/>
        <v>0.28444444444444444</v>
      </c>
      <c r="AL10" s="208">
        <f>1*(IF(TRIM($AU10)="13_3",AL$5,AL$1)/AL$2)/IF(OR(TRIM($AR10)="",$AR10&lt;=0),1E+38,IF($AR10=103,3,IF($AR10=104,2,$AR10)))</f>
        <v>10.869791666666666</v>
      </c>
      <c r="AM10" s="208">
        <f>1*(IF(TRIM($AU10)="13_3",AM$5,AM$1)/AM$2)*(AT10/720)/IF(OR(TRIM($AR10)="",$AR10&lt;=0),1E+38,IF($AR10=103,3,IF($AR10=104,2,$AR10)))</f>
        <v>5.8611111111111107</v>
      </c>
      <c r="AN10" s="208">
        <f>1*(IF(TRIM($AU10)="13_3",AN$5,AN$1)/AN$2)/IF(OR(TRIM($AR10)="",$AR10&lt;=0),1E+38,IF($AR10=103,3,IF($AR10=104,2,$AR10)))</f>
        <v>2.7395833333333335</v>
      </c>
      <c r="AO10" s="271">
        <v>120</v>
      </c>
      <c r="AP10" s="271">
        <v>7200</v>
      </c>
      <c r="AQ10" s="271">
        <v>1800</v>
      </c>
      <c r="AR10" s="271">
        <v>103</v>
      </c>
      <c r="AS10" s="271">
        <v>106</v>
      </c>
      <c r="AT10" s="272">
        <f t="shared" ref="AT10:AT11" si="3">IF(OR(AS10="",AS10&lt;105,AS10&gt;109),720,(336+(AS10-107)*(110+(AS10-107)*(25+(AS10-107)*(10+(AS10-107)*(-1)))))/24)</f>
        <v>10</v>
      </c>
      <c r="AU10" s="254"/>
    </row>
    <row r="11" spans="2:47" ht="15.75" thickBot="1">
      <c r="M11" t="s">
        <v>73</v>
      </c>
      <c r="N11" t="s">
        <v>74</v>
      </c>
      <c r="O11">
        <f>(40-6)/X6</f>
        <v>13.309177382408658</v>
      </c>
      <c r="S11" s="6" t="s">
        <v>75</v>
      </c>
      <c r="T11" s="3" t="s">
        <v>69</v>
      </c>
      <c r="U11" s="23" t="s">
        <v>70</v>
      </c>
      <c r="V11" s="39">
        <f t="shared" si="0"/>
        <v>4.5133072916666741</v>
      </c>
      <c r="W11" t="s">
        <v>76</v>
      </c>
      <c r="X11" s="3" t="s">
        <v>72</v>
      </c>
      <c r="Y11" s="38">
        <f t="shared" si="1"/>
        <v>36.106458333333393</v>
      </c>
      <c r="Z11">
        <v>16.566666666666698</v>
      </c>
      <c r="AA11">
        <v>2.5244444444444398</v>
      </c>
      <c r="AB11">
        <v>0.284444444444444</v>
      </c>
      <c r="AC11">
        <v>10.8697916666667</v>
      </c>
      <c r="AD11">
        <v>5.8611111111111098</v>
      </c>
      <c r="AE11" s="3"/>
      <c r="AF11" s="260">
        <f t="shared" ref="AF11:AF22" si="4">Y11*86400/1000000</f>
        <v>3.1195980000000052</v>
      </c>
      <c r="AG11" s="263">
        <f t="shared" ref="AG11:AG31" si="5">AH11-Y11</f>
        <v>-5.6843418860808015E-14</v>
      </c>
      <c r="AH11" s="257">
        <f t="shared" ref="AH11:AH31" si="6">SUM(AI11:AN11)</f>
        <v>36.106458333333336</v>
      </c>
      <c r="AI11" s="208">
        <f t="shared" ref="AI11:AI13" si="7">1*(IF(TRIM($AU11)="13_3",AI$5,AI$1)/AI$2)/IF(OR(TRIM(AO11)="",AO11&lt;=0),1E+38,AO11)</f>
        <v>16.566666666666666</v>
      </c>
      <c r="AJ11" s="208">
        <f t="shared" si="2"/>
        <v>2.5244444444444443</v>
      </c>
      <c r="AK11" s="208">
        <f t="shared" si="2"/>
        <v>0.28444444444444444</v>
      </c>
      <c r="AL11" s="208">
        <f t="shared" ref="AL11:AL13" si="8">1*(IF(TRIM($AU11)="13_3",AL$5,AL$1)/AL$2)/IF(OR(TRIM($AR11)="",$AR11&lt;=0),1E+38,IF($AR11=103,3,IF($AR11=104,2,$AR11)))</f>
        <v>10.869791666666666</v>
      </c>
      <c r="AM11" s="208">
        <f>1*(IF(TRIM($AU11)="13_3",AM$5,AM$1)/AM$2)*(AT11/720)/IF(OR(TRIM($AR11)="",$AR11&lt;=0),1E+38,IF($AR11=103,3,IF($AR11=104,2,$AR11)))</f>
        <v>5.8611111111111107</v>
      </c>
      <c r="AN11" s="208">
        <f>0*(IF(TRIM($AU11)="13_3",AN$5,AN$1)/AN$2)/IF(OR(TRIM($AR11)="",$AR11&lt;=0),1E+38,IF($AR11=103,3,IF($AR11=104,2,$AR11)))</f>
        <v>0</v>
      </c>
      <c r="AO11" s="273">
        <v>120</v>
      </c>
      <c r="AP11" s="273">
        <v>7200</v>
      </c>
      <c r="AQ11" s="273">
        <v>1800</v>
      </c>
      <c r="AR11" s="273">
        <v>103</v>
      </c>
      <c r="AS11" s="273">
        <v>106</v>
      </c>
      <c r="AT11" s="274">
        <f t="shared" si="3"/>
        <v>10</v>
      </c>
      <c r="AU11" s="258"/>
    </row>
    <row r="12" spans="2:47" ht="15.75" thickBot="1">
      <c r="N12">
        <f>(83-45)*X6</f>
        <v>97.07587200000016</v>
      </c>
      <c r="S12">
        <v>25159</v>
      </c>
      <c r="T12" s="3" t="s">
        <v>77</v>
      </c>
      <c r="U12" s="23" t="s">
        <v>70</v>
      </c>
      <c r="V12" s="39">
        <f t="shared" si="0"/>
        <v>3.0903906249999977</v>
      </c>
      <c r="W12" t="s">
        <v>78</v>
      </c>
      <c r="X12" s="3" t="s">
        <v>79</v>
      </c>
      <c r="Y12" s="38">
        <f t="shared" si="1"/>
        <v>24.723124999999982</v>
      </c>
      <c r="Z12">
        <v>11.0444444444444</v>
      </c>
      <c r="AA12">
        <v>2.5244444444444398</v>
      </c>
      <c r="AB12">
        <v>0.284444444444444</v>
      </c>
      <c r="AC12">
        <v>10.8697916666667</v>
      </c>
      <c r="AD12" s="3"/>
      <c r="AE12" s="3"/>
      <c r="AF12" s="260">
        <f t="shared" si="4"/>
        <v>2.1360779999999986</v>
      </c>
      <c r="AG12" s="263">
        <f t="shared" si="5"/>
        <v>0</v>
      </c>
      <c r="AH12" s="257">
        <f t="shared" si="6"/>
        <v>24.723125</v>
      </c>
      <c r="AI12" s="208">
        <f t="shared" si="7"/>
        <v>11.044444444444444</v>
      </c>
      <c r="AJ12" s="208">
        <f t="shared" si="2"/>
        <v>2.5244444444444443</v>
      </c>
      <c r="AK12" s="208">
        <f t="shared" si="2"/>
        <v>0.28444444444444444</v>
      </c>
      <c r="AL12" s="208">
        <f t="shared" si="8"/>
        <v>10.869791666666666</v>
      </c>
      <c r="AM12" s="208">
        <f>0*(IF(TRIM($AU12)="13_3",AM$5,AM$1)/AM$2)*(AT12/720)/IF(OR(TRIM($AR12)="",$AR12&lt;=0),1E+38,IF($AR12=103,3,IF($AR12=104,2,$AR12)))</f>
        <v>0</v>
      </c>
      <c r="AN12" s="208">
        <f>0*(IF(TRIM($AU12)="13_3",AN$5,AN$1)/AN$2)/IF(OR(TRIM($AR12)="",$AR12&lt;=0),1E+38,IF($AR12=103,3,IF($AR12=104,2,$AR12)))</f>
        <v>0</v>
      </c>
      <c r="AO12" s="273">
        <v>180</v>
      </c>
      <c r="AP12" s="273">
        <v>7200</v>
      </c>
      <c r="AQ12" s="273">
        <v>1800</v>
      </c>
      <c r="AR12" s="273">
        <v>103</v>
      </c>
      <c r="AS12" s="273">
        <v>110</v>
      </c>
      <c r="AT12" s="274">
        <f>IF(OR(AS12="",AS12&lt;105,AS12&gt;109),720,(336+(AS12-107)*(110+(AS12-107)*(25+(AS12-107)*(10+(AS12-107)*(-1)))))/24)</f>
        <v>720</v>
      </c>
      <c r="AU12" s="258"/>
    </row>
    <row r="13" spans="2:47" ht="15.75" thickBot="1">
      <c r="P13" s="6" t="s">
        <v>80</v>
      </c>
      <c r="S13" s="6">
        <v>25139</v>
      </c>
      <c r="T13" s="3" t="s">
        <v>69</v>
      </c>
      <c r="U13" s="23" t="s">
        <v>70</v>
      </c>
      <c r="V13" s="39">
        <f t="shared" si="0"/>
        <v>3.7806684027777853</v>
      </c>
      <c r="W13" t="s">
        <v>78</v>
      </c>
      <c r="X13" s="3" t="s">
        <v>72</v>
      </c>
      <c r="Y13" s="38">
        <f t="shared" si="1"/>
        <v>30.245347222222282</v>
      </c>
      <c r="Z13">
        <v>16.566666666666698</v>
      </c>
      <c r="AA13">
        <v>2.5244444444444398</v>
      </c>
      <c r="AB13">
        <v>0.284444444444444</v>
      </c>
      <c r="AC13">
        <v>10.8697916666667</v>
      </c>
      <c r="AD13" s="3"/>
      <c r="AE13" s="3"/>
      <c r="AF13" s="260">
        <f t="shared" si="4"/>
        <v>2.613198000000005</v>
      </c>
      <c r="AG13" s="263">
        <f t="shared" si="5"/>
        <v>-6.0396132539608516E-14</v>
      </c>
      <c r="AH13" s="257">
        <f t="shared" si="6"/>
        <v>30.245347222222222</v>
      </c>
      <c r="AI13" s="208">
        <f t="shared" si="7"/>
        <v>16.566666666666666</v>
      </c>
      <c r="AJ13" s="208">
        <f t="shared" si="2"/>
        <v>2.5244444444444443</v>
      </c>
      <c r="AK13" s="208">
        <f t="shared" si="2"/>
        <v>0.28444444444444444</v>
      </c>
      <c r="AL13" s="208">
        <f t="shared" si="8"/>
        <v>10.869791666666666</v>
      </c>
      <c r="AM13" s="208">
        <f t="shared" ref="AM13:AM16" si="9">0*(IF(TRIM($AU13)="13_3",AM$5,AM$1)/AM$2)*(AT13/720)/IF(OR(TRIM($AR13)="",$AR13&lt;=0),1E+38,IF($AR13=103,3,IF($AR13=104,2,$AR13)))</f>
        <v>0</v>
      </c>
      <c r="AN13" s="208">
        <f>0*(IF(TRIM($AU13)="13_3",AN$5,AN$1)/AN$2)/IF(OR(TRIM($AR13)="",$AR13&lt;=0),1E+38,IF($AR13=103,3,IF($AR13=104,2,$AR13)))</f>
        <v>0</v>
      </c>
      <c r="AO13" s="273">
        <v>120</v>
      </c>
      <c r="AP13" s="273">
        <v>7200</v>
      </c>
      <c r="AQ13" s="273">
        <v>1800</v>
      </c>
      <c r="AR13" s="273">
        <v>103</v>
      </c>
      <c r="AS13" s="273"/>
      <c r="AT13" s="274">
        <f t="shared" ref="AT13:AT31" si="10">IF(OR(AS13="",AS13&lt;105,AS13&gt;109),720,(336+(AS13-107)*(110+(AS13-107)*(25+(AS13-107)*(10+(AS13-107)*(-1)))))/24)</f>
        <v>720</v>
      </c>
      <c r="AU13" s="258"/>
    </row>
    <row r="14" spans="2:47" ht="15.75" thickBot="1">
      <c r="S14">
        <v>25159</v>
      </c>
      <c r="T14" t="s">
        <v>77</v>
      </c>
      <c r="U14" s="23" t="s">
        <v>70</v>
      </c>
      <c r="V14" s="39">
        <f t="shared" si="0"/>
        <v>0.34244791666666624</v>
      </c>
      <c r="W14" t="s">
        <v>81</v>
      </c>
      <c r="X14" s="3" t="s">
        <v>79</v>
      </c>
      <c r="Y14" s="38">
        <f t="shared" si="1"/>
        <v>2.7395833333333299</v>
      </c>
      <c r="AD14" s="3"/>
      <c r="AE14">
        <v>2.7395833333333299</v>
      </c>
      <c r="AF14" s="260">
        <f t="shared" si="4"/>
        <v>0.23669999999999972</v>
      </c>
      <c r="AG14" s="263">
        <f t="shared" si="5"/>
        <v>3.5527136788005009E-15</v>
      </c>
      <c r="AH14" s="257">
        <f t="shared" si="6"/>
        <v>2.7395833333333335</v>
      </c>
      <c r="AI14" s="208">
        <f>0*(IF(TRIM($AU14)="13_3",AI$5,AI$1)/AI$2)/IF(OR(TRIM(AO14)="",AO14&lt;=0),1E+38,AO14)</f>
        <v>0</v>
      </c>
      <c r="AJ14" s="208">
        <f>0*(IF(TRIM($AU14)="13_3",AJ$5,AJ$1)/AJ$2)/IF(OR(TRIM(AP14)="",AP14&lt;=0),1E+38,AP14)</f>
        <v>0</v>
      </c>
      <c r="AK14" s="208">
        <f>0*(IF(TRIM($AU14)="13_3",AK$5,AK$1)/AK$2)/IF(OR(TRIM(AQ14)="",AQ14&lt;=0),1E+38,AQ14)</f>
        <v>0</v>
      </c>
      <c r="AL14" s="208">
        <f>0*(IF(TRIM($AU14)="13_3",AL$5,AL$1)/AL$2)/IF(OR(TRIM($AR14)="",$AR14&lt;=0),1E+38,IF($AR14=103,3,IF($AR14=104,2,$AR14)))</f>
        <v>0</v>
      </c>
      <c r="AM14" s="208">
        <f t="shared" si="9"/>
        <v>0</v>
      </c>
      <c r="AN14" s="208">
        <f>1*(IF(TRIM($AU14)="13_3",AN$5,AN$1)/AN$2)/IF(OR(TRIM($AR14)="",$AR14&lt;=0),1E+38,IF($AR14=103,3,IF($AR14=104,2,$AR14)))</f>
        <v>2.7395833333333335</v>
      </c>
      <c r="AO14" s="273"/>
      <c r="AP14" s="273"/>
      <c r="AQ14" s="273"/>
      <c r="AR14" s="273">
        <v>103</v>
      </c>
      <c r="AS14" s="273"/>
      <c r="AT14" s="274">
        <f t="shared" si="10"/>
        <v>720</v>
      </c>
      <c r="AU14" s="258"/>
    </row>
    <row r="15" spans="2:47" ht="15.75" thickBot="1">
      <c r="S15" s="6" t="s">
        <v>82</v>
      </c>
      <c r="T15" s="3" t="s">
        <v>83</v>
      </c>
      <c r="U15" s="23" t="s">
        <v>70</v>
      </c>
      <c r="V15" s="39">
        <f t="shared" si="0"/>
        <v>1.7316666666666605</v>
      </c>
      <c r="W15" t="s">
        <v>84</v>
      </c>
      <c r="X15" s="3" t="s">
        <v>79</v>
      </c>
      <c r="Y15" s="38">
        <f t="shared" si="1"/>
        <v>13.853333333333284</v>
      </c>
      <c r="Z15">
        <v>11.0444444444444</v>
      </c>
      <c r="AA15">
        <v>2.5244444444444398</v>
      </c>
      <c r="AB15">
        <v>0.284444444444444</v>
      </c>
      <c r="AF15" s="260">
        <f t="shared" si="4"/>
        <v>1.1969279999999958</v>
      </c>
      <c r="AG15" s="263">
        <f t="shared" si="5"/>
        <v>4.9737991503207013E-14</v>
      </c>
      <c r="AH15" s="257">
        <f t="shared" si="6"/>
        <v>13.853333333333333</v>
      </c>
      <c r="AI15" s="208">
        <f t="shared" ref="AI15:AK16" si="11">1*(IF(TRIM($AU15)="13_3",AI$5,AI$1)/AI$2)/IF(OR(TRIM(AO15)="",AO15&lt;=0),1E+38,AO15)</f>
        <v>11.044444444444444</v>
      </c>
      <c r="AJ15" s="208">
        <f t="shared" si="11"/>
        <v>2.5244444444444443</v>
      </c>
      <c r="AK15" s="208">
        <f t="shared" si="11"/>
        <v>0.28444444444444444</v>
      </c>
      <c r="AL15" s="208">
        <f t="shared" ref="AL15:AL17" si="12">0*(IF(TRIM($AU15)="13_3",AL$5,AL$1)/AL$2)/IF(OR(TRIM($AR15)="",$AR15&lt;=0),1E+38,IF($AR15=103,3,IF($AR15=104,2,$AR15)))</f>
        <v>0</v>
      </c>
      <c r="AM15" s="208">
        <f t="shared" si="9"/>
        <v>0</v>
      </c>
      <c r="AN15" s="208">
        <f t="shared" ref="AN15:AN16" si="13">0*(IF(TRIM($AU15)="13_3",AN$5,AN$1)/AN$2)/IF(OR(TRIM($AR15)="",$AR15&lt;=0),1E+38,IF($AR15=103,3,IF($AR15=104,2,$AR15)))</f>
        <v>0</v>
      </c>
      <c r="AO15" s="273">
        <v>180</v>
      </c>
      <c r="AP15" s="273">
        <v>7200</v>
      </c>
      <c r="AQ15" s="273">
        <v>1800</v>
      </c>
      <c r="AR15" s="273"/>
      <c r="AS15" s="273"/>
      <c r="AT15" s="274">
        <f t="shared" si="10"/>
        <v>720</v>
      </c>
      <c r="AU15" s="258"/>
    </row>
    <row r="16" spans="2:47" ht="15.75" thickBot="1">
      <c r="P16" s="40"/>
      <c r="Q16" s="40" t="s">
        <v>85</v>
      </c>
      <c r="R16" s="40"/>
      <c r="S16" s="41" t="s">
        <v>86</v>
      </c>
      <c r="T16" s="42" t="s">
        <v>83</v>
      </c>
      <c r="U16" s="23" t="s">
        <v>70</v>
      </c>
      <c r="V16" s="44">
        <f t="shared" si="0"/>
        <v>2.4219444444444478</v>
      </c>
      <c r="W16" s="40" t="s">
        <v>84</v>
      </c>
      <c r="X16" s="42" t="s">
        <v>72</v>
      </c>
      <c r="Y16" s="38">
        <f t="shared" si="1"/>
        <v>19.375555555555582</v>
      </c>
      <c r="Z16">
        <v>16.566666666666698</v>
      </c>
      <c r="AA16">
        <v>2.5244444444444398</v>
      </c>
      <c r="AB16">
        <v>0.284444444444444</v>
      </c>
      <c r="AF16" s="260">
        <f t="shared" si="4"/>
        <v>1.6740480000000024</v>
      </c>
      <c r="AG16" s="263">
        <f t="shared" si="5"/>
        <v>-2.8421709430404007E-14</v>
      </c>
      <c r="AH16" s="257">
        <f t="shared" si="6"/>
        <v>19.375555555555554</v>
      </c>
      <c r="AI16" s="208">
        <f t="shared" si="11"/>
        <v>16.566666666666666</v>
      </c>
      <c r="AJ16" s="208">
        <f t="shared" si="11"/>
        <v>2.5244444444444443</v>
      </c>
      <c r="AK16" s="208">
        <f t="shared" si="11"/>
        <v>0.28444444444444444</v>
      </c>
      <c r="AL16" s="208">
        <f t="shared" si="12"/>
        <v>0</v>
      </c>
      <c r="AM16" s="208">
        <f t="shared" si="9"/>
        <v>0</v>
      </c>
      <c r="AN16" s="208">
        <f t="shared" si="13"/>
        <v>0</v>
      </c>
      <c r="AO16" s="273">
        <v>120</v>
      </c>
      <c r="AP16" s="273">
        <v>7200</v>
      </c>
      <c r="AQ16" s="273">
        <v>1800</v>
      </c>
      <c r="AR16" s="273"/>
      <c r="AS16" s="273"/>
      <c r="AT16" s="274">
        <f t="shared" si="10"/>
        <v>720</v>
      </c>
      <c r="AU16" s="258"/>
    </row>
    <row r="17" spans="13:47" ht="15.75" thickBot="1">
      <c r="Q17" t="s">
        <v>87</v>
      </c>
      <c r="S17">
        <v>25181</v>
      </c>
      <c r="T17" s="6" t="s">
        <v>88</v>
      </c>
      <c r="U17" s="23" t="s">
        <v>70</v>
      </c>
      <c r="V17" s="39">
        <f t="shared" si="0"/>
        <v>2.1248784722222167</v>
      </c>
      <c r="W17" t="s">
        <v>89</v>
      </c>
      <c r="X17" s="3" t="s">
        <v>79</v>
      </c>
      <c r="Y17" s="38">
        <f t="shared" si="1"/>
        <v>16.999027777777734</v>
      </c>
      <c r="Z17">
        <v>11.0444444444444</v>
      </c>
      <c r="AB17">
        <v>0.284444444444444</v>
      </c>
      <c r="AD17">
        <v>2.9305555555555598</v>
      </c>
      <c r="AE17">
        <v>2.7395833333333299</v>
      </c>
      <c r="AF17" s="260">
        <f t="shared" si="4"/>
        <v>1.4687159999999964</v>
      </c>
      <c r="AG17" s="263">
        <f t="shared" si="5"/>
        <v>4.2632564145606011E-14</v>
      </c>
      <c r="AH17" s="257">
        <f t="shared" si="6"/>
        <v>16.999027777777776</v>
      </c>
      <c r="AI17" s="208">
        <f>1*(IF(TRIM($AU17)="13_3",AI$5,AI$1)/AI$2)/IF(OR(TRIM(AO17)="",AO17&lt;=0),1E+38,AO17)</f>
        <v>11.044444444444444</v>
      </c>
      <c r="AJ17" s="208">
        <f>0*(IF(TRIM($AU17)="13_3",AJ$5,AJ$1)/AJ$2)/IF(OR(TRIM(AP17)="",AP17&lt;=0),1E+38,AP17)</f>
        <v>0</v>
      </c>
      <c r="AK17" s="208">
        <f>1*(IF(TRIM($AU17)="13_3",AK$5,AK$1)/AK$2)/IF(OR(TRIM(AQ17)="",AQ17&lt;=0),1E+38,AQ17)</f>
        <v>0.28444444444444444</v>
      </c>
      <c r="AL17" s="208">
        <f t="shared" si="12"/>
        <v>0</v>
      </c>
      <c r="AM17" s="208">
        <f>1*(IF(TRIM($AU17)="13_3",AM$5,AM$1)/AM$2)*(AT17/720)/IF(OR(TRIM($AR17)="",$AR17&lt;=0),1E+38,IF($AR17=103,3,IF($AR17=104,2,$AR17)))</f>
        <v>2.9305555555555554</v>
      </c>
      <c r="AN17" s="208">
        <f>1*(IF(TRIM($AU17)="13_3",AN$5,AN$1)/AN$2)/IF(OR(TRIM($AR17)="",$AR17&lt;=0),1E+38,IF($AR17=103,3,IF($AR17=104,2,$AR17)))</f>
        <v>2.7395833333333335</v>
      </c>
      <c r="AO17" s="273">
        <v>180</v>
      </c>
      <c r="AP17" s="273"/>
      <c r="AQ17" s="273">
        <v>1800</v>
      </c>
      <c r="AR17" s="273">
        <v>103</v>
      </c>
      <c r="AS17" s="273">
        <v>105</v>
      </c>
      <c r="AT17" s="274">
        <f t="shared" si="10"/>
        <v>5</v>
      </c>
      <c r="AU17" s="258"/>
    </row>
    <row r="18" spans="13:47" ht="15.75" thickBot="1">
      <c r="Q18" t="s">
        <v>90</v>
      </c>
      <c r="S18">
        <v>25181</v>
      </c>
      <c r="T18" s="6" t="s">
        <v>88</v>
      </c>
      <c r="U18" s="23" t="s">
        <v>70</v>
      </c>
      <c r="V18" s="39">
        <f t="shared" si="0"/>
        <v>1.6742795138888924</v>
      </c>
      <c r="W18" t="s">
        <v>91</v>
      </c>
      <c r="X18" s="3" t="s">
        <v>79</v>
      </c>
      <c r="Y18" s="38">
        <f t="shared" si="1"/>
        <v>13.394236111111139</v>
      </c>
      <c r="AA18">
        <v>2.5244444444444398</v>
      </c>
      <c r="AC18">
        <v>10.8697916666667</v>
      </c>
      <c r="AF18" s="260">
        <f t="shared" si="4"/>
        <v>1.1572620000000022</v>
      </c>
      <c r="AG18" s="263">
        <f t="shared" si="5"/>
        <v>-2.8421709430404007E-14</v>
      </c>
      <c r="AH18" s="257">
        <f t="shared" si="6"/>
        <v>13.394236111111111</v>
      </c>
      <c r="AI18" s="208">
        <f>0*(IF(TRIM($AU18)="13_3",AI$5,AI$1)/AI$2)/IF(OR(TRIM(AO18)="",AO18&lt;=0),1E+38,AO18)</f>
        <v>0</v>
      </c>
      <c r="AJ18" s="208">
        <f>1*(IF(TRIM($AU18)="13_3",AJ$5,AJ$1)/AJ$2)/IF(OR(TRIM(AP18)="",AP18&lt;=0),1E+38,AP18)</f>
        <v>2.5244444444444443</v>
      </c>
      <c r="AK18" s="208">
        <f>0*(IF(TRIM($AU18)="13_3",AK$5,AK$1)/AK$2)/IF(OR(TRIM(AQ18)="",AQ18&lt;=0),1E+38,AQ18)</f>
        <v>0</v>
      </c>
      <c r="AL18" s="208">
        <f>1*(IF(TRIM($AU18)="13_3",AL$5,AL$1)/AL$2)/IF(OR(TRIM($AR18)="",$AR18&lt;=0),1E+38,IF($AR18=103,3,IF($AR18=104,2,$AR18)))</f>
        <v>10.869791666666666</v>
      </c>
      <c r="AM18" s="208">
        <f>0*(IF(TRIM($AU18)="13_3",AM$5,AM$1)/AM$2)*(AT18/720)/IF(OR(TRIM($AR18)="",$AR18&lt;=0),1E+38,IF($AR18=103,3,IF($AR18=104,2,$AR18)))</f>
        <v>0</v>
      </c>
      <c r="AN18" s="208">
        <f>0*(IF(TRIM($AU18)="13_3",AN$5,AN$1)/AN$2)/IF(OR(TRIM($AR18)="",$AR18&lt;=0),1E+38,IF($AR18=103,3,IF($AR18=104,2,$AR18)))</f>
        <v>0</v>
      </c>
      <c r="AO18" s="273"/>
      <c r="AP18" s="273">
        <v>7200</v>
      </c>
      <c r="AQ18" s="273"/>
      <c r="AR18" s="273">
        <v>103</v>
      </c>
      <c r="AS18" s="273"/>
      <c r="AT18" s="274">
        <f t="shared" si="10"/>
        <v>720</v>
      </c>
      <c r="AU18" s="258"/>
    </row>
    <row r="19" spans="13:47" ht="15.75" thickBot="1">
      <c r="S19">
        <v>25181</v>
      </c>
      <c r="T19" t="s">
        <v>88</v>
      </c>
      <c r="U19" s="23" t="s">
        <v>70</v>
      </c>
      <c r="V19" s="39">
        <f t="shared" si="0"/>
        <v>3.7991579861111089</v>
      </c>
      <c r="W19" t="s">
        <v>92</v>
      </c>
      <c r="X19" s="3" t="s">
        <v>79</v>
      </c>
      <c r="Y19" s="38">
        <f t="shared" si="1"/>
        <v>30.393263888888871</v>
      </c>
      <c r="Z19">
        <v>11.0444444444444</v>
      </c>
      <c r="AA19">
        <v>2.5244444444444398</v>
      </c>
      <c r="AB19">
        <v>0.284444444444444</v>
      </c>
      <c r="AC19">
        <v>10.8697916666667</v>
      </c>
      <c r="AD19">
        <v>2.9305555555555598</v>
      </c>
      <c r="AE19">
        <v>2.7395833333333299</v>
      </c>
      <c r="AF19" s="260">
        <f t="shared" si="4"/>
        <v>2.6259779999999986</v>
      </c>
      <c r="AG19" s="263">
        <f t="shared" si="5"/>
        <v>0</v>
      </c>
      <c r="AH19" s="257">
        <f t="shared" si="6"/>
        <v>30.393263888888885</v>
      </c>
      <c r="AI19" s="208">
        <f t="shared" ref="AI19:AK19" si="14">1*(IF(TRIM($AU19)="13_3",AI$5,AI$1)/AI$2)/IF(OR(TRIM(AO19)="",AO19&lt;=0),1E+38,AO19)</f>
        <v>11.044444444444444</v>
      </c>
      <c r="AJ19" s="208">
        <f t="shared" si="14"/>
        <v>2.5244444444444443</v>
      </c>
      <c r="AK19" s="208">
        <f t="shared" si="14"/>
        <v>0.28444444444444444</v>
      </c>
      <c r="AL19" s="208">
        <f>1*(IF(TRIM($AU19)="13_3",AL$5,AL$1)/AL$2)/IF(OR(TRIM($AR19)="",$AR19&lt;=0),1E+38,IF($AR19=103,3,IF($AR19=104,2,$AR19)))</f>
        <v>10.869791666666666</v>
      </c>
      <c r="AM19" s="208">
        <f t="shared" ref="AM19:AM21" si="15">1*(IF(TRIM($AU19)="13_3",AM$5,AM$1)/AM$2)*(AT19/720)/IF(OR(TRIM($AR19)="",$AR19&lt;=0),1E+38,IF($AR19=103,3,IF($AR19=104,2,$AR19)))</f>
        <v>2.9305555555555554</v>
      </c>
      <c r="AN19" s="208">
        <f>1*(IF(TRIM($AU19)="13_3",AN$5,AN$1)/AN$2)/IF(OR(TRIM($AR19)="",$AR19&lt;=0),1E+38,IF($AR19=103,3,IF($AR19=104,2,$AR19)))</f>
        <v>2.7395833333333335</v>
      </c>
      <c r="AO19" s="273">
        <v>180</v>
      </c>
      <c r="AP19" s="273">
        <v>7200</v>
      </c>
      <c r="AQ19" s="273">
        <v>1800</v>
      </c>
      <c r="AR19" s="273">
        <v>103</v>
      </c>
      <c r="AS19" s="273">
        <v>105</v>
      </c>
      <c r="AT19" s="274">
        <f t="shared" si="10"/>
        <v>5</v>
      </c>
      <c r="AU19" s="258"/>
    </row>
    <row r="20" spans="13:47" ht="15.75" thickBot="1">
      <c r="S20">
        <v>25159</v>
      </c>
      <c r="T20" t="s">
        <v>77</v>
      </c>
      <c r="U20" s="23" t="s">
        <v>70</v>
      </c>
      <c r="V20" s="39">
        <f t="shared" si="0"/>
        <v>52.75</v>
      </c>
      <c r="W20" t="s">
        <v>93</v>
      </c>
      <c r="X20" s="3" t="s">
        <v>79</v>
      </c>
      <c r="Y20" s="38">
        <f t="shared" si="1"/>
        <v>422</v>
      </c>
      <c r="AD20">
        <v>422</v>
      </c>
      <c r="AF20" s="260">
        <f t="shared" si="4"/>
        <v>36.460799999999999</v>
      </c>
      <c r="AG20" s="263">
        <f t="shared" si="5"/>
        <v>0</v>
      </c>
      <c r="AH20" s="257">
        <f t="shared" si="6"/>
        <v>422</v>
      </c>
      <c r="AI20" s="208">
        <f t="shared" ref="AI20:AK20" si="16">0*(IF(TRIM($AU20)="13_3",AI$5,AI$1)/AI$2)/IF(OR(TRIM(AO20)="",AO20&lt;=0),1E+38,AO20)</f>
        <v>0</v>
      </c>
      <c r="AJ20" s="208">
        <f t="shared" si="16"/>
        <v>0</v>
      </c>
      <c r="AK20" s="208">
        <f t="shared" si="16"/>
        <v>0</v>
      </c>
      <c r="AL20" s="208">
        <f>0*(IF(TRIM($AU20)="13_3",AL$5,AL$1)/AL$2)/IF(OR(TRIM($AR20)="",$AR20&lt;=0),1E+38,IF($AR20=103,3,IF($AR20=104,2,$AR20)))</f>
        <v>0</v>
      </c>
      <c r="AM20" s="208">
        <f t="shared" si="15"/>
        <v>422</v>
      </c>
      <c r="AN20" s="208">
        <f>0*(IF(TRIM($AU20)="13_3",AN$5,AN$1)/AN$2)/IF(OR(TRIM($AR20)="",$AR20&lt;=0),1E+38,IF($AR20=103,3,IF($AR20=104,2,$AR20)))</f>
        <v>0</v>
      </c>
      <c r="AO20" s="273"/>
      <c r="AP20" s="273"/>
      <c r="AQ20" s="273"/>
      <c r="AR20" s="273">
        <v>103</v>
      </c>
      <c r="AS20" s="273">
        <v>110</v>
      </c>
      <c r="AT20" s="274">
        <f t="shared" si="10"/>
        <v>720</v>
      </c>
      <c r="AU20" s="258"/>
    </row>
    <row r="21" spans="13:47" ht="15.75" thickBot="1">
      <c r="Q21" t="s">
        <v>987</v>
      </c>
      <c r="R21" t="s">
        <v>5707</v>
      </c>
      <c r="T21" s="6" t="s">
        <v>94</v>
      </c>
      <c r="U21" s="23" t="s">
        <v>70</v>
      </c>
      <c r="V21" s="39">
        <f t="shared" si="0"/>
        <v>1.7889843749999992</v>
      </c>
      <c r="W21" t="s">
        <v>95</v>
      </c>
      <c r="X21" s="3" t="s">
        <v>96</v>
      </c>
      <c r="Y21" s="38">
        <f t="shared" si="1"/>
        <v>14.311874999999993</v>
      </c>
      <c r="Z21">
        <v>5.5222222222222204</v>
      </c>
      <c r="AB21">
        <v>0.284444444444444</v>
      </c>
      <c r="AD21">
        <v>4.3958333333333304</v>
      </c>
      <c r="AE21">
        <v>4.109375</v>
      </c>
      <c r="AF21" s="260">
        <f t="shared" si="4"/>
        <v>1.2365459999999995</v>
      </c>
      <c r="AG21" s="263">
        <f t="shared" si="5"/>
        <v>0</v>
      </c>
      <c r="AH21" s="257">
        <f t="shared" si="6"/>
        <v>14.311875000000001</v>
      </c>
      <c r="AI21" s="208">
        <f>1*(IF(TRIM($AU21)="13_3",AI$5,AI$1)/AI$2)/IF(OR(TRIM(AO21)="",AO21&lt;=0),1E+38,AO21)</f>
        <v>5.5222222222222221</v>
      </c>
      <c r="AJ21" s="208">
        <f>0*(IF(TRIM($AU21)="13_3",AJ$5,AJ$1)/AJ$2)/IF(OR(TRIM(AP21)="",AP21&lt;=0),1E+38,AP21)</f>
        <v>0</v>
      </c>
      <c r="AK21" s="208">
        <f>1*(IF(TRIM($AU21)="13_3",AK$5,AK$1)/AK$2)/IF(OR(TRIM(AQ21)="",AQ21&lt;=0),1E+38,AQ21)</f>
        <v>0.28444444444444444</v>
      </c>
      <c r="AL21" s="208">
        <f>0*(IF(TRIM($AU21)="13_3",AL$5,AL$1)/AL$2)/IF(OR(TRIM($AR21)="",$AR21&lt;=0),1E+38,IF($AR21=103,3,IF($AR21=104,2,$AR21)))</f>
        <v>0</v>
      </c>
      <c r="AM21" s="208">
        <f t="shared" si="15"/>
        <v>4.395833333333333</v>
      </c>
      <c r="AN21" s="208">
        <f>1*(IF(TRIM($AU21)="13_3",AN$5,AN$1)/AN$2)/IF(OR(TRIM($AR21)="",$AR21&lt;=0),1E+38,IF($AR21=103,3,IF($AR21=104,2,$AR21)))</f>
        <v>4.109375</v>
      </c>
      <c r="AO21" s="273">
        <v>360</v>
      </c>
      <c r="AP21" s="273"/>
      <c r="AQ21" s="273">
        <v>1800</v>
      </c>
      <c r="AR21" s="273">
        <v>104</v>
      </c>
      <c r="AS21" s="273">
        <v>105</v>
      </c>
      <c r="AT21" s="274">
        <f t="shared" si="10"/>
        <v>5</v>
      </c>
      <c r="AU21" s="258"/>
    </row>
    <row r="22" spans="13:47" ht="15.75" thickBot="1">
      <c r="M22">
        <f>20.2/22.12</f>
        <v>0.91320072332730551</v>
      </c>
      <c r="N22" s="425" t="s">
        <v>5706</v>
      </c>
      <c r="Q22" s="17" t="s">
        <v>90</v>
      </c>
      <c r="R22" s="425" t="s">
        <v>5705</v>
      </c>
      <c r="S22" s="17"/>
      <c r="T22" s="30" t="s">
        <v>988</v>
      </c>
      <c r="U22" s="23" t="s">
        <v>70</v>
      </c>
      <c r="V22" s="39">
        <f t="shared" si="0"/>
        <v>4.5625303819444447</v>
      </c>
      <c r="W22" t="s">
        <v>90</v>
      </c>
      <c r="X22" s="3" t="s">
        <v>5699</v>
      </c>
      <c r="Y22" s="38">
        <f t="shared" si="1"/>
        <v>36.500243055555558</v>
      </c>
      <c r="AA22" s="343">
        <v>20.195555555555554</v>
      </c>
      <c r="AB22" s="343"/>
      <c r="AC22" s="343">
        <v>16.3046875</v>
      </c>
      <c r="AF22" s="260">
        <f t="shared" si="4"/>
        <v>3.1536209999999998</v>
      </c>
      <c r="AG22" s="263">
        <f t="shared" si="5"/>
        <v>0</v>
      </c>
      <c r="AH22" s="257">
        <f t="shared" si="6"/>
        <v>36.500243055555558</v>
      </c>
      <c r="AI22" s="208">
        <f>0*(IF(TRIM($AU22)="13_3",AI$5,AI$1)/AI$2)/IF(OR(TRIM(AO22)="",AO22&lt;=0),1E+38,AO22)</f>
        <v>0</v>
      </c>
      <c r="AJ22" s="208">
        <f>1*(IF(TRIM($AU22)="13_3",AJ$5,AJ$1)/AJ$2)/IF(OR(TRIM(AP22)="",AP22&lt;=0),1E+38,AP22)</f>
        <v>20.195555555555554</v>
      </c>
      <c r="AK22" s="208">
        <f>0*(IF(TRIM($AU22)="13_3",AK$5,AK$1)/AK$2)/IF(OR(TRIM(AQ22)="",AQ22&lt;=0),1E+38,AQ22)</f>
        <v>0</v>
      </c>
      <c r="AL22" s="208">
        <f>1*(IF(TRIM($AU22)="13_3",AL$5,AL$1)/AL$2)/IF(OR(TRIM($AR22)="",$AR22&lt;=0),1E+38,IF($AR22=103,3,IF($AR22=104,2,$AR22)))</f>
        <v>16.3046875</v>
      </c>
      <c r="AM22" s="208">
        <f t="shared" ref="AM22:AM25" si="17">0*(IF(TRIM($AU22)="13_3",AM$5,AM$1)/AM$2)*(AT22/720)/IF(OR(TRIM($AR22)="",$AR22&lt;=0),1E+38,IF($AR22=103,3,IF($AR22=104,2,$AR22)))</f>
        <v>0</v>
      </c>
      <c r="AN22" s="208">
        <f t="shared" ref="AN22:AN24" si="18">0*(IF(TRIM($AU22)="13_3",AN$5,AN$1)/AN$2)/IF(OR(TRIM($AR22)="",$AR22&lt;=0),1E+38,IF($AR22=103,3,IF($AR22=104,2,$AR22)))</f>
        <v>0</v>
      </c>
      <c r="AO22" s="273"/>
      <c r="AP22" s="273">
        <v>900</v>
      </c>
      <c r="AQ22" s="273"/>
      <c r="AR22" s="273">
        <v>104</v>
      </c>
      <c r="AS22" s="273"/>
      <c r="AT22" s="274">
        <f t="shared" si="10"/>
        <v>720</v>
      </c>
      <c r="AU22" s="258"/>
    </row>
    <row r="23" spans="13:47" ht="15.75" thickBot="1">
      <c r="Q23" s="17" t="s">
        <v>1253</v>
      </c>
      <c r="R23" s="17"/>
      <c r="S23" s="17"/>
      <c r="T23" s="30" t="s">
        <v>988</v>
      </c>
      <c r="U23" s="23" t="s">
        <v>70</v>
      </c>
      <c r="V23" s="39">
        <f t="shared" si="0"/>
        <v>0.55078125</v>
      </c>
      <c r="W23" t="s">
        <v>5695</v>
      </c>
      <c r="X23" s="3" t="s">
        <v>5699</v>
      </c>
      <c r="Y23" s="38">
        <f t="shared" si="1"/>
        <v>4.40625</v>
      </c>
      <c r="AE23">
        <v>4.40625</v>
      </c>
      <c r="AF23" s="260"/>
      <c r="AG23" s="263">
        <f t="shared" si="5"/>
        <v>0</v>
      </c>
      <c r="AH23" s="257">
        <f t="shared" si="6"/>
        <v>4.40625</v>
      </c>
      <c r="AI23" s="208">
        <f>0*(IF(TRIM($AU23)="13_3",AI$5,AI$1)/AI$2)/IF(OR(TRIM(AO23)="",AO23&lt;=0),1E+38,AO23)</f>
        <v>0</v>
      </c>
      <c r="AJ23" s="208">
        <f>0*(IF(TRIM($AU23)="13_3",AJ$5,AJ$1)/AJ$2)/IF(OR(TRIM(AP23)="",AP23&lt;=0),1E+38,AP23)</f>
        <v>0</v>
      </c>
      <c r="AK23" s="208">
        <f>0*(IF(TRIM($AU23)="13_3",AK$5,AK$1)/AK$2)/IF(OR(TRIM(AQ23)="",AQ23&lt;=0),1E+38,AQ23)</f>
        <v>0</v>
      </c>
      <c r="AL23" s="208">
        <f>0*(IF(TRIM($AU23)="13_3",AL$5,AL$1)/AL$2)/IF(OR(TRIM($AR23)="",$AR23&lt;=0),1E+38,IF($AR23=103,3,IF($AR23=104,2,$AR23)))</f>
        <v>0</v>
      </c>
      <c r="AM23" s="208">
        <f t="shared" si="17"/>
        <v>0</v>
      </c>
      <c r="AN23" s="208">
        <f>1*(IF(TRIM($AU23)="13_3",AN$5,AN$1)/AN$2)/IF(OR(TRIM($AR23)="",$AR23&lt;=0),1E+38,IF($AR23=103,3,IF($AR23=104,2,$AR23)))</f>
        <v>4.40625</v>
      </c>
      <c r="AO23" s="273">
        <v>360</v>
      </c>
      <c r="AP23" s="273">
        <v>900</v>
      </c>
      <c r="AQ23" s="273">
        <v>1800</v>
      </c>
      <c r="AR23" s="273">
        <v>104</v>
      </c>
      <c r="AS23" s="273">
        <v>105</v>
      </c>
      <c r="AT23" s="274">
        <f t="shared" si="10"/>
        <v>5</v>
      </c>
      <c r="AU23" s="258" t="s">
        <v>5406</v>
      </c>
    </row>
    <row r="24" spans="13:47" ht="15.75" thickBot="1">
      <c r="Q24" t="s">
        <v>819</v>
      </c>
      <c r="S24">
        <v>25159</v>
      </c>
      <c r="T24" s="3" t="s">
        <v>77</v>
      </c>
      <c r="U24" s="23" t="s">
        <v>70</v>
      </c>
      <c r="V24" s="39">
        <f t="shared" si="0"/>
        <v>3.2851736111111056</v>
      </c>
      <c r="W24" t="s">
        <v>78</v>
      </c>
      <c r="X24" s="3" t="s">
        <v>79</v>
      </c>
      <c r="Y24" s="38">
        <f t="shared" si="1"/>
        <v>26.281388888888845</v>
      </c>
      <c r="Z24">
        <v>11.0444444444444</v>
      </c>
      <c r="AA24">
        <v>2.7650000000000001</v>
      </c>
      <c r="AB24">
        <v>0.284444444444444</v>
      </c>
      <c r="AC24">
        <v>12.1875</v>
      </c>
      <c r="AD24" s="3"/>
      <c r="AE24" s="3"/>
      <c r="AF24" s="260">
        <f t="shared" ref="AF24:AF32" si="19">Y24*86400/1000000</f>
        <v>2.2707119999999961</v>
      </c>
      <c r="AG24" s="263">
        <f t="shared" si="5"/>
        <v>4.6185277824406512E-14</v>
      </c>
      <c r="AH24" s="257">
        <f t="shared" si="6"/>
        <v>26.281388888888891</v>
      </c>
      <c r="AI24" s="208">
        <f t="shared" ref="AI24:AK24" si="20">1*(IF(TRIM($AU24)="13_3",AI$5,AI$1)/AI$2)/IF(OR(TRIM(AO24)="",AO24&lt;=0),1E+38,AO24)</f>
        <v>11.044444444444444</v>
      </c>
      <c r="AJ24" s="208">
        <f t="shared" si="20"/>
        <v>2.7650000000000001</v>
      </c>
      <c r="AK24" s="208">
        <f t="shared" si="20"/>
        <v>0.28444444444444444</v>
      </c>
      <c r="AL24" s="208">
        <f>1*(IF(TRIM($AU24)="13_3",AL$5,AL$1)/AL$2)/IF(OR(TRIM($AR24)="",$AR24&lt;=0),1E+38,IF($AR24=103,3,IF($AR24=104,2,$AR24)))</f>
        <v>12.1875</v>
      </c>
      <c r="AM24" s="208">
        <f t="shared" si="17"/>
        <v>0</v>
      </c>
      <c r="AN24" s="208">
        <f t="shared" si="18"/>
        <v>0</v>
      </c>
      <c r="AO24" s="273">
        <v>180</v>
      </c>
      <c r="AP24" s="273">
        <v>7200</v>
      </c>
      <c r="AQ24" s="273">
        <v>1800</v>
      </c>
      <c r="AR24" s="273">
        <v>103</v>
      </c>
      <c r="AS24" s="273">
        <v>110</v>
      </c>
      <c r="AT24" s="274">
        <f t="shared" si="10"/>
        <v>720</v>
      </c>
      <c r="AU24" s="258" t="s">
        <v>5406</v>
      </c>
    </row>
    <row r="25" spans="13:47" ht="15.75" thickBot="1">
      <c r="Q25" t="s">
        <v>820</v>
      </c>
      <c r="S25" s="6" t="s">
        <v>82</v>
      </c>
      <c r="T25" s="3" t="s">
        <v>83</v>
      </c>
      <c r="U25" s="23" t="s">
        <v>70</v>
      </c>
      <c r="V25" s="39">
        <f t="shared" si="0"/>
        <v>1.7617361111111056</v>
      </c>
      <c r="W25" t="s">
        <v>84</v>
      </c>
      <c r="X25" s="3" t="s">
        <v>79</v>
      </c>
      <c r="Y25" s="38">
        <f t="shared" si="1"/>
        <v>14.093888888888845</v>
      </c>
      <c r="Z25">
        <v>11.0444444444444</v>
      </c>
      <c r="AA25">
        <v>2.7650000000000001</v>
      </c>
      <c r="AB25">
        <v>0.284444444444444</v>
      </c>
      <c r="AF25" s="260">
        <f t="shared" si="19"/>
        <v>1.2177119999999964</v>
      </c>
      <c r="AG25" s="263">
        <f t="shared" si="5"/>
        <v>4.4408920985006262E-14</v>
      </c>
      <c r="AH25" s="257">
        <f t="shared" si="6"/>
        <v>14.093888888888889</v>
      </c>
      <c r="AI25" s="208">
        <f>1*(IF(TRIM($AU25)="13_3",AI$5,AI$1)/AI$2)/IF(OR(TRIM(AO25)="",AO25&lt;=0),1E+38,AO25)</f>
        <v>11.044444444444444</v>
      </c>
      <c r="AJ25" s="208">
        <f>1*(IF(TRIM($AU25)="13_3",AJ$5,AJ$1)/AJ$2)/IF(OR(TRIM(AP25)="",AP25&lt;=0),1E+38,AP25)</f>
        <v>2.7650000000000001</v>
      </c>
      <c r="AK25" s="208">
        <f>1*(IF(TRIM($AU25)="13_3",AK$5,AK$1)/AK$2)/IF(OR(TRIM(AQ25)="",AQ25&lt;=0),1E+38,AQ25)</f>
        <v>0.28444444444444444</v>
      </c>
      <c r="AL25" s="208">
        <f t="shared" ref="AL25:AL27" si="21">0*(IF(TRIM($AU25)="13_3",AL$5,AL$1)/AL$2)/IF(OR(TRIM($AR25)="",$AR25&lt;=0),1E+38,IF($AR25=103,3,IF($AR25=104,2,$AR25)))</f>
        <v>0</v>
      </c>
      <c r="AM25" s="208">
        <f t="shared" si="17"/>
        <v>0</v>
      </c>
      <c r="AN25" s="208">
        <f>0*(IF(TRIM($AU25)="13_3",AN$5,AN$1)/AN$2)/IF(OR(TRIM($AR25)="",$AR25&lt;=0),1E+38,IF($AR25=103,3,IF($AR25=104,2,$AR25)))</f>
        <v>0</v>
      </c>
      <c r="AO25" s="273">
        <v>180</v>
      </c>
      <c r="AP25" s="273">
        <v>7200</v>
      </c>
      <c r="AQ25" s="273">
        <v>1800</v>
      </c>
      <c r="AR25" s="273"/>
      <c r="AS25" s="273"/>
      <c r="AT25" s="274">
        <f t="shared" si="10"/>
        <v>720</v>
      </c>
      <c r="AU25" s="258" t="s">
        <v>5406</v>
      </c>
    </row>
    <row r="26" spans="13:47" ht="15.75" thickBot="1">
      <c r="Q26" t="s">
        <v>821</v>
      </c>
      <c r="S26">
        <v>25159</v>
      </c>
      <c r="T26" t="s">
        <v>77</v>
      </c>
      <c r="U26" s="23" t="s">
        <v>70</v>
      </c>
      <c r="V26" s="39">
        <f t="shared" si="0"/>
        <v>0.3671875</v>
      </c>
      <c r="W26" t="s">
        <v>81</v>
      </c>
      <c r="X26" s="3" t="s">
        <v>79</v>
      </c>
      <c r="Y26" s="38">
        <f t="shared" si="1"/>
        <v>2.9375</v>
      </c>
      <c r="AD26" s="3"/>
      <c r="AE26">
        <v>2.9375</v>
      </c>
      <c r="AF26" s="260">
        <f t="shared" si="19"/>
        <v>0.25380000000000003</v>
      </c>
      <c r="AG26" s="263">
        <f t="shared" si="5"/>
        <v>0</v>
      </c>
      <c r="AH26" s="257">
        <f t="shared" si="6"/>
        <v>2.9375</v>
      </c>
      <c r="AI26" s="208">
        <f>0*(IF(TRIM($AU26)="13_3",AI$5,AI$1)/AI$2)/IF(OR(TRIM(AO26)="",AO26&lt;=0),1E+38,AO26)</f>
        <v>0</v>
      </c>
      <c r="AJ26" s="208">
        <f>0*(IF(TRIM($AU26)="13_3",AJ$5,AJ$1)/AJ$2)/IF(OR(TRIM(AP26)="",AP26&lt;=0),1E+38,AP26)</f>
        <v>0</v>
      </c>
      <c r="AK26" s="208">
        <f>0*(IF(TRIM($AU26)="13_3",AK$5,AK$1)/AK$2)/IF(OR(TRIM(AQ26)="",AQ26&lt;=0),1E+38,AQ26)</f>
        <v>0</v>
      </c>
      <c r="AL26" s="208">
        <f t="shared" si="21"/>
        <v>0</v>
      </c>
      <c r="AM26" s="208">
        <f>0*(IF(TRIM($AU26)="13_3",AM$5,AM$1)/AM$2)*(AT26/720)/IF(OR(TRIM($AR26)="",$AR26&lt;=0),1E+38,IF($AR26=103,3,IF($AR26=104,2,$AR26)))</f>
        <v>0</v>
      </c>
      <c r="AN26" s="208">
        <f>1*(IF(TRIM($AU26)="13_3",AN$5,AN$1)/AN$2)/IF(OR(TRIM($AR26)="",$AR26&lt;=0),1E+38,IF($AR26=103,3,IF($AR26=104,2,$AR26)))</f>
        <v>2.9375</v>
      </c>
      <c r="AO26" s="273"/>
      <c r="AP26" s="273"/>
      <c r="AQ26" s="273"/>
      <c r="AR26" s="273">
        <v>103</v>
      </c>
      <c r="AS26" s="273"/>
      <c r="AT26" s="274">
        <f t="shared" si="10"/>
        <v>720</v>
      </c>
      <c r="AU26" s="258" t="s">
        <v>5406</v>
      </c>
    </row>
    <row r="27" spans="13:47" ht="15.75" thickBot="1">
      <c r="Q27" t="s">
        <v>822</v>
      </c>
      <c r="R27" t="s">
        <v>87</v>
      </c>
      <c r="S27">
        <v>25181</v>
      </c>
      <c r="T27" s="6" t="s">
        <v>88</v>
      </c>
      <c r="U27" s="23" t="s">
        <v>70</v>
      </c>
      <c r="V27" s="39">
        <f t="shared" si="0"/>
        <v>2.1681365740740679</v>
      </c>
      <c r="W27" t="s">
        <v>89</v>
      </c>
      <c r="X27" s="3" t="s">
        <v>79</v>
      </c>
      <c r="Y27" s="38">
        <f t="shared" si="1"/>
        <v>17.345092592592543</v>
      </c>
      <c r="Z27">
        <v>11.0444444444444</v>
      </c>
      <c r="AB27">
        <v>0.284444444444444</v>
      </c>
      <c r="AD27">
        <v>3.0787037037037002</v>
      </c>
      <c r="AE27">
        <v>2.9375</v>
      </c>
      <c r="AF27" s="260">
        <f t="shared" si="19"/>
        <v>1.4986159999999957</v>
      </c>
      <c r="AG27" s="263">
        <f t="shared" si="5"/>
        <v>4.9737991503207013E-14</v>
      </c>
      <c r="AH27" s="257">
        <f t="shared" si="6"/>
        <v>17.345092592592593</v>
      </c>
      <c r="AI27" s="208">
        <f>1*(IF(TRIM($AU27)="13_3",AI$5,AI$1)/AI$2)/IF(OR(TRIM(AO27)="",AO27&lt;=0),1E+38,AO27)</f>
        <v>11.044444444444444</v>
      </c>
      <c r="AJ27" s="208">
        <f t="shared" ref="AJ27" si="22">0*(IF(TRIM($AU27)="13_3",AJ$5,AJ$1)/AJ$2)/IF(OR(TRIM(AP27)="",AP27&lt;=0),1E+38,AP27)</f>
        <v>0</v>
      </c>
      <c r="AK27" s="208">
        <f>1*(IF(TRIM($AU27)="13_3",AK$5,AK$1)/AK$2)/IF(OR(TRIM(AQ27)="",AQ27&lt;=0),1E+38,AQ27)</f>
        <v>0.28444444444444444</v>
      </c>
      <c r="AL27" s="208">
        <f t="shared" si="21"/>
        <v>0</v>
      </c>
      <c r="AM27" s="208">
        <f>1*(IF(TRIM($AU27)="13_3",AM$5,AM$1)/AM$2)*(AT27/720)/IF(OR(TRIM($AR27)="",$AR27&lt;=0),1E+38,IF($AR27=103,3,IF($AR27=104,2,$AR27)))</f>
        <v>3.0787037037037037</v>
      </c>
      <c r="AN27" s="208">
        <f>1*(IF(TRIM($AU27)="13_3",AN$5,AN$1)/AN$2)/IF(OR(TRIM($AR27)="",$AR27&lt;=0),1E+38,IF($AR27=103,3,IF($AR27=104,2,$AR27)))</f>
        <v>2.9375</v>
      </c>
      <c r="AO27" s="273">
        <v>180</v>
      </c>
      <c r="AP27" s="273"/>
      <c r="AQ27" s="273">
        <v>1800</v>
      </c>
      <c r="AR27" s="273">
        <v>103</v>
      </c>
      <c r="AS27" s="273">
        <v>105</v>
      </c>
      <c r="AT27" s="274">
        <f t="shared" si="10"/>
        <v>5</v>
      </c>
      <c r="AU27" s="258" t="s">
        <v>5406</v>
      </c>
    </row>
    <row r="28" spans="13:47" ht="15.75" thickBot="1">
      <c r="Q28" t="s">
        <v>823</v>
      </c>
      <c r="S28">
        <v>25159</v>
      </c>
      <c r="T28" t="s">
        <v>77</v>
      </c>
      <c r="U28" s="23" t="s">
        <v>70</v>
      </c>
      <c r="V28" s="39">
        <f t="shared" si="0"/>
        <v>55.416666666666622</v>
      </c>
      <c r="W28" t="s">
        <v>93</v>
      </c>
      <c r="X28" s="3" t="s">
        <v>79</v>
      </c>
      <c r="Y28" s="38">
        <f t="shared" si="1"/>
        <v>443.33333333333297</v>
      </c>
      <c r="AD28">
        <v>443.33333333333297</v>
      </c>
      <c r="AF28" s="260">
        <f t="shared" si="19"/>
        <v>38.303999999999974</v>
      </c>
      <c r="AG28" s="263">
        <f t="shared" si="5"/>
        <v>0</v>
      </c>
      <c r="AH28" s="257">
        <f t="shared" si="6"/>
        <v>443.33333333333331</v>
      </c>
      <c r="AI28" s="208">
        <f>0*(IF(TRIM($AU28)="13_3",AI$5,AI$1)/AI$2)/IF(OR(TRIM(AO28)="",AO28&lt;=0),1E+38,AO28)</f>
        <v>0</v>
      </c>
      <c r="AJ28" s="208">
        <f>0*(IF(TRIM($AU28)="13_3",AJ$5,AJ$1)/AJ$2)/IF(OR(TRIM(AP28)="",AP28&lt;=0),1E+38,AP28)</f>
        <v>0</v>
      </c>
      <c r="AK28" s="208">
        <f>0*(IF(TRIM($AU28)="13_3",AK$5,AK$1)/AK$2)/IF(OR(TRIM(AQ28)="",AQ28&lt;=0),1E+38,AQ28)</f>
        <v>0</v>
      </c>
      <c r="AL28" s="208">
        <f>0*(IF(TRIM($AU28)="13_3",AL$5,AL$1)/AL$2)/IF(OR(TRIM($AR28)="",$AR28&lt;=0),1E+38,IF($AR28=103,3,IF($AR28=104,2,$AR28)))</f>
        <v>0</v>
      </c>
      <c r="AM28" s="208">
        <f>1*(IF(TRIM($AU28)="13_3",AM$5,AM$1)/AM$2)*(AT28/720)/IF(OR(TRIM($AR28)="",$AR28&lt;=0),1E+38,IF($AR28=103,3,IF($AR28=104,2,$AR28)))</f>
        <v>443.33333333333331</v>
      </c>
      <c r="AN28" s="208">
        <f t="shared" ref="AN28" si="23">0*(IF(TRIM($AU28)="13_3",AN$5,AN$1)/AN$2)/IF(OR(TRIM($AR28)="",$AR28&lt;=0),1E+38,IF($AR28=103,3,IF($AR28=104,2,$AR28)))</f>
        <v>0</v>
      </c>
      <c r="AO28" s="273"/>
      <c r="AP28" s="273"/>
      <c r="AQ28" s="273"/>
      <c r="AR28" s="273">
        <v>103</v>
      </c>
      <c r="AS28" s="273">
        <v>110</v>
      </c>
      <c r="AT28" s="274">
        <f t="shared" si="10"/>
        <v>720</v>
      </c>
      <c r="AU28" s="258" t="s">
        <v>5406</v>
      </c>
    </row>
    <row r="29" spans="13:47" ht="15.75" thickBot="1">
      <c r="Q29" t="s">
        <v>824</v>
      </c>
      <c r="S29">
        <v>25181</v>
      </c>
      <c r="T29" s="6" t="s">
        <v>88</v>
      </c>
      <c r="U29" s="23" t="s">
        <v>70</v>
      </c>
      <c r="V29" s="39">
        <f t="shared" si="0"/>
        <v>1.8690625000000001</v>
      </c>
      <c r="W29" t="s">
        <v>91</v>
      </c>
      <c r="X29" s="3" t="s">
        <v>79</v>
      </c>
      <c r="Y29" s="38">
        <f t="shared" si="1"/>
        <v>14.952500000000001</v>
      </c>
      <c r="AA29">
        <v>2.7650000000000001</v>
      </c>
      <c r="AC29">
        <v>12.1875</v>
      </c>
      <c r="AF29" s="260">
        <f t="shared" si="19"/>
        <v>1.2918959999999999</v>
      </c>
      <c r="AG29" s="263">
        <f t="shared" si="5"/>
        <v>0</v>
      </c>
      <c r="AH29" s="257">
        <f t="shared" si="6"/>
        <v>14.952500000000001</v>
      </c>
      <c r="AI29" s="208">
        <f>0*(IF(TRIM($AU29)="13_3",AI$5,AI$1)/AI$2)/IF(OR(TRIM(AO29)="",AO29&lt;=0),1E+38,AO29)</f>
        <v>0</v>
      </c>
      <c r="AJ29" s="208">
        <f t="shared" ref="AJ29:AK30" si="24">1*(IF(TRIM($AU29)="13_3",AJ$5,AJ$1)/AJ$2)/IF(OR(TRIM(AP29)="",AP29&lt;=0),1E+38,AP29)</f>
        <v>2.7650000000000001</v>
      </c>
      <c r="AK29" s="208">
        <f>0*(IF(TRIM($AU29)="13_3",AK$5,AK$1)/AK$2)/IF(OR(TRIM(AQ29)="",AQ29&lt;=0),1E+38,AQ29)</f>
        <v>0</v>
      </c>
      <c r="AL29" s="208">
        <f t="shared" ref="AL29:AL30" si="25">1*(IF(TRIM($AU29)="13_3",AL$5,AL$1)/AL$2)/IF(OR(TRIM($AR29)="",$AR29&lt;=0),1E+38,IF($AR29=103,3,IF($AR29=104,2,$AR29)))</f>
        <v>12.1875</v>
      </c>
      <c r="AM29" s="208">
        <f>0*(IF(TRIM($AU29)="13_3",AM$5,AM$1)/AM$2)*(AT29/720)/IF(OR(TRIM($AR29)="",$AR29&lt;=0),1E+38,IF($AR29=103,3,IF($AR29=104,2,$AR29)))</f>
        <v>0</v>
      </c>
      <c r="AN29" s="208">
        <f>0*(IF(TRIM($AU29)="13_3",AN$5,AN$1)/AN$2)/IF(OR(TRIM($AR29)="",$AR29&lt;=0),1E+38,IF($AR29=103,3,IF($AR29=104,2,$AR29)))</f>
        <v>0</v>
      </c>
      <c r="AO29" s="273"/>
      <c r="AP29" s="273">
        <v>7200</v>
      </c>
      <c r="AQ29" s="273"/>
      <c r="AR29" s="273">
        <v>103</v>
      </c>
      <c r="AS29" s="273"/>
      <c r="AT29" s="274">
        <f t="shared" si="10"/>
        <v>720</v>
      </c>
      <c r="AU29" s="258" t="s">
        <v>5406</v>
      </c>
    </row>
    <row r="30" spans="13:47" s="201" customFormat="1" ht="15.75" thickBot="1">
      <c r="N30" s="201">
        <f>O30/1000000</f>
        <v>9.1461812499999996E-3</v>
      </c>
      <c r="O30" s="201">
        <f>Y30*180</f>
        <v>9146.1812499999996</v>
      </c>
      <c r="P30" s="420" t="s">
        <v>5698</v>
      </c>
      <c r="Q30" s="200" t="s">
        <v>1048</v>
      </c>
      <c r="R30" s="200"/>
      <c r="S30" s="200"/>
      <c r="T30" s="424" t="s">
        <v>5704</v>
      </c>
      <c r="U30" s="423" t="s">
        <v>70</v>
      </c>
      <c r="V30" s="422">
        <f t="shared" si="0"/>
        <v>6.3515147569444439</v>
      </c>
      <c r="W30" s="201" t="s">
        <v>1048</v>
      </c>
      <c r="X30" s="419" t="s">
        <v>5699</v>
      </c>
      <c r="Y30" s="421">
        <f t="shared" si="1"/>
        <v>50.812118055555551</v>
      </c>
      <c r="Z30" s="201">
        <v>5.5222222222222221</v>
      </c>
      <c r="AA30" s="420">
        <v>20.195555555555554</v>
      </c>
      <c r="AB30" s="201">
        <v>0.28444444444444444</v>
      </c>
      <c r="AC30" s="420">
        <v>16.3046875</v>
      </c>
      <c r="AD30" s="420">
        <v>4.395833333333333</v>
      </c>
      <c r="AE30" s="420">
        <v>4.109375</v>
      </c>
      <c r="AF30" s="426">
        <f t="shared" si="19"/>
        <v>4.3901669999999999</v>
      </c>
      <c r="AG30" s="263">
        <f t="shared" si="5"/>
        <v>0</v>
      </c>
      <c r="AH30" s="257">
        <f t="shared" si="6"/>
        <v>50.812118055555551</v>
      </c>
      <c r="AI30" s="429">
        <f>1*(IF(TRIM($AU30)="13_3",AI$5,AI$1)/AI$2)/IF(OR(TRIM(AO30)="",AO30&lt;=0),1E+38,AO30)</f>
        <v>5.5222222222222221</v>
      </c>
      <c r="AJ30" s="429">
        <f t="shared" si="24"/>
        <v>20.195555555555554</v>
      </c>
      <c r="AK30" s="429">
        <f t="shared" si="24"/>
        <v>0.28444444444444444</v>
      </c>
      <c r="AL30" s="429">
        <f t="shared" si="25"/>
        <v>16.3046875</v>
      </c>
      <c r="AM30" s="429">
        <f t="shared" ref="AM30" si="26">1*(IF(TRIM($AU30)="13_3",AM$5,AM$1)/AM$2)*(AT30/720)/IF(OR(TRIM($AR30)="",$AR30&lt;=0),1E+38,IF($AR30=103,3,IF($AR30=104,2,$AR30)))</f>
        <v>4.395833333333333</v>
      </c>
      <c r="AN30" s="429">
        <f t="shared" ref="AN30:AN36" si="27">1*(IF(TRIM($AU30)="13_3",AN$5,AN$1)/AN$2)/IF(OR(TRIM($AR30)="",$AR30&lt;=0),1E+38,IF($AR30=103,3,IF($AR30=104,2,$AR30)))</f>
        <v>4.109375</v>
      </c>
      <c r="AO30" s="273">
        <v>360</v>
      </c>
      <c r="AP30" s="273">
        <v>900</v>
      </c>
      <c r="AQ30" s="273">
        <v>1800</v>
      </c>
      <c r="AR30" s="273">
        <v>104</v>
      </c>
      <c r="AS30" s="273">
        <v>105</v>
      </c>
      <c r="AT30" s="427">
        <f t="shared" si="10"/>
        <v>5</v>
      </c>
      <c r="AU30" s="428"/>
    </row>
    <row r="31" spans="13:47" ht="15.75" thickBot="1">
      <c r="P31" s="343" t="s">
        <v>5697</v>
      </c>
      <c r="Q31" s="17" t="s">
        <v>1048</v>
      </c>
      <c r="R31" s="17"/>
      <c r="S31" s="17"/>
      <c r="T31" s="30" t="s">
        <v>5704</v>
      </c>
      <c r="U31" s="23" t="s">
        <v>70</v>
      </c>
      <c r="V31" s="39">
        <f t="shared" si="0"/>
        <v>6.9040277777777774</v>
      </c>
      <c r="W31" t="s">
        <v>1048</v>
      </c>
      <c r="X31" s="3" t="s">
        <v>5699</v>
      </c>
      <c r="Y31" s="38">
        <f t="shared" si="1"/>
        <v>55.232222222222219</v>
      </c>
      <c r="Z31">
        <v>5.5222222222222221</v>
      </c>
      <c r="AA31">
        <v>22.12</v>
      </c>
      <c r="AB31">
        <v>0.28444444444444444</v>
      </c>
      <c r="AC31">
        <v>18.28125</v>
      </c>
      <c r="AD31">
        <v>4.6180555555555554</v>
      </c>
      <c r="AE31">
        <v>4.40625</v>
      </c>
      <c r="AF31" s="260">
        <f t="shared" si="19"/>
        <v>4.7720640000000003</v>
      </c>
      <c r="AG31" s="263">
        <f t="shared" si="5"/>
        <v>0</v>
      </c>
      <c r="AH31" s="257">
        <f t="shared" si="6"/>
        <v>55.232222222222219</v>
      </c>
      <c r="AI31" s="208">
        <f>1*(IF(TRIM($AU31)="13_3",AI$5,AI$1)/AI$2)/IF(OR(TRIM(AO31)="",AO31&lt;=0),1E+38,AO31)</f>
        <v>5.5222222222222221</v>
      </c>
      <c r="AJ31" s="208">
        <f>1*(IF(TRIM($AU31)="13_3",AJ$5,AJ$1)/AJ$2)/IF(OR(TRIM(AP31)="",AP31&lt;=0),1E+38,AP31)</f>
        <v>22.12</v>
      </c>
      <c r="AK31" s="208">
        <f>1*(IF(TRIM($AU31)="13_3",AK$5,AK$1)/AK$2)/IF(OR(TRIM(AQ31)="",AQ31&lt;=0),1E+38,AQ31)</f>
        <v>0.28444444444444444</v>
      </c>
      <c r="AL31" s="208">
        <f>1*(IF(TRIM($AU31)="13_3",AL$5,AL$1)/AL$2)/IF(OR(TRIM($AR31)="",$AR31&lt;=0),1E+38,IF($AR31=103,3,IF($AR31=104,2,$AR31)))</f>
        <v>18.28125</v>
      </c>
      <c r="AM31" s="208">
        <f>1*(IF(TRIM($AU31)="13_3",AM$5,AM$1)/AM$2)*(AT31/720)/IF(OR(TRIM($AR31)="",$AR31&lt;=0),1E+38,IF($AR31=103,3,IF($AR31=104,2,$AR31)))</f>
        <v>4.6180555555555554</v>
      </c>
      <c r="AN31" s="208">
        <f t="shared" si="27"/>
        <v>4.40625</v>
      </c>
      <c r="AO31" s="273">
        <v>360</v>
      </c>
      <c r="AP31" s="273">
        <v>900</v>
      </c>
      <c r="AQ31" s="273">
        <v>1800</v>
      </c>
      <c r="AR31" s="273">
        <v>104</v>
      </c>
      <c r="AS31" s="273">
        <v>105</v>
      </c>
      <c r="AT31" s="274">
        <f t="shared" si="10"/>
        <v>5</v>
      </c>
      <c r="AU31" s="258" t="s">
        <v>5406</v>
      </c>
    </row>
    <row r="32" spans="13:47" ht="15.75" thickBot="1">
      <c r="Q32" s="17" t="s">
        <v>1253</v>
      </c>
      <c r="R32" s="17"/>
      <c r="S32" s="17" t="s">
        <v>5702</v>
      </c>
      <c r="T32" s="30" t="s">
        <v>5701</v>
      </c>
      <c r="U32" s="23" t="s">
        <v>70</v>
      </c>
      <c r="V32" s="39">
        <f t="shared" si="0"/>
        <v>0.55078125</v>
      </c>
      <c r="W32" t="s">
        <v>5695</v>
      </c>
      <c r="X32" s="3" t="s">
        <v>5699</v>
      </c>
      <c r="Y32" s="38">
        <f t="shared" si="1"/>
        <v>4.40625</v>
      </c>
      <c r="AE32">
        <v>4.40625</v>
      </c>
      <c r="AF32" s="260">
        <f t="shared" si="19"/>
        <v>0.38069999999999998</v>
      </c>
      <c r="AG32" s="263">
        <f t="shared" ref="AG32:AG36" si="28">AH32-Y32</f>
        <v>0</v>
      </c>
      <c r="AH32" s="257">
        <f t="shared" ref="AH32:AH36" si="29">SUM(AI32:AN32)</f>
        <v>4.40625</v>
      </c>
      <c r="AI32" s="208">
        <f t="shared" ref="AI32:AI36" si="30">0*(IF(TRIM($AU32)="13_3",AI$5,AI$1)/AI$2)/IF(OR(TRIM(AO32)="",AO32&lt;=0),1E+38,AO32)</f>
        <v>0</v>
      </c>
      <c r="AJ32" s="208">
        <f t="shared" ref="AJ32:AJ36" si="31">0*(IF(TRIM($AU32)="13_3",AJ$5,AJ$1)/AJ$2)/IF(OR(TRIM(AP32)="",AP32&lt;=0),1E+38,AP32)</f>
        <v>0</v>
      </c>
      <c r="AK32" s="208">
        <f t="shared" ref="AK32:AK36" si="32">0*(IF(TRIM($AU32)="13_3",AK$5,AK$1)/AK$2)/IF(OR(TRIM(AQ32)="",AQ32&lt;=0),1E+38,AQ32)</f>
        <v>0</v>
      </c>
      <c r="AL32" s="208">
        <f t="shared" ref="AL32:AL36" si="33">0*(IF(TRIM($AU32)="13_3",AL$5,AL$1)/AL$2)/IF(OR(TRIM($AR32)="",$AR32&lt;=0),1E+38,IF($AR32=103,3,IF($AR32=104,2,$AR32)))</f>
        <v>0</v>
      </c>
      <c r="AM32" s="208">
        <f t="shared" ref="AM32:AM36" si="34">0*(IF(TRIM($AU32)="13_3",AM$5,AM$1)/AM$2)*(AT32/720)/IF(OR(TRIM($AR32)="",$AR32&lt;=0),1E+38,IF($AR32=103,3,IF($AR32=104,2,$AR32)))</f>
        <v>0</v>
      </c>
      <c r="AN32" s="208">
        <f t="shared" si="27"/>
        <v>4.40625</v>
      </c>
      <c r="AO32" s="273"/>
      <c r="AP32" s="273"/>
      <c r="AQ32" s="273"/>
      <c r="AR32" s="273">
        <v>104</v>
      </c>
      <c r="AS32" s="273"/>
      <c r="AT32" s="274">
        <f t="shared" ref="AT32:AT36" si="35">IF(OR(AS32="",AS32&lt;105,AS32&gt;109),720,(336+(AS32-107)*(110+(AS32-107)*(25+(AS32-107)*(10+(AS32-107)*(-1)))))/24)</f>
        <v>720</v>
      </c>
      <c r="AU32" s="258" t="s">
        <v>5406</v>
      </c>
    </row>
    <row r="33" spans="11:47" ht="15.75" thickBot="1">
      <c r="Q33" s="17" t="s">
        <v>5703</v>
      </c>
      <c r="R33" s="17"/>
      <c r="S33" s="17" t="s">
        <v>5702</v>
      </c>
      <c r="T33" s="30" t="s">
        <v>5701</v>
      </c>
      <c r="U33" s="23" t="s">
        <v>70</v>
      </c>
      <c r="V33" s="39">
        <f t="shared" si="0"/>
        <v>5.0501562500000006</v>
      </c>
      <c r="W33" t="s">
        <v>5700</v>
      </c>
      <c r="X33" s="3" t="s">
        <v>5699</v>
      </c>
      <c r="Y33" s="38">
        <f t="shared" si="1"/>
        <v>40.401250000000005</v>
      </c>
      <c r="AA33">
        <v>22.12</v>
      </c>
      <c r="AC33">
        <v>18.28125</v>
      </c>
      <c r="AF33" s="260"/>
      <c r="AG33" s="263">
        <f t="shared" si="28"/>
        <v>0</v>
      </c>
      <c r="AH33" s="257">
        <f t="shared" si="29"/>
        <v>40.401250000000005</v>
      </c>
      <c r="AI33" s="208">
        <f t="shared" si="30"/>
        <v>0</v>
      </c>
      <c r="AJ33" s="208">
        <f>1*(IF(TRIM($AU33)="13_3",AJ$5,AJ$1)/AJ$2)/IF(OR(TRIM(AP33)="",AP33&lt;=0),1E+38,AP33)</f>
        <v>22.12</v>
      </c>
      <c r="AK33" s="208">
        <f t="shared" si="32"/>
        <v>0</v>
      </c>
      <c r="AL33" s="208">
        <f>1*(IF(TRIM($AU33)="13_3",AL$5,AL$1)/AL$2)/IF(OR(TRIM($AR33)="",$AR33&lt;=0),1E+38,IF($AR33=103,3,IF($AR33=104,2,$AR33)))</f>
        <v>18.28125</v>
      </c>
      <c r="AM33" s="208">
        <f t="shared" si="34"/>
        <v>0</v>
      </c>
      <c r="AN33" s="208">
        <f>0*(IF(TRIM($AU33)="13_3",AN$5,AN$1)/AN$2)/IF(OR(TRIM($AR33)="",$AR33&lt;=0),1E+38,IF($AR33=103,3,IF($AR33=104,2,$AR33)))</f>
        <v>0</v>
      </c>
      <c r="AO33" s="273"/>
      <c r="AP33" s="273">
        <v>900</v>
      </c>
      <c r="AQ33" s="273"/>
      <c r="AR33" s="273">
        <v>104</v>
      </c>
      <c r="AS33" s="273"/>
      <c r="AT33" s="274">
        <f t="shared" si="35"/>
        <v>720</v>
      </c>
      <c r="AU33" s="258" t="s">
        <v>5406</v>
      </c>
    </row>
    <row r="34" spans="11:47" s="201" customFormat="1" ht="15.75" thickBot="1">
      <c r="P34" s="420" t="s">
        <v>5698</v>
      </c>
      <c r="Q34" s="200" t="s">
        <v>1048</v>
      </c>
      <c r="R34" s="200"/>
      <c r="S34" s="200" t="s">
        <v>5696</v>
      </c>
      <c r="T34" s="424" t="s">
        <v>1156</v>
      </c>
      <c r="U34" s="423" t="s">
        <v>70</v>
      </c>
      <c r="V34" s="422">
        <f t="shared" si="0"/>
        <v>4.9404774305555561</v>
      </c>
      <c r="W34" s="201" t="s">
        <v>1048</v>
      </c>
      <c r="X34" s="419" t="s">
        <v>1157</v>
      </c>
      <c r="Y34" s="421">
        <f t="shared" si="1"/>
        <v>39.523819444444449</v>
      </c>
      <c r="Z34" s="201">
        <v>5.5222222222222221</v>
      </c>
      <c r="AA34" s="420">
        <v>2.5244444444444443</v>
      </c>
      <c r="AB34" s="201">
        <v>0.28444444444444444</v>
      </c>
      <c r="AC34" s="420">
        <v>10.869791666666666</v>
      </c>
      <c r="AD34" s="420">
        <v>17.583333333333332</v>
      </c>
      <c r="AE34" s="420">
        <v>2.7395833333333335</v>
      </c>
      <c r="AF34" s="426">
        <f>Y34*86400/1000000</f>
        <v>3.4148580000000006</v>
      </c>
      <c r="AG34" s="263">
        <f t="shared" si="28"/>
        <v>0</v>
      </c>
      <c r="AH34" s="257">
        <f t="shared" si="29"/>
        <v>39.523819444444449</v>
      </c>
      <c r="AI34" s="429">
        <f>1*(IF(TRIM($AU34)="13_3",AI$5,AI$1)/AI$2)/IF(OR(TRIM(AO34)="",AO34&lt;=0),1E+38,AO34)</f>
        <v>5.5222222222222221</v>
      </c>
      <c r="AJ34" s="429">
        <f>1*(IF(TRIM($AU34)="13_3",AJ$5,AJ$1)/AJ$2)/IF(OR(TRIM(AP34)="",AP34&lt;=0),1E+38,AP34)</f>
        <v>2.5244444444444443</v>
      </c>
      <c r="AK34" s="429">
        <f>1*(IF(TRIM($AU34)="13_3",AK$5,AK$1)/AK$2)/IF(OR(TRIM(AQ34)="",AQ34&lt;=0),1E+38,AQ34)</f>
        <v>0.28444444444444444</v>
      </c>
      <c r="AL34" s="429">
        <f>1*(IF(TRIM($AU34)="13_3",AL$5,AL$1)/AL$2)/IF(OR(TRIM($AR34)="",$AR34&lt;=0),1E+38,IF($AR34=103,3,IF($AR34=104,2,$AR34)))</f>
        <v>10.869791666666666</v>
      </c>
      <c r="AM34" s="429">
        <f>1*(IF(TRIM($AU34)="13_3",AM$5,AM$1)/AM$2)*(AT34/720)/IF(OR(TRIM($AR34)="",$AR34&lt;=0),1E+38,IF($AR34=103,3,IF($AR34=104,2,$AR34)))</f>
        <v>17.583333333333332</v>
      </c>
      <c r="AN34" s="429">
        <f t="shared" si="27"/>
        <v>2.7395833333333335</v>
      </c>
      <c r="AO34" s="273">
        <v>360</v>
      </c>
      <c r="AP34" s="273">
        <v>7200</v>
      </c>
      <c r="AQ34" s="273">
        <v>1800</v>
      </c>
      <c r="AR34" s="273">
        <v>103</v>
      </c>
      <c r="AS34" s="273">
        <v>109</v>
      </c>
      <c r="AT34" s="427">
        <f t="shared" si="35"/>
        <v>30</v>
      </c>
      <c r="AU34" s="428"/>
    </row>
    <row r="35" spans="11:47" ht="15.75" thickBot="1">
      <c r="P35" s="343" t="s">
        <v>5697</v>
      </c>
      <c r="Q35" s="17" t="s">
        <v>1048</v>
      </c>
      <c r="R35" s="17"/>
      <c r="S35" s="17" t="s">
        <v>5696</v>
      </c>
      <c r="T35" s="30" t="s">
        <v>1156</v>
      </c>
      <c r="U35" s="23" t="s">
        <v>70</v>
      </c>
      <c r="V35" s="39">
        <f t="shared" si="0"/>
        <v>5.2711111111111109</v>
      </c>
      <c r="W35" t="s">
        <v>1048</v>
      </c>
      <c r="X35" s="3" t="s">
        <v>1157</v>
      </c>
      <c r="Y35" s="38">
        <f t="shared" si="1"/>
        <v>42.168888888888887</v>
      </c>
      <c r="Z35">
        <v>5.5222222222222221</v>
      </c>
      <c r="AA35" s="343">
        <v>2.7650000000000001</v>
      </c>
      <c r="AB35">
        <v>0.28444444444444444</v>
      </c>
      <c r="AC35" s="343">
        <v>12.1875</v>
      </c>
      <c r="AD35" s="343">
        <v>18.472222222222221</v>
      </c>
      <c r="AE35" s="343">
        <v>2.9375000000000004</v>
      </c>
      <c r="AF35" s="260">
        <f>Y35*86400/1000000</f>
        <v>3.643392</v>
      </c>
      <c r="AG35" s="263">
        <f t="shared" si="28"/>
        <v>0</v>
      </c>
      <c r="AH35" s="257">
        <f t="shared" si="29"/>
        <v>42.168888888888887</v>
      </c>
      <c r="AI35" s="208">
        <f>1*(IF(TRIM($AU35)="13_3",AI$5,AI$1)/AI$2)/IF(OR(TRIM(AO35)="",AO35&lt;=0),1E+38,AO35)</f>
        <v>5.5222222222222221</v>
      </c>
      <c r="AJ35" s="208">
        <f>1*(IF(TRIM($AU35)="13_3",AJ$5,AJ$1)/AJ$2)/IF(OR(TRIM(AP35)="",AP35&lt;=0),1E+38,AP35)</f>
        <v>2.7650000000000001</v>
      </c>
      <c r="AK35" s="208">
        <f>1*(IF(TRIM($AU35)="13_3",AK$5,AK$1)/AK$2)/IF(OR(TRIM(AQ35)="",AQ35&lt;=0),1E+38,AQ35)</f>
        <v>0.28444444444444444</v>
      </c>
      <c r="AL35" s="208">
        <f>1*(IF(TRIM($AU35)="13_3",AL$5,AL$1)/AL$2)/IF(OR(TRIM($AR35)="",$AR35&lt;=0),1E+38,IF($AR35=103,3,IF($AR35=104,2,$AR35)))</f>
        <v>12.1875</v>
      </c>
      <c r="AM35" s="208">
        <f>1*(IF(TRIM($AU35)="13_3",AM$5,AM$1)/AM$2)*(AT35/720)/IF(OR(TRIM($AR35)="",$AR35&lt;=0),1E+38,IF($AR35=103,3,IF($AR35=104,2,$AR35)))</f>
        <v>18.472222222222221</v>
      </c>
      <c r="AN35" s="208">
        <f t="shared" si="27"/>
        <v>2.9375</v>
      </c>
      <c r="AO35" s="273">
        <v>360</v>
      </c>
      <c r="AP35" s="273">
        <v>7200</v>
      </c>
      <c r="AQ35" s="273">
        <v>1800</v>
      </c>
      <c r="AR35" s="273">
        <v>103</v>
      </c>
      <c r="AS35" s="273">
        <v>109</v>
      </c>
      <c r="AT35" s="274">
        <f t="shared" si="35"/>
        <v>30</v>
      </c>
      <c r="AU35" s="258" t="s">
        <v>5406</v>
      </c>
    </row>
    <row r="36" spans="11:47" ht="15">
      <c r="Q36" s="17" t="s">
        <v>1253</v>
      </c>
      <c r="R36" s="17"/>
      <c r="S36" s="17">
        <v>26179</v>
      </c>
      <c r="T36" s="30" t="s">
        <v>1156</v>
      </c>
      <c r="U36" s="23" t="s">
        <v>70</v>
      </c>
      <c r="V36" s="39">
        <f t="shared" si="0"/>
        <v>0.36718750000000006</v>
      </c>
      <c r="W36" t="s">
        <v>5695</v>
      </c>
      <c r="X36" s="3" t="s">
        <v>1157</v>
      </c>
      <c r="Y36" s="38">
        <f t="shared" si="1"/>
        <v>2.9375000000000004</v>
      </c>
      <c r="AE36">
        <v>2.9375000000000004</v>
      </c>
      <c r="AF36" s="260">
        <f>Y36*86400/1000000</f>
        <v>0.25380000000000003</v>
      </c>
      <c r="AG36" s="263">
        <f t="shared" si="28"/>
        <v>0</v>
      </c>
      <c r="AH36" s="257">
        <f t="shared" si="29"/>
        <v>2.9375</v>
      </c>
      <c r="AI36" s="208">
        <f t="shared" si="30"/>
        <v>0</v>
      </c>
      <c r="AJ36" s="208">
        <f t="shared" si="31"/>
        <v>0</v>
      </c>
      <c r="AK36" s="208">
        <f t="shared" si="32"/>
        <v>0</v>
      </c>
      <c r="AL36" s="208">
        <f t="shared" si="33"/>
        <v>0</v>
      </c>
      <c r="AM36" s="208">
        <f t="shared" si="34"/>
        <v>0</v>
      </c>
      <c r="AN36" s="208">
        <f t="shared" si="27"/>
        <v>2.9375</v>
      </c>
      <c r="AO36" s="275"/>
      <c r="AP36" s="275"/>
      <c r="AQ36" s="275"/>
      <c r="AR36" s="275">
        <v>103</v>
      </c>
      <c r="AS36" s="275"/>
      <c r="AT36" s="276">
        <f t="shared" si="35"/>
        <v>720</v>
      </c>
      <c r="AU36" s="259" t="s">
        <v>5406</v>
      </c>
    </row>
    <row r="37" spans="11:47" ht="15.75" thickBot="1">
      <c r="Z37" s="3" t="s">
        <v>49</v>
      </c>
      <c r="AA37" s="3" t="s">
        <v>50</v>
      </c>
      <c r="AB37" s="3" t="s">
        <v>51</v>
      </c>
      <c r="AC37" s="3" t="s">
        <v>52</v>
      </c>
      <c r="AD37" s="3" t="s">
        <v>53</v>
      </c>
      <c r="AE37" s="3" t="s">
        <v>54</v>
      </c>
      <c r="AF37" s="260"/>
      <c r="AG37" s="268"/>
      <c r="AI37" s="3" t="s">
        <v>49</v>
      </c>
      <c r="AJ37" s="3" t="s">
        <v>50</v>
      </c>
      <c r="AK37" s="3" t="s">
        <v>51</v>
      </c>
      <c r="AL37" s="3" t="s">
        <v>52</v>
      </c>
      <c r="AM37" s="3" t="s">
        <v>53</v>
      </c>
      <c r="AN37" s="3" t="s">
        <v>54</v>
      </c>
      <c r="AO37" s="264" t="s">
        <v>5393</v>
      </c>
      <c r="AP37" s="264" t="s">
        <v>5393</v>
      </c>
      <c r="AQ37" s="264" t="s">
        <v>5393</v>
      </c>
      <c r="AR37" s="264" t="s">
        <v>5393</v>
      </c>
      <c r="AS37" s="264" t="s">
        <v>5396</v>
      </c>
      <c r="AT37" s="254" t="s">
        <v>5397</v>
      </c>
      <c r="AU37" s="254" t="s">
        <v>5408</v>
      </c>
    </row>
    <row r="38" spans="11:47" ht="15">
      <c r="U38" s="36" t="s">
        <v>97</v>
      </c>
      <c r="V38" s="24">
        <v>197375</v>
      </c>
      <c r="Z38" s="3" t="s">
        <v>1</v>
      </c>
      <c r="AA38" s="3" t="s">
        <v>58</v>
      </c>
      <c r="AB38" s="4" t="s">
        <v>59</v>
      </c>
      <c r="AC38" s="3" t="s">
        <v>60</v>
      </c>
      <c r="AD38" s="3" t="s">
        <v>61</v>
      </c>
      <c r="AE38" s="3" t="s">
        <v>62</v>
      </c>
      <c r="AF38" s="260" t="s">
        <v>63</v>
      </c>
      <c r="AG38" s="268"/>
      <c r="AI38" s="3" t="s">
        <v>1</v>
      </c>
      <c r="AJ38" s="3" t="s">
        <v>58</v>
      </c>
      <c r="AK38" s="3" t="s">
        <v>59</v>
      </c>
      <c r="AL38" s="3" t="s">
        <v>60</v>
      </c>
      <c r="AM38" s="3" t="s">
        <v>61</v>
      </c>
      <c r="AN38" s="3" t="s">
        <v>62</v>
      </c>
      <c r="AO38" s="266" t="s">
        <v>1</v>
      </c>
      <c r="AP38" s="266" t="s">
        <v>58</v>
      </c>
      <c r="AQ38" s="266" t="s">
        <v>5284</v>
      </c>
      <c r="AR38" s="266" t="s">
        <v>5394</v>
      </c>
      <c r="AS38" s="266" t="s">
        <v>5395</v>
      </c>
      <c r="AT38" s="259" t="s">
        <v>5398</v>
      </c>
      <c r="AU38" s="259" t="s">
        <v>5407</v>
      </c>
    </row>
    <row r="39" spans="11:47" ht="15">
      <c r="P39" s="45" t="s">
        <v>98</v>
      </c>
      <c r="Q39" s="45" t="s">
        <v>99</v>
      </c>
      <c r="R39" s="46">
        <v>606262016</v>
      </c>
      <c r="S39" s="45">
        <v>8</v>
      </c>
      <c r="T39" s="45" t="s">
        <v>27</v>
      </c>
      <c r="U39" s="45" t="s">
        <v>100</v>
      </c>
      <c r="V39" s="45" t="s">
        <v>101</v>
      </c>
      <c r="W39" s="45" t="s">
        <v>102</v>
      </c>
      <c r="X39" s="45" t="s">
        <v>103</v>
      </c>
      <c r="Y39" s="47"/>
      <c r="Z39" s="48"/>
    </row>
    <row r="40" spans="11:47" ht="15">
      <c r="O40" s="6" t="s">
        <v>104</v>
      </c>
      <c r="P40" s="45" t="s">
        <v>105</v>
      </c>
      <c r="Q40" s="45" t="s">
        <v>106</v>
      </c>
      <c r="R40" s="46">
        <v>606473516</v>
      </c>
      <c r="S40" s="45">
        <v>7</v>
      </c>
      <c r="T40" s="45" t="s">
        <v>27</v>
      </c>
      <c r="U40" s="45" t="s">
        <v>107</v>
      </c>
      <c r="V40" s="45" t="s">
        <v>101</v>
      </c>
      <c r="W40" s="45" t="s">
        <v>102</v>
      </c>
      <c r="X40" s="45" t="s">
        <v>108</v>
      </c>
      <c r="Y40" s="48"/>
      <c r="AI40" s="261" t="s">
        <v>5410</v>
      </c>
      <c r="AJ40" s="261" t="s">
        <v>5410</v>
      </c>
      <c r="AK40" s="261" t="s">
        <v>5410</v>
      </c>
      <c r="AL40" s="261" t="s">
        <v>5410</v>
      </c>
      <c r="AM40" s="261" t="s">
        <v>5410</v>
      </c>
      <c r="AN40" s="261" t="s">
        <v>5410</v>
      </c>
      <c r="AR40" s="261" t="s">
        <v>5410</v>
      </c>
      <c r="AS40" s="261" t="s">
        <v>5410</v>
      </c>
    </row>
    <row r="41" spans="11:47" ht="15">
      <c r="P41" s="45" t="s">
        <v>109</v>
      </c>
      <c r="Q41" s="45" t="s">
        <v>110</v>
      </c>
      <c r="R41" s="45">
        <v>606480128</v>
      </c>
      <c r="S41" s="45">
        <v>0</v>
      </c>
      <c r="T41" s="45" t="s">
        <v>111</v>
      </c>
      <c r="U41" s="45" t="s">
        <v>112</v>
      </c>
      <c r="V41" s="45" t="s">
        <v>113</v>
      </c>
      <c r="W41" s="45"/>
      <c r="X41" s="45" t="s">
        <v>114</v>
      </c>
      <c r="Y41" s="48"/>
      <c r="AI41" s="3" t="s">
        <v>5409</v>
      </c>
      <c r="AJ41" s="3" t="s">
        <v>5409</v>
      </c>
      <c r="AK41" s="3" t="s">
        <v>5409</v>
      </c>
      <c r="AL41" s="3" t="s">
        <v>5409</v>
      </c>
      <c r="AM41" s="3" t="s">
        <v>5409</v>
      </c>
      <c r="AN41" s="3" t="s">
        <v>5409</v>
      </c>
      <c r="AR41" s="3" t="s">
        <v>5409</v>
      </c>
      <c r="AS41" s="3" t="s">
        <v>5409</v>
      </c>
    </row>
    <row r="42" spans="11:47" ht="15">
      <c r="P42">
        <f>R41-R40</f>
        <v>6612</v>
      </c>
      <c r="R42">
        <v>589335049</v>
      </c>
      <c r="S42">
        <v>589362052</v>
      </c>
      <c r="T42">
        <f>S42-R42</f>
        <v>27003</v>
      </c>
      <c r="U42">
        <v>110684</v>
      </c>
      <c r="V42">
        <f>U42/T42</f>
        <v>4.0989519682998186</v>
      </c>
    </row>
    <row r="43" spans="11:47" ht="15.75" thickBot="1">
      <c r="M43">
        <f>(20+16/24)*38.9*86400/1000000</f>
        <v>69.45984</v>
      </c>
      <c r="P43" s="46" t="s">
        <v>115</v>
      </c>
      <c r="Q43" s="46" t="s">
        <v>116</v>
      </c>
      <c r="R43" s="46">
        <v>606482128</v>
      </c>
      <c r="S43" s="46">
        <v>1</v>
      </c>
      <c r="T43" s="46" t="s">
        <v>27</v>
      </c>
      <c r="U43" s="46" t="s">
        <v>117</v>
      </c>
      <c r="V43" s="46" t="s">
        <v>118</v>
      </c>
      <c r="W43" s="46"/>
      <c r="X43" s="46" t="s">
        <v>119</v>
      </c>
      <c r="AD43">
        <f>11000000/500</f>
        <v>22000</v>
      </c>
      <c r="AE43">
        <f>AD43/3600</f>
        <v>6.1111111111111107</v>
      </c>
      <c r="AG43" t="s">
        <v>35</v>
      </c>
    </row>
    <row r="44" spans="11:47" ht="15.75" thickBot="1">
      <c r="O44" s="3"/>
      <c r="P44" s="9">
        <v>25096</v>
      </c>
      <c r="Q44" s="7"/>
      <c r="R44" s="7"/>
      <c r="S44" s="8"/>
      <c r="T44" s="3"/>
      <c r="U44" s="19">
        <f>V38</f>
        <v>197375</v>
      </c>
      <c r="V44" s="18"/>
      <c r="W44" s="25" t="s">
        <v>4</v>
      </c>
      <c r="X44" s="26">
        <v>2.70622E-5</v>
      </c>
      <c r="Y44" s="3"/>
      <c r="Z44" s="5"/>
      <c r="AA44" s="5"/>
      <c r="AB44" s="5" t="s">
        <v>120</v>
      </c>
      <c r="AC44" s="5"/>
      <c r="AD44" s="5"/>
      <c r="AE44">
        <f>11000000/500</f>
        <v>22000</v>
      </c>
      <c r="AF44">
        <f>AE44/3600</f>
        <v>6.1111111111111107</v>
      </c>
      <c r="AH44" t="s">
        <v>36</v>
      </c>
      <c r="AI44" t="s">
        <v>121</v>
      </c>
    </row>
    <row r="45" spans="11:47" ht="15">
      <c r="O45" s="3"/>
      <c r="P45" s="12" t="s">
        <v>122</v>
      </c>
      <c r="Q45" s="11" t="s">
        <v>5</v>
      </c>
      <c r="R45" s="12" t="s">
        <v>6</v>
      </c>
      <c r="S45" s="12" t="s">
        <v>7</v>
      </c>
      <c r="T45" s="13" t="s">
        <v>8</v>
      </c>
      <c r="U45" s="3" t="s">
        <v>22</v>
      </c>
      <c r="V45" s="13" t="s">
        <v>25</v>
      </c>
      <c r="W45" s="12" t="s">
        <v>26</v>
      </c>
      <c r="X45" s="12" t="s">
        <v>9</v>
      </c>
      <c r="Y45" s="3"/>
      <c r="Z45" s="5"/>
      <c r="AA45" s="5" t="s">
        <v>123</v>
      </c>
      <c r="AB45" s="20" t="s">
        <v>124</v>
      </c>
      <c r="AC45" s="20" t="s">
        <v>125</v>
      </c>
      <c r="AD45" t="s">
        <v>126</v>
      </c>
      <c r="AE45" t="s">
        <v>126</v>
      </c>
      <c r="AH45" t="s">
        <v>37</v>
      </c>
      <c r="AJ45" s="48">
        <f>AJ46+AJ48+AJ49</f>
        <v>31.701153000000001</v>
      </c>
    </row>
    <row r="46" spans="11:47" ht="15.75">
      <c r="L46" s="47" t="s">
        <v>127</v>
      </c>
      <c r="M46" s="47" t="s">
        <v>128</v>
      </c>
      <c r="N46" s="48" t="s">
        <v>129</v>
      </c>
      <c r="O46" s="49" t="s">
        <v>130</v>
      </c>
      <c r="P46" s="32" t="s">
        <v>131</v>
      </c>
      <c r="Q46" s="35">
        <f>R39-20</f>
        <v>606261996</v>
      </c>
      <c r="R46" s="35">
        <f>R40</f>
        <v>606473516</v>
      </c>
      <c r="S46" s="21">
        <f>R46-Q46</f>
        <v>211520</v>
      </c>
      <c r="T46" s="21">
        <f>S46*$V$9</f>
        <v>808006.4</v>
      </c>
      <c r="U46" s="3">
        <v>0</v>
      </c>
      <c r="V46" s="27">
        <f>T46+U46*$V$38</f>
        <v>808006.4</v>
      </c>
      <c r="W46" s="20">
        <f>Y46*1000000/8</f>
        <v>1085211.75</v>
      </c>
      <c r="X46" s="22">
        <f>W46-V46</f>
        <v>277205.34999999998</v>
      </c>
      <c r="Y46" s="33">
        <f>8.681694</f>
        <v>8.6816940000000002</v>
      </c>
      <c r="Z46" s="33"/>
      <c r="AA46" s="50">
        <v>344216</v>
      </c>
      <c r="AB46" s="51">
        <f>S46*$S$9</f>
        <v>294226.40092592593</v>
      </c>
      <c r="AC46" s="52">
        <f>AB46*8/1000000</f>
        <v>2.3538112074074076</v>
      </c>
      <c r="AD46" s="50">
        <f>AB46+AB47</f>
        <v>1088101.4009259259</v>
      </c>
      <c r="AE46" s="50">
        <f>AC46+AC47</f>
        <v>8.704811207407408</v>
      </c>
      <c r="AF46" s="31" t="s">
        <v>132</v>
      </c>
      <c r="AG46" s="49" t="s">
        <v>130</v>
      </c>
      <c r="AH46" s="40">
        <f>X46*8/1000000</f>
        <v>2.2176427999999997</v>
      </c>
      <c r="AI46" s="40">
        <f>V46*8/1000000</f>
        <v>6.4640512000000001</v>
      </c>
      <c r="AJ46" s="48">
        <v>8.6816940000000002</v>
      </c>
      <c r="AK46" t="s">
        <v>132</v>
      </c>
      <c r="AL46" t="s">
        <v>133</v>
      </c>
      <c r="AM46">
        <v>0.80020999999999998</v>
      </c>
      <c r="AN46">
        <v>6</v>
      </c>
      <c r="AO46">
        <v>1.786772</v>
      </c>
      <c r="AP46">
        <v>0.98655599999999999</v>
      </c>
      <c r="AQ46">
        <v>8.6816940000000002</v>
      </c>
    </row>
    <row r="47" spans="11:47" ht="15.75">
      <c r="K47" s="47" t="s">
        <v>134</v>
      </c>
      <c r="L47" s="47" t="s">
        <v>128</v>
      </c>
      <c r="M47" s="47" t="s">
        <v>135</v>
      </c>
      <c r="N47" s="48">
        <v>5.58</v>
      </c>
      <c r="O47" s="49"/>
      <c r="P47" s="32" t="s">
        <v>131</v>
      </c>
      <c r="Q47" s="35">
        <f>R46-1</f>
        <v>606473515</v>
      </c>
      <c r="R47" s="35">
        <f>R41</f>
        <v>606480128</v>
      </c>
      <c r="S47" s="21">
        <f>R47-Q47</f>
        <v>6613</v>
      </c>
      <c r="T47" s="21">
        <f>N47*1000000/8</f>
        <v>697500</v>
      </c>
      <c r="U47" s="3">
        <v>0</v>
      </c>
      <c r="V47" s="27">
        <f>T47+U47*$V$38</f>
        <v>697500</v>
      </c>
      <c r="W47" s="20">
        <f>X46</f>
        <v>277205.34999999998</v>
      </c>
      <c r="X47" s="22">
        <f>W47-V47</f>
        <v>-420294.65</v>
      </c>
      <c r="Y47" s="33"/>
      <c r="Z47" s="33"/>
      <c r="AA47" s="50">
        <v>677415</v>
      </c>
      <c r="AB47" s="54">
        <f>AC47*1000000/8</f>
        <v>793875</v>
      </c>
      <c r="AC47" s="55">
        <v>6.351</v>
      </c>
      <c r="AD47" s="50">
        <f>AB47+AB46-W46</f>
        <v>2889.6509259259328</v>
      </c>
      <c r="AE47" s="50">
        <f>AC47+AC46-Y46</f>
        <v>2.3117207407407747E-2</v>
      </c>
      <c r="AF47" s="31"/>
      <c r="AG47" s="49"/>
      <c r="AH47" s="40"/>
      <c r="AI47" s="40"/>
      <c r="AJ47" s="48"/>
    </row>
    <row r="48" spans="11:47" ht="15.75">
      <c r="K48" s="47" t="s">
        <v>136</v>
      </c>
      <c r="L48" s="47" t="s">
        <v>135</v>
      </c>
      <c r="M48" s="47" t="s">
        <v>137</v>
      </c>
      <c r="N48" s="48"/>
      <c r="O48" s="49" t="s">
        <v>138</v>
      </c>
      <c r="P48" s="32" t="s">
        <v>139</v>
      </c>
      <c r="Q48" s="35">
        <f>R47-1</f>
        <v>606480127</v>
      </c>
      <c r="R48" s="28">
        <f>((W48)/$V$9)+Q48</f>
        <v>606884641.65314138</v>
      </c>
      <c r="S48" s="21">
        <f>R48-Q48</f>
        <v>404514.65314137936</v>
      </c>
      <c r="T48" s="21">
        <f>S48*$V$9</f>
        <v>1545245.975000069</v>
      </c>
      <c r="U48" s="3">
        <v>0</v>
      </c>
      <c r="V48" s="27">
        <f>T48+U48*$V$38</f>
        <v>1545245.975000069</v>
      </c>
      <c r="W48" s="20">
        <f>Y48*1000000/8+X47</f>
        <v>1545245.9750000001</v>
      </c>
      <c r="X48" s="22">
        <f>W48-V48</f>
        <v>-6.891787052154541E-8</v>
      </c>
      <c r="Y48" s="33">
        <f>AJ48</f>
        <v>15.724325</v>
      </c>
      <c r="Z48" s="33"/>
      <c r="AA48" s="50">
        <v>647088</v>
      </c>
      <c r="AB48" s="56">
        <f>S48*$S$9</f>
        <v>562683.86211983429</v>
      </c>
      <c r="AC48" s="57">
        <f>AB48*8/1000000</f>
        <v>4.5014708969586739</v>
      </c>
      <c r="AD48" s="50">
        <f>AB48-V48</f>
        <v>-982562.11288023472</v>
      </c>
      <c r="AE48" s="50">
        <f>AD48*8/1000000</f>
        <v>-7.8604969030418781</v>
      </c>
      <c r="AF48" s="31" t="str">
        <f>AK48</f>
        <v>TRK_112_1</v>
      </c>
      <c r="AG48" s="49" t="s">
        <v>138</v>
      </c>
      <c r="AH48" s="40">
        <f>X48*8/1000000</f>
        <v>-5.5134296417236325E-13</v>
      </c>
      <c r="AI48" s="40">
        <f>V48*8/1000000</f>
        <v>12.361967800000553</v>
      </c>
      <c r="AJ48" s="48">
        <v>15.724325</v>
      </c>
      <c r="AK48" t="s">
        <v>140</v>
      </c>
      <c r="AL48" t="s">
        <v>141</v>
      </c>
      <c r="AM48">
        <v>0.23064999999999999</v>
      </c>
      <c r="AN48">
        <v>6</v>
      </c>
      <c r="AO48">
        <v>2.0175109999999998</v>
      </c>
      <c r="AP48">
        <v>1.7868550000000001</v>
      </c>
      <c r="AQ48">
        <v>15.724325</v>
      </c>
    </row>
    <row r="49" spans="1:44" ht="15.75">
      <c r="L49" s="47" t="s">
        <v>137</v>
      </c>
      <c r="M49" s="47" t="s">
        <v>142</v>
      </c>
      <c r="N49" s="48"/>
      <c r="O49" s="49" t="s">
        <v>143</v>
      </c>
      <c r="P49" s="32" t="s">
        <v>144</v>
      </c>
      <c r="Q49" s="58">
        <f>R48-1</f>
        <v>606884640.65314138</v>
      </c>
      <c r="R49" s="28">
        <f>((W49)/$V$9)+Q49</f>
        <v>607123355.77094245</v>
      </c>
      <c r="S49" s="21">
        <f>R49-Q49</f>
        <v>238715.11780107021</v>
      </c>
      <c r="T49" s="21">
        <f>S49*$V$9</f>
        <v>911891.75000008813</v>
      </c>
      <c r="U49" s="3">
        <v>0</v>
      </c>
      <c r="V49" s="27">
        <f>T49+U49*$V$38</f>
        <v>911891.75000008813</v>
      </c>
      <c r="W49" s="20">
        <f>Y49*1000000/8</f>
        <v>911891.75</v>
      </c>
      <c r="X49" s="22">
        <f>W49-V49</f>
        <v>-8.8126398622989655E-8</v>
      </c>
      <c r="Y49" s="33">
        <f>AJ49</f>
        <v>7.295134</v>
      </c>
      <c r="Z49" s="33"/>
      <c r="AA49" s="50">
        <v>323548</v>
      </c>
      <c r="AB49" s="56">
        <f>S49*$S$9</f>
        <v>332055.07733177627</v>
      </c>
      <c r="AC49" s="57">
        <f>AB49*8/1000000</f>
        <v>2.65644061865421</v>
      </c>
      <c r="AD49" s="50">
        <f>AB49-V49</f>
        <v>-579836.67266831186</v>
      </c>
      <c r="AE49" s="50">
        <f>AC49-Y49</f>
        <v>-4.6386933813457905</v>
      </c>
      <c r="AF49" s="31" t="str">
        <f>AK49</f>
        <v>TRK_112_2</v>
      </c>
      <c r="AG49" s="49" t="s">
        <v>143</v>
      </c>
      <c r="AH49" s="40">
        <f>X49*8/1000000</f>
        <v>-7.0501118898391721E-13</v>
      </c>
      <c r="AI49" s="40">
        <f>V49*8/1000000</f>
        <v>7.2951340000007052</v>
      </c>
      <c r="AJ49" s="48">
        <v>7.295134</v>
      </c>
      <c r="AK49" t="s">
        <v>145</v>
      </c>
      <c r="AL49" t="s">
        <v>146</v>
      </c>
      <c r="AM49">
        <v>0.23527999999999999</v>
      </c>
      <c r="AN49">
        <v>2</v>
      </c>
      <c r="AO49">
        <v>1.0642739999999999</v>
      </c>
      <c r="AP49">
        <v>0.82899199999999995</v>
      </c>
      <c r="AQ49">
        <v>7.295134</v>
      </c>
    </row>
    <row r="50" spans="1:44" ht="15">
      <c r="M50" s="3"/>
      <c r="N50" s="3"/>
      <c r="P50" s="3"/>
      <c r="T50" s="4"/>
      <c r="U50" s="3"/>
      <c r="V50" s="3"/>
      <c r="X50" s="3"/>
      <c r="Y50" s="3"/>
      <c r="Z50" s="5"/>
      <c r="AB50" s="3" t="s">
        <v>147</v>
      </c>
      <c r="AC50" s="3"/>
      <c r="AD50" s="20"/>
      <c r="AE50" s="20"/>
      <c r="AH50" s="40"/>
      <c r="AI50" s="40"/>
    </row>
    <row r="51" spans="1:44" ht="15">
      <c r="L51" s="3"/>
      <c r="M51" s="3"/>
      <c r="N51" s="3"/>
      <c r="P51" s="15" t="s">
        <v>148</v>
      </c>
      <c r="Q51" s="15" t="s">
        <v>149</v>
      </c>
      <c r="R51" s="15">
        <v>606263216</v>
      </c>
      <c r="S51" s="15">
        <v>7</v>
      </c>
      <c r="T51" s="15" t="s">
        <v>27</v>
      </c>
      <c r="U51" s="15" t="s">
        <v>150</v>
      </c>
      <c r="V51" s="15" t="s">
        <v>151</v>
      </c>
      <c r="W51" s="15" t="s">
        <v>152</v>
      </c>
      <c r="X51" s="15" t="s">
        <v>153</v>
      </c>
      <c r="Y51" s="59"/>
      <c r="Z51" s="60"/>
      <c r="AA51" s="3" t="s">
        <v>154</v>
      </c>
      <c r="AB51" s="3" t="s">
        <v>155</v>
      </c>
      <c r="AC51" s="3" t="s">
        <v>156</v>
      </c>
      <c r="AD51" s="59"/>
      <c r="AE51" s="59"/>
      <c r="AH51" s="40"/>
      <c r="AI51" s="40"/>
    </row>
    <row r="52" spans="1:44" ht="15.75">
      <c r="A52" s="59" t="s">
        <v>157</v>
      </c>
      <c r="B52" s="59"/>
      <c r="C52" s="59"/>
      <c r="D52" s="59"/>
      <c r="E52" s="59"/>
      <c r="F52" s="59"/>
      <c r="G52" s="59"/>
      <c r="H52" s="59"/>
      <c r="I52" s="59"/>
      <c r="J52" s="59"/>
      <c r="K52" s="59"/>
      <c r="L52" s="59" t="s">
        <v>158</v>
      </c>
      <c r="M52" s="59" t="s">
        <v>159</v>
      </c>
      <c r="N52" s="59"/>
      <c r="O52" s="34" t="s">
        <v>160</v>
      </c>
      <c r="P52" s="32" t="s">
        <v>161</v>
      </c>
      <c r="Q52" s="61">
        <f>R51-20</f>
        <v>606263196</v>
      </c>
      <c r="R52" s="28">
        <f>((W52-U52*$V$38)/$V$10)+Q52</f>
        <v>606535975.99367166</v>
      </c>
      <c r="S52" s="21">
        <f>R52-Q52</f>
        <v>272779.99367165565</v>
      </c>
      <c r="T52" s="21">
        <f>S52*$V$10</f>
        <v>1324552.8750002775</v>
      </c>
      <c r="U52" s="3">
        <v>1</v>
      </c>
      <c r="V52" s="27">
        <f>T52+U52*$V$38</f>
        <v>1521927.8750002775</v>
      </c>
      <c r="W52" s="20">
        <f>Y52*1000000/8</f>
        <v>1521927.875</v>
      </c>
      <c r="X52" s="22">
        <f>W52-V52</f>
        <v>-2.775341272354126E-7</v>
      </c>
      <c r="Y52" s="33">
        <f>AJ52</f>
        <v>12.175423</v>
      </c>
      <c r="Z52" s="33"/>
      <c r="AA52" s="50">
        <v>1614636</v>
      </c>
      <c r="AB52" s="56">
        <f>AA52-T52</f>
        <v>290083.12499972247</v>
      </c>
      <c r="AC52" s="62">
        <f>(AB52/8)/1000000</f>
        <v>3.6260390624965305E-2</v>
      </c>
      <c r="AD52" s="50"/>
      <c r="AE52" s="50"/>
      <c r="AF52" s="31" t="str">
        <f>AK52</f>
        <v>TRK_113_1</v>
      </c>
      <c r="AG52" s="34" t="s">
        <v>160</v>
      </c>
      <c r="AH52" s="40">
        <f>X52*8/1000000</f>
        <v>-2.2202730178833006E-12</v>
      </c>
      <c r="AI52" s="40">
        <f>V52*8/1000000</f>
        <v>12.175423000002221</v>
      </c>
      <c r="AJ52" s="63">
        <v>12.175423</v>
      </c>
      <c r="AK52" t="s">
        <v>162</v>
      </c>
      <c r="AL52" t="s">
        <v>163</v>
      </c>
      <c r="AM52">
        <v>0.23605000000000001</v>
      </c>
      <c r="AN52">
        <v>6</v>
      </c>
      <c r="AO52">
        <v>1.6196269999999999</v>
      </c>
      <c r="AP52">
        <v>1.3835710000000001</v>
      </c>
      <c r="AQ52">
        <v>12.175423</v>
      </c>
    </row>
    <row r="53" spans="1:44" ht="15.75">
      <c r="L53" s="59" t="str">
        <f>M52</f>
        <v>99/20:14</v>
      </c>
      <c r="M53" s="59" t="s">
        <v>164</v>
      </c>
      <c r="N53" s="59"/>
      <c r="O53" s="34" t="s">
        <v>165</v>
      </c>
      <c r="P53" s="32" t="s">
        <v>29</v>
      </c>
      <c r="Q53" s="58">
        <f>R52-1</f>
        <v>606535974.99367166</v>
      </c>
      <c r="R53" s="28">
        <f>((W53-U53*$V$38)/$V$10)+Q53</f>
        <v>606937249.54652727</v>
      </c>
      <c r="S53" s="21">
        <f>R53-Q53</f>
        <v>401274.55285561085</v>
      </c>
      <c r="T53" s="21">
        <f>S53*$V$10</f>
        <v>1948491.0000002645</v>
      </c>
      <c r="U53" s="3">
        <v>0</v>
      </c>
      <c r="V53" s="27">
        <f>T53+U53*$V$38</f>
        <v>1948491.0000002645</v>
      </c>
      <c r="W53" s="20">
        <f>Y53*1000000/8</f>
        <v>1948491</v>
      </c>
      <c r="X53" s="22">
        <f>W53-V53</f>
        <v>-2.644956111907959E-7</v>
      </c>
      <c r="Y53" s="33">
        <f>AJ53</f>
        <v>15.587928</v>
      </c>
      <c r="Z53" s="33"/>
      <c r="AA53" s="50">
        <v>2057144</v>
      </c>
      <c r="AB53" s="56">
        <f>AA53-T53</f>
        <v>108652.9999997355</v>
      </c>
      <c r="AC53" s="62">
        <f>(AB53/8)/1000000</f>
        <v>1.3581624999966938E-2</v>
      </c>
      <c r="AD53" s="50"/>
      <c r="AE53" s="50"/>
      <c r="AF53" s="31" t="str">
        <f>AK53</f>
        <v>TRK_114_1_</v>
      </c>
      <c r="AG53" s="34" t="s">
        <v>165</v>
      </c>
      <c r="AH53" s="40">
        <f>X53*8/1000000</f>
        <v>-2.1159648895263673E-12</v>
      </c>
      <c r="AI53" s="40">
        <f>V53*8/1000000</f>
        <v>15.587928000002115</v>
      </c>
      <c r="AJ53" s="63">
        <v>15.587928</v>
      </c>
      <c r="AK53" t="s">
        <v>166</v>
      </c>
      <c r="AL53" t="s">
        <v>167</v>
      </c>
      <c r="AM53">
        <v>0.40827999999999998</v>
      </c>
      <c r="AN53">
        <v>6</v>
      </c>
      <c r="AO53">
        <v>2.1796410000000002</v>
      </c>
      <c r="AP53">
        <v>1.771355</v>
      </c>
      <c r="AQ53">
        <v>15.587928</v>
      </c>
    </row>
    <row r="54" spans="1:44" ht="15.75">
      <c r="L54" s="59" t="str">
        <f>M53</f>
        <v>104/11:33</v>
      </c>
      <c r="M54" s="59" t="s">
        <v>168</v>
      </c>
      <c r="N54" s="59"/>
      <c r="O54" s="34" t="s">
        <v>169</v>
      </c>
      <c r="P54" s="32" t="s">
        <v>170</v>
      </c>
      <c r="Q54" s="58">
        <f>R53-1</f>
        <v>606937248.54652727</v>
      </c>
      <c r="R54" s="28">
        <f>((W54-U54*$V$38)/$V$10)+Q54</f>
        <v>607165734.06575108</v>
      </c>
      <c r="S54" s="21">
        <f>R54-Q54</f>
        <v>228485.51922380924</v>
      </c>
      <c r="T54" s="21">
        <f>S54*$V$10</f>
        <v>1109469.7499997593</v>
      </c>
      <c r="U54" s="3">
        <v>0</v>
      </c>
      <c r="V54" s="27">
        <f>T54+U54*$V$38</f>
        <v>1109469.7499997593</v>
      </c>
      <c r="W54" s="20">
        <f>Y54*1000000/8</f>
        <v>1109469.75</v>
      </c>
      <c r="X54" s="22">
        <f>W54-V54</f>
        <v>2.407468855381012E-7</v>
      </c>
      <c r="Y54" s="33">
        <f>AJ54</f>
        <v>8.8757579999999994</v>
      </c>
      <c r="Z54" s="33"/>
      <c r="AA54" s="50">
        <v>1157806</v>
      </c>
      <c r="AB54" s="56">
        <f>AA54-T54</f>
        <v>48336.250000240747</v>
      </c>
      <c r="AC54" s="62">
        <f>(AB54/8)/1000000</f>
        <v>6.0420312500300936E-3</v>
      </c>
      <c r="AD54" s="50"/>
      <c r="AE54" s="50"/>
      <c r="AF54" s="31" t="str">
        <f>AK54</f>
        <v>TRK_115_1</v>
      </c>
      <c r="AG54" s="34" t="s">
        <v>169</v>
      </c>
      <c r="AH54" s="40">
        <f>X54*8/1000000</f>
        <v>1.9259750843048095E-12</v>
      </c>
      <c r="AI54" s="40">
        <f>V54*8/1000000</f>
        <v>8.8757579999980738</v>
      </c>
      <c r="AJ54" s="63">
        <v>8.8757579999999994</v>
      </c>
      <c r="AK54" t="s">
        <v>171</v>
      </c>
      <c r="AL54" t="s">
        <v>172</v>
      </c>
      <c r="AM54">
        <v>0.25274000000000002</v>
      </c>
      <c r="AN54">
        <v>0</v>
      </c>
      <c r="AO54">
        <v>1.2613490000000001</v>
      </c>
      <c r="AP54">
        <v>1.0086090000000001</v>
      </c>
      <c r="AQ54">
        <v>8.8757579999999994</v>
      </c>
    </row>
    <row r="55" spans="1:44" ht="15">
      <c r="L55" s="3"/>
      <c r="M55" s="3"/>
      <c r="N55" s="3"/>
      <c r="AA55" s="3"/>
      <c r="AD55" s="3"/>
      <c r="AE55" s="3"/>
      <c r="AH55" s="40"/>
      <c r="AI55" s="40"/>
      <c r="AJ55">
        <f>SUM(AJ52:AJ54)</f>
        <v>36.639108999999998</v>
      </c>
    </row>
    <row r="56" spans="1:44" ht="15.75">
      <c r="F56" t="s">
        <v>49</v>
      </c>
      <c r="L56" s="47" t="s">
        <v>142</v>
      </c>
      <c r="M56" s="47" t="s">
        <v>173</v>
      </c>
      <c r="N56" s="48"/>
      <c r="O56" s="49" t="s">
        <v>174</v>
      </c>
      <c r="P56" s="32" t="s">
        <v>175</v>
      </c>
      <c r="Q56" s="58">
        <f>R49-1</f>
        <v>607123354.77094245</v>
      </c>
      <c r="R56" s="28">
        <f>((W56)/$V$9)+Q56</f>
        <v>607164814.48952889</v>
      </c>
      <c r="S56" s="21">
        <f>R56-Q56</f>
        <v>41459.718586444855</v>
      </c>
      <c r="T56" s="21">
        <f>S56*$V$9</f>
        <v>158376.12500021933</v>
      </c>
      <c r="U56" s="3">
        <v>0</v>
      </c>
      <c r="V56" s="27">
        <f>T56+U56*$V$38</f>
        <v>158376.12500021933</v>
      </c>
      <c r="W56" s="20">
        <f>Y56*1000000/8</f>
        <v>158376.125</v>
      </c>
      <c r="X56" s="22">
        <f>W56-V56</f>
        <v>-2.1932646632194519E-7</v>
      </c>
      <c r="Y56" s="33">
        <f>AJ56</f>
        <v>1.2670090000000001</v>
      </c>
      <c r="Z56" s="33"/>
      <c r="AA56" s="50"/>
      <c r="AB56" s="56">
        <f>S56*$S$9</f>
        <v>57670.876432920704</v>
      </c>
      <c r="AC56" s="57">
        <f>AB56*8/1000000</f>
        <v>0.46136701146336562</v>
      </c>
      <c r="AD56" s="56">
        <f>AB56-V56</f>
        <v>-100705.24856729862</v>
      </c>
      <c r="AE56" s="50">
        <f>AC56-Y56</f>
        <v>-0.80564198853663438</v>
      </c>
      <c r="AF56" s="31" t="str">
        <f>AK56</f>
        <v>TRK_118_1</v>
      </c>
      <c r="AG56" s="49" t="s">
        <v>174</v>
      </c>
      <c r="AH56" s="40">
        <f>X56*8/1000000</f>
        <v>-1.7546117305755616E-12</v>
      </c>
      <c r="AI56" s="40">
        <f>V56*8/1000000</f>
        <v>1.2670090000017546</v>
      </c>
      <c r="AJ56" s="48">
        <v>1.2670090000000001</v>
      </c>
      <c r="AK56" t="s">
        <v>176</v>
      </c>
      <c r="AL56" t="s">
        <v>177</v>
      </c>
      <c r="AM56">
        <v>0.65856000000000003</v>
      </c>
      <c r="AN56">
        <v>2</v>
      </c>
      <c r="AO56">
        <v>0.80254000000000003</v>
      </c>
      <c r="AP56">
        <v>0.14397799999999999</v>
      </c>
      <c r="AQ56">
        <v>1.2670090000000001</v>
      </c>
    </row>
    <row r="57" spans="1:44" ht="15">
      <c r="L57" s="3"/>
      <c r="M57" s="3" t="s">
        <v>178</v>
      </c>
      <c r="N57" s="3"/>
      <c r="O57" s="3"/>
      <c r="Y57">
        <f>SUM(Y46:Y56)</f>
        <v>69.607270999999997</v>
      </c>
      <c r="AB57" s="64">
        <f>AC56+AC49+AC48+AC47+AC46</f>
        <v>16.324089734483657</v>
      </c>
      <c r="AC57" s="3"/>
      <c r="AD57" s="3"/>
      <c r="AG57" s="40"/>
      <c r="AH57" s="40"/>
    </row>
    <row r="58" spans="1:44" ht="15">
      <c r="L58" s="3"/>
      <c r="M58" s="3"/>
      <c r="N58" s="3"/>
      <c r="O58" s="3"/>
      <c r="Y58">
        <f>Y56+Y49+Y48+Y46</f>
        <v>32.968162</v>
      </c>
      <c r="Z58" s="60">
        <f>Y54+Y53+Y52</f>
        <v>36.639108999999998</v>
      </c>
      <c r="AB58" t="s">
        <v>179</v>
      </c>
      <c r="AC58" s="3"/>
      <c r="AD58" s="3"/>
      <c r="AG58" s="40"/>
      <c r="AH58" s="40"/>
    </row>
    <row r="59" spans="1:44" ht="15.4" customHeight="1">
      <c r="L59" s="3"/>
      <c r="M59" s="3"/>
      <c r="N59" s="3"/>
      <c r="O59" s="3"/>
      <c r="Y59" s="3" t="s">
        <v>180</v>
      </c>
      <c r="Z59" s="3" t="s">
        <v>181</v>
      </c>
      <c r="AA59" s="3"/>
      <c r="AB59" s="3"/>
      <c r="AC59" s="3"/>
      <c r="AD59" s="3"/>
      <c r="AG59" s="40"/>
      <c r="AH59" s="40"/>
      <c r="AK59" s="65" t="s">
        <v>182</v>
      </c>
      <c r="AL59" s="65" t="s">
        <v>183</v>
      </c>
      <c r="AM59" s="65">
        <v>14.73</v>
      </c>
      <c r="AN59" s="65">
        <v>-5.43</v>
      </c>
      <c r="AO59" s="65">
        <v>-5.43</v>
      </c>
      <c r="AR59" s="3">
        <v>16.2</v>
      </c>
    </row>
    <row r="60" spans="1:44" ht="15.4" customHeight="1">
      <c r="L60" s="18" t="s">
        <v>184</v>
      </c>
      <c r="M60" s="3"/>
      <c r="N60" s="3"/>
      <c r="O60" s="3"/>
      <c r="AC60" s="3"/>
      <c r="AD60" s="3"/>
      <c r="AG60" s="40"/>
      <c r="AH60" s="40"/>
      <c r="AK60" s="65" t="s">
        <v>185</v>
      </c>
      <c r="AL60" s="65" t="s">
        <v>186</v>
      </c>
      <c r="AM60" s="65">
        <v>3.7</v>
      </c>
      <c r="AN60" s="65">
        <v>3.7</v>
      </c>
      <c r="AO60" s="65">
        <v>-1.73</v>
      </c>
      <c r="AR60" s="3">
        <v>4.07</v>
      </c>
    </row>
    <row r="61" spans="1:44" ht="15.4" customHeight="1">
      <c r="L61" s="18" t="s">
        <v>187</v>
      </c>
      <c r="M61" s="3"/>
      <c r="N61" s="3"/>
      <c r="O61" s="3"/>
      <c r="AC61" s="3"/>
      <c r="AD61" s="3"/>
      <c r="AG61" s="40"/>
      <c r="AH61" s="40"/>
      <c r="AK61" s="65" t="s">
        <v>188</v>
      </c>
      <c r="AL61" s="65" t="s">
        <v>189</v>
      </c>
      <c r="AM61" s="65">
        <v>4.3099999999999996</v>
      </c>
      <c r="AN61" s="65">
        <v>-2.41</v>
      </c>
      <c r="AO61" s="65">
        <v>-4.1399999999999997</v>
      </c>
      <c r="AR61" s="3">
        <v>4.74</v>
      </c>
    </row>
    <row r="62" spans="1:44" ht="15.4" customHeight="1">
      <c r="O62" s="3"/>
      <c r="AC62" s="3"/>
      <c r="AD62" s="3"/>
      <c r="AG62" s="40"/>
      <c r="AH62" s="40"/>
      <c r="AK62" s="65" t="s">
        <v>190</v>
      </c>
      <c r="AL62" s="65" t="s">
        <v>191</v>
      </c>
      <c r="AM62" s="65">
        <v>4.42</v>
      </c>
      <c r="AN62" s="65">
        <v>1.46</v>
      </c>
      <c r="AO62" s="65">
        <v>-2.68</v>
      </c>
      <c r="AR62" s="3">
        <v>4.87</v>
      </c>
    </row>
    <row r="63" spans="1:44" ht="15.4" customHeight="1">
      <c r="P63" s="15" t="s">
        <v>192</v>
      </c>
      <c r="Q63" s="15" t="s">
        <v>193</v>
      </c>
      <c r="R63" s="15">
        <v>608130222</v>
      </c>
      <c r="S63" s="15">
        <v>1</v>
      </c>
      <c r="T63" s="15" t="s">
        <v>27</v>
      </c>
      <c r="U63" s="15" t="s">
        <v>194</v>
      </c>
      <c r="V63" s="15" t="s">
        <v>28</v>
      </c>
      <c r="W63" s="15"/>
      <c r="X63" s="15" t="s">
        <v>195</v>
      </c>
      <c r="AC63" s="3"/>
      <c r="AD63" s="3"/>
      <c r="AG63" s="40"/>
      <c r="AH63" s="40"/>
      <c r="AK63" s="66" t="s">
        <v>196</v>
      </c>
      <c r="AL63" s="67" t="s">
        <v>197</v>
      </c>
      <c r="AM63" s="65">
        <v>11.87</v>
      </c>
      <c r="AN63" s="65">
        <v>9.11</v>
      </c>
      <c r="AO63" s="67">
        <v>6.43</v>
      </c>
      <c r="AP63">
        <f>AO63</f>
        <v>6.43</v>
      </c>
      <c r="AR63" s="68">
        <v>13.04</v>
      </c>
    </row>
    <row r="64" spans="1:44" ht="15.4" customHeight="1">
      <c r="X64" t="s">
        <v>198</v>
      </c>
      <c r="AC64" s="3"/>
      <c r="AD64" s="3"/>
      <c r="AG64" s="40"/>
      <c r="AH64" s="40"/>
      <c r="AK64" s="66" t="s">
        <v>199</v>
      </c>
      <c r="AL64" s="67" t="s">
        <v>200</v>
      </c>
      <c r="AM64" s="65">
        <v>11.16</v>
      </c>
      <c r="AN64" s="65">
        <v>11.16</v>
      </c>
      <c r="AO64" s="67">
        <v>11.16</v>
      </c>
      <c r="AP64" s="69">
        <f>AP63+AO64</f>
        <v>17.59</v>
      </c>
      <c r="AR64" s="3">
        <v>12.28</v>
      </c>
    </row>
    <row r="65" spans="2:47" ht="15.4" customHeight="1" thickBot="1">
      <c r="X65" t="s">
        <v>201</v>
      </c>
      <c r="AC65" s="3"/>
      <c r="AD65" s="3"/>
      <c r="AE65" s="3"/>
      <c r="AH65" s="40"/>
      <c r="AI65" s="40"/>
      <c r="AL65" s="65" t="s">
        <v>202</v>
      </c>
      <c r="AM65" s="65" t="s">
        <v>203</v>
      </c>
      <c r="AN65" s="65">
        <v>0</v>
      </c>
      <c r="AO65" s="65">
        <v>0</v>
      </c>
      <c r="AP65" s="70">
        <v>0</v>
      </c>
      <c r="AS65" s="3"/>
    </row>
    <row r="66" spans="2:47" ht="15.4" customHeight="1" thickBot="1">
      <c r="P66" s="9">
        <v>25118</v>
      </c>
      <c r="Q66" s="7"/>
      <c r="R66" s="7"/>
      <c r="S66" s="8"/>
      <c r="T66" s="3"/>
      <c r="U66" s="19">
        <f>Q55</f>
        <v>0</v>
      </c>
      <c r="V66" s="18"/>
      <c r="W66" s="25"/>
      <c r="X66" s="26"/>
      <c r="Y66" s="3"/>
      <c r="Z66" s="5"/>
      <c r="AA66" s="5"/>
      <c r="AB66" s="5"/>
      <c r="AC66" s="20"/>
      <c r="AD66" s="20"/>
      <c r="AE66" s="20"/>
      <c r="AH66" t="s">
        <v>204</v>
      </c>
      <c r="AI66" t="s">
        <v>121</v>
      </c>
      <c r="AL66" s="65" t="s">
        <v>205</v>
      </c>
      <c r="AM66" s="65" t="s">
        <v>206</v>
      </c>
      <c r="AN66" s="65">
        <v>0</v>
      </c>
      <c r="AO66" s="65">
        <v>0</v>
      </c>
      <c r="AP66" s="70">
        <v>0</v>
      </c>
      <c r="AS66" s="3"/>
    </row>
    <row r="67" spans="2:47" ht="15.4" customHeight="1">
      <c r="H67" t="s">
        <v>53</v>
      </c>
      <c r="P67" s="12" t="s">
        <v>122</v>
      </c>
      <c r="Q67" s="11" t="s">
        <v>5</v>
      </c>
      <c r="R67" s="12" t="s">
        <v>6</v>
      </c>
      <c r="S67" s="12" t="s">
        <v>7</v>
      </c>
      <c r="T67" s="13" t="s">
        <v>8</v>
      </c>
      <c r="U67" s="3" t="s">
        <v>22</v>
      </c>
      <c r="V67" s="13" t="s">
        <v>25</v>
      </c>
      <c r="W67" s="12" t="s">
        <v>26</v>
      </c>
      <c r="X67" s="12" t="s">
        <v>9</v>
      </c>
      <c r="Y67" s="3"/>
      <c r="Z67" s="5"/>
      <c r="AA67" s="20" t="s">
        <v>124</v>
      </c>
      <c r="AB67" s="20" t="s">
        <v>125</v>
      </c>
      <c r="AC67" t="s">
        <v>207</v>
      </c>
      <c r="AD67" t="s">
        <v>208</v>
      </c>
      <c r="AH67" t="s">
        <v>37</v>
      </c>
      <c r="AJ67" s="48"/>
      <c r="AL67" s="67" t="s">
        <v>209</v>
      </c>
      <c r="AM67" s="66" t="s">
        <v>210</v>
      </c>
      <c r="AN67" s="65">
        <v>3.19</v>
      </c>
      <c r="AO67" s="65">
        <v>3.19</v>
      </c>
      <c r="AP67" s="67">
        <v>3.19</v>
      </c>
      <c r="AQ67">
        <f>AP64+AP67</f>
        <v>20.78</v>
      </c>
      <c r="AS67" s="3">
        <v>3.5</v>
      </c>
    </row>
    <row r="68" spans="2:47" ht="15.4" customHeight="1">
      <c r="L68" s="206" t="str" cm="1">
        <f t="array" aca="1" ref="L68" ca="1">MID(met2utc(Q69),3,12)</f>
        <v>25-107/03:01</v>
      </c>
      <c r="M68" s="206" t="str" cm="1">
        <f t="array" aca="1" ref="M68" ca="1">MID(met2utc(R69),3,12)</f>
        <v>25-115/23:53</v>
      </c>
      <c r="P68" s="45" t="s">
        <v>211</v>
      </c>
      <c r="Q68" s="45" t="s">
        <v>212</v>
      </c>
      <c r="R68" s="45">
        <v>607931101</v>
      </c>
      <c r="S68" s="45">
        <v>1</v>
      </c>
      <c r="T68" s="45" t="s">
        <v>27</v>
      </c>
      <c r="U68" s="45" t="s">
        <v>213</v>
      </c>
      <c r="V68" s="45" t="s">
        <v>118</v>
      </c>
      <c r="W68" s="45"/>
      <c r="X68" s="45" t="s">
        <v>214</v>
      </c>
      <c r="Y68" s="48"/>
      <c r="Z68" s="48"/>
      <c r="AA68" s="48"/>
      <c r="AB68" s="48"/>
      <c r="AC68" s="47"/>
      <c r="AD68" s="47"/>
      <c r="AE68" s="47"/>
      <c r="AF68" s="48"/>
      <c r="AL68" s="71" t="s">
        <v>215</v>
      </c>
      <c r="AM68" s="71" t="s">
        <v>216</v>
      </c>
      <c r="AN68" s="65">
        <v>6.36</v>
      </c>
      <c r="AO68" s="65">
        <v>6.36</v>
      </c>
      <c r="AP68" s="72">
        <v>6.36</v>
      </c>
      <c r="AQ68">
        <f>AQ67+AP68</f>
        <v>27.14</v>
      </c>
      <c r="AS68" s="3">
        <v>6.99</v>
      </c>
    </row>
    <row r="69" spans="2:47" ht="15.4" customHeight="1">
      <c r="L69" s="47" t="s">
        <v>217</v>
      </c>
      <c r="M69" s="47" t="s">
        <v>218</v>
      </c>
      <c r="N69" s="73" t="s">
        <v>219</v>
      </c>
      <c r="O69" s="47"/>
      <c r="P69" s="32" t="s">
        <v>220</v>
      </c>
      <c r="Q69" s="58">
        <f>R56-1</f>
        <v>607164813.48952889</v>
      </c>
      <c r="R69" s="61">
        <f>R68+20</f>
        <v>607931121</v>
      </c>
      <c r="S69" s="21">
        <f>R69-Q69</f>
        <v>766307.51047110558</v>
      </c>
      <c r="T69" s="21">
        <f>S69*$V$9</f>
        <v>2927294.6899996232</v>
      </c>
      <c r="U69" s="3">
        <v>0</v>
      </c>
      <c r="V69" s="27">
        <f>T69+U69*$V$38</f>
        <v>2927294.6899996232</v>
      </c>
      <c r="W69" s="20">
        <f>Y69*1000000/8</f>
        <v>2857250.0000000005</v>
      </c>
      <c r="X69" s="22">
        <f>W69-V69</f>
        <v>-70044.689999622758</v>
      </c>
      <c r="Y69" s="74">
        <f>1.1*(AO63+AO64+AP67)</f>
        <v>22.858000000000004</v>
      </c>
      <c r="Z69" s="33" t="s">
        <v>221</v>
      </c>
      <c r="AA69" s="56">
        <f>S69*$S$9</f>
        <v>1065941.2859702141</v>
      </c>
      <c r="AB69" s="57">
        <f>AA69*8/1000000</f>
        <v>8.5275302877617118</v>
      </c>
      <c r="AC69" s="56">
        <f>AA69-V69</f>
        <v>-1861353.4040294092</v>
      </c>
      <c r="AD69" s="50">
        <f>AB69-Y69</f>
        <v>-14.330469712238292</v>
      </c>
      <c r="AE69" s="50"/>
      <c r="AF69" s="31" t="s">
        <v>222</v>
      </c>
      <c r="AG69" s="49" t="s">
        <v>223</v>
      </c>
      <c r="AH69" s="40">
        <f>X69*8/1000000</f>
        <v>-0.56035751999698202</v>
      </c>
      <c r="AI69" s="40">
        <f>V69*8/1000000</f>
        <v>23.418357519996984</v>
      </c>
      <c r="AJ69" s="63"/>
      <c r="AL69" s="71" t="s">
        <v>224</v>
      </c>
      <c r="AM69" s="71" t="s">
        <v>225</v>
      </c>
      <c r="AN69" s="65">
        <v>8.57</v>
      </c>
      <c r="AO69" s="65">
        <v>8.57</v>
      </c>
      <c r="AP69" s="72">
        <v>8.57</v>
      </c>
      <c r="AQ69">
        <f>AQ68+AP69</f>
        <v>35.71</v>
      </c>
      <c r="AS69" s="3">
        <v>9.43</v>
      </c>
    </row>
    <row r="70" spans="2:47" ht="15.4" customHeight="1">
      <c r="C70" s="75" t="s">
        <v>226</v>
      </c>
      <c r="D70" s="75" t="s">
        <v>227</v>
      </c>
      <c r="E70" s="75" t="s">
        <v>51</v>
      </c>
      <c r="F70" s="75" t="s">
        <v>49</v>
      </c>
      <c r="G70" s="75" t="s">
        <v>50</v>
      </c>
      <c r="H70" s="75" t="s">
        <v>53</v>
      </c>
      <c r="I70" s="75" t="s">
        <v>54</v>
      </c>
      <c r="J70" s="75" t="s">
        <v>228</v>
      </c>
      <c r="K70" t="s">
        <v>825</v>
      </c>
      <c r="L70" s="202" t="str" cm="1">
        <f t="array" aca="1" ref="L70" ca="1">MID(met2utc(Q71),3,12)</f>
        <v>25-107/03:16</v>
      </c>
      <c r="M70" s="206" t="str" cm="1">
        <f t="array" aca="1" ref="M70" ca="1">MID(met2utc(R71),3,12)</f>
        <v>25-115/23:57</v>
      </c>
      <c r="P70" s="15" t="s">
        <v>229</v>
      </c>
      <c r="Q70" s="15" t="s">
        <v>230</v>
      </c>
      <c r="R70" s="15">
        <v>607931322</v>
      </c>
      <c r="S70" s="15">
        <v>1</v>
      </c>
      <c r="T70" s="15" t="s">
        <v>27</v>
      </c>
      <c r="U70" s="15" t="s">
        <v>213</v>
      </c>
      <c r="V70" s="15" t="s">
        <v>28</v>
      </c>
      <c r="W70" s="15"/>
      <c r="X70" s="15" t="s">
        <v>231</v>
      </c>
      <c r="Y70" s="60"/>
      <c r="Z70" s="60"/>
      <c r="AA70" s="60"/>
      <c r="AB70" s="60"/>
      <c r="AC70" s="59"/>
      <c r="AD70" s="59"/>
      <c r="AE70" s="59"/>
      <c r="AH70" s="40"/>
      <c r="AI70" s="40"/>
      <c r="AL70" s="65" t="s">
        <v>232</v>
      </c>
      <c r="AM70" s="65" t="s">
        <v>233</v>
      </c>
      <c r="AN70" s="65">
        <v>0</v>
      </c>
      <c r="AO70" s="65">
        <v>0</v>
      </c>
      <c r="AP70" s="70">
        <v>0</v>
      </c>
      <c r="AS70" s="3"/>
    </row>
    <row r="71" spans="2:47" ht="15.4" customHeight="1">
      <c r="B71">
        <v>102</v>
      </c>
      <c r="C71">
        <v>101</v>
      </c>
      <c r="E71" t="s">
        <v>51</v>
      </c>
      <c r="F71" t="s">
        <v>49</v>
      </c>
      <c r="G71" t="s">
        <v>50</v>
      </c>
      <c r="H71" t="s">
        <v>53</v>
      </c>
      <c r="L71" s="59" t="s">
        <v>168</v>
      </c>
      <c r="M71" s="59" t="s">
        <v>234</v>
      </c>
      <c r="N71" s="76" t="s">
        <v>235</v>
      </c>
      <c r="O71" s="59"/>
      <c r="P71" s="32" t="s">
        <v>236</v>
      </c>
      <c r="Q71" s="58">
        <f>R54-1</f>
        <v>607165733.06575108</v>
      </c>
      <c r="R71" s="61">
        <f>R70+20</f>
        <v>607931342</v>
      </c>
      <c r="S71" s="21">
        <f>R71-Q71</f>
        <v>765608.93424892426</v>
      </c>
      <c r="T71" s="21">
        <f>S71*$V$10</f>
        <v>3717609.5700257518</v>
      </c>
      <c r="U71" s="3">
        <v>0</v>
      </c>
      <c r="V71" s="27">
        <f>T71+U71*$V$38</f>
        <v>3717609.5700257518</v>
      </c>
      <c r="W71" s="20">
        <f>Y71*1000000/8+X69</f>
        <v>5179705.3100003786</v>
      </c>
      <c r="X71" s="22">
        <f>W71-V71</f>
        <v>1462095.7399746268</v>
      </c>
      <c r="Y71" s="77">
        <f>1.1*(AP68+AP69+AP74+AP75)</f>
        <v>41.998000000000005</v>
      </c>
      <c r="Z71" s="33" t="s">
        <v>237</v>
      </c>
      <c r="AA71" s="50">
        <v>1654428</v>
      </c>
      <c r="AB71" s="56">
        <f>AA71-T71</f>
        <v>-2063181.5700257518</v>
      </c>
      <c r="AC71" s="62">
        <f>(AB71/8)/1000000</f>
        <v>-0.25789769625321896</v>
      </c>
      <c r="AD71" s="62"/>
      <c r="AE71" s="50"/>
      <c r="AF71" s="31" t="s">
        <v>238</v>
      </c>
      <c r="AG71" s="34" t="s">
        <v>239</v>
      </c>
      <c r="AH71" s="40">
        <f>X71*8/1000000</f>
        <v>11.696765919797015</v>
      </c>
      <c r="AI71" s="40">
        <f>V71*8/1000000</f>
        <v>29.740876560206015</v>
      </c>
      <c r="AL71" s="65" t="s">
        <v>240</v>
      </c>
      <c r="AM71" s="65" t="s">
        <v>241</v>
      </c>
      <c r="AN71" s="65">
        <v>0</v>
      </c>
      <c r="AO71" s="65">
        <v>0</v>
      </c>
      <c r="AP71" s="70">
        <v>0</v>
      </c>
      <c r="AS71" s="3"/>
    </row>
    <row r="72" spans="2:47" ht="15.4" customHeight="1">
      <c r="L72" s="207" t="str" cm="1">
        <f t="array" aca="1" ref="L72" ca="1">MID(met2utc(Q73),3,12)</f>
        <v>25-116/08:14</v>
      </c>
      <c r="M72" s="203" t="str" cm="1">
        <f t="array" aca="1" ref="M72" ca="1">MID(met2utc(R73),3,12)</f>
        <v>25-119/08:35</v>
      </c>
      <c r="P72" s="15" t="s">
        <v>242</v>
      </c>
      <c r="Q72" s="15" t="s">
        <v>243</v>
      </c>
      <c r="R72" s="15">
        <v>607961216</v>
      </c>
      <c r="S72" s="15">
        <v>7</v>
      </c>
      <c r="T72" s="15" t="s">
        <v>27</v>
      </c>
      <c r="U72" s="15" t="s">
        <v>244</v>
      </c>
      <c r="V72" s="15" t="s">
        <v>151</v>
      </c>
      <c r="W72" s="15" t="s">
        <v>152</v>
      </c>
      <c r="X72" s="15" t="s">
        <v>245</v>
      </c>
      <c r="Y72" s="60"/>
      <c r="Z72" s="60"/>
      <c r="AA72" s="60"/>
      <c r="AB72" s="60"/>
      <c r="AC72" s="59"/>
      <c r="AD72" s="59"/>
      <c r="AE72" s="59"/>
      <c r="AH72" s="40"/>
      <c r="AI72" s="40"/>
      <c r="AL72" s="65" t="s">
        <v>246</v>
      </c>
      <c r="AM72" s="65" t="s">
        <v>247</v>
      </c>
      <c r="AN72" s="65">
        <v>0</v>
      </c>
      <c r="AO72" s="65">
        <v>0</v>
      </c>
      <c r="AP72" s="70">
        <v>0</v>
      </c>
      <c r="AS72" s="3"/>
    </row>
    <row r="73" spans="2:47" ht="15.4" customHeight="1">
      <c r="B73">
        <v>102</v>
      </c>
      <c r="C73">
        <v>101</v>
      </c>
      <c r="E73" t="s">
        <v>51</v>
      </c>
      <c r="F73" t="s">
        <v>49</v>
      </c>
      <c r="G73" t="s">
        <v>50</v>
      </c>
      <c r="H73" t="s">
        <v>53</v>
      </c>
      <c r="L73" s="59" t="s">
        <v>248</v>
      </c>
      <c r="M73" s="78" t="s">
        <v>249</v>
      </c>
      <c r="N73" s="76" t="s">
        <v>250</v>
      </c>
      <c r="O73" s="59"/>
      <c r="P73" s="32" t="s">
        <v>236</v>
      </c>
      <c r="Q73" s="61">
        <f>R72-20</f>
        <v>607961196</v>
      </c>
      <c r="R73" s="21">
        <f>((W73-U73*$V$38)/$V$10)+Q73</f>
        <v>608221654.09265757</v>
      </c>
      <c r="S73" s="21">
        <f>R73-Q73</f>
        <v>260458.09265756607</v>
      </c>
      <c r="T73" s="21">
        <f>S73*$V$10</f>
        <v>1264720.7399745442</v>
      </c>
      <c r="U73" s="3">
        <v>1</v>
      </c>
      <c r="V73" s="27">
        <f>T73+U73*$V$38</f>
        <v>1462095.7399745442</v>
      </c>
      <c r="W73" s="20">
        <f>X71</f>
        <v>1462095.7399746268</v>
      </c>
      <c r="X73" s="22">
        <f>W73-V73</f>
        <v>8.2654878497123718E-8</v>
      </c>
      <c r="Y73" t="s">
        <v>251</v>
      </c>
      <c r="AA73" s="50">
        <v>334035</v>
      </c>
      <c r="AB73" s="56">
        <f>AA73-T73</f>
        <v>-930685.73997454415</v>
      </c>
      <c r="AC73" s="62">
        <f>(AB73/8)/1000000</f>
        <v>-0.11633571749681802</v>
      </c>
      <c r="AD73" s="62"/>
      <c r="AE73" s="3"/>
      <c r="AF73">
        <f>15*60*4.8624</f>
        <v>4376.16</v>
      </c>
      <c r="AG73" t="s">
        <v>20</v>
      </c>
      <c r="AH73" s="40">
        <f>X73*8/1000000</f>
        <v>6.6123902797698976E-13</v>
      </c>
      <c r="AI73" s="40">
        <f>V73*8/1000000</f>
        <v>11.696765919796354</v>
      </c>
      <c r="AL73" s="65" t="s">
        <v>252</v>
      </c>
      <c r="AM73" s="65" t="s">
        <v>253</v>
      </c>
      <c r="AN73" s="65">
        <v>0</v>
      </c>
      <c r="AO73" s="65">
        <v>0</v>
      </c>
      <c r="AP73" s="70">
        <v>0</v>
      </c>
      <c r="AS73" s="3"/>
    </row>
    <row r="74" spans="2:47" ht="15.4" customHeight="1">
      <c r="L74" s="6" t="s">
        <v>254</v>
      </c>
      <c r="M74" t="s">
        <v>255</v>
      </c>
      <c r="N74" t="s">
        <v>256</v>
      </c>
      <c r="P74" s="45" t="s">
        <v>257</v>
      </c>
      <c r="Q74" s="45" t="s">
        <v>258</v>
      </c>
      <c r="R74" s="45">
        <v>607960737</v>
      </c>
      <c r="S74" s="45">
        <v>7</v>
      </c>
      <c r="T74" s="45" t="s">
        <v>27</v>
      </c>
      <c r="U74" s="45" t="s">
        <v>259</v>
      </c>
      <c r="V74" s="45" t="s">
        <v>101</v>
      </c>
      <c r="W74" s="45" t="s">
        <v>102</v>
      </c>
      <c r="X74" s="45" t="s">
        <v>260</v>
      </c>
      <c r="Y74" s="48"/>
      <c r="Z74" s="48"/>
      <c r="AA74" s="48"/>
      <c r="AB74" s="3"/>
      <c r="AC74" s="3"/>
      <c r="AD74" s="3"/>
      <c r="AE74" s="3"/>
      <c r="AF74" s="3"/>
      <c r="AH74" s="40"/>
      <c r="AI74" s="40"/>
      <c r="AL74" s="71" t="s">
        <v>261</v>
      </c>
      <c r="AM74" s="71" t="s">
        <v>262</v>
      </c>
      <c r="AN74" s="65">
        <v>6.03</v>
      </c>
      <c r="AO74" s="65">
        <v>6.03</v>
      </c>
      <c r="AP74" s="72">
        <v>6.03</v>
      </c>
      <c r="AQ74">
        <f>AQ69+AP74</f>
        <v>41.74</v>
      </c>
      <c r="AS74" s="3">
        <v>6.63</v>
      </c>
    </row>
    <row r="75" spans="2:47" ht="15.4" customHeight="1">
      <c r="L75" s="47" t="s">
        <v>263</v>
      </c>
      <c r="M75" s="47" t="s">
        <v>264</v>
      </c>
      <c r="N75" s="48" t="s">
        <v>265</v>
      </c>
      <c r="O75" s="47"/>
      <c r="P75" s="32" t="s">
        <v>15</v>
      </c>
      <c r="Q75" s="61">
        <f>R74-20</f>
        <v>607960717</v>
      </c>
      <c r="R75" s="61">
        <f>R77+20</f>
        <v>608535921</v>
      </c>
      <c r="S75" s="21">
        <f>R75-Q75</f>
        <v>575204</v>
      </c>
      <c r="T75" s="21">
        <f>S75*$V$9</f>
        <v>2197279.2799999998</v>
      </c>
      <c r="U75" s="3">
        <v>0</v>
      </c>
      <c r="V75" s="27">
        <f>T75+U75*$V$38</f>
        <v>2197279.2799999998</v>
      </c>
      <c r="W75" s="20">
        <f>Y75*1000000/8</f>
        <v>3121250.0000000005</v>
      </c>
      <c r="X75" s="22">
        <f>W75-V75</f>
        <v>923970.72000000067</v>
      </c>
      <c r="Y75" s="79">
        <f>1.1*(AP76+AP77+AP78)</f>
        <v>24.970000000000002</v>
      </c>
      <c r="Z75" s="33" t="s">
        <v>266</v>
      </c>
      <c r="AA75" s="56">
        <f>S75*$S$9</f>
        <v>800114.42283564818</v>
      </c>
      <c r="AB75" s="57">
        <f>AA75*8/1000000</f>
        <v>6.4009153826851852</v>
      </c>
      <c r="AC75" s="56">
        <f>AA75-V75</f>
        <v>-1397164.8571643517</v>
      </c>
      <c r="AD75" s="50">
        <f>AB75-Y75</f>
        <v>-18.569084617314818</v>
      </c>
      <c r="AE75" s="50"/>
      <c r="AF75" t="s">
        <v>30</v>
      </c>
      <c r="AG75" s="48" t="s">
        <v>267</v>
      </c>
      <c r="AH75" s="40">
        <f>X75*8/1000000</f>
        <v>7.3917657600000055</v>
      </c>
      <c r="AI75" s="40">
        <f>V75*8/1000000</f>
        <v>17.578234239999997</v>
      </c>
      <c r="AL75" s="71" t="s">
        <v>268</v>
      </c>
      <c r="AM75" s="71" t="s">
        <v>269</v>
      </c>
      <c r="AN75" s="65">
        <v>17.22</v>
      </c>
      <c r="AO75" s="65">
        <v>17.22</v>
      </c>
      <c r="AP75" s="72">
        <v>17.22</v>
      </c>
      <c r="AQ75">
        <f>AQ74+AP75</f>
        <v>58.96</v>
      </c>
      <c r="AS75" s="3">
        <v>18.940000000000001</v>
      </c>
    </row>
    <row r="76" spans="2:47" ht="15.4" customHeight="1">
      <c r="O76" s="6" t="s">
        <v>270</v>
      </c>
      <c r="P76" s="46" t="s">
        <v>271</v>
      </c>
      <c r="Q76" s="46" t="s">
        <v>272</v>
      </c>
      <c r="R76" s="46">
        <v>608622301</v>
      </c>
      <c r="S76" s="46">
        <v>1</v>
      </c>
      <c r="T76" s="46" t="s">
        <v>27</v>
      </c>
      <c r="U76" s="46" t="s">
        <v>273</v>
      </c>
      <c r="V76" s="46" t="s">
        <v>118</v>
      </c>
      <c r="W76" s="46"/>
      <c r="X76" s="46" t="s">
        <v>274</v>
      </c>
      <c r="Y76">
        <f>(Y75+Y71+Y69)*0.9</f>
        <v>80.843400000000003</v>
      </c>
      <c r="AC76" s="3"/>
      <c r="AD76" s="3"/>
      <c r="AE76" s="3"/>
      <c r="AH76" s="40"/>
      <c r="AI76" s="40"/>
      <c r="AL76" s="80" t="s">
        <v>275</v>
      </c>
      <c r="AM76" s="80" t="s">
        <v>276</v>
      </c>
      <c r="AN76" s="65">
        <v>8.7799999999999994</v>
      </c>
      <c r="AO76" s="65">
        <v>8.7799999999999994</v>
      </c>
      <c r="AP76" s="81">
        <v>8.7799999999999994</v>
      </c>
      <c r="AQ76">
        <f>AQ75+AP76</f>
        <v>67.739999999999995</v>
      </c>
      <c r="AS76" s="3">
        <v>9.66</v>
      </c>
    </row>
    <row r="77" spans="2:47" ht="15.4" customHeight="1">
      <c r="O77" s="6" t="s">
        <v>277</v>
      </c>
      <c r="P77" s="46" t="s">
        <v>278</v>
      </c>
      <c r="Q77" s="46" t="s">
        <v>279</v>
      </c>
      <c r="R77" s="82">
        <f>R76-86400</f>
        <v>608535901</v>
      </c>
      <c r="S77" s="46">
        <v>1</v>
      </c>
      <c r="T77" s="46" t="s">
        <v>27</v>
      </c>
      <c r="U77" s="46" t="s">
        <v>273</v>
      </c>
      <c r="V77" s="46" t="s">
        <v>118</v>
      </c>
      <c r="W77" s="46"/>
      <c r="X77" s="46" t="s">
        <v>274</v>
      </c>
      <c r="Y77" s="48"/>
      <c r="Z77" s="48"/>
      <c r="AA77" s="48"/>
      <c r="AB77" s="48"/>
      <c r="AC77" s="47"/>
      <c r="AD77" s="47"/>
      <c r="AE77" s="47"/>
      <c r="AF77" s="48"/>
      <c r="AH77" s="40"/>
      <c r="AI77" s="40"/>
      <c r="AL77" s="80" t="s">
        <v>280</v>
      </c>
      <c r="AM77" s="80" t="s">
        <v>281</v>
      </c>
      <c r="AN77" s="65">
        <v>6.38</v>
      </c>
      <c r="AO77" s="65">
        <v>6.38</v>
      </c>
      <c r="AP77" s="81">
        <v>6.38</v>
      </c>
      <c r="AQ77">
        <f>AQ76+AP77</f>
        <v>74.11999999999999</v>
      </c>
      <c r="AS77" s="3">
        <v>7.01</v>
      </c>
    </row>
    <row r="78" spans="2:47" ht="15.4" customHeight="1">
      <c r="O78" s="6" t="s">
        <v>282</v>
      </c>
      <c r="P78" s="46" t="s">
        <v>283</v>
      </c>
      <c r="Q78" s="46" t="s">
        <v>284</v>
      </c>
      <c r="R78" s="46">
        <v>608651936</v>
      </c>
      <c r="S78" s="46">
        <v>7</v>
      </c>
      <c r="T78" s="46" t="s">
        <v>27</v>
      </c>
      <c r="U78" s="46" t="s">
        <v>285</v>
      </c>
      <c r="V78" s="46" t="s">
        <v>101</v>
      </c>
      <c r="W78" s="46" t="s">
        <v>102</v>
      </c>
      <c r="X78" s="46" t="s">
        <v>286</v>
      </c>
      <c r="Y78" s="48"/>
      <c r="Z78" s="48"/>
      <c r="AA78" s="48"/>
      <c r="AB78" s="48"/>
      <c r="AC78" s="47"/>
      <c r="AD78" s="47"/>
      <c r="AE78" s="47"/>
      <c r="AF78" s="48"/>
      <c r="AH78" s="40"/>
      <c r="AI78" s="40"/>
      <c r="AL78" s="80" t="s">
        <v>287</v>
      </c>
      <c r="AM78" s="80" t="s">
        <v>288</v>
      </c>
      <c r="AN78" s="65">
        <v>7.54</v>
      </c>
      <c r="AO78" s="65">
        <v>7.54</v>
      </c>
      <c r="AP78" s="81">
        <v>7.54</v>
      </c>
      <c r="AQ78">
        <f>AQ77+AP78</f>
        <v>81.66</v>
      </c>
      <c r="AR78">
        <f>AQ78/2</f>
        <v>40.83</v>
      </c>
      <c r="AS78" s="3">
        <v>8.3000000000000007</v>
      </c>
    </row>
    <row r="79" spans="2:47" ht="15">
      <c r="O79" s="6" t="s">
        <v>277</v>
      </c>
      <c r="P79" s="46" t="s">
        <v>283</v>
      </c>
      <c r="Q79" s="46" t="s">
        <v>289</v>
      </c>
      <c r="R79" s="82">
        <f>R78-86400</f>
        <v>608565536</v>
      </c>
      <c r="S79" s="46">
        <v>7</v>
      </c>
      <c r="T79" s="46" t="s">
        <v>27</v>
      </c>
      <c r="U79" s="46" t="s">
        <v>285</v>
      </c>
      <c r="V79" s="46" t="s">
        <v>101</v>
      </c>
      <c r="W79" s="46" t="s">
        <v>102</v>
      </c>
      <c r="X79" s="46" t="s">
        <v>286</v>
      </c>
      <c r="Y79" s="48"/>
      <c r="Z79" s="48"/>
      <c r="AA79" s="48"/>
      <c r="AB79" s="48"/>
      <c r="AC79" s="47"/>
      <c r="AD79" s="47"/>
      <c r="AE79" s="47"/>
      <c r="AF79" s="48"/>
      <c r="AH79" s="40"/>
      <c r="AI79" s="40"/>
    </row>
    <row r="80" spans="2:47" ht="15.75">
      <c r="L80" s="47" t="s">
        <v>1262</v>
      </c>
      <c r="M80" s="47" t="s">
        <v>291</v>
      </c>
      <c r="N80" s="48" t="s">
        <v>292</v>
      </c>
      <c r="O80" s="47"/>
      <c r="P80" s="32" t="s">
        <v>15</v>
      </c>
      <c r="Q80" s="61">
        <f>R79-20</f>
        <v>608565516</v>
      </c>
      <c r="R80" s="28">
        <f>((W80)/$V$9)+Q80</f>
        <v>608807393.15183246</v>
      </c>
      <c r="S80" s="21">
        <f>R80-Q80</f>
        <v>241877.15183246136</v>
      </c>
      <c r="T80" s="21">
        <f>S80*$V$9</f>
        <v>923970.7200000023</v>
      </c>
      <c r="U80" s="3">
        <v>0</v>
      </c>
      <c r="V80" s="27">
        <f>T80+U80*$V$38</f>
        <v>923970.7200000023</v>
      </c>
      <c r="W80" s="20">
        <f>X75</f>
        <v>923970.72000000067</v>
      </c>
      <c r="X80" s="22">
        <f>W80-V80</f>
        <v>-1.6298145055770874E-9</v>
      </c>
      <c r="Y80">
        <f>SUM(Y69:Y75)</f>
        <v>89.826000000000008</v>
      </c>
      <c r="AA80" s="56">
        <f>S80*$S$9</f>
        <v>336453.49777741509</v>
      </c>
      <c r="AB80" s="57">
        <f>AA80*8/1000000</f>
        <v>2.6916279822193205</v>
      </c>
      <c r="AC80" s="56">
        <f>AA80-V80</f>
        <v>-587517.22222258721</v>
      </c>
      <c r="AD80" s="50">
        <f>AB80-Y80</f>
        <v>-87.134372017780692</v>
      </c>
      <c r="AE80" s="50"/>
      <c r="AG80" s="48" t="s">
        <v>293</v>
      </c>
      <c r="AH80" s="40">
        <f>X80*8/1000000</f>
        <v>-1.3038516044616699E-14</v>
      </c>
      <c r="AI80" s="40">
        <f>V80*8/1000000</f>
        <v>7.3917657600000188</v>
      </c>
      <c r="AU80" s="3"/>
    </row>
    <row r="81" spans="1:43" ht="15">
      <c r="Z81" s="59">
        <f>Y71</f>
        <v>41.998000000000005</v>
      </c>
      <c r="AB81" s="64">
        <f>AB80+AB75+AB69</f>
        <v>17.620073652666218</v>
      </c>
      <c r="AC81" s="3"/>
      <c r="AD81" s="3"/>
      <c r="AE81" s="3"/>
      <c r="AH81" s="40"/>
      <c r="AI81" s="40"/>
    </row>
    <row r="82" spans="1:43" ht="15">
      <c r="X82" t="s">
        <v>198</v>
      </c>
      <c r="AB82" t="s">
        <v>179</v>
      </c>
      <c r="AC82" s="3"/>
      <c r="AD82" s="3"/>
      <c r="AE82" s="3"/>
      <c r="AH82" s="40"/>
      <c r="AI82" s="40"/>
    </row>
    <row r="83" spans="1:43" ht="15">
      <c r="P83" t="s">
        <v>294</v>
      </c>
      <c r="X83" t="s">
        <v>295</v>
      </c>
      <c r="AC83" s="3"/>
      <c r="AD83" s="3"/>
      <c r="AE83" s="3"/>
      <c r="AH83" s="40"/>
      <c r="AI83" s="40"/>
    </row>
    <row r="84" spans="1:43" ht="15">
      <c r="P84" s="15" t="s">
        <v>192</v>
      </c>
      <c r="Q84" s="15" t="s">
        <v>193</v>
      </c>
      <c r="R84" s="15">
        <v>608130222</v>
      </c>
      <c r="S84" s="15">
        <v>1</v>
      </c>
      <c r="T84" s="15" t="s">
        <v>27</v>
      </c>
      <c r="U84" s="15" t="s">
        <v>194</v>
      </c>
      <c r="V84" s="15" t="s">
        <v>28</v>
      </c>
      <c r="W84" s="15"/>
      <c r="X84" s="15" t="s">
        <v>195</v>
      </c>
      <c r="Y84" s="60"/>
      <c r="Z84" s="60"/>
      <c r="AA84" s="60"/>
      <c r="AB84" s="60"/>
      <c r="AC84" s="59"/>
      <c r="AD84" s="59"/>
      <c r="AE84" s="59"/>
      <c r="AH84" s="40"/>
      <c r="AI84" s="40"/>
    </row>
    <row r="85" spans="1:43" ht="15.75" thickBot="1">
      <c r="P85" s="15" t="s">
        <v>296</v>
      </c>
      <c r="Q85" s="15" t="s">
        <v>297</v>
      </c>
      <c r="R85" s="15">
        <v>608131016</v>
      </c>
      <c r="S85" s="15">
        <v>7</v>
      </c>
      <c r="T85" s="15" t="s">
        <v>27</v>
      </c>
      <c r="U85" s="15" t="s">
        <v>298</v>
      </c>
      <c r="V85" s="15" t="s">
        <v>151</v>
      </c>
      <c r="W85" s="15" t="s">
        <v>152</v>
      </c>
      <c r="X85" s="15" t="s">
        <v>299</v>
      </c>
      <c r="Y85" s="60"/>
      <c r="Z85" s="60"/>
      <c r="AA85" s="60"/>
      <c r="AB85" s="60"/>
      <c r="AC85" s="59"/>
      <c r="AD85" s="59"/>
      <c r="AE85" s="59"/>
      <c r="AH85" s="40"/>
      <c r="AI85" s="40"/>
    </row>
    <row r="86" spans="1:43" ht="15.75" thickBot="1">
      <c r="P86" s="9">
        <v>25139</v>
      </c>
      <c r="Q86" s="7"/>
      <c r="R86" s="7"/>
      <c r="S86" s="8"/>
      <c r="T86" s="3"/>
      <c r="U86" s="19"/>
      <c r="V86" s="18"/>
      <c r="W86" s="25"/>
      <c r="X86" s="26"/>
      <c r="AC86" s="3" t="s">
        <v>147</v>
      </c>
      <c r="AD86" s="3"/>
      <c r="AE86" s="3"/>
      <c r="AN86" s="3"/>
    </row>
    <row r="87" spans="1:43" ht="15">
      <c r="L87" t="s">
        <v>300</v>
      </c>
      <c r="P87" s="12" t="s">
        <v>122</v>
      </c>
      <c r="Q87" s="11" t="s">
        <v>5</v>
      </c>
      <c r="R87" s="12" t="s">
        <v>6</v>
      </c>
      <c r="S87" s="12" t="s">
        <v>7</v>
      </c>
      <c r="T87" s="13" t="s">
        <v>8</v>
      </c>
      <c r="U87" s="3" t="s">
        <v>22</v>
      </c>
      <c r="V87" s="13" t="s">
        <v>25</v>
      </c>
      <c r="W87" s="12" t="s">
        <v>26</v>
      </c>
      <c r="X87" s="12" t="s">
        <v>9</v>
      </c>
      <c r="AB87" s="3" t="s">
        <v>154</v>
      </c>
      <c r="AC87" s="3" t="s">
        <v>155</v>
      </c>
      <c r="AD87" s="3" t="s">
        <v>156</v>
      </c>
      <c r="AE87" s="3"/>
      <c r="AN87" s="4"/>
    </row>
    <row r="88" spans="1:43" ht="30">
      <c r="L88" t="s">
        <v>301</v>
      </c>
      <c r="P88" s="16" t="s">
        <v>302</v>
      </c>
      <c r="Q88" s="16" t="s">
        <v>303</v>
      </c>
      <c r="R88" s="16">
        <v>608536122</v>
      </c>
      <c r="S88" s="16">
        <v>1</v>
      </c>
      <c r="T88" s="16" t="s">
        <v>27</v>
      </c>
      <c r="U88" s="16" t="s">
        <v>304</v>
      </c>
      <c r="V88" s="16" t="s">
        <v>28</v>
      </c>
      <c r="W88" s="16"/>
      <c r="X88" s="16" t="s">
        <v>305</v>
      </c>
      <c r="Y88" s="60"/>
      <c r="Z88" s="60"/>
      <c r="AA88" s="60"/>
      <c r="AB88" s="60"/>
      <c r="AC88" s="59"/>
      <c r="AD88" s="59"/>
      <c r="AE88" s="59"/>
      <c r="AH88" t="s">
        <v>306</v>
      </c>
      <c r="AI88" t="s">
        <v>121</v>
      </c>
      <c r="AL88" s="83" t="s">
        <v>307</v>
      </c>
      <c r="AM88" s="83" t="s">
        <v>308</v>
      </c>
      <c r="AN88" s="83" t="s">
        <v>309</v>
      </c>
      <c r="AO88" s="83" t="s">
        <v>310</v>
      </c>
      <c r="AP88" s="83" t="s">
        <v>311</v>
      </c>
    </row>
    <row r="89" spans="1:43" ht="30">
      <c r="B89">
        <v>102</v>
      </c>
      <c r="C89">
        <v>101</v>
      </c>
      <c r="E89" t="s">
        <v>51</v>
      </c>
      <c r="F89" t="s">
        <v>49</v>
      </c>
      <c r="G89" t="s">
        <v>50</v>
      </c>
      <c r="H89" t="s">
        <v>53</v>
      </c>
      <c r="L89" s="59" t="s">
        <v>249</v>
      </c>
      <c r="M89" s="59" t="s">
        <v>312</v>
      </c>
      <c r="N89" s="76" t="s">
        <v>18</v>
      </c>
      <c r="O89" s="84" t="s">
        <v>313</v>
      </c>
      <c r="P89" s="32" t="s">
        <v>16</v>
      </c>
      <c r="Q89" s="85">
        <f>R73-1</f>
        <v>608221653.09265757</v>
      </c>
      <c r="R89" s="86">
        <f>R88+20</f>
        <v>608536142</v>
      </c>
      <c r="S89" s="21">
        <f>R89-Q89</f>
        <v>314488.90734243393</v>
      </c>
      <c r="T89" s="21">
        <f>S89*$V$10</f>
        <v>1527081.1497910847</v>
      </c>
      <c r="U89" s="3">
        <v>1</v>
      </c>
      <c r="V89" s="27">
        <f>T89+U89*$V$38</f>
        <v>1724456.1497910847</v>
      </c>
      <c r="W89" s="20">
        <f>Y89*1000000/8</f>
        <v>2076250</v>
      </c>
      <c r="X89" s="332">
        <f>W89-V89</f>
        <v>351793.8502089153</v>
      </c>
      <c r="Y89" s="77">
        <f>1.1*AN89</f>
        <v>16.61</v>
      </c>
      <c r="Z89" s="33"/>
      <c r="AA89" s="33"/>
      <c r="AB89" s="50">
        <v>1612718</v>
      </c>
      <c r="AC89" s="50">
        <f>AB89-V89</f>
        <v>-111738.1497910847</v>
      </c>
      <c r="AD89" s="88">
        <f>AC89*8/1000000</f>
        <v>-0.89390519832867754</v>
      </c>
      <c r="AE89" s="62">
        <f>AC89/AB89</f>
        <v>-6.9285609629882408E-2</v>
      </c>
      <c r="AF89" s="31" t="s">
        <v>314</v>
      </c>
      <c r="AG89" s="34" t="s">
        <v>313</v>
      </c>
      <c r="AH89" s="40">
        <f>X89*8/1000000</f>
        <v>2.8143508016713223</v>
      </c>
      <c r="AI89" s="40">
        <f>V89*8/1000000</f>
        <v>13.795649198328677</v>
      </c>
      <c r="AL89" s="89" t="s">
        <v>315</v>
      </c>
      <c r="AM89" s="89" t="s">
        <v>316</v>
      </c>
      <c r="AN89" s="89">
        <v>15.1</v>
      </c>
      <c r="AO89" s="89">
        <v>15.1</v>
      </c>
      <c r="AP89" s="89">
        <v>15.1</v>
      </c>
      <c r="AQ89">
        <f>AP89</f>
        <v>15.1</v>
      </c>
    </row>
    <row r="90" spans="1:43" ht="15">
      <c r="L90" s="207" t="str" cm="1">
        <f t="array" aca="1" ref="L90" ca="1">MID(met2utc(Q91),3,12)</f>
        <v>25-123/08:15</v>
      </c>
      <c r="M90" s="203" t="str" cm="1">
        <f t="array" aca="1" ref="M90" ca="1">MID(met2utc(R91),3,12)</f>
        <v>25-123/17:05</v>
      </c>
      <c r="P90" s="16" t="s">
        <v>317</v>
      </c>
      <c r="Q90" s="16" t="s">
        <v>318</v>
      </c>
      <c r="R90" s="16">
        <v>608566017</v>
      </c>
      <c r="S90" s="16">
        <v>7</v>
      </c>
      <c r="T90" s="16" t="s">
        <v>27</v>
      </c>
      <c r="U90" s="16" t="s">
        <v>319</v>
      </c>
      <c r="V90" s="16" t="s">
        <v>151</v>
      </c>
      <c r="W90" s="16" t="s">
        <v>152</v>
      </c>
      <c r="X90" s="16" t="s">
        <v>320</v>
      </c>
      <c r="Y90" s="60"/>
      <c r="Z90" s="60"/>
      <c r="AA90" s="60"/>
      <c r="AB90" s="78"/>
      <c r="AC90" s="59"/>
      <c r="AD90" s="59"/>
      <c r="AE90" s="90"/>
      <c r="AH90" s="40"/>
      <c r="AI90" s="40"/>
    </row>
    <row r="91" spans="1:43" ht="15.75">
      <c r="A91" s="76" t="s">
        <v>157</v>
      </c>
      <c r="B91">
        <v>102</v>
      </c>
      <c r="C91">
        <v>101</v>
      </c>
      <c r="E91" t="s">
        <v>51</v>
      </c>
      <c r="F91" t="s">
        <v>49</v>
      </c>
      <c r="G91" t="s">
        <v>50</v>
      </c>
      <c r="H91" t="s">
        <v>53</v>
      </c>
      <c r="I91" s="76"/>
      <c r="J91" s="76"/>
      <c r="K91" s="76"/>
      <c r="L91" s="78" t="s">
        <v>321</v>
      </c>
      <c r="M91" s="78" t="s">
        <v>322</v>
      </c>
      <c r="N91" s="76"/>
      <c r="O91" s="84" t="s">
        <v>313</v>
      </c>
      <c r="P91" s="32" t="s">
        <v>16</v>
      </c>
      <c r="Q91" s="91">
        <f>R90+20</f>
        <v>608566037</v>
      </c>
      <c r="R91" s="28">
        <f t="shared" ref="R91:R96" si="36">((W91-U91*$V$38)/$V$10)+Q91</f>
        <v>608597838.20158112</v>
      </c>
      <c r="S91" s="21">
        <f t="shared" ref="S91:S96" si="37">R91-Q91</f>
        <v>31801.201581120491</v>
      </c>
      <c r="T91" s="21">
        <f t="shared" ref="T91:T96" si="38">S91*$V$10</f>
        <v>154418.85020878428</v>
      </c>
      <c r="U91" s="3">
        <v>1</v>
      </c>
      <c r="V91" s="27">
        <f t="shared" ref="V91:V96" si="39">T91+U91*$V$38</f>
        <v>351793.85020878428</v>
      </c>
      <c r="W91" s="20">
        <f>X89</f>
        <v>351793.8502089153</v>
      </c>
      <c r="X91" s="332">
        <f t="shared" ref="X91:X96" si="40">W91-V91</f>
        <v>1.3102544471621513E-7</v>
      </c>
      <c r="AB91" s="50">
        <v>334134</v>
      </c>
      <c r="AC91" s="50">
        <f t="shared" ref="AC91:AC96" si="41">AB91-V91</f>
        <v>-17659.850208784279</v>
      </c>
      <c r="AD91" s="88">
        <f t="shared" ref="AD91:AD96" si="42">AC91*8/1000000</f>
        <v>-0.14127880167027423</v>
      </c>
      <c r="AE91" s="62">
        <f t="shared" ref="AE91:AE96" si="43">AC91/AB91</f>
        <v>-5.2852598684313114E-2</v>
      </c>
      <c r="AF91" s="31" t="s">
        <v>314</v>
      </c>
      <c r="AG91" s="34" t="s">
        <v>313</v>
      </c>
      <c r="AH91" s="40">
        <f t="shared" ref="AH91:AH96" si="44">X91*8/1000000</f>
        <v>1.0482035577297211E-12</v>
      </c>
      <c r="AI91" s="40">
        <f t="shared" ref="AI91:AI96" si="45">V91*8/1000000</f>
        <v>2.8143508016702743</v>
      </c>
    </row>
    <row r="92" spans="1:43" ht="30">
      <c r="B92">
        <v>102</v>
      </c>
      <c r="C92">
        <v>101</v>
      </c>
      <c r="E92" t="s">
        <v>51</v>
      </c>
      <c r="F92" t="s">
        <v>49</v>
      </c>
      <c r="G92" t="s">
        <v>50</v>
      </c>
      <c r="H92" t="s">
        <v>53</v>
      </c>
      <c r="L92" s="78" t="s">
        <v>322</v>
      </c>
      <c r="M92" s="78" t="s">
        <v>323</v>
      </c>
      <c r="O92" s="84" t="s">
        <v>324</v>
      </c>
      <c r="P92" s="32" t="s">
        <v>325</v>
      </c>
      <c r="Q92" s="85">
        <f>R91-1</f>
        <v>608597837.20158112</v>
      </c>
      <c r="R92" s="28">
        <f t="shared" si="36"/>
        <v>608806816.02288961</v>
      </c>
      <c r="S92" s="21">
        <f t="shared" si="37"/>
        <v>208978.82130849361</v>
      </c>
      <c r="T92" s="21">
        <f t="shared" si="38"/>
        <v>1014750.0000000803</v>
      </c>
      <c r="U92" s="3">
        <v>0</v>
      </c>
      <c r="V92" s="27">
        <f t="shared" si="39"/>
        <v>1014750.0000000803</v>
      </c>
      <c r="W92" s="20">
        <f>Y92*1000000/8</f>
        <v>1014750</v>
      </c>
      <c r="X92" s="332">
        <f t="shared" si="40"/>
        <v>-8.0326572060585022E-8</v>
      </c>
      <c r="Y92" s="77">
        <f>1.1*AN92</f>
        <v>8.1180000000000003</v>
      </c>
      <c r="Z92" s="33"/>
      <c r="AA92" s="33"/>
      <c r="AB92" s="50">
        <v>1116266</v>
      </c>
      <c r="AC92" s="50">
        <f t="shared" si="41"/>
        <v>101515.99999991967</v>
      </c>
      <c r="AD92" s="88">
        <f t="shared" si="42"/>
        <v>0.81212799999935736</v>
      </c>
      <c r="AE92" s="62">
        <f t="shared" si="43"/>
        <v>9.0942481451481705E-2</v>
      </c>
      <c r="AF92" s="31" t="s">
        <v>326</v>
      </c>
      <c r="AG92" s="34" t="s">
        <v>324</v>
      </c>
      <c r="AH92" s="40">
        <f t="shared" si="44"/>
        <v>-6.4261257648468014E-13</v>
      </c>
      <c r="AI92" s="40">
        <f t="shared" si="45"/>
        <v>8.1180000000006434</v>
      </c>
      <c r="AJ92" s="3"/>
      <c r="AK92" s="3"/>
      <c r="AL92" s="89" t="s">
        <v>327</v>
      </c>
      <c r="AM92" s="89" t="s">
        <v>328</v>
      </c>
      <c r="AN92" s="89">
        <v>7.38</v>
      </c>
      <c r="AO92" s="89">
        <v>7.38</v>
      </c>
      <c r="AP92" s="89">
        <v>7.38</v>
      </c>
      <c r="AQ92" s="92">
        <f>AQ89+AP92</f>
        <v>22.48</v>
      </c>
    </row>
    <row r="93" spans="1:43" ht="30">
      <c r="B93">
        <v>102</v>
      </c>
      <c r="C93">
        <v>101</v>
      </c>
      <c r="E93" t="s">
        <v>51</v>
      </c>
      <c r="F93" t="s">
        <v>49</v>
      </c>
      <c r="G93" t="s">
        <v>50</v>
      </c>
      <c r="H93" t="s">
        <v>53</v>
      </c>
      <c r="L93" s="78" t="s">
        <v>323</v>
      </c>
      <c r="M93" s="78" t="s">
        <v>329</v>
      </c>
      <c r="O93" s="84" t="s">
        <v>330</v>
      </c>
      <c r="P93" s="32" t="s">
        <v>331</v>
      </c>
      <c r="Q93" s="85">
        <f>R92-1</f>
        <v>608806815.02288961</v>
      </c>
      <c r="R93" s="28">
        <f t="shared" si="36"/>
        <v>608968221.4295913</v>
      </c>
      <c r="S93" s="21">
        <f t="shared" si="37"/>
        <v>161406.406701684</v>
      </c>
      <c r="T93" s="21">
        <f t="shared" si="38"/>
        <v>783750.00000007136</v>
      </c>
      <c r="U93" s="3">
        <v>0</v>
      </c>
      <c r="V93" s="27">
        <f t="shared" si="39"/>
        <v>783750.00000007136</v>
      </c>
      <c r="W93" s="20">
        <f>Y93*1000000/8</f>
        <v>783750</v>
      </c>
      <c r="X93" s="332">
        <f t="shared" si="40"/>
        <v>-7.1362592279911041E-8</v>
      </c>
      <c r="Y93" s="77">
        <f>1.1*AN93</f>
        <v>6.2700000000000005</v>
      </c>
      <c r="Z93" s="33"/>
      <c r="AA93" s="33"/>
      <c r="AB93" s="50">
        <v>862324</v>
      </c>
      <c r="AC93" s="50">
        <f t="shared" si="41"/>
        <v>78573.999999928637</v>
      </c>
      <c r="AD93" s="88">
        <f t="shared" si="42"/>
        <v>0.62859199999942905</v>
      </c>
      <c r="AE93" s="62">
        <f t="shared" si="43"/>
        <v>9.1118883389455285E-2</v>
      </c>
      <c r="AF93" s="31" t="s">
        <v>332</v>
      </c>
      <c r="AG93" s="34" t="s">
        <v>330</v>
      </c>
      <c r="AH93" s="40">
        <f t="shared" si="44"/>
        <v>-5.7090073823928837E-13</v>
      </c>
      <c r="AI93" s="40">
        <f t="shared" si="45"/>
        <v>6.2700000000005707</v>
      </c>
      <c r="AL93" s="89" t="s">
        <v>333</v>
      </c>
      <c r="AM93" s="89" t="s">
        <v>334</v>
      </c>
      <c r="AN93" s="89">
        <v>5.7</v>
      </c>
      <c r="AO93" s="89">
        <v>5.7</v>
      </c>
      <c r="AP93" s="89">
        <v>5.7</v>
      </c>
      <c r="AQ93" s="92">
        <f>AQ92+AP93</f>
        <v>28.18</v>
      </c>
    </row>
    <row r="94" spans="1:43" ht="30">
      <c r="B94">
        <v>102</v>
      </c>
      <c r="C94">
        <v>101</v>
      </c>
      <c r="E94" t="s">
        <v>51</v>
      </c>
      <c r="F94" t="s">
        <v>49</v>
      </c>
      <c r="G94" t="s">
        <v>50</v>
      </c>
      <c r="H94" t="s">
        <v>53</v>
      </c>
      <c r="L94" s="78" t="s">
        <v>329</v>
      </c>
      <c r="M94" s="78" t="s">
        <v>335</v>
      </c>
      <c r="O94" s="84" t="s">
        <v>336</v>
      </c>
      <c r="P94" s="32" t="s">
        <v>337</v>
      </c>
      <c r="Q94" s="85">
        <f>R93-1</f>
        <v>608968220.4295913</v>
      </c>
      <c r="R94" s="28">
        <f t="shared" si="36"/>
        <v>609242044.98271501</v>
      </c>
      <c r="S94" s="21">
        <f t="shared" si="37"/>
        <v>273824.55312371254</v>
      </c>
      <c r="T94" s="21">
        <f t="shared" si="38"/>
        <v>1329625.0000000165</v>
      </c>
      <c r="U94" s="3">
        <v>0</v>
      </c>
      <c r="V94" s="27">
        <f t="shared" si="39"/>
        <v>1329625.0000000165</v>
      </c>
      <c r="W94" s="20">
        <f>Y94*1000000/8</f>
        <v>1329625</v>
      </c>
      <c r="X94" s="332">
        <f t="shared" si="40"/>
        <v>-1.6530975699424744E-8</v>
      </c>
      <c r="Y94" s="77">
        <f>1.1*AN94</f>
        <v>10.637</v>
      </c>
      <c r="Z94" s="33"/>
      <c r="AA94" s="33"/>
      <c r="AB94" s="50">
        <v>1414898</v>
      </c>
      <c r="AC94" s="50">
        <f t="shared" si="41"/>
        <v>85272.999999983469</v>
      </c>
      <c r="AD94" s="88">
        <f t="shared" si="42"/>
        <v>0.68218399999986779</v>
      </c>
      <c r="AE94" s="62">
        <f t="shared" si="43"/>
        <v>6.0267948643636125E-2</v>
      </c>
      <c r="AF94" s="31" t="s">
        <v>338</v>
      </c>
      <c r="AG94" s="34" t="s">
        <v>336</v>
      </c>
      <c r="AH94" s="40">
        <f t="shared" si="44"/>
        <v>-1.3224780559539796E-13</v>
      </c>
      <c r="AI94" s="40">
        <f t="shared" si="45"/>
        <v>10.637000000000132</v>
      </c>
      <c r="AL94" s="89" t="s">
        <v>339</v>
      </c>
      <c r="AM94" s="89" t="s">
        <v>340</v>
      </c>
      <c r="AN94" s="89">
        <v>9.67</v>
      </c>
      <c r="AO94" s="89">
        <v>9.67</v>
      </c>
      <c r="AP94" s="89">
        <v>9.67</v>
      </c>
      <c r="AQ94" s="92">
        <f>AQ93+AP94</f>
        <v>37.85</v>
      </c>
    </row>
    <row r="95" spans="1:43" ht="30">
      <c r="B95">
        <v>102</v>
      </c>
      <c r="C95">
        <v>101</v>
      </c>
      <c r="E95" t="s">
        <v>51</v>
      </c>
      <c r="F95" t="s">
        <v>49</v>
      </c>
      <c r="G95" t="s">
        <v>50</v>
      </c>
      <c r="H95" t="s">
        <v>53</v>
      </c>
      <c r="L95" s="78" t="s">
        <v>335</v>
      </c>
      <c r="M95" s="78" t="s">
        <v>341</v>
      </c>
      <c r="N95" s="17"/>
      <c r="O95" s="84" t="s">
        <v>342</v>
      </c>
      <c r="P95" s="32" t="s">
        <v>343</v>
      </c>
      <c r="Q95" s="85">
        <f>R94-1</f>
        <v>609242043.98271501</v>
      </c>
      <c r="R95" s="28">
        <f t="shared" si="36"/>
        <v>609420723.7066251</v>
      </c>
      <c r="S95" s="21">
        <f t="shared" si="37"/>
        <v>178679.72391009331</v>
      </c>
      <c r="T95" s="21">
        <f t="shared" si="38"/>
        <v>867624.99999999884</v>
      </c>
      <c r="U95" s="3">
        <v>0</v>
      </c>
      <c r="V95" s="27">
        <f t="shared" si="39"/>
        <v>867624.99999999884</v>
      </c>
      <c r="W95" s="20">
        <f>Y95*1000000/8</f>
        <v>867625</v>
      </c>
      <c r="X95" s="332">
        <f t="shared" si="40"/>
        <v>1.1641532182693481E-9</v>
      </c>
      <c r="Y95" s="77">
        <f>1.1*AN95</f>
        <v>6.9409999999999998</v>
      </c>
      <c r="Z95" s="33"/>
      <c r="AA95" s="33"/>
      <c r="AB95" s="50">
        <v>924952</v>
      </c>
      <c r="AC95" s="50">
        <f t="shared" si="41"/>
        <v>57327.000000001164</v>
      </c>
      <c r="AD95" s="88">
        <f t="shared" si="42"/>
        <v>0.45861600000000929</v>
      </c>
      <c r="AE95" s="62">
        <f t="shared" si="43"/>
        <v>6.1978351309042161E-2</v>
      </c>
      <c r="AF95" s="31" t="s">
        <v>344</v>
      </c>
      <c r="AG95" s="34" t="s">
        <v>342</v>
      </c>
      <c r="AH95" s="40">
        <f t="shared" si="44"/>
        <v>9.3132257461547859E-15</v>
      </c>
      <c r="AI95" s="40">
        <f t="shared" si="45"/>
        <v>6.940999999999991</v>
      </c>
      <c r="AL95" s="89" t="s">
        <v>345</v>
      </c>
      <c r="AM95" s="89" t="s">
        <v>346</v>
      </c>
      <c r="AN95" s="89">
        <v>6.31</v>
      </c>
      <c r="AO95" s="89">
        <v>6.31</v>
      </c>
      <c r="AP95" s="89">
        <v>6.31</v>
      </c>
      <c r="AQ95" s="92">
        <f>AQ94+AP95</f>
        <v>44.160000000000004</v>
      </c>
    </row>
    <row r="96" spans="1:43" ht="30">
      <c r="B96">
        <v>102</v>
      </c>
      <c r="C96">
        <v>101</v>
      </c>
      <c r="E96" t="s">
        <v>51</v>
      </c>
      <c r="F96" t="s">
        <v>49</v>
      </c>
      <c r="G96" t="s">
        <v>50</v>
      </c>
      <c r="H96" t="s">
        <v>53</v>
      </c>
      <c r="L96" s="78" t="s">
        <v>341</v>
      </c>
      <c r="M96" s="78" t="s">
        <v>347</v>
      </c>
      <c r="N96" s="17"/>
      <c r="O96" s="84" t="s">
        <v>348</v>
      </c>
      <c r="P96" s="32" t="s">
        <v>349</v>
      </c>
      <c r="Q96" s="85">
        <f>R95-1</f>
        <v>609420722.7066251</v>
      </c>
      <c r="R96" s="28">
        <f t="shared" si="36"/>
        <v>609625453.99091506</v>
      </c>
      <c r="S96" s="21">
        <f t="shared" si="37"/>
        <v>204731.28428995609</v>
      </c>
      <c r="T96" s="21">
        <f t="shared" si="38"/>
        <v>994124.99999972805</v>
      </c>
      <c r="U96" s="3">
        <v>0</v>
      </c>
      <c r="V96" s="27">
        <f t="shared" si="39"/>
        <v>994124.99999972805</v>
      </c>
      <c r="W96" s="20">
        <f>Y96*1000000/8</f>
        <v>994125.00000000012</v>
      </c>
      <c r="X96" s="332">
        <f t="shared" si="40"/>
        <v>2.7206260710954666E-7</v>
      </c>
      <c r="Y96" s="77">
        <f>1.1*AN96</f>
        <v>7.9530000000000012</v>
      </c>
      <c r="Z96" s="93">
        <f>SUM(Y89:Y96)</f>
        <v>56.529000000000011</v>
      </c>
      <c r="AA96" s="50"/>
      <c r="AB96" s="50">
        <v>1063706</v>
      </c>
      <c r="AC96" s="50">
        <f t="shared" si="41"/>
        <v>69581.000000271946</v>
      </c>
      <c r="AD96" s="88">
        <f t="shared" si="42"/>
        <v>0.55664800000217562</v>
      </c>
      <c r="AE96" s="62">
        <f t="shared" si="43"/>
        <v>6.5413751544385335E-2</v>
      </c>
      <c r="AF96" s="31" t="s">
        <v>350</v>
      </c>
      <c r="AG96" s="34" t="s">
        <v>348</v>
      </c>
      <c r="AH96" s="40">
        <f t="shared" si="44"/>
        <v>2.1765008568763734E-12</v>
      </c>
      <c r="AI96" s="40">
        <f t="shared" si="45"/>
        <v>7.9529999999978243</v>
      </c>
      <c r="AL96" s="89" t="s">
        <v>351</v>
      </c>
      <c r="AM96" s="89" t="s">
        <v>352</v>
      </c>
      <c r="AN96" s="89">
        <v>7.23</v>
      </c>
      <c r="AO96" s="89">
        <v>7.23</v>
      </c>
      <c r="AP96" s="89">
        <v>7.23</v>
      </c>
      <c r="AQ96" s="92">
        <f>AQ95+AP96</f>
        <v>51.39</v>
      </c>
    </row>
    <row r="97" spans="1:43" ht="15">
      <c r="L97" s="203" t="str" cm="1">
        <f t="array" aca="1" ref="L97" ca="1">MID(met2utc(Q96),3,12)</f>
        <v>25-133/05:40</v>
      </c>
      <c r="M97" s="203" t="str" cm="1">
        <f t="array" aca="1" ref="M97" ca="1">MID(met2utc(R96),3,12)</f>
        <v>25-135/14:32</v>
      </c>
      <c r="V97">
        <f>23*0.96</f>
        <v>22.08</v>
      </c>
      <c r="W97">
        <f>86400*V97</f>
        <v>1907711.9999999998</v>
      </c>
      <c r="Z97" s="59">
        <f>Y87</f>
        <v>0</v>
      </c>
      <c r="AB97" s="64">
        <f>AB96+AB91+AB85</f>
        <v>1397840</v>
      </c>
      <c r="AC97" s="3"/>
      <c r="AD97" s="3">
        <f>SUM(AD89:AD96)</f>
        <v>2.1029840000018876</v>
      </c>
      <c r="AE97" s="3"/>
      <c r="AH97" s="40"/>
      <c r="AI97" s="40"/>
    </row>
    <row r="98" spans="1:43" ht="15">
      <c r="F98" t="s">
        <v>49</v>
      </c>
      <c r="O98" t="s">
        <v>353</v>
      </c>
      <c r="Q98" s="3">
        <v>590138632</v>
      </c>
      <c r="Y98" s="3"/>
      <c r="Z98" s="5"/>
      <c r="AA98" s="5"/>
      <c r="AB98" s="5"/>
      <c r="AC98" s="20"/>
      <c r="AD98" s="20"/>
      <c r="AE98" s="20"/>
      <c r="AH98" s="40"/>
      <c r="AI98" s="40"/>
    </row>
    <row r="99" spans="1:43" ht="15">
      <c r="M99" t="s">
        <v>354</v>
      </c>
      <c r="P99" s="45" t="s">
        <v>355</v>
      </c>
      <c r="Q99" s="45" t="s">
        <v>356</v>
      </c>
      <c r="R99" s="45">
        <v>590207401</v>
      </c>
      <c r="S99" s="45">
        <v>1</v>
      </c>
      <c r="T99" s="45" t="s">
        <v>27</v>
      </c>
      <c r="U99" s="45" t="s">
        <v>357</v>
      </c>
      <c r="V99" s="45" t="s">
        <v>118</v>
      </c>
      <c r="W99" s="45"/>
      <c r="X99" s="45" t="s">
        <v>358</v>
      </c>
      <c r="Y99" s="48"/>
      <c r="AC99" s="3"/>
      <c r="AD99" s="3"/>
      <c r="AE99" s="3"/>
      <c r="AH99" s="40"/>
      <c r="AI99" s="40"/>
    </row>
    <row r="100" spans="1:43" ht="30">
      <c r="L100" s="94" t="s">
        <v>1261</v>
      </c>
      <c r="M100" s="94" t="s">
        <v>360</v>
      </c>
      <c r="N100" s="73" t="s">
        <v>18</v>
      </c>
      <c r="O100" s="34" t="s">
        <v>361</v>
      </c>
      <c r="P100" s="10" t="s">
        <v>10</v>
      </c>
      <c r="Q100" s="85">
        <f>Q98-3</f>
        <v>590138629</v>
      </c>
      <c r="R100" s="91">
        <f>R99+20</f>
        <v>590207421</v>
      </c>
      <c r="S100" s="21">
        <f>R100-Q100</f>
        <v>68792</v>
      </c>
      <c r="T100" s="21">
        <f>S100*$W$9</f>
        <v>253437.51089120371</v>
      </c>
      <c r="U100" s="3">
        <v>0</v>
      </c>
      <c r="V100" s="27">
        <f>T100+U100*$W$9</f>
        <v>253437.51089120371</v>
      </c>
      <c r="W100" s="20">
        <f>Y100*1000000/8</f>
        <v>396000</v>
      </c>
      <c r="X100" s="332">
        <f>W100-V100</f>
        <v>142562.48910879629</v>
      </c>
      <c r="Y100" s="77">
        <f>1.1*AN100</f>
        <v>3.1680000000000001</v>
      </c>
      <c r="Z100" s="33"/>
      <c r="AA100" s="33"/>
      <c r="AB100" s="50">
        <v>283727</v>
      </c>
      <c r="AC100" s="50">
        <f>AB100-W100</f>
        <v>-112273</v>
      </c>
      <c r="AD100" s="50">
        <f>AC100*8/1000000</f>
        <v>-0.89818399999999998</v>
      </c>
      <c r="AE100" s="50"/>
      <c r="AF100" s="31" t="s">
        <v>362</v>
      </c>
      <c r="AG100" s="34" t="s">
        <v>361</v>
      </c>
      <c r="AH100" s="40">
        <f>X100*8/1000000</f>
        <v>1.1404999128703703</v>
      </c>
      <c r="AI100" s="40">
        <f>V100*8/1000000</f>
        <v>2.0275000871296296</v>
      </c>
      <c r="AL100" s="95" t="s">
        <v>363</v>
      </c>
      <c r="AM100" s="95" t="s">
        <v>364</v>
      </c>
      <c r="AN100" s="95">
        <v>2.88</v>
      </c>
      <c r="AO100" s="95">
        <v>2.88</v>
      </c>
      <c r="AP100" s="95">
        <v>2.88</v>
      </c>
      <c r="AQ100" s="48">
        <f>AP100</f>
        <v>2.88</v>
      </c>
    </row>
    <row r="101" spans="1:43" ht="15">
      <c r="O101" t="s">
        <v>23</v>
      </c>
      <c r="P101" s="46" t="s">
        <v>365</v>
      </c>
      <c r="Q101" s="46" t="s">
        <v>366</v>
      </c>
      <c r="R101" s="46">
        <v>590247116</v>
      </c>
      <c r="S101" s="46">
        <v>7</v>
      </c>
      <c r="T101" s="46" t="s">
        <v>27</v>
      </c>
      <c r="U101" s="46" t="s">
        <v>367</v>
      </c>
      <c r="V101" s="45" t="s">
        <v>101</v>
      </c>
      <c r="W101" s="46" t="s">
        <v>102</v>
      </c>
      <c r="X101" s="46" t="s">
        <v>368</v>
      </c>
      <c r="Y101" s="48"/>
      <c r="Z101" s="48"/>
      <c r="AA101" s="48"/>
      <c r="AB101" s="48"/>
      <c r="AC101" s="47"/>
      <c r="AD101" s="47"/>
      <c r="AE101" s="47"/>
      <c r="AG101" t="s">
        <v>23</v>
      </c>
      <c r="AH101" s="40"/>
      <c r="AI101" s="40"/>
    </row>
    <row r="102" spans="1:43" ht="15.75">
      <c r="A102" s="73" t="s">
        <v>157</v>
      </c>
      <c r="B102" s="73"/>
      <c r="C102" s="73"/>
      <c r="D102" s="73"/>
      <c r="E102" s="73"/>
      <c r="F102" s="73"/>
      <c r="G102" s="73"/>
      <c r="H102" s="73"/>
      <c r="I102" s="73"/>
      <c r="J102" s="73"/>
      <c r="K102" s="73"/>
      <c r="L102" s="94" t="s">
        <v>369</v>
      </c>
      <c r="M102" s="94" t="s">
        <v>370</v>
      </c>
      <c r="N102" t="s">
        <v>1259</v>
      </c>
      <c r="O102" s="34" t="s">
        <v>361</v>
      </c>
      <c r="P102" s="32" t="s">
        <v>10</v>
      </c>
      <c r="Q102" s="91">
        <f>R101-20</f>
        <v>590247096</v>
      </c>
      <c r="R102" s="28">
        <f t="shared" ref="R102:R107" si="46">((W102)/$W$9)+Q102</f>
        <v>590285792.5556767</v>
      </c>
      <c r="S102" s="21">
        <f t="shared" ref="S102:S107" si="47">R102-Q102</f>
        <v>38696.555676698685</v>
      </c>
      <c r="T102" s="21">
        <f t="shared" ref="T102:T107" si="48">S102*$W$9</f>
        <v>142562.48910869568</v>
      </c>
      <c r="U102" s="3">
        <v>0</v>
      </c>
      <c r="V102" s="27">
        <f t="shared" ref="V102:V107" si="49">T102+U102*$V$38</f>
        <v>142562.48910869568</v>
      </c>
      <c r="W102" s="20">
        <f>X100</f>
        <v>142562.48910879629</v>
      </c>
      <c r="X102" s="332">
        <f t="shared" ref="X102:X107" si="50">W102-V102</f>
        <v>1.0061194188892841E-7</v>
      </c>
      <c r="AB102" s="50">
        <v>191209</v>
      </c>
      <c r="AC102" s="50">
        <f t="shared" ref="AC102:AC107" si="51">AB102-W102</f>
        <v>48646.51089120371</v>
      </c>
      <c r="AD102" s="50">
        <f t="shared" ref="AD102:AD107" si="52">AC102*8/1000000</f>
        <v>0.3891720871296297</v>
      </c>
      <c r="AE102" s="50"/>
      <c r="AH102" s="40">
        <f t="shared" ref="AH102:AH107" si="53">X102*8/1000000</f>
        <v>8.0489553511142731E-13</v>
      </c>
      <c r="AI102" s="40">
        <f t="shared" ref="AI102:AI107" si="54">V102*8/1000000</f>
        <v>1.1404999128695654</v>
      </c>
    </row>
    <row r="103" spans="1:43" ht="30">
      <c r="L103" s="94" t="s">
        <v>370</v>
      </c>
      <c r="M103" s="94" t="s">
        <v>371</v>
      </c>
      <c r="O103" s="34" t="s">
        <v>372</v>
      </c>
      <c r="P103" s="32" t="s">
        <v>373</v>
      </c>
      <c r="Q103" s="85">
        <f>R102-3</f>
        <v>590285789.5556767</v>
      </c>
      <c r="R103" s="28">
        <f t="shared" si="46"/>
        <v>590669090.75942671</v>
      </c>
      <c r="S103" s="21">
        <f t="shared" si="47"/>
        <v>383301.20375001431</v>
      </c>
      <c r="T103" s="21">
        <f t="shared" si="48"/>
        <v>1412125.0000000836</v>
      </c>
      <c r="U103" s="3">
        <v>0</v>
      </c>
      <c r="V103" s="27">
        <f t="shared" si="49"/>
        <v>1412125.0000000836</v>
      </c>
      <c r="W103" s="20">
        <f>Y103*1000000/8</f>
        <v>1412125</v>
      </c>
      <c r="X103" s="332">
        <f t="shared" si="50"/>
        <v>-8.3586201071739197E-8</v>
      </c>
      <c r="Y103" s="77">
        <f>1.1*AN103</f>
        <v>11.297000000000001</v>
      </c>
      <c r="Z103" s="33"/>
      <c r="AA103" s="33"/>
      <c r="AB103" s="50">
        <v>1411117</v>
      </c>
      <c r="AC103" s="50">
        <f t="shared" si="51"/>
        <v>-1008</v>
      </c>
      <c r="AD103" s="50">
        <f t="shared" si="52"/>
        <v>-8.064E-3</v>
      </c>
      <c r="AE103" s="50"/>
      <c r="AF103" s="31" t="s">
        <v>374</v>
      </c>
      <c r="AG103" s="34" t="s">
        <v>372</v>
      </c>
      <c r="AH103" s="40">
        <f t="shared" si="53"/>
        <v>-6.6868960857391357E-13</v>
      </c>
      <c r="AI103" s="40">
        <f t="shared" si="54"/>
        <v>11.297000000000669</v>
      </c>
      <c r="AL103" s="95" t="s">
        <v>375</v>
      </c>
      <c r="AM103" s="95" t="s">
        <v>376</v>
      </c>
      <c r="AN103" s="95">
        <v>10.27</v>
      </c>
      <c r="AO103" s="95">
        <v>10.27</v>
      </c>
      <c r="AP103" s="95">
        <v>10.27</v>
      </c>
      <c r="AQ103" s="48">
        <f>AQ100+AP103</f>
        <v>13.149999999999999</v>
      </c>
    </row>
    <row r="104" spans="1:43" ht="30">
      <c r="L104" s="94" t="s">
        <v>371</v>
      </c>
      <c r="M104" s="94" t="s">
        <v>377</v>
      </c>
      <c r="O104" s="34" t="s">
        <v>378</v>
      </c>
      <c r="P104" s="32" t="s">
        <v>17</v>
      </c>
      <c r="Q104" s="85">
        <f>R103-3</f>
        <v>590669087.75942671</v>
      </c>
      <c r="R104" s="28">
        <f t="shared" si="46"/>
        <v>591454351.37450945</v>
      </c>
      <c r="S104" s="21">
        <f t="shared" si="47"/>
        <v>785263.61508274078</v>
      </c>
      <c r="T104" s="21">
        <f t="shared" si="48"/>
        <v>2892999.9999999725</v>
      </c>
      <c r="U104" s="3">
        <v>0</v>
      </c>
      <c r="V104" s="27">
        <f t="shared" si="49"/>
        <v>2892999.9999999725</v>
      </c>
      <c r="W104" s="20">
        <f>Y104*1000000/8</f>
        <v>2893000.0000000005</v>
      </c>
      <c r="X104" s="332">
        <f t="shared" si="50"/>
        <v>2.7939677238464355E-8</v>
      </c>
      <c r="Y104" s="77">
        <f>1.1*AN104</f>
        <v>23.144000000000002</v>
      </c>
      <c r="Z104" s="33"/>
      <c r="AA104" s="33"/>
      <c r="AB104" s="50">
        <v>2901234</v>
      </c>
      <c r="AC104" s="50">
        <f t="shared" si="51"/>
        <v>8233.9999999995343</v>
      </c>
      <c r="AD104" s="50">
        <f t="shared" si="52"/>
        <v>6.5871999999996281E-2</v>
      </c>
      <c r="AE104" s="50"/>
      <c r="AF104" s="31" t="s">
        <v>379</v>
      </c>
      <c r="AG104" s="34" t="s">
        <v>378</v>
      </c>
      <c r="AH104" s="40">
        <f t="shared" si="53"/>
        <v>2.2351741790771485E-13</v>
      </c>
      <c r="AI104" s="40">
        <f t="shared" si="54"/>
        <v>23.143999999999782</v>
      </c>
      <c r="AL104" s="95" t="s">
        <v>380</v>
      </c>
      <c r="AM104" s="95" t="s">
        <v>381</v>
      </c>
      <c r="AN104" s="95">
        <v>21.04</v>
      </c>
      <c r="AO104" s="95">
        <v>21.04</v>
      </c>
      <c r="AP104" s="95">
        <v>21.04</v>
      </c>
      <c r="AQ104" s="48">
        <f>AQ103+AP104</f>
        <v>34.19</v>
      </c>
    </row>
    <row r="105" spans="1:43" ht="30">
      <c r="L105" s="94" t="s">
        <v>377</v>
      </c>
      <c r="M105" s="94" t="s">
        <v>382</v>
      </c>
      <c r="N105" s="17"/>
      <c r="O105" s="34" t="s">
        <v>383</v>
      </c>
      <c r="P105" s="32" t="s">
        <v>384</v>
      </c>
      <c r="Q105" s="85">
        <f>R104-3</f>
        <v>591454348.37450945</v>
      </c>
      <c r="R105" s="28">
        <f t="shared" si="46"/>
        <v>591795102.02497077</v>
      </c>
      <c r="S105" s="21">
        <f t="shared" si="47"/>
        <v>340753.65046131611</v>
      </c>
      <c r="T105" s="21">
        <f t="shared" si="48"/>
        <v>1255375.000000105</v>
      </c>
      <c r="U105" s="3">
        <v>0</v>
      </c>
      <c r="V105" s="27">
        <f t="shared" si="49"/>
        <v>1255375.000000105</v>
      </c>
      <c r="W105" s="20">
        <f>Y105*1000000/8</f>
        <v>1255375.0000000002</v>
      </c>
      <c r="X105" s="332">
        <f t="shared" si="50"/>
        <v>-1.0477378964424133E-7</v>
      </c>
      <c r="Y105" s="77">
        <f>1.1*AN105</f>
        <v>10.043000000000001</v>
      </c>
      <c r="Z105" s="33"/>
      <c r="AA105" s="33"/>
      <c r="AB105" s="50">
        <v>1259168</v>
      </c>
      <c r="AC105" s="50">
        <f t="shared" si="51"/>
        <v>3792.9999999997672</v>
      </c>
      <c r="AD105" s="50">
        <f t="shared" si="52"/>
        <v>3.0343999999998136E-2</v>
      </c>
      <c r="AE105" s="50"/>
      <c r="AF105" s="31" t="s">
        <v>385</v>
      </c>
      <c r="AG105" s="34" t="s">
        <v>383</v>
      </c>
      <c r="AH105" s="40">
        <f t="shared" si="53"/>
        <v>-8.3819031715393064E-13</v>
      </c>
      <c r="AI105" s="40">
        <f t="shared" si="54"/>
        <v>10.043000000000839</v>
      </c>
      <c r="AL105" s="95" t="s">
        <v>386</v>
      </c>
      <c r="AM105" s="95" t="s">
        <v>387</v>
      </c>
      <c r="AN105" s="95">
        <v>9.1300000000000008</v>
      </c>
      <c r="AO105" s="95">
        <v>9.1300000000000008</v>
      </c>
      <c r="AP105" s="95">
        <v>9.1300000000000008</v>
      </c>
      <c r="AQ105" s="48">
        <f>AQ104+AP105</f>
        <v>43.32</v>
      </c>
    </row>
    <row r="106" spans="1:43" ht="30">
      <c r="L106" s="47" t="s">
        <v>382</v>
      </c>
      <c r="M106" s="47" t="s">
        <v>388</v>
      </c>
      <c r="O106" s="34" t="s">
        <v>389</v>
      </c>
      <c r="P106" s="32" t="s">
        <v>390</v>
      </c>
      <c r="Q106" s="58">
        <f>R105-3</f>
        <v>591795099.02497077</v>
      </c>
      <c r="R106" s="21">
        <f t="shared" si="46"/>
        <v>592042173.41336656</v>
      </c>
      <c r="S106" s="21">
        <f t="shared" si="47"/>
        <v>247074.38839578629</v>
      </c>
      <c r="T106" s="21">
        <f t="shared" si="48"/>
        <v>910249.9999999213</v>
      </c>
      <c r="U106" s="3">
        <v>0</v>
      </c>
      <c r="V106" s="20">
        <f t="shared" si="49"/>
        <v>910249.9999999213</v>
      </c>
      <c r="W106" s="20">
        <f>Y106*1000000/8</f>
        <v>910250.00000000012</v>
      </c>
      <c r="X106" s="332">
        <f t="shared" si="50"/>
        <v>7.8813172876834869E-8</v>
      </c>
      <c r="Y106" s="77">
        <f>1.1*AN106</f>
        <v>7.2820000000000009</v>
      </c>
      <c r="Z106" s="33"/>
      <c r="AA106" s="33"/>
      <c r="AB106" s="50">
        <v>915898</v>
      </c>
      <c r="AC106" s="50">
        <f t="shared" si="51"/>
        <v>5647.9999999998836</v>
      </c>
      <c r="AD106" s="50">
        <f t="shared" si="52"/>
        <v>4.5183999999999072E-2</v>
      </c>
      <c r="AE106" s="50"/>
      <c r="AF106" s="31" t="s">
        <v>391</v>
      </c>
      <c r="AG106" s="34" t="s">
        <v>389</v>
      </c>
      <c r="AH106" s="40">
        <f t="shared" si="53"/>
        <v>6.3050538301467893E-13</v>
      </c>
      <c r="AI106" s="40">
        <f t="shared" si="54"/>
        <v>7.2819999999993703</v>
      </c>
      <c r="AL106" s="95" t="s">
        <v>392</v>
      </c>
      <c r="AM106" s="95" t="s">
        <v>393</v>
      </c>
      <c r="AN106" s="95">
        <v>6.62</v>
      </c>
      <c r="AO106" s="95">
        <v>6.62</v>
      </c>
      <c r="AP106" s="95">
        <v>6.62</v>
      </c>
      <c r="AQ106" s="48">
        <f>AQ105+AP106</f>
        <v>49.94</v>
      </c>
    </row>
    <row r="107" spans="1:43" ht="30">
      <c r="L107" s="47" t="s">
        <v>388</v>
      </c>
      <c r="M107" s="47" t="s">
        <v>394</v>
      </c>
      <c r="O107" s="34" t="s">
        <v>395</v>
      </c>
      <c r="P107" s="32" t="s">
        <v>396</v>
      </c>
      <c r="Q107" s="58">
        <f>R106-3</f>
        <v>592042170.41336656</v>
      </c>
      <c r="R107" s="21">
        <f t="shared" si="46"/>
        <v>592432562.87599802</v>
      </c>
      <c r="S107" s="21">
        <f t="shared" si="47"/>
        <v>390392.462631464</v>
      </c>
      <c r="T107" s="21">
        <f t="shared" si="48"/>
        <v>1438250.0000000799</v>
      </c>
      <c r="U107" s="3">
        <v>0</v>
      </c>
      <c r="V107" s="20">
        <f t="shared" si="49"/>
        <v>1438250.0000000799</v>
      </c>
      <c r="W107" s="20">
        <f>Y107*1000000/8</f>
        <v>1438250.0000000002</v>
      </c>
      <c r="X107" s="332">
        <f t="shared" si="50"/>
        <v>-7.9628080129623413E-8</v>
      </c>
      <c r="Y107" s="77">
        <f>1.1*AN107</f>
        <v>11.506000000000002</v>
      </c>
      <c r="Z107" s="96">
        <f>SUM(Y100:Y107)</f>
        <v>66.440000000000012</v>
      </c>
      <c r="AA107" s="50"/>
      <c r="AB107" s="50">
        <v>1436041</v>
      </c>
      <c r="AC107" s="50">
        <f t="shared" si="51"/>
        <v>-2209.0000000002328</v>
      </c>
      <c r="AD107" s="50">
        <f t="shared" si="52"/>
        <v>-1.7672000000001863E-2</v>
      </c>
      <c r="AE107" s="50"/>
      <c r="AF107" s="31" t="s">
        <v>397</v>
      </c>
      <c r="AG107" s="34" t="s">
        <v>395</v>
      </c>
      <c r="AH107" s="40">
        <f t="shared" si="53"/>
        <v>-6.3702464103698734E-13</v>
      </c>
      <c r="AI107" s="40">
        <f t="shared" si="54"/>
        <v>11.50600000000064</v>
      </c>
      <c r="AL107" s="95" t="s">
        <v>398</v>
      </c>
      <c r="AM107" s="95" t="s">
        <v>399</v>
      </c>
      <c r="AN107" s="95">
        <v>10.46</v>
      </c>
      <c r="AO107" s="95">
        <v>10.46</v>
      </c>
      <c r="AP107" s="95">
        <v>10.46</v>
      </c>
      <c r="AQ107" s="48">
        <f>AQ106+AP107</f>
        <v>60.4</v>
      </c>
    </row>
    <row r="108" spans="1:43" ht="15">
      <c r="P108" s="12" t="s">
        <v>122</v>
      </c>
      <c r="Q108" s="11" t="s">
        <v>5</v>
      </c>
      <c r="R108" s="12" t="s">
        <v>6</v>
      </c>
      <c r="S108" s="12" t="s">
        <v>7</v>
      </c>
      <c r="T108" s="13" t="s">
        <v>8</v>
      </c>
      <c r="U108" s="3" t="s">
        <v>22</v>
      </c>
      <c r="V108" s="13" t="s">
        <v>25</v>
      </c>
      <c r="W108" s="12" t="s">
        <v>26</v>
      </c>
      <c r="X108" s="12" t="s">
        <v>9</v>
      </c>
      <c r="Y108" s="12" t="s">
        <v>400</v>
      </c>
      <c r="AC108" s="3"/>
      <c r="AD108" s="3">
        <f>SUM(AD100:AD107)</f>
        <v>-0.39334791287037862</v>
      </c>
      <c r="AE108" s="3"/>
      <c r="AH108" s="40"/>
      <c r="AI108" s="40"/>
    </row>
    <row r="109" spans="1:43" ht="15.75">
      <c r="P109" s="32" t="s">
        <v>401</v>
      </c>
      <c r="Q109" s="58">
        <f>R107-3</f>
        <v>592432559.87599802</v>
      </c>
      <c r="R109" s="21">
        <f>((W109)/$W$9)+Q109</f>
        <v>592883201.30270076</v>
      </c>
      <c r="S109" s="21">
        <f>R109-Q109</f>
        <v>450641.42670273781</v>
      </c>
      <c r="T109" s="21">
        <f>S109*$W$9</f>
        <v>1660214.0000000391</v>
      </c>
      <c r="U109" s="3">
        <v>0</v>
      </c>
      <c r="V109" s="20">
        <f>T109+U109*$V$38</f>
        <v>1660214.0000000391</v>
      </c>
      <c r="W109" s="20">
        <f>982562+579837+100705-2890</f>
        <v>1660214</v>
      </c>
      <c r="X109" s="332">
        <f>W109-V109</f>
        <v>-3.9115548133850098E-8</v>
      </c>
      <c r="Y109" s="77">
        <f>W109*8/1000000</f>
        <v>13.281712000000001</v>
      </c>
      <c r="Z109" t="s">
        <v>402</v>
      </c>
      <c r="AC109" s="3" t="s">
        <v>155</v>
      </c>
      <c r="AD109" s="3"/>
      <c r="AE109" s="3"/>
      <c r="AH109" s="40">
        <f>X109*8/1000000</f>
        <v>-3.1292438507080076E-13</v>
      </c>
      <c r="AI109" s="40">
        <f>V109*8/1000000</f>
        <v>13.281712000000313</v>
      </c>
    </row>
    <row r="110" spans="1:43" ht="15">
      <c r="AC110" s="3"/>
      <c r="AH110" s="40"/>
      <c r="AI110" s="40"/>
      <c r="AJ110" s="97"/>
      <c r="AK110" s="97"/>
      <c r="AL110" s="97"/>
      <c r="AM110" s="97"/>
      <c r="AN110" s="97"/>
    </row>
    <row r="111" spans="1:43" ht="15">
      <c r="AC111" s="3"/>
      <c r="AI111" s="97"/>
      <c r="AJ111" s="97"/>
      <c r="AK111" s="97"/>
      <c r="AL111" s="97"/>
      <c r="AM111" s="97"/>
    </row>
    <row r="112" spans="1:43" ht="15">
      <c r="AA112" s="60"/>
      <c r="AC112" s="3"/>
      <c r="AI112" s="97"/>
      <c r="AJ112" s="97"/>
      <c r="AK112" s="97"/>
      <c r="AL112" s="97"/>
      <c r="AM112" s="97"/>
    </row>
    <row r="113" spans="12:42" ht="15">
      <c r="AG113" s="97"/>
      <c r="AH113" s="97"/>
      <c r="AI113" s="97"/>
      <c r="AJ113" s="97"/>
      <c r="AK113" s="97"/>
    </row>
    <row r="115" spans="12:42" ht="15">
      <c r="AK115" s="65"/>
      <c r="AL115" s="65"/>
      <c r="AM115" s="65"/>
      <c r="AN115" s="65"/>
      <c r="AO115" s="65"/>
    </row>
    <row r="116" spans="12:42" ht="15">
      <c r="AK116" s="65"/>
      <c r="AL116" s="65"/>
      <c r="AM116" s="65"/>
      <c r="AN116" s="65"/>
      <c r="AO116" s="65"/>
    </row>
    <row r="117" spans="12:42" ht="15">
      <c r="AK117" s="65"/>
      <c r="AL117" s="65"/>
      <c r="AM117" s="65"/>
      <c r="AN117" s="65"/>
      <c r="AO117" s="65"/>
    </row>
    <row r="118" spans="12:42" ht="15">
      <c r="AK118" s="65"/>
      <c r="AL118" s="65"/>
      <c r="AM118" s="65"/>
      <c r="AN118" s="65"/>
      <c r="AO118" s="65"/>
    </row>
    <row r="119" spans="12:42" ht="15">
      <c r="P119" s="15" t="s">
        <v>403</v>
      </c>
      <c r="Q119" s="15" t="s">
        <v>404</v>
      </c>
      <c r="R119" s="15">
        <v>611744576</v>
      </c>
      <c r="S119" s="15">
        <v>7</v>
      </c>
      <c r="T119" s="15" t="s">
        <v>27</v>
      </c>
      <c r="U119" s="15" t="s">
        <v>405</v>
      </c>
      <c r="V119" s="15" t="s">
        <v>151</v>
      </c>
      <c r="W119" s="15" t="s">
        <v>152</v>
      </c>
      <c r="X119" s="15" t="s">
        <v>406</v>
      </c>
      <c r="Y119" s="60"/>
      <c r="Z119" s="60"/>
      <c r="AA119" s="60"/>
      <c r="AK119" s="65"/>
      <c r="AL119" s="65"/>
      <c r="AM119" s="65"/>
      <c r="AN119" s="65"/>
      <c r="AO119" s="65"/>
    </row>
    <row r="120" spans="12:42" ht="15">
      <c r="P120" s="15" t="s">
        <v>407</v>
      </c>
      <c r="Q120" s="15" t="s">
        <v>408</v>
      </c>
      <c r="R120" s="15">
        <v>611746916</v>
      </c>
      <c r="S120" s="15">
        <v>0</v>
      </c>
      <c r="T120" s="15" t="s">
        <v>409</v>
      </c>
      <c r="U120" s="15" t="s">
        <v>410</v>
      </c>
      <c r="V120" s="15" t="s">
        <v>411</v>
      </c>
      <c r="W120" s="15"/>
      <c r="X120" s="15" t="s">
        <v>406</v>
      </c>
      <c r="Y120" s="60"/>
      <c r="Z120" s="60"/>
      <c r="AA120" s="60"/>
      <c r="AG120" s="97"/>
      <c r="AH120" s="97"/>
      <c r="AI120" s="97"/>
      <c r="AJ120" s="97"/>
      <c r="AK120" s="65"/>
      <c r="AL120" s="65"/>
      <c r="AM120" s="65"/>
      <c r="AN120" s="65"/>
      <c r="AO120" s="65"/>
    </row>
    <row r="121" spans="12:42" ht="15">
      <c r="AK121" s="65"/>
      <c r="AL121" s="65"/>
      <c r="AM121" s="65"/>
      <c r="AN121" s="65"/>
      <c r="AO121" s="65"/>
    </row>
    <row r="122" spans="12:42" ht="15">
      <c r="P122" s="15" t="s">
        <v>412</v>
      </c>
      <c r="Q122" s="15" t="s">
        <v>413</v>
      </c>
      <c r="R122" s="15">
        <v>611791076</v>
      </c>
      <c r="S122" s="15">
        <v>0</v>
      </c>
      <c r="T122" s="15" t="s">
        <v>409</v>
      </c>
      <c r="U122" s="15" t="s">
        <v>414</v>
      </c>
      <c r="V122" s="15" t="s">
        <v>415</v>
      </c>
      <c r="W122" s="15"/>
      <c r="X122" s="15"/>
      <c r="AK122" s="65"/>
      <c r="AL122" s="65"/>
      <c r="AM122" s="65"/>
      <c r="AN122" s="65"/>
      <c r="AO122" s="65"/>
    </row>
    <row r="123" spans="12:42" ht="15">
      <c r="P123" s="15" t="s">
        <v>412</v>
      </c>
      <c r="Q123" s="15" t="s">
        <v>413</v>
      </c>
      <c r="R123" s="15">
        <v>611791076</v>
      </c>
      <c r="S123" s="15">
        <v>0</v>
      </c>
      <c r="T123" s="15" t="s">
        <v>409</v>
      </c>
      <c r="U123" s="15" t="s">
        <v>414</v>
      </c>
      <c r="V123" s="15" t="s">
        <v>416</v>
      </c>
      <c r="W123" s="15" t="s">
        <v>417</v>
      </c>
      <c r="X123" s="15"/>
      <c r="AK123" s="65"/>
      <c r="AL123" s="65"/>
      <c r="AM123" s="65"/>
      <c r="AN123" s="65"/>
      <c r="AO123" s="65"/>
    </row>
    <row r="124" spans="12:42" ht="15">
      <c r="P124" s="15" t="s">
        <v>412</v>
      </c>
      <c r="Q124" s="15" t="s">
        <v>413</v>
      </c>
      <c r="R124" s="15">
        <v>611791076</v>
      </c>
      <c r="S124" s="15">
        <v>0</v>
      </c>
      <c r="T124" s="15" t="s">
        <v>409</v>
      </c>
      <c r="U124" s="15" t="s">
        <v>414</v>
      </c>
      <c r="V124" s="15" t="s">
        <v>418</v>
      </c>
      <c r="W124" s="15"/>
      <c r="X124" s="15"/>
      <c r="AB124" t="s">
        <v>419</v>
      </c>
      <c r="AK124" s="65"/>
      <c r="AL124" s="65"/>
      <c r="AM124" s="65"/>
      <c r="AN124" s="65"/>
      <c r="AO124" s="65"/>
    </row>
    <row r="125" spans="12:42" ht="15.75" thickBot="1">
      <c r="X125" t="s">
        <v>198</v>
      </c>
      <c r="AK125" s="65"/>
      <c r="AL125" s="65"/>
      <c r="AM125" s="65"/>
      <c r="AN125" s="65"/>
      <c r="AO125" s="65"/>
    </row>
    <row r="126" spans="12:42" ht="15">
      <c r="P126" s="9">
        <v>25159</v>
      </c>
      <c r="T126" s="3"/>
      <c r="V126" s="18"/>
      <c r="X126" t="s">
        <v>295</v>
      </c>
      <c r="AK126" s="65"/>
      <c r="AL126" s="65"/>
      <c r="AM126" s="65"/>
      <c r="AN126" s="65"/>
      <c r="AO126" s="65"/>
    </row>
    <row r="127" spans="12:42" ht="15">
      <c r="P127" s="12" t="s">
        <v>122</v>
      </c>
      <c r="Q127" s="11" t="s">
        <v>5</v>
      </c>
      <c r="R127" s="12" t="s">
        <v>6</v>
      </c>
      <c r="S127" s="12" t="s">
        <v>7</v>
      </c>
      <c r="T127" s="13" t="s">
        <v>8</v>
      </c>
      <c r="U127" s="3" t="s">
        <v>22</v>
      </c>
      <c r="V127" s="13" t="s">
        <v>25</v>
      </c>
      <c r="W127" s="12" t="s">
        <v>26</v>
      </c>
      <c r="X127" s="12" t="s">
        <v>9</v>
      </c>
      <c r="AC127" t="s">
        <v>147</v>
      </c>
      <c r="AK127" s="65"/>
      <c r="AL127" s="65"/>
      <c r="AM127" s="65"/>
      <c r="AN127" s="65"/>
      <c r="AO127" s="65"/>
    </row>
    <row r="128" spans="12:42" ht="15">
      <c r="L128" t="s">
        <v>420</v>
      </c>
      <c r="P128" s="15" t="s">
        <v>421</v>
      </c>
      <c r="Q128" s="15" t="s">
        <v>422</v>
      </c>
      <c r="R128" s="418">
        <v>609911802</v>
      </c>
      <c r="S128" s="15">
        <v>1</v>
      </c>
      <c r="T128" s="15" t="s">
        <v>27</v>
      </c>
      <c r="U128" s="15" t="s">
        <v>194</v>
      </c>
      <c r="V128" s="15" t="s">
        <v>28</v>
      </c>
      <c r="W128" s="15"/>
      <c r="X128" s="15" t="s">
        <v>423</v>
      </c>
      <c r="Y128" s="60"/>
      <c r="Z128" s="60"/>
      <c r="AB128" s="3" t="s">
        <v>424</v>
      </c>
      <c r="AC128" s="3" t="s">
        <v>155</v>
      </c>
      <c r="AH128" t="s">
        <v>306</v>
      </c>
      <c r="AI128" t="s">
        <v>121</v>
      </c>
      <c r="AM128" s="65"/>
      <c r="AN128" s="65"/>
      <c r="AO128" s="65"/>
      <c r="AP128" s="65"/>
    </row>
    <row r="129" spans="1:48" ht="15.75">
      <c r="B129">
        <v>102</v>
      </c>
      <c r="C129">
        <v>101</v>
      </c>
      <c r="E129" t="s">
        <v>51</v>
      </c>
      <c r="F129" t="s">
        <v>49</v>
      </c>
      <c r="G129" t="s">
        <v>50</v>
      </c>
      <c r="L129" s="78" t="s">
        <v>347</v>
      </c>
      <c r="M129" s="78" t="s">
        <v>425</v>
      </c>
      <c r="N129" s="17" t="s">
        <v>18</v>
      </c>
      <c r="O129" s="84" t="str">
        <f>AG129</f>
        <v>160/16:16</v>
      </c>
      <c r="P129" s="32" t="s">
        <v>11</v>
      </c>
      <c r="Q129" s="85">
        <f>R96-1</f>
        <v>609625452.99091506</v>
      </c>
      <c r="R129" s="86">
        <f>R128+20</f>
        <v>609911822</v>
      </c>
      <c r="S129" s="21">
        <f>R129-Q129</f>
        <v>286369.00908493996</v>
      </c>
      <c r="T129" s="21">
        <f>S129*$V$13</f>
        <v>1082666.264182217</v>
      </c>
      <c r="U129" s="3">
        <v>0</v>
      </c>
      <c r="V129" s="27">
        <f>T129+U129*$V$38</f>
        <v>1082666.264182217</v>
      </c>
      <c r="W129" s="20">
        <f>Y129*1000000/8</f>
        <v>1236125.0000000002</v>
      </c>
      <c r="X129" s="332">
        <f>W129-V129</f>
        <v>153458.73581778328</v>
      </c>
      <c r="Y129" s="77">
        <f>1.1*AL129</f>
        <v>9.8890000000000011</v>
      </c>
      <c r="Z129" s="93">
        <f>SUM(Y121:Y129)</f>
        <v>9.8890000000000011</v>
      </c>
      <c r="AA129" s="50"/>
      <c r="AB129" s="50">
        <v>1242139</v>
      </c>
      <c r="AC129" s="50">
        <f>AB129-T129</f>
        <v>159472.73581778305</v>
      </c>
      <c r="AD129" s="98">
        <f>AC129*8/1000000</f>
        <v>1.2757818865422643</v>
      </c>
      <c r="AE129" s="62">
        <f>AC129/AB129</f>
        <v>0.1283855798890326</v>
      </c>
      <c r="AF129" s="31" t="s">
        <v>426</v>
      </c>
      <c r="AG129" s="34" t="s">
        <v>427</v>
      </c>
      <c r="AH129" s="40">
        <f>X129*8/1000000</f>
        <v>1.2276698865422662</v>
      </c>
      <c r="AI129" s="40">
        <f>V129*8/1000000</f>
        <v>8.6613301134577352</v>
      </c>
      <c r="AJ129" s="70" t="s">
        <v>428</v>
      </c>
      <c r="AK129" s="65" t="s">
        <v>429</v>
      </c>
      <c r="AL129" s="65">
        <v>8.99</v>
      </c>
      <c r="AM129" s="65">
        <v>8.99</v>
      </c>
      <c r="AN129" s="65">
        <v>8.99</v>
      </c>
      <c r="AP129" s="65"/>
      <c r="AQ129" s="65"/>
      <c r="AR129" s="65"/>
      <c r="AS129" s="65"/>
      <c r="AT129" s="65"/>
      <c r="AU129" s="65"/>
      <c r="AV129" s="65"/>
    </row>
    <row r="130" spans="1:48" ht="15">
      <c r="P130" s="15" t="s">
        <v>430</v>
      </c>
      <c r="Q130" s="16" t="s">
        <v>431</v>
      </c>
      <c r="R130" s="15">
        <v>609912716</v>
      </c>
      <c r="S130" s="15">
        <v>7</v>
      </c>
      <c r="T130" s="15" t="s">
        <v>27</v>
      </c>
      <c r="U130" s="15" t="s">
        <v>405</v>
      </c>
      <c r="V130" s="15" t="s">
        <v>151</v>
      </c>
      <c r="W130" s="15" t="s">
        <v>152</v>
      </c>
      <c r="X130" s="15" t="s">
        <v>432</v>
      </c>
      <c r="Y130" s="60"/>
      <c r="Z130" s="60"/>
      <c r="AA130" s="59"/>
      <c r="AB130" s="59"/>
      <c r="AC130" s="3" t="s">
        <v>433</v>
      </c>
      <c r="AD130" s="99"/>
      <c r="AK130" s="65"/>
      <c r="AL130" s="65"/>
      <c r="AM130" s="65"/>
      <c r="AO130" s="65"/>
      <c r="AP130" s="65"/>
    </row>
    <row r="131" spans="1:48" ht="15">
      <c r="N131" s="17"/>
      <c r="P131" s="15" t="s">
        <v>434</v>
      </c>
      <c r="Q131" s="15" t="s">
        <v>435</v>
      </c>
      <c r="R131" s="15">
        <v>609914566</v>
      </c>
      <c r="S131" s="15">
        <v>0</v>
      </c>
      <c r="T131" s="15" t="s">
        <v>409</v>
      </c>
      <c r="U131" s="15" t="s">
        <v>436</v>
      </c>
      <c r="V131" s="15" t="s">
        <v>437</v>
      </c>
      <c r="W131" s="15"/>
      <c r="X131" s="15" t="s">
        <v>432</v>
      </c>
      <c r="Y131" s="60"/>
      <c r="Z131" s="60"/>
      <c r="AA131" s="60"/>
      <c r="AB131" s="59"/>
      <c r="AC131" s="3" t="s">
        <v>438</v>
      </c>
      <c r="AD131" s="99"/>
      <c r="AI131" s="70"/>
      <c r="AJ131" s="65"/>
      <c r="AK131" s="65"/>
      <c r="AL131" s="65"/>
      <c r="AM131" s="65"/>
      <c r="AP131" s="65"/>
      <c r="AQ131" s="65"/>
      <c r="AR131" s="65"/>
      <c r="AS131" s="65"/>
      <c r="AT131" s="65"/>
      <c r="AU131" s="65"/>
    </row>
    <row r="132" spans="1:48" ht="15">
      <c r="P132" s="15" t="s">
        <v>439</v>
      </c>
      <c r="Q132" s="15" t="s">
        <v>440</v>
      </c>
      <c r="R132" s="15">
        <v>609914569</v>
      </c>
      <c r="S132" s="15">
        <v>0</v>
      </c>
      <c r="T132" s="15" t="s">
        <v>409</v>
      </c>
      <c r="U132" s="15" t="s">
        <v>436</v>
      </c>
      <c r="V132" s="15" t="s">
        <v>441</v>
      </c>
      <c r="W132" s="15"/>
      <c r="X132" s="15" t="s">
        <v>432</v>
      </c>
      <c r="Y132" s="60"/>
      <c r="Z132" s="60"/>
      <c r="AA132" s="60"/>
      <c r="AB132" s="59"/>
      <c r="AC132" s="3" t="s">
        <v>442</v>
      </c>
      <c r="AD132" s="99"/>
    </row>
    <row r="133" spans="1:48" ht="15">
      <c r="P133" s="15" t="s">
        <v>443</v>
      </c>
      <c r="Q133" s="15" t="s">
        <v>444</v>
      </c>
      <c r="R133" s="15">
        <v>609914572</v>
      </c>
      <c r="S133" s="15">
        <v>0</v>
      </c>
      <c r="T133" s="15" t="s">
        <v>409</v>
      </c>
      <c r="U133" s="15" t="s">
        <v>436</v>
      </c>
      <c r="V133" s="15" t="s">
        <v>445</v>
      </c>
      <c r="W133" s="15"/>
      <c r="X133" s="15" t="s">
        <v>432</v>
      </c>
      <c r="Y133" s="60"/>
      <c r="Z133" s="60"/>
      <c r="AA133" s="60"/>
      <c r="AB133" s="59"/>
      <c r="AC133" s="3" t="s">
        <v>446</v>
      </c>
      <c r="AD133" s="99"/>
      <c r="AE133" s="99"/>
    </row>
    <row r="134" spans="1:48" ht="15">
      <c r="P134" s="15" t="s">
        <v>447</v>
      </c>
      <c r="Q134" s="15" t="s">
        <v>448</v>
      </c>
      <c r="R134" s="15">
        <v>609914575</v>
      </c>
      <c r="S134" s="15">
        <v>0</v>
      </c>
      <c r="T134" s="15" t="s">
        <v>409</v>
      </c>
      <c r="U134" s="15" t="s">
        <v>436</v>
      </c>
      <c r="V134" s="15" t="s">
        <v>449</v>
      </c>
      <c r="W134" s="15"/>
      <c r="X134" s="15" t="s">
        <v>432</v>
      </c>
      <c r="Y134" s="60"/>
      <c r="Z134" s="60"/>
      <c r="AA134" s="60"/>
      <c r="AB134" s="59"/>
      <c r="AC134" s="3" t="s">
        <v>450</v>
      </c>
      <c r="AD134" s="99">
        <f>SUM(AD136:AD143)</f>
        <v>6.8930581134568474</v>
      </c>
      <c r="AE134" s="99"/>
    </row>
    <row r="135" spans="1:48" ht="15">
      <c r="L135" t="s">
        <v>451</v>
      </c>
      <c r="P135" s="15" t="s">
        <v>452</v>
      </c>
      <c r="Q135" s="15" t="s">
        <v>453</v>
      </c>
      <c r="R135" s="15">
        <v>609915176</v>
      </c>
      <c r="S135" s="15">
        <v>0</v>
      </c>
      <c r="T135" s="15" t="s">
        <v>409</v>
      </c>
      <c r="U135" s="15" t="s">
        <v>410</v>
      </c>
      <c r="V135" s="15" t="s">
        <v>454</v>
      </c>
      <c r="W135" s="15"/>
      <c r="X135" s="15" t="s">
        <v>432</v>
      </c>
      <c r="Y135" s="60"/>
      <c r="Z135" s="60"/>
      <c r="AA135" s="60"/>
      <c r="AB135" s="59"/>
      <c r="AC135" t="s">
        <v>455</v>
      </c>
      <c r="AD135" s="99"/>
      <c r="AE135" s="99"/>
    </row>
    <row r="136" spans="1:48" ht="15.75">
      <c r="A136" t="s">
        <v>157</v>
      </c>
      <c r="B136">
        <v>102</v>
      </c>
      <c r="C136">
        <v>101</v>
      </c>
      <c r="E136" t="s">
        <v>51</v>
      </c>
      <c r="F136" t="s">
        <v>49</v>
      </c>
      <c r="G136" t="s">
        <v>50</v>
      </c>
      <c r="L136" s="78" t="s">
        <v>456</v>
      </c>
      <c r="M136" s="78" t="s">
        <v>457</v>
      </c>
      <c r="N136" s="17" t="s">
        <v>19</v>
      </c>
      <c r="P136" s="32" t="s">
        <v>11</v>
      </c>
      <c r="Q136" s="100">
        <f>R130-20</f>
        <v>609912696</v>
      </c>
      <c r="R136" s="28">
        <f t="shared" ref="R136:R143" si="55">((W136-U136*$V$38)/$V$13)+Q136</f>
        <v>609953286.37171972</v>
      </c>
      <c r="S136" s="21">
        <f t="shared" ref="S136:S143" si="56">R136-Q136</f>
        <v>40590.371719717979</v>
      </c>
      <c r="T136" s="21">
        <f t="shared" ref="T136:T143" si="57">S136*$V$13</f>
        <v>153458.73581774277</v>
      </c>
      <c r="U136" s="3">
        <v>0</v>
      </c>
      <c r="V136" s="27">
        <f>T136+U136*$V$38+$V$38</f>
        <v>350833.73581774277</v>
      </c>
      <c r="W136" s="174">
        <f>X129</f>
        <v>153458.73581778328</v>
      </c>
      <c r="X136" s="332">
        <f t="shared" ref="X136:X143" si="58">W136-V136</f>
        <v>-197374.99999995949</v>
      </c>
      <c r="AB136" s="50">
        <v>306124</v>
      </c>
      <c r="AC136" s="50">
        <f>AB136-W136</f>
        <v>152665.26418221672</v>
      </c>
      <c r="AD136" s="98">
        <f t="shared" ref="AD136:AD143" si="59">AC136*8/1000000</f>
        <v>1.2213221134577337</v>
      </c>
      <c r="AE136" s="62">
        <f t="shared" ref="AE136:AE142" si="60">AC136/AB136</f>
        <v>0.49870400289495997</v>
      </c>
      <c r="AF136" t="s">
        <v>458</v>
      </c>
      <c r="AH136" t="s">
        <v>459</v>
      </c>
      <c r="AI136" t="e">
        <f>V135*8/1000000</f>
        <v>#VALUE!</v>
      </c>
    </row>
    <row r="137" spans="1:48" ht="15.75">
      <c r="B137">
        <v>102</v>
      </c>
      <c r="C137">
        <v>101</v>
      </c>
      <c r="E137" t="s">
        <v>51</v>
      </c>
      <c r="F137" t="s">
        <v>49</v>
      </c>
      <c r="G137" t="s">
        <v>50</v>
      </c>
      <c r="L137" s="78" t="str">
        <f t="shared" ref="L137:L143" si="61">M136</f>
        <v>139/09:36</v>
      </c>
      <c r="M137" s="78" t="s">
        <v>460</v>
      </c>
      <c r="O137" s="84" t="str">
        <f t="shared" ref="O137:O143" si="62">AG137</f>
        <v>161/15:11</v>
      </c>
      <c r="P137" s="32" t="s">
        <v>31</v>
      </c>
      <c r="Q137" s="85">
        <f t="shared" ref="Q137:Q143" si="63">R136-1</f>
        <v>609953285.37171972</v>
      </c>
      <c r="R137" s="28">
        <f t="shared" si="55"/>
        <v>610156754.68403363</v>
      </c>
      <c r="S137" s="21">
        <f t="shared" si="56"/>
        <v>203469.3123139143</v>
      </c>
      <c r="T137" s="21">
        <f t="shared" si="57"/>
        <v>769250.00000014075</v>
      </c>
      <c r="U137" s="3">
        <v>0</v>
      </c>
      <c r="V137" s="27">
        <f t="shared" ref="V137:V143" si="64">T137+U137*$V$38</f>
        <v>769250.00000014075</v>
      </c>
      <c r="W137" s="20">
        <f>Y137*1000000/8+X136</f>
        <v>769250.00000004063</v>
      </c>
      <c r="X137" s="332">
        <f t="shared" si="58"/>
        <v>-1.0011717677116394E-7</v>
      </c>
      <c r="Y137" s="77">
        <f t="shared" ref="Y137:Y143" si="65">1.1*AL137</f>
        <v>7.7330000000000005</v>
      </c>
      <c r="Z137" s="93">
        <f>Z129+Y137</f>
        <v>17.622</v>
      </c>
      <c r="AA137" s="50"/>
      <c r="AB137" s="50">
        <v>873308</v>
      </c>
      <c r="AC137" s="50">
        <f t="shared" ref="AC137:AC143" si="66">AB137-T137</f>
        <v>104057.99999985925</v>
      </c>
      <c r="AD137" s="98">
        <f t="shared" si="59"/>
        <v>0.83246399999887399</v>
      </c>
      <c r="AE137" s="62">
        <f t="shared" si="60"/>
        <v>0.11915383805010289</v>
      </c>
      <c r="AF137" s="31" t="s">
        <v>32</v>
      </c>
      <c r="AG137" s="34" t="s">
        <v>461</v>
      </c>
      <c r="AH137" s="42">
        <f>X136*8/1000000</f>
        <v>-1.578999999999676</v>
      </c>
      <c r="AI137" s="40">
        <f>V136*8/1000000</f>
        <v>2.8066698865419419</v>
      </c>
      <c r="AJ137" s="70" t="s">
        <v>462</v>
      </c>
      <c r="AK137" s="65" t="s">
        <v>463</v>
      </c>
      <c r="AL137" s="65">
        <v>7.03</v>
      </c>
      <c r="AM137" s="65">
        <v>7.03</v>
      </c>
      <c r="AN137" s="65">
        <v>7.03</v>
      </c>
    </row>
    <row r="138" spans="1:48" ht="15.75">
      <c r="B138">
        <v>102</v>
      </c>
      <c r="C138">
        <v>101</v>
      </c>
      <c r="E138" t="s">
        <v>51</v>
      </c>
      <c r="F138" t="s">
        <v>49</v>
      </c>
      <c r="G138" t="s">
        <v>50</v>
      </c>
      <c r="L138" s="78" t="str">
        <f t="shared" si="61"/>
        <v>141/18:07</v>
      </c>
      <c r="M138" s="78" t="s">
        <v>464</v>
      </c>
      <c r="O138" s="84" t="str">
        <f t="shared" si="62"/>
        <v>162/01:06</v>
      </c>
      <c r="P138" s="32" t="s">
        <v>12</v>
      </c>
      <c r="Q138" s="85">
        <f t="shared" si="63"/>
        <v>610156753.68403363</v>
      </c>
      <c r="R138" s="28">
        <f t="shared" si="55"/>
        <v>610410247.21954072</v>
      </c>
      <c r="S138" s="21">
        <f t="shared" si="56"/>
        <v>253493.53550708294</v>
      </c>
      <c r="T138" s="21">
        <f t="shared" si="57"/>
        <v>958375.00000005704</v>
      </c>
      <c r="U138" s="3">
        <v>0</v>
      </c>
      <c r="V138" s="27">
        <f t="shared" si="64"/>
        <v>958375.00000005704</v>
      </c>
      <c r="W138" s="20">
        <f t="shared" ref="W138:W143" si="67">Y138*1000000/8</f>
        <v>958375.00000000012</v>
      </c>
      <c r="X138" s="332">
        <f t="shared" si="58"/>
        <v>-5.6927092373371124E-8</v>
      </c>
      <c r="Y138" s="77">
        <f t="shared" si="65"/>
        <v>7.6670000000000007</v>
      </c>
      <c r="Z138" s="93">
        <f t="shared" ref="Z138:Z143" si="68">Y138+Z137</f>
        <v>25.289000000000001</v>
      </c>
      <c r="AA138" s="50"/>
      <c r="AB138" s="50">
        <v>1092116</v>
      </c>
      <c r="AC138" s="50">
        <f t="shared" si="66"/>
        <v>133740.99999994296</v>
      </c>
      <c r="AD138" s="98">
        <f t="shared" si="59"/>
        <v>1.0699279999995437</v>
      </c>
      <c r="AE138" s="62">
        <f t="shared" si="60"/>
        <v>0.1224604346057955</v>
      </c>
      <c r="AF138" s="31" t="s">
        <v>465</v>
      </c>
      <c r="AG138" s="34" t="s">
        <v>466</v>
      </c>
      <c r="AH138" s="40">
        <f>X137*8/1000000</f>
        <v>-8.009374141693115E-13</v>
      </c>
      <c r="AI138" s="40">
        <f>V137*8/1000000</f>
        <v>6.1540000000011261</v>
      </c>
      <c r="AJ138" s="65" t="s">
        <v>467</v>
      </c>
      <c r="AK138" s="65" t="s">
        <v>468</v>
      </c>
      <c r="AL138" s="65">
        <v>6.97</v>
      </c>
      <c r="AM138" s="65">
        <v>6.97</v>
      </c>
      <c r="AN138" s="65">
        <v>6.97</v>
      </c>
    </row>
    <row r="139" spans="1:48" ht="15.75">
      <c r="B139">
        <v>102</v>
      </c>
      <c r="C139">
        <v>101</v>
      </c>
      <c r="E139" t="s">
        <v>51</v>
      </c>
      <c r="F139" t="s">
        <v>49</v>
      </c>
      <c r="G139" t="s">
        <v>50</v>
      </c>
      <c r="L139" s="78" t="str">
        <f t="shared" si="61"/>
        <v>144/16:32</v>
      </c>
      <c r="M139" s="78" t="s">
        <v>469</v>
      </c>
      <c r="O139" s="84" t="str">
        <f t="shared" si="62"/>
        <v>162/17:01</v>
      </c>
      <c r="P139" s="32" t="s">
        <v>470</v>
      </c>
      <c r="Q139" s="85">
        <f t="shared" si="63"/>
        <v>610410246.21954072</v>
      </c>
      <c r="R139" s="28">
        <f t="shared" si="55"/>
        <v>610650283.13981998</v>
      </c>
      <c r="S139" s="21">
        <f t="shared" si="56"/>
        <v>240036.92027926445</v>
      </c>
      <c r="T139" s="21">
        <f t="shared" si="57"/>
        <v>907499.99999990535</v>
      </c>
      <c r="U139" s="3">
        <v>0</v>
      </c>
      <c r="V139" s="27">
        <f t="shared" si="64"/>
        <v>907499.99999990535</v>
      </c>
      <c r="W139" s="20">
        <f t="shared" si="67"/>
        <v>907500</v>
      </c>
      <c r="X139" s="332">
        <f t="shared" si="58"/>
        <v>9.4645656645298004E-8</v>
      </c>
      <c r="Y139" s="77">
        <f t="shared" si="65"/>
        <v>7.26</v>
      </c>
      <c r="Z139" s="93">
        <f t="shared" si="68"/>
        <v>32.548999999999999</v>
      </c>
      <c r="AA139" s="50"/>
      <c r="AB139" s="50">
        <v>1024638</v>
      </c>
      <c r="AC139" s="50">
        <f t="shared" si="66"/>
        <v>117138.00000009465</v>
      </c>
      <c r="AD139" s="98">
        <f t="shared" si="59"/>
        <v>0.93710400000075722</v>
      </c>
      <c r="AE139" s="62">
        <f t="shared" si="60"/>
        <v>0.1143213505648772</v>
      </c>
      <c r="AF139" s="31" t="s">
        <v>471</v>
      </c>
      <c r="AG139" s="34" t="s">
        <v>472</v>
      </c>
      <c r="AH139" s="40">
        <f>X138*8/1000000</f>
        <v>-4.5541673898696896E-13</v>
      </c>
      <c r="AI139" s="40">
        <f>V138*8/1000000</f>
        <v>7.6670000000004563</v>
      </c>
      <c r="AJ139" s="65" t="s">
        <v>473</v>
      </c>
      <c r="AK139" s="65" t="s">
        <v>474</v>
      </c>
      <c r="AL139" s="65">
        <v>6.6</v>
      </c>
      <c r="AM139" s="65">
        <v>6.6</v>
      </c>
      <c r="AN139" s="65">
        <v>6.6</v>
      </c>
    </row>
    <row r="140" spans="1:48" ht="15.75">
      <c r="B140">
        <v>102</v>
      </c>
      <c r="C140">
        <v>101</v>
      </c>
      <c r="E140" t="s">
        <v>51</v>
      </c>
      <c r="F140" t="s">
        <v>49</v>
      </c>
      <c r="G140" t="s">
        <v>50</v>
      </c>
      <c r="L140" s="78" t="str">
        <f t="shared" si="61"/>
        <v>147/11:13</v>
      </c>
      <c r="M140" s="78" t="s">
        <v>475</v>
      </c>
      <c r="O140" s="84" t="str">
        <f t="shared" si="62"/>
        <v>164/00:56</v>
      </c>
      <c r="P140" s="32" t="s">
        <v>476</v>
      </c>
      <c r="Q140" s="85">
        <f t="shared" si="63"/>
        <v>610650282.13981998</v>
      </c>
      <c r="R140" s="28">
        <f t="shared" si="55"/>
        <v>610784848.29209781</v>
      </c>
      <c r="S140" s="21">
        <f t="shared" si="56"/>
        <v>134566.15227782726</v>
      </c>
      <c r="T140" s="21">
        <f t="shared" si="57"/>
        <v>508750.00000016543</v>
      </c>
      <c r="U140" s="3">
        <v>0</v>
      </c>
      <c r="V140" s="27">
        <f t="shared" si="64"/>
        <v>508750.00000016543</v>
      </c>
      <c r="W140" s="20">
        <f t="shared" si="67"/>
        <v>508750.00000000006</v>
      </c>
      <c r="X140" s="332">
        <f t="shared" si="58"/>
        <v>-1.653679646551609E-7</v>
      </c>
      <c r="Y140" s="77">
        <f t="shared" si="65"/>
        <v>4.07</v>
      </c>
      <c r="Z140" s="93">
        <f t="shared" si="68"/>
        <v>36.619</v>
      </c>
      <c r="AA140" s="50"/>
      <c r="AB140" s="50">
        <v>574838</v>
      </c>
      <c r="AC140" s="50">
        <f t="shared" si="66"/>
        <v>66087.999999834574</v>
      </c>
      <c r="AD140" s="98">
        <f t="shared" si="59"/>
        <v>0.52870399999867657</v>
      </c>
      <c r="AE140" s="62">
        <f t="shared" si="60"/>
        <v>0.11496804317013588</v>
      </c>
      <c r="AF140" s="31" t="s">
        <v>477</v>
      </c>
      <c r="AG140" s="34" t="s">
        <v>478</v>
      </c>
      <c r="AH140" s="40">
        <f>X139*8/1000000</f>
        <v>7.5716525316238406E-13</v>
      </c>
      <c r="AI140" s="40">
        <f>V139*8/1000000</f>
        <v>7.2599999999992431</v>
      </c>
      <c r="AJ140" s="65" t="s">
        <v>479</v>
      </c>
      <c r="AK140" s="65" t="s">
        <v>480</v>
      </c>
      <c r="AL140" s="65">
        <v>3.7</v>
      </c>
      <c r="AM140" s="65">
        <v>3.7</v>
      </c>
      <c r="AN140" s="65">
        <v>3.7</v>
      </c>
    </row>
    <row r="141" spans="1:48" ht="15.75">
      <c r="B141">
        <v>102</v>
      </c>
      <c r="C141">
        <v>101</v>
      </c>
      <c r="E141" t="s">
        <v>51</v>
      </c>
      <c r="F141" t="s">
        <v>49</v>
      </c>
      <c r="G141" t="s">
        <v>50</v>
      </c>
      <c r="L141" s="78" t="str">
        <f t="shared" si="61"/>
        <v>149/00:35</v>
      </c>
      <c r="M141" s="78" t="s">
        <v>481</v>
      </c>
      <c r="O141" s="84" t="str">
        <f t="shared" si="62"/>
        <v>166/15:41</v>
      </c>
      <c r="P141" s="32" t="s">
        <v>482</v>
      </c>
      <c r="Q141" s="85">
        <f t="shared" si="63"/>
        <v>610784847.29209781</v>
      </c>
      <c r="R141" s="28">
        <f t="shared" si="55"/>
        <v>611216550.05629706</v>
      </c>
      <c r="S141" s="21">
        <f t="shared" si="56"/>
        <v>431702.7641992569</v>
      </c>
      <c r="T141" s="21">
        <f t="shared" si="57"/>
        <v>1632124.9999999595</v>
      </c>
      <c r="U141" s="3">
        <v>0</v>
      </c>
      <c r="V141" s="27">
        <f t="shared" si="64"/>
        <v>1632124.9999999595</v>
      </c>
      <c r="W141" s="20">
        <f t="shared" si="67"/>
        <v>1632125</v>
      </c>
      <c r="X141" s="332">
        <f t="shared" si="58"/>
        <v>4.0512531995773315E-8</v>
      </c>
      <c r="Y141" s="103">
        <f t="shared" si="65"/>
        <v>13.057</v>
      </c>
      <c r="Z141" s="93">
        <f t="shared" si="68"/>
        <v>49.676000000000002</v>
      </c>
      <c r="AA141" s="50"/>
      <c r="AB141" s="50">
        <v>1838628</v>
      </c>
      <c r="AC141" s="50">
        <f t="shared" si="66"/>
        <v>206503.00000004051</v>
      </c>
      <c r="AD141" s="98">
        <f t="shared" si="59"/>
        <v>1.6520240000003241</v>
      </c>
      <c r="AE141" s="62">
        <f t="shared" si="60"/>
        <v>0.11231363821286335</v>
      </c>
      <c r="AF141" s="31" t="s">
        <v>483</v>
      </c>
      <c r="AG141" s="34" t="s">
        <v>484</v>
      </c>
      <c r="AH141" s="40">
        <f>X141*8/1000000</f>
        <v>3.2410025596618653E-13</v>
      </c>
      <c r="AI141" s="40">
        <f>V141*8/1000000</f>
        <v>13.056999999999675</v>
      </c>
      <c r="AJ141" s="65" t="s">
        <v>485</v>
      </c>
      <c r="AK141" s="65" t="s">
        <v>486</v>
      </c>
      <c r="AL141" s="65">
        <v>11.87</v>
      </c>
      <c r="AM141" s="65">
        <v>11.87</v>
      </c>
      <c r="AN141" s="65">
        <v>11.87</v>
      </c>
    </row>
    <row r="142" spans="1:48" ht="15.75">
      <c r="B142">
        <v>102</v>
      </c>
      <c r="C142">
        <v>101</v>
      </c>
      <c r="E142" t="s">
        <v>51</v>
      </c>
      <c r="F142" t="s">
        <v>49</v>
      </c>
      <c r="G142" t="s">
        <v>50</v>
      </c>
      <c r="L142" s="78" t="str">
        <f t="shared" si="61"/>
        <v>154/00:30</v>
      </c>
      <c r="M142" s="78" t="s">
        <v>487</v>
      </c>
      <c r="O142" s="84" t="str">
        <f t="shared" si="62"/>
        <v>167/15:51</v>
      </c>
      <c r="P142" s="32" t="s">
        <v>13</v>
      </c>
      <c r="Q142" s="85">
        <f t="shared" si="63"/>
        <v>611216549.05629706</v>
      </c>
      <c r="R142" s="28">
        <f t="shared" si="55"/>
        <v>611398758.90032721</v>
      </c>
      <c r="S142" s="21">
        <f t="shared" si="56"/>
        <v>182209.84403014183</v>
      </c>
      <c r="T142" s="21">
        <f t="shared" si="57"/>
        <v>688874.99999982573</v>
      </c>
      <c r="U142" s="3">
        <v>0</v>
      </c>
      <c r="V142" s="27">
        <f t="shared" si="64"/>
        <v>688874.99999982573</v>
      </c>
      <c r="W142" s="20">
        <f t="shared" si="67"/>
        <v>688875</v>
      </c>
      <c r="X142" s="332">
        <f t="shared" si="58"/>
        <v>1.7427373677492142E-7</v>
      </c>
      <c r="Y142" s="103">
        <f t="shared" si="65"/>
        <v>5.5110000000000001</v>
      </c>
      <c r="Z142" s="93">
        <f t="shared" si="68"/>
        <v>55.187000000000005</v>
      </c>
      <c r="AA142" s="50"/>
      <c r="AB142" s="50">
        <v>770314</v>
      </c>
      <c r="AC142" s="50">
        <f t="shared" si="66"/>
        <v>81439.000000174274</v>
      </c>
      <c r="AD142" s="98">
        <f t="shared" si="59"/>
        <v>0.6515120000013942</v>
      </c>
      <c r="AE142" s="62">
        <f t="shared" si="60"/>
        <v>0.10572182252974018</v>
      </c>
      <c r="AF142" s="31" t="s">
        <v>488</v>
      </c>
      <c r="AG142" s="34" t="s">
        <v>489</v>
      </c>
      <c r="AH142" s="40">
        <f>X142*8/1000000</f>
        <v>1.3941898941993714E-12</v>
      </c>
      <c r="AI142" s="40">
        <f>V142*8/1000000</f>
        <v>5.5109999999986057</v>
      </c>
      <c r="AJ142" s="65" t="s">
        <v>490</v>
      </c>
      <c r="AK142" s="65" t="s">
        <v>491</v>
      </c>
      <c r="AL142" s="65">
        <v>5.01</v>
      </c>
      <c r="AM142" s="65">
        <v>5.01</v>
      </c>
      <c r="AN142" s="65">
        <v>5.01</v>
      </c>
    </row>
    <row r="143" spans="1:48" ht="15.75">
      <c r="B143">
        <v>102</v>
      </c>
      <c r="C143">
        <v>101</v>
      </c>
      <c r="E143" t="s">
        <v>51</v>
      </c>
      <c r="F143" t="s">
        <v>49</v>
      </c>
      <c r="G143" t="s">
        <v>50</v>
      </c>
      <c r="L143" s="78" t="str">
        <f t="shared" si="61"/>
        <v>156/03:07</v>
      </c>
      <c r="M143" s="78" t="s">
        <v>492</v>
      </c>
      <c r="O143" s="84" t="str">
        <f t="shared" si="62"/>
        <v>168/15:51</v>
      </c>
      <c r="P143" s="32" t="s">
        <v>493</v>
      </c>
      <c r="Q143" s="85">
        <f t="shared" si="63"/>
        <v>611398757.90032721</v>
      </c>
      <c r="R143" s="28">
        <f t="shared" si="55"/>
        <v>611652251.43583429</v>
      </c>
      <c r="S143" s="21">
        <f t="shared" si="56"/>
        <v>253493.53550708294</v>
      </c>
      <c r="T143" s="21">
        <f t="shared" si="57"/>
        <v>958375.00000005704</v>
      </c>
      <c r="U143" s="3">
        <v>0</v>
      </c>
      <c r="V143" s="27">
        <f t="shared" si="64"/>
        <v>958375.00000005704</v>
      </c>
      <c r="W143" s="20">
        <f t="shared" si="67"/>
        <v>958375.00000000012</v>
      </c>
      <c r="X143" s="332">
        <f t="shared" si="58"/>
        <v>-5.6927092373371124E-8</v>
      </c>
      <c r="Y143" s="103">
        <f t="shared" si="65"/>
        <v>7.6670000000000007</v>
      </c>
      <c r="Z143" s="93">
        <f t="shared" si="68"/>
        <v>62.854000000000006</v>
      </c>
      <c r="AA143" s="50"/>
      <c r="AB143" s="50">
        <v>958375</v>
      </c>
      <c r="AC143" s="50">
        <f t="shared" si="66"/>
        <v>-5.7043507695198059E-8</v>
      </c>
      <c r="AD143" s="98">
        <f t="shared" si="59"/>
        <v>-4.5634806156158446E-13</v>
      </c>
      <c r="AE143" s="62"/>
      <c r="AF143" s="31" t="s">
        <v>494</v>
      </c>
      <c r="AG143" s="34" t="s">
        <v>495</v>
      </c>
      <c r="AH143" s="40">
        <f>X143*8/1000000</f>
        <v>-4.5541673898696896E-13</v>
      </c>
      <c r="AI143" s="40">
        <f>V143*8/1000000</f>
        <v>7.6670000000004563</v>
      </c>
      <c r="AJ143" s="65" t="s">
        <v>496</v>
      </c>
      <c r="AK143" s="65" t="s">
        <v>497</v>
      </c>
      <c r="AL143" s="65">
        <v>6.97</v>
      </c>
      <c r="AM143" s="65">
        <v>6.97</v>
      </c>
      <c r="AN143" s="65">
        <v>6.97</v>
      </c>
    </row>
    <row r="144" spans="1:48" ht="15.75">
      <c r="L144" s="42"/>
      <c r="M144" s="40"/>
      <c r="N144" s="40"/>
      <c r="O144" s="41" t="s">
        <v>498</v>
      </c>
      <c r="P144" s="15" t="s">
        <v>499</v>
      </c>
      <c r="Q144" s="15" t="s">
        <v>500</v>
      </c>
      <c r="R144" s="15">
        <v>611744022</v>
      </c>
      <c r="S144" s="15">
        <v>1</v>
      </c>
      <c r="T144" s="15" t="s">
        <v>27</v>
      </c>
      <c r="U144" s="15" t="s">
        <v>501</v>
      </c>
      <c r="V144" s="15" t="s">
        <v>28</v>
      </c>
      <c r="W144" s="15"/>
      <c r="X144" s="15" t="s">
        <v>502</v>
      </c>
      <c r="Y144" s="107"/>
      <c r="Z144" s="107"/>
      <c r="AA144" s="59"/>
      <c r="AB144" s="50"/>
      <c r="AC144" s="50"/>
      <c r="AD144" s="99"/>
      <c r="AE144" s="99"/>
      <c r="AF144" s="31"/>
      <c r="AG144" s="34"/>
      <c r="AH144" s="40"/>
      <c r="AI144" s="40"/>
      <c r="AJ144" s="65"/>
      <c r="AK144" s="65"/>
      <c r="AL144" s="65">
        <v>4.93</v>
      </c>
      <c r="AM144" s="65">
        <v>4.93</v>
      </c>
      <c r="AN144" s="65">
        <v>4.93</v>
      </c>
    </row>
    <row r="145" spans="1:57" ht="15.75">
      <c r="B145">
        <v>102</v>
      </c>
      <c r="C145">
        <v>101</v>
      </c>
      <c r="E145" t="s">
        <v>51</v>
      </c>
      <c r="F145" t="s">
        <v>49</v>
      </c>
      <c r="G145" t="s">
        <v>50</v>
      </c>
      <c r="L145" s="78" t="str">
        <f>M143</f>
        <v>159/01:32</v>
      </c>
      <c r="M145" s="108" t="s">
        <v>503</v>
      </c>
      <c r="N145" t="s">
        <v>18</v>
      </c>
      <c r="O145" s="84" t="str">
        <f>AG145</f>
        <v>169/01:21</v>
      </c>
      <c r="P145" s="32" t="s">
        <v>14</v>
      </c>
      <c r="Q145" s="85">
        <f>R143-1</f>
        <v>611652250.43583429</v>
      </c>
      <c r="R145" s="35">
        <f>R144+20</f>
        <v>611744042</v>
      </c>
      <c r="S145" s="21">
        <f>R145-Q145</f>
        <v>91791.564165711403</v>
      </c>
      <c r="T145" s="21">
        <f>S145*$V$13</f>
        <v>347033.46628285473</v>
      </c>
      <c r="U145" s="3">
        <v>0</v>
      </c>
      <c r="V145" s="27">
        <f>T145+U145*$V$38</f>
        <v>347033.46628285473</v>
      </c>
      <c r="W145" s="20">
        <f>Y145*1000000/8</f>
        <v>677875</v>
      </c>
      <c r="X145" s="332">
        <f>W145-V145</f>
        <v>330841.53371714527</v>
      </c>
      <c r="Y145" s="103">
        <f>1.1*AL145</f>
        <v>5.423</v>
      </c>
      <c r="Z145" s="109">
        <f>Y145+Z143</f>
        <v>68.277000000000001</v>
      </c>
      <c r="AA145" s="50"/>
      <c r="AB145" s="50"/>
      <c r="AC145" s="50">
        <f>AB145-T145</f>
        <v>-347033.46628285473</v>
      </c>
      <c r="AD145" s="98">
        <f>AC145*8/1000000</f>
        <v>-2.776267730262838</v>
      </c>
      <c r="AE145" s="98"/>
      <c r="AF145" s="31" t="s">
        <v>33</v>
      </c>
      <c r="AG145" s="34" t="s">
        <v>504</v>
      </c>
      <c r="AH145" s="40">
        <f>X145*8/1000000</f>
        <v>2.646732269737162</v>
      </c>
      <c r="AI145" s="40">
        <f>V145*8/1000000</f>
        <v>2.776267730262838</v>
      </c>
      <c r="AJ145" s="65" t="s">
        <v>505</v>
      </c>
      <c r="AK145" s="65" t="s">
        <v>506</v>
      </c>
      <c r="AL145" s="65">
        <v>4.93</v>
      </c>
      <c r="AM145" s="65">
        <v>4.93</v>
      </c>
      <c r="AN145" s="65">
        <v>4.93</v>
      </c>
    </row>
    <row r="146" spans="1:57" ht="15.75">
      <c r="L146" s="42"/>
      <c r="M146" s="40"/>
      <c r="N146" s="40"/>
      <c r="O146" s="41" t="s">
        <v>507</v>
      </c>
      <c r="P146" s="15" t="s">
        <v>403</v>
      </c>
      <c r="Q146" s="15" t="s">
        <v>404</v>
      </c>
      <c r="R146" s="15">
        <v>611744576</v>
      </c>
      <c r="S146" s="15">
        <v>7</v>
      </c>
      <c r="T146" s="15" t="s">
        <v>27</v>
      </c>
      <c r="U146" s="15" t="s">
        <v>405</v>
      </c>
      <c r="V146" s="15" t="s">
        <v>151</v>
      </c>
      <c r="W146" s="15" t="s">
        <v>152</v>
      </c>
      <c r="X146" s="15" t="s">
        <v>406</v>
      </c>
      <c r="Y146" s="107"/>
      <c r="Z146" s="107"/>
      <c r="AA146" s="60"/>
      <c r="AB146" s="50"/>
      <c r="AC146" s="50"/>
      <c r="AD146" s="99"/>
      <c r="AE146" s="99"/>
      <c r="AF146" s="31"/>
      <c r="AG146" s="34"/>
      <c r="AH146" s="40"/>
      <c r="AI146" s="40"/>
      <c r="AJ146" s="65"/>
      <c r="AK146" s="65"/>
      <c r="AL146" s="65"/>
      <c r="AM146" s="65"/>
    </row>
    <row r="147" spans="1:57" ht="15.75">
      <c r="A147" s="6" t="s">
        <v>5694</v>
      </c>
      <c r="B147">
        <v>102</v>
      </c>
      <c r="C147">
        <v>103</v>
      </c>
      <c r="D147">
        <v>110</v>
      </c>
      <c r="E147" t="s">
        <v>51</v>
      </c>
      <c r="F147" t="s">
        <v>49</v>
      </c>
      <c r="G147" t="s">
        <v>50</v>
      </c>
      <c r="L147" s="78" t="s">
        <v>508</v>
      </c>
      <c r="M147" s="78" t="s">
        <v>509</v>
      </c>
      <c r="P147" s="32" t="s">
        <v>14</v>
      </c>
      <c r="Q147" s="100">
        <f>R146-20</f>
        <v>611744556</v>
      </c>
      <c r="R147" s="28">
        <f>((W147-U147*$V$38)/$V$12)+Q147</f>
        <v>611851610.92407358</v>
      </c>
      <c r="S147" s="21">
        <f t="shared" ref="S147:S157" si="69">R147-Q147</f>
        <v>107054.92407357693</v>
      </c>
      <c r="T147" s="21">
        <f>S147*$V$12</f>
        <v>330841.53371706873</v>
      </c>
      <c r="U147" s="3">
        <v>0</v>
      </c>
      <c r="V147" s="27">
        <f t="shared" ref="V147:V157" si="70">T147+U147*$V$38</f>
        <v>330841.53371706873</v>
      </c>
      <c r="W147" s="20">
        <f>X145</f>
        <v>330841.53371714527</v>
      </c>
      <c r="X147" s="332">
        <f t="shared" ref="X147:X157" si="71">W147-V147</f>
        <v>7.6543074101209641E-8</v>
      </c>
      <c r="Y147" s="103"/>
      <c r="Z147" s="110"/>
      <c r="AA147" s="50"/>
      <c r="AB147" s="50"/>
      <c r="AC147" s="50">
        <f t="shared" ref="AC147:AC157" si="72">AB147-T147</f>
        <v>-330841.53371706873</v>
      </c>
      <c r="AD147" s="98">
        <f t="shared" ref="AD147:AD157" si="73">AC147*8/1000000</f>
        <v>-2.6467322697365496</v>
      </c>
      <c r="AE147" s="98"/>
      <c r="AF147" s="31"/>
      <c r="AG147" s="34"/>
      <c r="AH147" s="40">
        <f t="shared" ref="AH147:AH157" si="74">X147*8/1000000</f>
        <v>6.1234459280967711E-13</v>
      </c>
      <c r="AI147" s="40">
        <f t="shared" ref="AI147:AI157" si="75">V147*8/1000000</f>
        <v>2.6467322697365496</v>
      </c>
      <c r="AJ147" s="65"/>
      <c r="AK147" s="65"/>
      <c r="AL147" s="65"/>
      <c r="AM147" s="65"/>
    </row>
    <row r="148" spans="1:57" ht="15.75">
      <c r="B148">
        <v>102</v>
      </c>
      <c r="C148">
        <v>103</v>
      </c>
      <c r="D148">
        <v>110</v>
      </c>
      <c r="E148" t="s">
        <v>51</v>
      </c>
      <c r="F148" t="s">
        <v>49</v>
      </c>
      <c r="G148" t="s">
        <v>50</v>
      </c>
      <c r="L148" s="78" t="str">
        <f>M147</f>
        <v>161/08:55</v>
      </c>
      <c r="M148" s="78" t="s">
        <v>510</v>
      </c>
      <c r="O148" s="84" t="str">
        <f>AG148</f>
        <v>169/22:11</v>
      </c>
      <c r="P148" s="32" t="s">
        <v>511</v>
      </c>
      <c r="Q148" s="85">
        <f>R147-1</f>
        <v>611851609.92407358</v>
      </c>
      <c r="R148" s="28">
        <f>((W148-U148*$V$38)/$V$12)+Q148</f>
        <v>612349038.95054173</v>
      </c>
      <c r="S148" s="21">
        <f t="shared" si="69"/>
        <v>497429.02646815777</v>
      </c>
      <c r="T148" s="21">
        <f>S148*$V$12</f>
        <v>1537250.0000000705</v>
      </c>
      <c r="U148" s="3">
        <v>0</v>
      </c>
      <c r="V148" s="27">
        <f t="shared" si="70"/>
        <v>1537250.0000000705</v>
      </c>
      <c r="W148" s="20">
        <f>Y148*1000000/8</f>
        <v>1537250</v>
      </c>
      <c r="X148" s="332">
        <f t="shared" si="71"/>
        <v>-7.0547685027122498E-8</v>
      </c>
      <c r="Y148" s="103">
        <f>1.1*AL148</f>
        <v>12.298</v>
      </c>
      <c r="Z148" s="109">
        <f>Z145+Y148</f>
        <v>80.575000000000003</v>
      </c>
      <c r="AA148" s="50"/>
      <c r="AB148" s="50"/>
      <c r="AC148" s="50">
        <f t="shared" si="72"/>
        <v>-1537250.0000000705</v>
      </c>
      <c r="AD148" s="98">
        <f t="shared" si="73"/>
        <v>-12.298000000000565</v>
      </c>
      <c r="AE148" s="98"/>
      <c r="AF148" s="31" t="s">
        <v>512</v>
      </c>
      <c r="AG148" s="34" t="s">
        <v>513</v>
      </c>
      <c r="AH148" s="40">
        <f t="shared" si="74"/>
        <v>-5.6438148021697997E-13</v>
      </c>
      <c r="AI148" s="40">
        <f t="shared" si="75"/>
        <v>12.298000000000565</v>
      </c>
      <c r="AJ148" s="65" t="s">
        <v>514</v>
      </c>
      <c r="AK148" s="65" t="s">
        <v>515</v>
      </c>
      <c r="AL148" s="65">
        <v>11.18</v>
      </c>
      <c r="AM148" s="65">
        <v>11.18</v>
      </c>
      <c r="AN148" s="65">
        <v>11.18</v>
      </c>
    </row>
    <row r="149" spans="1:57" ht="15.75">
      <c r="B149">
        <v>102</v>
      </c>
      <c r="C149">
        <v>103</v>
      </c>
      <c r="D149">
        <v>110</v>
      </c>
      <c r="E149" t="s">
        <v>51</v>
      </c>
      <c r="F149" t="s">
        <v>49</v>
      </c>
      <c r="G149" t="s">
        <v>50</v>
      </c>
      <c r="L149" s="78" t="str">
        <f>M148</f>
        <v>167/03:05</v>
      </c>
      <c r="M149" s="78" t="s">
        <v>516</v>
      </c>
      <c r="O149" s="84" t="str">
        <f>AG149</f>
        <v>170/16:06</v>
      </c>
      <c r="P149" s="32" t="s">
        <v>517</v>
      </c>
      <c r="Q149" s="85">
        <f>R148-1</f>
        <v>612349037.95054173</v>
      </c>
      <c r="R149" s="35">
        <v>612647515</v>
      </c>
      <c r="S149" s="21">
        <f t="shared" si="69"/>
        <v>298477.0494582653</v>
      </c>
      <c r="T149" s="21">
        <f>S149*$V$12</f>
        <v>922410.67542348371</v>
      </c>
      <c r="U149" s="3">
        <v>0</v>
      </c>
      <c r="V149" s="27">
        <f t="shared" si="70"/>
        <v>922410.67542348371</v>
      </c>
      <c r="W149" s="20">
        <f>Y149*1000000/8</f>
        <v>2965875.0000000005</v>
      </c>
      <c r="X149" s="332">
        <f t="shared" si="71"/>
        <v>2043464.3245765166</v>
      </c>
      <c r="Y149" s="103">
        <f>1.1*AL149</f>
        <v>23.727000000000004</v>
      </c>
      <c r="Z149" s="109">
        <f>Z148+AA149</f>
        <v>87.954285403387871</v>
      </c>
      <c r="AA149" s="50">
        <f>AI149</f>
        <v>7.3792854033878701</v>
      </c>
      <c r="AB149" s="50"/>
      <c r="AC149" s="50">
        <f t="shared" si="72"/>
        <v>-922410.67542348371</v>
      </c>
      <c r="AD149" s="98">
        <f t="shared" si="73"/>
        <v>-7.3792854033878701</v>
      </c>
      <c r="AE149" s="98"/>
      <c r="AF149" t="s">
        <v>518</v>
      </c>
      <c r="AG149" s="34" t="s">
        <v>519</v>
      </c>
      <c r="AH149" s="40">
        <f t="shared" si="74"/>
        <v>16.347714596612132</v>
      </c>
      <c r="AI149" s="40">
        <f t="shared" si="75"/>
        <v>7.3792854033878701</v>
      </c>
      <c r="AJ149" s="65" t="s">
        <v>520</v>
      </c>
      <c r="AK149" s="65" t="s">
        <v>521</v>
      </c>
      <c r="AL149" s="65">
        <v>21.57</v>
      </c>
      <c r="AM149" s="65">
        <v>21.57</v>
      </c>
      <c r="AN149" s="65"/>
    </row>
    <row r="150" spans="1:57" ht="15.75">
      <c r="L150" s="47" t="s">
        <v>394</v>
      </c>
      <c r="M150" s="47" t="s">
        <v>522</v>
      </c>
      <c r="O150" s="34"/>
      <c r="P150" s="32" t="s">
        <v>517</v>
      </c>
      <c r="Q150" s="58">
        <f>R107-3</f>
        <v>592432559.87599802</v>
      </c>
      <c r="R150" s="21">
        <f t="shared" ref="R150:R156" si="76">((W150)/$X$9)+Q150</f>
        <v>592985455.41489768</v>
      </c>
      <c r="S150" s="21">
        <f t="shared" si="69"/>
        <v>552895.53889966011</v>
      </c>
      <c r="T150" s="21">
        <f t="shared" ref="T150:T156" si="77">S150*$X$9</f>
        <v>2043464.3245764237</v>
      </c>
      <c r="U150" s="3">
        <v>0</v>
      </c>
      <c r="V150" s="20">
        <f t="shared" si="70"/>
        <v>2043464.3245764237</v>
      </c>
      <c r="W150" s="20">
        <f>X149</f>
        <v>2043464.3245765166</v>
      </c>
      <c r="X150" s="332">
        <f t="shared" si="71"/>
        <v>9.2899426817893982E-8</v>
      </c>
      <c r="Z150" s="111">
        <f>W150*8/1000000</f>
        <v>16.347714596612132</v>
      </c>
      <c r="AA150" s="111"/>
      <c r="AB150" s="50"/>
      <c r="AC150" s="50">
        <f t="shared" si="72"/>
        <v>-2043464.3245764237</v>
      </c>
      <c r="AD150" s="98">
        <f t="shared" si="73"/>
        <v>-16.347714596611389</v>
      </c>
      <c r="AE150" s="98"/>
      <c r="AH150" s="40">
        <f t="shared" si="74"/>
        <v>7.4319541454315185E-13</v>
      </c>
      <c r="AI150" s="40">
        <f t="shared" si="75"/>
        <v>16.347714596611389</v>
      </c>
    </row>
    <row r="151" spans="1:57" ht="15.75">
      <c r="L151" s="47" t="str">
        <f t="shared" ref="L151:L156" si="78">M150</f>
        <v>309/00:19</v>
      </c>
      <c r="M151" s="47" t="s">
        <v>523</v>
      </c>
      <c r="O151" s="84" t="str">
        <f t="shared" ref="O151:O157" si="79">AG151</f>
        <v>173/15:36</v>
      </c>
      <c r="P151" s="32" t="s">
        <v>524</v>
      </c>
      <c r="Q151" s="58">
        <f t="shared" ref="Q151:Q156" si="80">R150-3</f>
        <v>592985452.41489768</v>
      </c>
      <c r="R151" s="21">
        <f t="shared" si="76"/>
        <v>593579957.39755702</v>
      </c>
      <c r="S151" s="21">
        <f t="shared" si="69"/>
        <v>594504.9826593399</v>
      </c>
      <c r="T151" s="21">
        <f t="shared" si="77"/>
        <v>2197250.0000000154</v>
      </c>
      <c r="U151" s="3">
        <v>0</v>
      </c>
      <c r="V151" s="20">
        <f t="shared" si="70"/>
        <v>2197250.0000000154</v>
      </c>
      <c r="W151" s="20">
        <f t="shared" ref="W151:W157" si="81">Y151*1000000/8</f>
        <v>2197250.0000000005</v>
      </c>
      <c r="X151" s="332">
        <f t="shared" si="71"/>
        <v>-1.4901161193847656E-8</v>
      </c>
      <c r="Y151" s="103">
        <f t="shared" ref="Y151:Y156" si="82">1.1*AL151</f>
        <v>17.578000000000003</v>
      </c>
      <c r="Z151" s="111">
        <f>Z150+Y151</f>
        <v>33.925714596612139</v>
      </c>
      <c r="AA151" s="50"/>
      <c r="AB151" s="50"/>
      <c r="AC151" s="50">
        <f t="shared" si="72"/>
        <v>-2197250.0000000154</v>
      </c>
      <c r="AD151" s="98">
        <f t="shared" si="73"/>
        <v>-17.578000000000124</v>
      </c>
      <c r="AE151" s="98"/>
      <c r="AF151" s="31" t="s">
        <v>525</v>
      </c>
      <c r="AG151" s="34" t="s">
        <v>526</v>
      </c>
      <c r="AH151" s="40">
        <f t="shared" si="74"/>
        <v>-1.1920928955078124E-13</v>
      </c>
      <c r="AI151" s="40">
        <f t="shared" si="75"/>
        <v>17.578000000000124</v>
      </c>
      <c r="AJ151" s="65" t="s">
        <v>527</v>
      </c>
      <c r="AK151" s="65" t="s">
        <v>528</v>
      </c>
      <c r="AL151" s="65">
        <v>15.98</v>
      </c>
      <c r="AM151" s="65">
        <v>15.98</v>
      </c>
      <c r="AN151" s="65">
        <v>15.98</v>
      </c>
    </row>
    <row r="152" spans="1:57" ht="15.75">
      <c r="L152" s="47" t="str">
        <f t="shared" si="78"/>
        <v>315/21:27</v>
      </c>
      <c r="M152" s="47" t="s">
        <v>529</v>
      </c>
      <c r="O152" s="84" t="str">
        <f t="shared" si="79"/>
        <v>174/15:46</v>
      </c>
      <c r="P152" s="32" t="s">
        <v>530</v>
      </c>
      <c r="Q152" s="58">
        <f t="shared" si="80"/>
        <v>593579954.39755702</v>
      </c>
      <c r="R152" s="21">
        <f t="shared" si="76"/>
        <v>593841863.97690129</v>
      </c>
      <c r="S152" s="21">
        <f t="shared" si="69"/>
        <v>261909.57934427261</v>
      </c>
      <c r="T152" s="21">
        <f t="shared" si="77"/>
        <v>967999.99999994272</v>
      </c>
      <c r="U152" s="3">
        <v>0</v>
      </c>
      <c r="V152" s="20">
        <f t="shared" si="70"/>
        <v>967999.99999994272</v>
      </c>
      <c r="W152" s="20">
        <f t="shared" si="81"/>
        <v>968000.00000000012</v>
      </c>
      <c r="X152" s="332">
        <f t="shared" si="71"/>
        <v>5.7392753660678864E-8</v>
      </c>
      <c r="Y152" s="103">
        <f t="shared" si="82"/>
        <v>7.7440000000000007</v>
      </c>
      <c r="Z152" s="111">
        <f>Z151+Y152</f>
        <v>41.669714596612138</v>
      </c>
      <c r="AA152" s="50"/>
      <c r="AB152" s="50"/>
      <c r="AC152" s="50">
        <f t="shared" si="72"/>
        <v>-967999.99999994272</v>
      </c>
      <c r="AD152" s="98">
        <f t="shared" si="73"/>
        <v>-7.7439999999995415</v>
      </c>
      <c r="AE152" s="98"/>
      <c r="AF152" s="31" t="s">
        <v>531</v>
      </c>
      <c r="AG152" s="34" t="s">
        <v>532</v>
      </c>
      <c r="AH152" s="40">
        <f t="shared" si="74"/>
        <v>4.5914202928543086E-13</v>
      </c>
      <c r="AI152" s="40">
        <f t="shared" si="75"/>
        <v>7.7439999999995415</v>
      </c>
      <c r="AJ152" s="65" t="s">
        <v>533</v>
      </c>
      <c r="AK152" s="65" t="s">
        <v>534</v>
      </c>
      <c r="AL152" s="65">
        <v>7.04</v>
      </c>
      <c r="AM152" s="65">
        <v>7.04</v>
      </c>
      <c r="AN152" s="65">
        <v>7.04</v>
      </c>
    </row>
    <row r="153" spans="1:57" ht="15.75">
      <c r="A153" s="6"/>
      <c r="B153" s="6"/>
      <c r="C153" s="6"/>
      <c r="D153" s="6"/>
      <c r="E153" s="6"/>
      <c r="F153" s="6"/>
      <c r="G153" s="6"/>
      <c r="H153" s="6"/>
      <c r="I153" s="6"/>
      <c r="J153" s="6"/>
      <c r="K153" s="6"/>
      <c r="L153" s="47" t="str">
        <f t="shared" si="78"/>
        <v>318/22:12</v>
      </c>
      <c r="M153" s="47" t="s">
        <v>535</v>
      </c>
      <c r="O153" s="84" t="str">
        <f t="shared" si="79"/>
        <v>175/23:26</v>
      </c>
      <c r="P153" s="32" t="s">
        <v>536</v>
      </c>
      <c r="Q153" s="58">
        <f t="shared" si="80"/>
        <v>593841860.97690129</v>
      </c>
      <c r="R153" s="21">
        <f t="shared" si="76"/>
        <v>594108978.98538029</v>
      </c>
      <c r="S153" s="21">
        <f t="shared" si="69"/>
        <v>267118.00847899914</v>
      </c>
      <c r="T153" s="21">
        <f t="shared" si="77"/>
        <v>987250.00000008673</v>
      </c>
      <c r="U153" s="3">
        <v>0</v>
      </c>
      <c r="V153" s="20">
        <f t="shared" si="70"/>
        <v>987250.00000008673</v>
      </c>
      <c r="W153" s="20">
        <f t="shared" si="81"/>
        <v>987250.00000000012</v>
      </c>
      <c r="X153" s="332">
        <f t="shared" si="71"/>
        <v>-8.6612999439239502E-8</v>
      </c>
      <c r="Y153" s="103">
        <f t="shared" si="82"/>
        <v>7.8980000000000006</v>
      </c>
      <c r="Z153" s="111">
        <f>Z152+Y153</f>
        <v>49.567714596612142</v>
      </c>
      <c r="AA153" s="50"/>
      <c r="AB153" s="50"/>
      <c r="AC153" s="50">
        <f t="shared" si="72"/>
        <v>-987250.00000008673</v>
      </c>
      <c r="AD153" s="98">
        <f t="shared" si="73"/>
        <v>-7.8980000000006942</v>
      </c>
      <c r="AE153" s="98"/>
      <c r="AF153" s="31" t="s">
        <v>537</v>
      </c>
      <c r="AG153" s="34" t="s">
        <v>538</v>
      </c>
      <c r="AH153" s="40">
        <f t="shared" si="74"/>
        <v>-6.92903995513916E-13</v>
      </c>
      <c r="AI153" s="40">
        <f t="shared" si="75"/>
        <v>7.8980000000006942</v>
      </c>
      <c r="AJ153" s="65" t="s">
        <v>539</v>
      </c>
      <c r="AK153" s="65" t="s">
        <v>540</v>
      </c>
      <c r="AL153" s="65">
        <v>7.18</v>
      </c>
      <c r="AM153" s="65">
        <v>7.18</v>
      </c>
      <c r="AN153" s="65">
        <v>7.18</v>
      </c>
    </row>
    <row r="154" spans="1:57" ht="15.75">
      <c r="L154" s="47" t="str">
        <f t="shared" si="78"/>
        <v>322/00:24</v>
      </c>
      <c r="M154" s="47" t="s">
        <v>541</v>
      </c>
      <c r="O154" s="84" t="str">
        <f t="shared" si="79"/>
        <v>177/00:06</v>
      </c>
      <c r="P154" s="32" t="s">
        <v>542</v>
      </c>
      <c r="Q154" s="58">
        <f t="shared" si="80"/>
        <v>594108975.98538029</v>
      </c>
      <c r="R154" s="21">
        <f t="shared" si="76"/>
        <v>594325497.82512236</v>
      </c>
      <c r="S154" s="21">
        <f t="shared" si="69"/>
        <v>216521.83974206448</v>
      </c>
      <c r="T154" s="21">
        <f t="shared" si="77"/>
        <v>800250.00000019802</v>
      </c>
      <c r="U154" s="3">
        <v>0</v>
      </c>
      <c r="V154" s="20">
        <f t="shared" si="70"/>
        <v>800250.00000019802</v>
      </c>
      <c r="W154" s="20">
        <f t="shared" si="81"/>
        <v>800250.00000000012</v>
      </c>
      <c r="X154" s="332">
        <f t="shared" si="71"/>
        <v>-1.9790604710578918E-7</v>
      </c>
      <c r="Y154" s="103">
        <f t="shared" si="82"/>
        <v>6.402000000000001</v>
      </c>
      <c r="Z154" s="111">
        <f>Z153+Y154</f>
        <v>55.969714596612143</v>
      </c>
      <c r="AA154" s="50"/>
      <c r="AB154" s="50"/>
      <c r="AC154" s="50">
        <f t="shared" si="72"/>
        <v>-800250.00000019802</v>
      </c>
      <c r="AD154" s="98">
        <f t="shared" si="73"/>
        <v>-6.4020000000015838</v>
      </c>
      <c r="AE154" s="98"/>
      <c r="AF154" s="31" t="s">
        <v>543</v>
      </c>
      <c r="AG154" s="34" t="s">
        <v>544</v>
      </c>
      <c r="AH154" s="40">
        <f t="shared" si="74"/>
        <v>-1.5832483768463134E-12</v>
      </c>
      <c r="AI154" s="40">
        <f t="shared" si="75"/>
        <v>6.4020000000015838</v>
      </c>
      <c r="AJ154" s="65" t="s">
        <v>545</v>
      </c>
      <c r="AK154" s="65" t="s">
        <v>546</v>
      </c>
      <c r="AL154" s="65">
        <v>5.82</v>
      </c>
      <c r="AM154" s="65">
        <v>5.82</v>
      </c>
      <c r="AN154" s="65">
        <v>5.82</v>
      </c>
    </row>
    <row r="155" spans="1:57" ht="15.75">
      <c r="L155" s="47" t="str">
        <f t="shared" si="78"/>
        <v>324/12:33</v>
      </c>
      <c r="M155" s="47" t="s">
        <v>547</v>
      </c>
      <c r="O155" s="84" t="str">
        <f t="shared" si="79"/>
        <v>177/17:16</v>
      </c>
      <c r="P155" s="32" t="s">
        <v>548</v>
      </c>
      <c r="Q155" s="58">
        <f t="shared" si="80"/>
        <v>594325494.82512236</v>
      </c>
      <c r="R155" s="21">
        <f t="shared" si="76"/>
        <v>594930416.66605103</v>
      </c>
      <c r="S155" s="21">
        <f t="shared" si="69"/>
        <v>604921.84092867374</v>
      </c>
      <c r="T155" s="21">
        <f t="shared" si="77"/>
        <v>2235749.9999998626</v>
      </c>
      <c r="U155" s="3">
        <v>0</v>
      </c>
      <c r="V155" s="20">
        <f t="shared" si="70"/>
        <v>2235749.9999998626</v>
      </c>
      <c r="W155" s="20">
        <f t="shared" si="81"/>
        <v>2235750.0000000005</v>
      </c>
      <c r="X155" s="332">
        <f t="shared" si="71"/>
        <v>1.3783574104309082E-7</v>
      </c>
      <c r="Y155" s="103">
        <f t="shared" si="82"/>
        <v>17.886000000000003</v>
      </c>
      <c r="Z155" s="111">
        <f>Y155+Z154</f>
        <v>73.855714596612145</v>
      </c>
      <c r="AA155" s="111"/>
      <c r="AB155" s="50"/>
      <c r="AC155" s="50">
        <f t="shared" si="72"/>
        <v>-2235749.9999998626</v>
      </c>
      <c r="AD155" s="98">
        <f t="shared" si="73"/>
        <v>-17.885999999998901</v>
      </c>
      <c r="AE155" s="98"/>
      <c r="AF155" s="31" t="s">
        <v>549</v>
      </c>
      <c r="AG155" s="34" t="s">
        <v>550</v>
      </c>
      <c r="AH155" s="40">
        <f t="shared" si="74"/>
        <v>1.1026859283447265E-12</v>
      </c>
      <c r="AI155" s="40">
        <f t="shared" si="75"/>
        <v>17.885999999998901</v>
      </c>
      <c r="AJ155" s="65" t="s">
        <v>551</v>
      </c>
      <c r="AK155" s="65" t="s">
        <v>552</v>
      </c>
      <c r="AL155" s="65">
        <v>16.260000000000002</v>
      </c>
      <c r="AM155" s="65">
        <v>16.260000000000002</v>
      </c>
      <c r="AN155" s="65">
        <v>16.260000000000002</v>
      </c>
    </row>
    <row r="156" spans="1:57" ht="15.75">
      <c r="L156" s="47" t="str">
        <f t="shared" si="78"/>
        <v>331/12:35</v>
      </c>
      <c r="M156" s="47" t="s">
        <v>553</v>
      </c>
      <c r="O156" s="84" t="str">
        <f t="shared" si="79"/>
        <v>179/13:51</v>
      </c>
      <c r="P156" s="32" t="s">
        <v>554</v>
      </c>
      <c r="Q156" s="58">
        <f t="shared" si="80"/>
        <v>594930413.66605103</v>
      </c>
      <c r="R156" s="21">
        <f t="shared" si="76"/>
        <v>595490319.7980299</v>
      </c>
      <c r="S156" s="21">
        <f t="shared" si="69"/>
        <v>559906.13197886944</v>
      </c>
      <c r="T156" s="21">
        <f t="shared" si="77"/>
        <v>2069374.9999998449</v>
      </c>
      <c r="U156" s="3">
        <v>0</v>
      </c>
      <c r="V156" s="20">
        <f t="shared" si="70"/>
        <v>2069374.9999998449</v>
      </c>
      <c r="W156" s="20">
        <f t="shared" si="81"/>
        <v>2069375.0000000005</v>
      </c>
      <c r="X156" s="332">
        <f t="shared" si="71"/>
        <v>1.5553086996078491E-7</v>
      </c>
      <c r="Y156" s="103">
        <f t="shared" si="82"/>
        <v>16.555000000000003</v>
      </c>
      <c r="Z156" s="111">
        <f>Y156+Z155</f>
        <v>90.410714596612152</v>
      </c>
      <c r="AA156" s="111"/>
      <c r="AB156" s="50"/>
      <c r="AC156" s="50">
        <f t="shared" si="72"/>
        <v>-2069374.9999998449</v>
      </c>
      <c r="AD156" s="98">
        <f t="shared" si="73"/>
        <v>-16.55499999999876</v>
      </c>
      <c r="AE156" s="98"/>
      <c r="AF156" s="31" t="s">
        <v>555</v>
      </c>
      <c r="AG156" s="34" t="s">
        <v>556</v>
      </c>
      <c r="AH156" s="40">
        <f t="shared" si="74"/>
        <v>1.2442469596862792E-12</v>
      </c>
      <c r="AI156" s="40">
        <f t="shared" si="75"/>
        <v>16.55499999999876</v>
      </c>
      <c r="AJ156" s="65" t="s">
        <v>557</v>
      </c>
      <c r="AK156" s="65" t="s">
        <v>558</v>
      </c>
      <c r="AL156" s="65">
        <v>15.05</v>
      </c>
      <c r="AM156" s="65">
        <v>15.05</v>
      </c>
      <c r="AN156" s="65">
        <v>15.05</v>
      </c>
    </row>
    <row r="157" spans="1:57" ht="15.75">
      <c r="L157" s="78" t="s">
        <v>516</v>
      </c>
      <c r="M157" s="78" t="s">
        <v>559</v>
      </c>
      <c r="O157" s="84" t="str">
        <f t="shared" si="79"/>
        <v>180/16:16</v>
      </c>
      <c r="P157" s="32" t="s">
        <v>560</v>
      </c>
      <c r="Q157" s="58">
        <f>R149-1</f>
        <v>612647514</v>
      </c>
      <c r="R157" s="21">
        <f>((W157-U157*$V$38)/$V$12)+Q157</f>
        <v>613358508.26144552</v>
      </c>
      <c r="S157" s="21">
        <f t="shared" si="69"/>
        <v>710994.26144552231</v>
      </c>
      <c r="T157" s="21">
        <f>S157*$V$12</f>
        <v>2197250.0000000396</v>
      </c>
      <c r="U157" s="3">
        <v>0</v>
      </c>
      <c r="V157" s="27">
        <f t="shared" si="70"/>
        <v>2197250.0000000396</v>
      </c>
      <c r="W157" s="20">
        <f t="shared" si="81"/>
        <v>2197250.0000000005</v>
      </c>
      <c r="X157" s="332">
        <f t="shared" si="71"/>
        <v>-3.9115548133850098E-8</v>
      </c>
      <c r="Y157" s="103">
        <f>1.1*AL151</f>
        <v>17.578000000000003</v>
      </c>
      <c r="Z157" s="93">
        <f>Z149+Y157</f>
        <v>105.53228540338787</v>
      </c>
      <c r="AA157" s="50">
        <f>Z157-Z145</f>
        <v>37.255285403387873</v>
      </c>
      <c r="AB157" s="50"/>
      <c r="AC157" s="50">
        <f t="shared" si="72"/>
        <v>-2197250.0000000396</v>
      </c>
      <c r="AD157" s="98">
        <f t="shared" si="73"/>
        <v>-17.578000000000316</v>
      </c>
      <c r="AE157" s="98"/>
      <c r="AF157" s="31" t="s">
        <v>561</v>
      </c>
      <c r="AG157" s="34" t="s">
        <v>562</v>
      </c>
      <c r="AH157" s="40">
        <f t="shared" si="74"/>
        <v>-3.1292438507080076E-13</v>
      </c>
      <c r="AI157" s="40">
        <f t="shared" si="75"/>
        <v>17.578000000000316</v>
      </c>
      <c r="AJ157" s="65" t="s">
        <v>563</v>
      </c>
      <c r="AK157" s="65" t="s">
        <v>564</v>
      </c>
      <c r="AL157" s="65">
        <v>16.260000000000002</v>
      </c>
      <c r="AM157" s="65">
        <v>16.260000000000002</v>
      </c>
      <c r="AN157" s="65">
        <v>16.260000000000002</v>
      </c>
    </row>
    <row r="158" spans="1:57" ht="15">
      <c r="X158" s="40"/>
      <c r="Z158" s="3"/>
      <c r="AH158" s="40"/>
      <c r="AI158" s="40"/>
      <c r="AN158">
        <f>SUM(AM129:AM157)</f>
        <v>183.34</v>
      </c>
    </row>
    <row r="159" spans="1:57" ht="15">
      <c r="L159" s="47" t="s">
        <v>553</v>
      </c>
      <c r="M159" s="47" t="s">
        <v>565</v>
      </c>
      <c r="P159" t="s">
        <v>566</v>
      </c>
      <c r="Q159" s="58">
        <f>R156-3</f>
        <v>595490316.7980299</v>
      </c>
      <c r="R159" s="21">
        <f>((W159)/$X$9)+Q159</f>
        <v>595690536.93099976</v>
      </c>
      <c r="S159" s="21">
        <f>R159-Q159</f>
        <v>200220.13296985626</v>
      </c>
      <c r="T159" s="21">
        <f>S159*$X$9</f>
        <v>740000.00000018196</v>
      </c>
      <c r="U159" s="3">
        <v>0</v>
      </c>
      <c r="V159" s="20">
        <f>T159+U159*$V$38</f>
        <v>740000.00000018196</v>
      </c>
      <c r="W159" s="20">
        <v>740000</v>
      </c>
      <c r="X159" s="332">
        <f>W159-V159</f>
        <v>-1.8195714801549911E-7</v>
      </c>
      <c r="Z159" s="3"/>
      <c r="AA159" t="s">
        <v>23</v>
      </c>
      <c r="AH159" s="40">
        <f>X159*8/1000000</f>
        <v>-1.4556571841239929E-12</v>
      </c>
      <c r="AI159" s="40">
        <f>V159*8/1000000</f>
        <v>5.9200000000014557</v>
      </c>
      <c r="AJ159" s="65"/>
    </row>
    <row r="160" spans="1:57" ht="15.75">
      <c r="L160" s="47" t="s">
        <v>565</v>
      </c>
      <c r="M160" s="47" t="s">
        <v>567</v>
      </c>
      <c r="O160" s="84" t="s">
        <v>568</v>
      </c>
      <c r="P160" t="s">
        <v>569</v>
      </c>
      <c r="Q160" s="58">
        <f>R159-3</f>
        <v>595690533.93099976</v>
      </c>
      <c r="R160" s="21">
        <f>((W160)/$X$9)+Q160</f>
        <v>596272254.58760118</v>
      </c>
      <c r="S160" s="21">
        <f>R160-Q160</f>
        <v>581720.65660142899</v>
      </c>
      <c r="T160" s="21">
        <f>S160*$X$9</f>
        <v>2149999.9999998617</v>
      </c>
      <c r="U160" s="3">
        <v>0</v>
      </c>
      <c r="V160" s="20">
        <f>T160+U160*$V$38</f>
        <v>2149999.9999998617</v>
      </c>
      <c r="W160" s="20">
        <v>2150000</v>
      </c>
      <c r="X160" s="332">
        <f>W160-V160</f>
        <v>1.3830140233039856E-7</v>
      </c>
      <c r="AB160" s="50">
        <v>2153619</v>
      </c>
      <c r="AC160" s="50"/>
      <c r="AH160" s="40">
        <f>X160*8/1000000</f>
        <v>1.1064112186431885E-12</v>
      </c>
      <c r="AI160" s="40">
        <f>V160*8/1000000</f>
        <v>17.199999999998894</v>
      </c>
      <c r="AQ160" s="17"/>
      <c r="AY160" s="17"/>
      <c r="AZ160" s="17"/>
      <c r="BA160" s="17"/>
      <c r="BB160" s="17"/>
      <c r="BC160" s="17"/>
      <c r="BD160" s="17"/>
      <c r="BE160" s="17"/>
    </row>
    <row r="161" spans="1:49" ht="15">
      <c r="AG161" s="40"/>
      <c r="AH161" s="40">
        <f>AI160+AI159</f>
        <v>23.120000000000349</v>
      </c>
      <c r="AV161" s="17"/>
      <c r="AW161" s="17"/>
    </row>
    <row r="162" spans="1:49" ht="15">
      <c r="L162" t="s">
        <v>946</v>
      </c>
      <c r="M162">
        <f>2000000/3600</f>
        <v>555.55555555555554</v>
      </c>
      <c r="N162" t="s">
        <v>941</v>
      </c>
      <c r="O162">
        <v>27</v>
      </c>
      <c r="P162">
        <f>O162*3600*M162</f>
        <v>54000000</v>
      </c>
      <c r="Q162" t="s">
        <v>944</v>
      </c>
      <c r="S162" t="s">
        <v>945</v>
      </c>
      <c r="U162" s="3">
        <v>27</v>
      </c>
      <c r="AE162" s="40"/>
      <c r="AF162" s="40"/>
    </row>
    <row r="163" spans="1:49" ht="15.75" thickBot="1">
      <c r="M163" t="s">
        <v>942</v>
      </c>
      <c r="N163" t="s">
        <v>943</v>
      </c>
      <c r="S163">
        <f>190/30</f>
        <v>6.333333333333333</v>
      </c>
      <c r="T163">
        <f>40000/30</f>
        <v>1333.3333333333333</v>
      </c>
      <c r="U163">
        <f>190/8</f>
        <v>23.75</v>
      </c>
      <c r="X163" t="s">
        <v>198</v>
      </c>
    </row>
    <row r="164" spans="1:49" ht="15">
      <c r="C164" s="112" t="s">
        <v>226</v>
      </c>
      <c r="D164" s="112" t="s">
        <v>227</v>
      </c>
      <c r="E164" s="112" t="s">
        <v>51</v>
      </c>
      <c r="F164" s="112" t="s">
        <v>49</v>
      </c>
      <c r="G164" s="112" t="s">
        <v>50</v>
      </c>
      <c r="H164" s="112" t="s">
        <v>53</v>
      </c>
      <c r="I164" s="112" t="s">
        <v>54</v>
      </c>
      <c r="J164" s="112" t="s">
        <v>228</v>
      </c>
      <c r="K164" s="112" t="s">
        <v>825</v>
      </c>
      <c r="P164" s="9">
        <v>25181</v>
      </c>
      <c r="T164" s="3"/>
      <c r="V164" s="18"/>
      <c r="X164" t="s">
        <v>295</v>
      </c>
    </row>
    <row r="165" spans="1:49" ht="15">
      <c r="C165" s="3"/>
      <c r="D165" s="3"/>
      <c r="E165" s="3"/>
      <c r="F165" s="3"/>
      <c r="G165" s="3"/>
      <c r="H165" s="3"/>
      <c r="I165" s="3"/>
      <c r="J165" s="3"/>
      <c r="P165" s="12" t="s">
        <v>122</v>
      </c>
      <c r="Q165" s="11" t="s">
        <v>5</v>
      </c>
      <c r="R165" s="12" t="s">
        <v>6</v>
      </c>
      <c r="S165" s="12" t="s">
        <v>7</v>
      </c>
      <c r="T165" s="13" t="s">
        <v>8</v>
      </c>
      <c r="U165" s="3" t="s">
        <v>22</v>
      </c>
      <c r="V165" s="13" t="s">
        <v>25</v>
      </c>
      <c r="W165" s="12" t="s">
        <v>26</v>
      </c>
      <c r="X165" s="12" t="s">
        <v>9</v>
      </c>
      <c r="Y165" s="12"/>
      <c r="Z165" s="12"/>
    </row>
    <row r="166" spans="1:49" ht="15">
      <c r="C166" s="3"/>
      <c r="D166" s="3"/>
      <c r="E166" s="3"/>
      <c r="F166" s="3"/>
      <c r="G166" s="3"/>
      <c r="H166" s="3"/>
      <c r="I166" s="3"/>
      <c r="J166" s="3"/>
      <c r="P166" s="15" t="s">
        <v>570</v>
      </c>
      <c r="Q166" s="15" t="s">
        <v>571</v>
      </c>
      <c r="R166" s="15">
        <v>613555316</v>
      </c>
      <c r="S166" s="15">
        <v>0</v>
      </c>
      <c r="T166" s="15" t="s">
        <v>409</v>
      </c>
      <c r="U166" s="15" t="s">
        <v>572</v>
      </c>
      <c r="V166" s="15" t="s">
        <v>573</v>
      </c>
      <c r="W166" s="15"/>
      <c r="X166" s="15" t="s">
        <v>574</v>
      </c>
      <c r="Y166" s="15"/>
      <c r="Z166" s="15"/>
    </row>
    <row r="167" spans="1:49" ht="15">
      <c r="C167" s="3"/>
      <c r="D167" s="3"/>
      <c r="E167" s="3"/>
      <c r="F167" s="3"/>
      <c r="G167" s="3"/>
      <c r="H167" s="3"/>
      <c r="I167" s="3"/>
      <c r="J167" s="3"/>
      <c r="O167" s="41" t="s">
        <v>575</v>
      </c>
      <c r="P167" s="14" t="s">
        <v>576</v>
      </c>
      <c r="Q167" s="114" t="s">
        <v>577</v>
      </c>
      <c r="R167" s="114">
        <v>613555366</v>
      </c>
      <c r="S167" s="14">
        <v>0</v>
      </c>
      <c r="T167" s="14" t="s">
        <v>409</v>
      </c>
      <c r="U167" s="14" t="s">
        <v>578</v>
      </c>
      <c r="V167" s="14" t="s">
        <v>579</v>
      </c>
      <c r="Y167" s="414" t="s">
        <v>826</v>
      </c>
      <c r="Z167" s="414" t="s">
        <v>827</v>
      </c>
      <c r="AJ167" t="s">
        <v>306</v>
      </c>
      <c r="AK167" t="s">
        <v>121</v>
      </c>
      <c r="AN167" s="65"/>
      <c r="AO167" s="65"/>
      <c r="AP167" s="65"/>
      <c r="AQ167" s="65"/>
      <c r="AR167" s="65"/>
      <c r="AS167" s="17"/>
    </row>
    <row r="168" spans="1:49" ht="30">
      <c r="A168" t="s">
        <v>23</v>
      </c>
      <c r="C168" s="3">
        <v>103</v>
      </c>
      <c r="D168" s="3">
        <v>110</v>
      </c>
      <c r="E168" s="3" t="s">
        <v>51</v>
      </c>
      <c r="F168" s="3" t="s">
        <v>49</v>
      </c>
      <c r="G168" s="3" t="s">
        <v>50</v>
      </c>
      <c r="H168" s="3"/>
      <c r="I168" s="3"/>
      <c r="J168" s="3"/>
      <c r="L168" s="78" t="s">
        <v>559</v>
      </c>
      <c r="M168" s="116" t="s">
        <v>581</v>
      </c>
      <c r="O168" s="84" t="str">
        <f>AI168</f>
        <v>182/15:36</v>
      </c>
      <c r="P168" s="32" t="str">
        <f>MID(AL168,11,5)</f>
        <v>182_1</v>
      </c>
      <c r="Q168" s="58">
        <f>R157-1</f>
        <v>613358507.26144552</v>
      </c>
      <c r="R168" s="417">
        <f>R167</f>
        <v>613555366</v>
      </c>
      <c r="S168" s="21">
        <f>R168-Q168</f>
        <v>196858.73855447769</v>
      </c>
      <c r="T168" s="21">
        <f>S168*$V$12</f>
        <v>608370.4000780835</v>
      </c>
      <c r="U168" s="3">
        <v>0</v>
      </c>
      <c r="V168" s="27">
        <f>T168+U168*$V$38</f>
        <v>608370.4000780835</v>
      </c>
      <c r="W168" s="20">
        <f>AA168*1000000/8</f>
        <v>1001000.0000000001</v>
      </c>
      <c r="X168" s="332">
        <f>W168-V168</f>
        <v>392629.59992191661</v>
      </c>
      <c r="Y168" s="331">
        <f>S168*$V$24+U168*$V$38</f>
        <v>646715.13301579049</v>
      </c>
      <c r="Z168" s="330">
        <f>(Y168/V168-1)</f>
        <v>6.3028597270323283E-2</v>
      </c>
      <c r="AA168" s="77">
        <f>1.1*AP168</f>
        <v>8.0080000000000009</v>
      </c>
      <c r="AB168" s="50"/>
      <c r="AC168" s="50"/>
      <c r="AD168" s="118">
        <f>AK168</f>
        <v>4.8669632006246681</v>
      </c>
      <c r="AE168" s="98"/>
      <c r="AF168" s="98"/>
      <c r="AG168" s="62"/>
      <c r="AH168" s="31" t="str">
        <f>MID(AL168,7,9)</f>
        <v>TRK_182_1</v>
      </c>
      <c r="AI168" s="34" t="s">
        <v>582</v>
      </c>
      <c r="AJ168" s="40">
        <f>X168*8/1000000</f>
        <v>3.1410367993753328</v>
      </c>
      <c r="AK168" s="40">
        <f>V168*8/1000000</f>
        <v>4.8669632006246681</v>
      </c>
      <c r="AL168" s="97" t="s">
        <v>583</v>
      </c>
      <c r="AM168" s="97" t="s">
        <v>584</v>
      </c>
      <c r="AN168" s="97">
        <v>7.28</v>
      </c>
      <c r="AO168" s="97">
        <v>7.28</v>
      </c>
      <c r="AP168" s="97">
        <v>7.28</v>
      </c>
      <c r="AQ168" s="65"/>
      <c r="AR168" s="65">
        <f>SUM(AT129:AT166)</f>
        <v>0</v>
      </c>
    </row>
    <row r="169" spans="1:49" ht="15.75">
      <c r="A169" t="s">
        <v>585</v>
      </c>
      <c r="C169" s="3">
        <v>103</v>
      </c>
      <c r="D169" s="3">
        <v>110</v>
      </c>
      <c r="E169" s="3" t="s">
        <v>51</v>
      </c>
      <c r="F169" s="3" t="s">
        <v>49</v>
      </c>
      <c r="G169" s="3" t="s">
        <v>50</v>
      </c>
      <c r="H169" s="3"/>
      <c r="I169" s="3"/>
      <c r="J169" s="3"/>
      <c r="L169" s="116" t="s">
        <v>581</v>
      </c>
      <c r="M169" s="78" t="s">
        <v>586</v>
      </c>
      <c r="O169" s="41" t="s">
        <v>587</v>
      </c>
      <c r="P169" s="32"/>
      <c r="Q169" s="120">
        <f>R168-1</f>
        <v>613555365</v>
      </c>
      <c r="R169" s="416">
        <f>R170</f>
        <v>613559216</v>
      </c>
      <c r="S169" s="21">
        <f>R169-Q169</f>
        <v>3851</v>
      </c>
      <c r="T169" s="21">
        <f>S169*$V$15</f>
        <v>6668.6483333333099</v>
      </c>
      <c r="U169" s="3">
        <v>0</v>
      </c>
      <c r="V169" s="27">
        <f>T169+U169*$V$38</f>
        <v>6668.6483333333099</v>
      </c>
      <c r="W169" s="27">
        <f>X168</f>
        <v>392629.59992191661</v>
      </c>
      <c r="X169" s="332">
        <f>W169-V169</f>
        <v>385960.9515885833</v>
      </c>
      <c r="Y169" s="331">
        <f>S169*$V$25+U169*$V$38</f>
        <v>6784.445763888868</v>
      </c>
      <c r="Z169" s="330">
        <f>(Y169/V169-1)</f>
        <v>1.7364452999679703E-2</v>
      </c>
      <c r="AA169" s="77"/>
      <c r="AB169" s="50"/>
      <c r="AC169" s="50"/>
      <c r="AD169" s="118">
        <f>AD168+AK169</f>
        <v>4.920312387291335</v>
      </c>
      <c r="AE169" s="98"/>
      <c r="AF169" s="98"/>
      <c r="AG169" s="62"/>
      <c r="AJ169" s="40">
        <f>X169*8/1000000</f>
        <v>3.0876876127086663</v>
      </c>
      <c r="AK169" s="40">
        <f>V169*8/1000000</f>
        <v>5.3349186666666479E-2</v>
      </c>
    </row>
    <row r="170" spans="1:49" ht="15.75">
      <c r="A170" s="40" t="s">
        <v>588</v>
      </c>
      <c r="B170" s="40"/>
      <c r="C170" s="42"/>
      <c r="D170" s="42"/>
      <c r="E170" s="42"/>
      <c r="F170" s="42"/>
      <c r="G170" s="42"/>
      <c r="H170" s="42"/>
      <c r="I170" s="42"/>
      <c r="J170" s="42"/>
      <c r="O170" s="41" t="s">
        <v>589</v>
      </c>
      <c r="P170" s="16" t="s">
        <v>590</v>
      </c>
      <c r="Q170" s="16" t="s">
        <v>591</v>
      </c>
      <c r="R170" s="16">
        <f>613558916+300</f>
        <v>613559216</v>
      </c>
      <c r="S170" s="16">
        <v>8</v>
      </c>
      <c r="T170" s="16" t="s">
        <v>27</v>
      </c>
      <c r="U170" s="16" t="s">
        <v>298</v>
      </c>
      <c r="V170" s="16"/>
      <c r="W170" s="16"/>
      <c r="X170" s="16" t="s">
        <v>592</v>
      </c>
      <c r="Y170" s="16"/>
      <c r="Z170" s="16"/>
      <c r="AA170" s="17"/>
      <c r="AB170" s="17"/>
      <c r="AD170" s="99"/>
      <c r="AE170" s="98"/>
      <c r="AF170" s="98"/>
      <c r="AG170" s="123"/>
      <c r="AJ170" s="40"/>
      <c r="AK170" s="40"/>
    </row>
    <row r="171" spans="1:49" ht="15.75">
      <c r="A171" t="s">
        <v>593</v>
      </c>
      <c r="C171" s="3"/>
      <c r="D171" s="3"/>
      <c r="E171" s="3"/>
      <c r="F171" s="3"/>
      <c r="G171" s="3"/>
      <c r="H171" s="3"/>
      <c r="I171" s="3" t="s">
        <v>54</v>
      </c>
      <c r="J171" s="3"/>
      <c r="K171" s="6"/>
      <c r="L171" s="78" t="s">
        <v>508</v>
      </c>
      <c r="M171" s="78" t="s">
        <v>595</v>
      </c>
      <c r="N171" t="s">
        <v>596</v>
      </c>
      <c r="O171" s="6" t="s">
        <v>1266</v>
      </c>
      <c r="P171" s="32"/>
      <c r="Q171" s="124">
        <f>Q147</f>
        <v>611744556</v>
      </c>
      <c r="R171" s="21">
        <f>((W171-U171*$V$38)/$V$14)+Q171</f>
        <v>612295255.66091263</v>
      </c>
      <c r="S171" s="21">
        <f t="shared" ref="S171:S197" si="83">R171-Q171</f>
        <v>550699.66091263294</v>
      </c>
      <c r="T171" s="21">
        <f>S171*$V$14</f>
        <v>188585.95158857069</v>
      </c>
      <c r="U171" s="3">
        <v>1</v>
      </c>
      <c r="V171" s="27">
        <f t="shared" ref="V171:V197" si="84">T171+U171*$V$38</f>
        <v>385960.95158857072</v>
      </c>
      <c r="W171" s="20">
        <f>X169</f>
        <v>385960.9515885833</v>
      </c>
      <c r="X171" s="332">
        <f t="shared" ref="X171:X197" si="85">W171-V171</f>
        <v>1.257285475730896E-8</v>
      </c>
      <c r="Y171" s="331">
        <f>S171*$V$26+U171*$V$38</f>
        <v>399585.03174135741</v>
      </c>
      <c r="Z171" s="330">
        <f>(Y171/V171-1)</f>
        <v>3.5299115355352795E-2</v>
      </c>
      <c r="AA171" s="77"/>
      <c r="AB171" s="50"/>
      <c r="AC171" s="50"/>
      <c r="AD171" s="118">
        <f>AD169+AK171</f>
        <v>8.0079999999999014</v>
      </c>
      <c r="AE171" s="98"/>
      <c r="AF171" s="98"/>
      <c r="AG171" s="62"/>
      <c r="AJ171" s="40">
        <f t="shared" ref="AJ171:AJ197" si="86">X171*8/1000000</f>
        <v>1.0058283805847168E-13</v>
      </c>
      <c r="AK171" s="40">
        <f t="shared" ref="AK171:AK197" si="87">V171*8/1000000</f>
        <v>3.087687612708566</v>
      </c>
    </row>
    <row r="172" spans="1:49" ht="15.4" customHeight="1">
      <c r="A172" t="s">
        <v>597</v>
      </c>
      <c r="C172" s="3"/>
      <c r="D172" s="3"/>
      <c r="E172" s="3"/>
      <c r="F172" s="3"/>
      <c r="H172" s="3"/>
      <c r="I172" s="3" t="s">
        <v>54</v>
      </c>
      <c r="J172" s="3"/>
      <c r="L172" s="78" t="s">
        <v>595</v>
      </c>
      <c r="M172" s="78" t="s">
        <v>586</v>
      </c>
      <c r="N172">
        <v>431523</v>
      </c>
      <c r="O172" s="84" t="str">
        <f>AI172</f>
        <v>183/14:46</v>
      </c>
      <c r="P172" s="32" t="str">
        <f>MID(AL172,11,5)</f>
        <v>183_1</v>
      </c>
      <c r="Q172" s="58">
        <f>R171-1</f>
        <v>612295254.66091263</v>
      </c>
      <c r="R172" s="416">
        <f>R170</f>
        <v>613559216</v>
      </c>
      <c r="S172" s="21">
        <f t="shared" si="83"/>
        <v>1263961.3390873671</v>
      </c>
      <c r="T172" s="21">
        <f>S172*$V$14</f>
        <v>432840.92731767852</v>
      </c>
      <c r="U172" s="3">
        <v>0</v>
      </c>
      <c r="V172" s="27">
        <f t="shared" si="84"/>
        <v>432840.92731767852</v>
      </c>
      <c r="W172" s="20">
        <f>AA172*1000000/8</f>
        <v>1197625.0000000002</v>
      </c>
      <c r="X172" s="332">
        <f t="shared" si="85"/>
        <v>764784.07268232177</v>
      </c>
      <c r="Y172" s="331">
        <f>S172*$V$26+U172*$V$38</f>
        <v>464110.80419614259</v>
      </c>
      <c r="Z172" s="330">
        <f>(Y172/V172-1)</f>
        <v>7.2243346007605957E-2</v>
      </c>
      <c r="AA172" s="77">
        <f>1.1*AP172</f>
        <v>9.5810000000000013</v>
      </c>
      <c r="AB172" s="50"/>
      <c r="AC172" s="50"/>
      <c r="AD172" s="118">
        <f>AD171+AK172</f>
        <v>11.47072741854133</v>
      </c>
      <c r="AE172" s="98"/>
      <c r="AF172" s="98"/>
      <c r="AG172" s="62"/>
      <c r="AH172" s="31" t="str">
        <f>MID(AL172,7,9)</f>
        <v>TRK_183_1</v>
      </c>
      <c r="AI172" s="34" t="s">
        <v>598</v>
      </c>
      <c r="AJ172" s="40">
        <f t="shared" si="86"/>
        <v>6.1182725814585739</v>
      </c>
      <c r="AK172" s="40">
        <f t="shared" si="87"/>
        <v>3.4627274185414283</v>
      </c>
      <c r="AL172" s="97" t="s">
        <v>599</v>
      </c>
      <c r="AM172" s="97" t="s">
        <v>600</v>
      </c>
      <c r="AN172" s="97">
        <v>8.7100000000000009</v>
      </c>
      <c r="AO172" s="97">
        <v>8.7100000000000009</v>
      </c>
      <c r="AP172" s="97">
        <v>8.7100000000000009</v>
      </c>
    </row>
    <row r="173" spans="1:49" ht="15.4" customHeight="1">
      <c r="A173" t="s">
        <v>601</v>
      </c>
      <c r="D173" s="3"/>
      <c r="E173" s="3" t="s">
        <v>51</v>
      </c>
      <c r="F173" s="3" t="s">
        <v>49</v>
      </c>
      <c r="G173" s="3"/>
      <c r="H173" s="3" t="s">
        <v>53</v>
      </c>
      <c r="I173" s="3" t="s">
        <v>54</v>
      </c>
      <c r="J173" s="3"/>
      <c r="L173" s="78" t="s">
        <v>586</v>
      </c>
      <c r="M173" s="78" t="s">
        <v>602</v>
      </c>
      <c r="O173" s="84" t="s">
        <v>1266</v>
      </c>
      <c r="P173" s="32" t="str">
        <f>MID(AL173,11,5)</f>
        <v/>
      </c>
      <c r="Q173" s="415">
        <f>R172-1</f>
        <v>613559215</v>
      </c>
      <c r="R173" s="128">
        <v>613766276</v>
      </c>
      <c r="S173" s="21">
        <f t="shared" si="83"/>
        <v>207061</v>
      </c>
      <c r="T173" s="21">
        <f>S173*$V$17</f>
        <v>439979.46133680444</v>
      </c>
      <c r="U173" s="3">
        <v>0</v>
      </c>
      <c r="V173" s="27">
        <f t="shared" si="84"/>
        <v>439979.46133680444</v>
      </c>
      <c r="W173" s="135">
        <f>X172</f>
        <v>764784.07268232177</v>
      </c>
      <c r="X173" s="332">
        <f t="shared" si="85"/>
        <v>324804.61134551733</v>
      </c>
      <c r="Y173" s="331">
        <f>S173*$V$27+U173*$V$38</f>
        <v>448936.52716435055</v>
      </c>
      <c r="Z173" s="330">
        <f>(Y173/V173-1)</f>
        <v>2.03579180726563E-2</v>
      </c>
      <c r="AA173" s="77"/>
      <c r="AB173" s="50"/>
      <c r="AC173" s="50"/>
      <c r="AD173" s="118">
        <f>AD172+AK173</f>
        <v>14.990563109235765</v>
      </c>
      <c r="AE173" s="98"/>
      <c r="AF173" s="98"/>
      <c r="AG173" s="62"/>
      <c r="AH173" s="31"/>
      <c r="AI173" s="34"/>
      <c r="AJ173" s="40">
        <f t="shared" si="86"/>
        <v>2.5984368907641389</v>
      </c>
      <c r="AK173" s="40">
        <f t="shared" si="87"/>
        <v>3.5198356906944355</v>
      </c>
      <c r="AL173" s="97"/>
      <c r="AM173" s="97"/>
      <c r="AN173" s="97"/>
      <c r="AO173" s="97"/>
      <c r="AP173" s="97"/>
    </row>
    <row r="174" spans="1:49" ht="15.4" customHeight="1">
      <c r="A174" t="s">
        <v>603</v>
      </c>
      <c r="D174" s="3"/>
      <c r="E174" s="3"/>
      <c r="F174" s="3"/>
      <c r="G174" s="3"/>
      <c r="H174" s="3"/>
      <c r="I174" s="3"/>
      <c r="J174" s="3" t="s">
        <v>228</v>
      </c>
      <c r="K174" s="3" t="s">
        <v>825</v>
      </c>
      <c r="L174" s="47" t="s">
        <v>567</v>
      </c>
      <c r="M174" s="47" t="s">
        <v>604</v>
      </c>
      <c r="O174" s="84" t="s">
        <v>1266</v>
      </c>
      <c r="P174" s="32"/>
      <c r="Q174" s="58">
        <f>R160-3</f>
        <v>596272251.58760118</v>
      </c>
      <c r="R174" s="21">
        <f t="shared" ref="R174:R191" si="88">((W174)/$X$9)+Q174</f>
        <v>596360133.23959148</v>
      </c>
      <c r="S174" s="21">
        <f t="shared" si="83"/>
        <v>87881.651990294456</v>
      </c>
      <c r="T174" s="21">
        <f t="shared" ref="T174:T191" si="89">S174*$X$9</f>
        <v>324804.61134557688</v>
      </c>
      <c r="U174" s="3">
        <v>0</v>
      </c>
      <c r="V174" s="20">
        <f t="shared" si="84"/>
        <v>324804.61134557688</v>
      </c>
      <c r="W174" s="135">
        <f>X173</f>
        <v>324804.61134551733</v>
      </c>
      <c r="X174" s="332">
        <f t="shared" si="85"/>
        <v>-5.9546437114477158E-8</v>
      </c>
      <c r="Y174" s="332"/>
      <c r="Z174" s="332"/>
      <c r="AA174" s="77"/>
      <c r="AB174" s="50"/>
      <c r="AC174" s="129">
        <f>AK174</f>
        <v>2.5984368907646149</v>
      </c>
      <c r="AD174" s="98"/>
      <c r="AE174" s="98"/>
      <c r="AF174" s="98"/>
      <c r="AG174" s="98"/>
      <c r="AH174" s="31"/>
      <c r="AI174" s="34"/>
      <c r="AJ174" s="40">
        <f t="shared" si="86"/>
        <v>-4.7637149691581728E-13</v>
      </c>
      <c r="AK174" s="40">
        <f t="shared" si="87"/>
        <v>2.5984368907646149</v>
      </c>
      <c r="AL174" s="97"/>
      <c r="AM174" s="97"/>
      <c r="AN174" s="97"/>
      <c r="AO174" s="97"/>
      <c r="AP174" s="97"/>
    </row>
    <row r="175" spans="1:49" ht="15.4" customHeight="1">
      <c r="C175" s="3"/>
      <c r="D175" s="3"/>
      <c r="E175" s="3"/>
      <c r="F175" s="3"/>
      <c r="G175" s="3"/>
      <c r="H175" s="3"/>
      <c r="I175" s="3"/>
      <c r="J175" s="3" t="s">
        <v>228</v>
      </c>
      <c r="K175" s="3" t="s">
        <v>825</v>
      </c>
      <c r="L175" s="47" t="s">
        <v>604</v>
      </c>
      <c r="M175" s="47" t="s">
        <v>605</v>
      </c>
      <c r="O175" s="84" t="str">
        <f t="shared" ref="O175:O196" si="90">AI175</f>
        <v>183/23:16</v>
      </c>
      <c r="P175" s="32" t="str">
        <f t="shared" ref="P175:P197" si="91">MID(AL175,11,5)</f>
        <v>183_2</v>
      </c>
      <c r="Q175" s="58">
        <f t="shared" ref="Q175:Q191" si="92">R174-3</f>
        <v>596360130.23959148</v>
      </c>
      <c r="R175" s="21">
        <f t="shared" si="88"/>
        <v>596666311.46658063</v>
      </c>
      <c r="S175" s="21">
        <f t="shared" si="83"/>
        <v>306181.22698915005</v>
      </c>
      <c r="T175" s="21">
        <f t="shared" si="89"/>
        <v>1131625.0000000657</v>
      </c>
      <c r="U175" s="3">
        <v>0</v>
      </c>
      <c r="V175" s="20">
        <f t="shared" si="84"/>
        <v>1131625.0000000657</v>
      </c>
      <c r="W175" s="20">
        <f t="shared" ref="W175:W196" si="93">AA175*1000000/8</f>
        <v>1131625</v>
      </c>
      <c r="X175" s="332">
        <f t="shared" si="85"/>
        <v>-6.5658241510391235E-8</v>
      </c>
      <c r="Y175" s="332"/>
      <c r="Z175" s="332"/>
      <c r="AA175" s="77">
        <f t="shared" ref="AA175:AA196" si="94">1.1*AP175</f>
        <v>9.0530000000000008</v>
      </c>
      <c r="AB175" s="50"/>
      <c r="AC175" s="129">
        <f t="shared" ref="AC175:AC191" si="95">AC174+AK175</f>
        <v>11.65143689076514</v>
      </c>
      <c r="AD175" s="98"/>
      <c r="AE175" s="98"/>
      <c r="AF175" s="98"/>
      <c r="AG175" s="98"/>
      <c r="AH175" s="31" t="str">
        <f t="shared" ref="AH175:AH196" si="96">MID(AL175,7,9)</f>
        <v>TRK_183_2</v>
      </c>
      <c r="AI175" s="34" t="s">
        <v>606</v>
      </c>
      <c r="AJ175" s="40">
        <f t="shared" si="86"/>
        <v>-5.2526593208312993E-13</v>
      </c>
      <c r="AK175" s="40">
        <f t="shared" si="87"/>
        <v>9.0530000000005248</v>
      </c>
      <c r="AL175" s="97" t="s">
        <v>607</v>
      </c>
      <c r="AM175" s="97" t="s">
        <v>608</v>
      </c>
      <c r="AN175" s="97">
        <v>8.23</v>
      </c>
      <c r="AO175" s="97">
        <v>8.23</v>
      </c>
      <c r="AP175" s="97">
        <v>8.23</v>
      </c>
    </row>
    <row r="176" spans="1:49" ht="15.4" customHeight="1">
      <c r="C176" s="3"/>
      <c r="D176" s="3"/>
      <c r="E176" s="3"/>
      <c r="F176" s="3"/>
      <c r="G176" s="3"/>
      <c r="H176" s="3"/>
      <c r="I176" s="3"/>
      <c r="J176" s="3" t="s">
        <v>228</v>
      </c>
      <c r="K176" s="3" t="s">
        <v>825</v>
      </c>
      <c r="L176" s="47" t="s">
        <v>605</v>
      </c>
      <c r="M176" s="47" t="s">
        <v>609</v>
      </c>
      <c r="O176" s="84" t="str">
        <f t="shared" si="90"/>
        <v>184/21:41</v>
      </c>
      <c r="P176" s="32" t="str">
        <f t="shared" si="91"/>
        <v>184_2</v>
      </c>
      <c r="Q176" s="58">
        <f t="shared" si="92"/>
        <v>596666308.46658063</v>
      </c>
      <c r="R176" s="21">
        <f t="shared" si="88"/>
        <v>597034618.8125335</v>
      </c>
      <c r="S176" s="21">
        <f t="shared" si="83"/>
        <v>368310.34595286846</v>
      </c>
      <c r="T176" s="21">
        <f t="shared" si="89"/>
        <v>1361249.9999998643</v>
      </c>
      <c r="U176" s="3">
        <v>0</v>
      </c>
      <c r="V176" s="20">
        <f t="shared" si="84"/>
        <v>1361249.9999998643</v>
      </c>
      <c r="W176" s="20">
        <f t="shared" si="93"/>
        <v>1361250</v>
      </c>
      <c r="X176" s="332">
        <f t="shared" si="85"/>
        <v>1.3574026525020599E-7</v>
      </c>
      <c r="Y176" s="332"/>
      <c r="Z176" s="332"/>
      <c r="AA176" s="77">
        <f t="shared" si="94"/>
        <v>10.89</v>
      </c>
      <c r="AB176" s="50"/>
      <c r="AC176" s="129">
        <f t="shared" si="95"/>
        <v>22.541436890764054</v>
      </c>
      <c r="AD176" s="98"/>
      <c r="AE176" s="98"/>
      <c r="AF176" s="98"/>
      <c r="AG176" s="98"/>
      <c r="AH176" s="31" t="str">
        <f t="shared" si="96"/>
        <v>TRK_184_2</v>
      </c>
      <c r="AI176" s="34" t="s">
        <v>610</v>
      </c>
      <c r="AJ176" s="40">
        <f t="shared" si="86"/>
        <v>1.0859221220016479E-12</v>
      </c>
      <c r="AK176" s="40">
        <f t="shared" si="87"/>
        <v>10.889999999998913</v>
      </c>
      <c r="AL176" s="97" t="s">
        <v>611</v>
      </c>
      <c r="AM176" s="97" t="s">
        <v>612</v>
      </c>
      <c r="AN176" s="97">
        <v>9.9</v>
      </c>
      <c r="AO176" s="97">
        <v>9.9</v>
      </c>
      <c r="AP176" s="97">
        <v>9.9</v>
      </c>
    </row>
    <row r="177" spans="1:42" ht="15.4" customHeight="1">
      <c r="C177" s="3"/>
      <c r="D177" s="3"/>
      <c r="E177" s="3"/>
      <c r="F177" s="3"/>
      <c r="G177" s="3"/>
      <c r="H177" s="3"/>
      <c r="I177" s="3"/>
      <c r="J177" s="3" t="s">
        <v>228</v>
      </c>
      <c r="K177" s="3" t="s">
        <v>825</v>
      </c>
      <c r="L177" s="47" t="s">
        <v>609</v>
      </c>
      <c r="M177" s="47" t="s">
        <v>613</v>
      </c>
      <c r="O177" s="84" t="str">
        <f t="shared" si="90"/>
        <v>185/16:36</v>
      </c>
      <c r="P177" s="32" t="str">
        <f t="shared" si="91"/>
        <v>185_1</v>
      </c>
      <c r="Q177" s="58">
        <f t="shared" si="92"/>
        <v>597034615.8125335</v>
      </c>
      <c r="R177" s="21">
        <f t="shared" si="88"/>
        <v>597147341.10023427</v>
      </c>
      <c r="S177" s="21">
        <f t="shared" si="83"/>
        <v>112725.28770077229</v>
      </c>
      <c r="T177" s="21">
        <f t="shared" si="89"/>
        <v>416625.00000012806</v>
      </c>
      <c r="U177" s="3">
        <v>0</v>
      </c>
      <c r="V177" s="20">
        <f t="shared" si="84"/>
        <v>416625.00000012806</v>
      </c>
      <c r="W177" s="20">
        <f t="shared" si="93"/>
        <v>416625</v>
      </c>
      <c r="X177" s="332">
        <f t="shared" si="85"/>
        <v>-1.280568540096283E-7</v>
      </c>
      <c r="Y177" s="332"/>
      <c r="Z177" s="332"/>
      <c r="AA177" s="77">
        <f t="shared" si="94"/>
        <v>3.3330000000000002</v>
      </c>
      <c r="AB177" s="50"/>
      <c r="AC177" s="129">
        <f t="shared" si="95"/>
        <v>25.874436890765079</v>
      </c>
      <c r="AD177" s="98"/>
      <c r="AE177" s="98"/>
      <c r="AF177" s="98"/>
      <c r="AG177" s="98"/>
      <c r="AH177" s="31" t="str">
        <f t="shared" si="96"/>
        <v>TRK_185_1</v>
      </c>
      <c r="AI177" s="34" t="s">
        <v>614</v>
      </c>
      <c r="AJ177" s="40">
        <f t="shared" si="86"/>
        <v>-1.0244548320770264E-12</v>
      </c>
      <c r="AK177" s="40">
        <f t="shared" si="87"/>
        <v>3.3330000000010243</v>
      </c>
      <c r="AL177" s="97" t="s">
        <v>615</v>
      </c>
      <c r="AM177" s="97" t="s">
        <v>616</v>
      </c>
      <c r="AN177" s="97">
        <v>3.03</v>
      </c>
      <c r="AO177" s="97">
        <v>3.03</v>
      </c>
      <c r="AP177" s="97">
        <v>3.03</v>
      </c>
    </row>
    <row r="178" spans="1:42" ht="15.4" customHeight="1">
      <c r="C178" s="3"/>
      <c r="D178" s="3"/>
      <c r="E178" s="3"/>
      <c r="F178" s="3"/>
      <c r="G178" s="3"/>
      <c r="H178" s="3"/>
      <c r="I178" s="3"/>
      <c r="J178" s="3" t="s">
        <v>228</v>
      </c>
      <c r="K178" s="3" t="s">
        <v>825</v>
      </c>
      <c r="L178" s="47" t="s">
        <v>613</v>
      </c>
      <c r="M178" s="47" t="s">
        <v>617</v>
      </c>
      <c r="O178" s="84" t="str">
        <f t="shared" si="90"/>
        <v>186/16:36</v>
      </c>
      <c r="P178" s="32" t="str">
        <f t="shared" si="91"/>
        <v>186_1</v>
      </c>
      <c r="Q178" s="58">
        <f t="shared" si="92"/>
        <v>597147338.10023427</v>
      </c>
      <c r="R178" s="21">
        <f t="shared" si="88"/>
        <v>597267131.97033203</v>
      </c>
      <c r="S178" s="21">
        <f t="shared" si="83"/>
        <v>119793.87009775639</v>
      </c>
      <c r="T178" s="21">
        <f t="shared" si="89"/>
        <v>442749.99999978853</v>
      </c>
      <c r="U178" s="3">
        <v>0</v>
      </c>
      <c r="V178" s="20">
        <f t="shared" si="84"/>
        <v>442749.99999978853</v>
      </c>
      <c r="W178" s="20">
        <f t="shared" si="93"/>
        <v>442750.00000000012</v>
      </c>
      <c r="X178" s="332">
        <f t="shared" si="85"/>
        <v>2.1158484742045403E-7</v>
      </c>
      <c r="Y178" s="332"/>
      <c r="Z178" s="332"/>
      <c r="AA178" s="77">
        <f t="shared" si="94"/>
        <v>3.5420000000000007</v>
      </c>
      <c r="AB178" s="50"/>
      <c r="AC178" s="129">
        <f t="shared" si="95"/>
        <v>29.416436890763386</v>
      </c>
      <c r="AD178" s="98"/>
      <c r="AE178" s="98"/>
      <c r="AF178" s="98"/>
      <c r="AG178" s="98"/>
      <c r="AH178" s="31" t="str">
        <f t="shared" si="96"/>
        <v>TRK_186_1</v>
      </c>
      <c r="AI178" s="34" t="s">
        <v>618</v>
      </c>
      <c r="AJ178" s="40">
        <f t="shared" si="86"/>
        <v>1.6926787793636323E-12</v>
      </c>
      <c r="AK178" s="40">
        <f t="shared" si="87"/>
        <v>3.5419999999983083</v>
      </c>
      <c r="AL178" s="97" t="s">
        <v>619</v>
      </c>
      <c r="AM178" s="97" t="s">
        <v>620</v>
      </c>
      <c r="AN178" s="97">
        <v>3.22</v>
      </c>
      <c r="AO178" s="97">
        <v>3.22</v>
      </c>
      <c r="AP178" s="97">
        <v>3.22</v>
      </c>
    </row>
    <row r="179" spans="1:42" ht="15.4" customHeight="1">
      <c r="C179" s="3"/>
      <c r="D179" s="3"/>
      <c r="E179" s="3"/>
      <c r="F179" s="3"/>
      <c r="G179" s="3"/>
      <c r="H179" s="3"/>
      <c r="I179" s="3"/>
      <c r="J179" s="3" t="s">
        <v>228</v>
      </c>
      <c r="K179" s="3" t="s">
        <v>825</v>
      </c>
      <c r="L179" s="47" t="s">
        <v>617</v>
      </c>
      <c r="M179" s="47" t="s">
        <v>621</v>
      </c>
      <c r="O179" s="84" t="str">
        <f t="shared" si="90"/>
        <v>186/22:56</v>
      </c>
      <c r="P179" s="32" t="str">
        <f t="shared" si="91"/>
        <v>186_2</v>
      </c>
      <c r="Q179" s="58">
        <f t="shared" si="92"/>
        <v>597267128.97033203</v>
      </c>
      <c r="R179" s="21">
        <f t="shared" si="88"/>
        <v>597572938.16666865</v>
      </c>
      <c r="S179" s="21">
        <f t="shared" si="83"/>
        <v>305809.19633662701</v>
      </c>
      <c r="T179" s="21">
        <f t="shared" si="89"/>
        <v>1130249.999999898</v>
      </c>
      <c r="U179" s="3">
        <v>0</v>
      </c>
      <c r="V179" s="20">
        <f t="shared" si="84"/>
        <v>1130249.999999898</v>
      </c>
      <c r="W179" s="20">
        <f t="shared" si="93"/>
        <v>1130250.0000000002</v>
      </c>
      <c r="X179" s="332">
        <f t="shared" si="85"/>
        <v>1.0221265256404877E-7</v>
      </c>
      <c r="Y179" s="332"/>
      <c r="Z179" s="332"/>
      <c r="AA179" s="77">
        <f t="shared" si="94"/>
        <v>9.0420000000000016</v>
      </c>
      <c r="AB179" s="50"/>
      <c r="AC179" s="129">
        <f t="shared" si="95"/>
        <v>38.45843689076257</v>
      </c>
      <c r="AD179" s="98"/>
      <c r="AE179" s="98"/>
      <c r="AF179" s="98"/>
      <c r="AG179" s="98"/>
      <c r="AH179" s="31" t="str">
        <f t="shared" si="96"/>
        <v>TRK_186_2</v>
      </c>
      <c r="AI179" s="34" t="s">
        <v>622</v>
      </c>
      <c r="AJ179" s="40">
        <f t="shared" si="86"/>
        <v>8.1770122051239012E-13</v>
      </c>
      <c r="AK179" s="40">
        <f t="shared" si="87"/>
        <v>9.0419999999991845</v>
      </c>
      <c r="AL179" s="97" t="s">
        <v>623</v>
      </c>
      <c r="AM179" s="97" t="s">
        <v>624</v>
      </c>
      <c r="AN179" s="97">
        <v>8.2200000000000006</v>
      </c>
      <c r="AO179" s="97">
        <v>8.2200000000000006</v>
      </c>
      <c r="AP179" s="97">
        <v>8.2200000000000006</v>
      </c>
    </row>
    <row r="180" spans="1:42" ht="15.4" customHeight="1">
      <c r="C180" s="3"/>
      <c r="D180" s="3"/>
      <c r="E180" s="3"/>
      <c r="F180" s="3"/>
      <c r="G180" s="3"/>
      <c r="H180" s="3"/>
      <c r="I180" s="3"/>
      <c r="J180" s="3" t="s">
        <v>228</v>
      </c>
      <c r="K180" s="3" t="s">
        <v>825</v>
      </c>
      <c r="L180" s="47" t="s">
        <v>621</v>
      </c>
      <c r="M180" s="47" t="s">
        <v>625</v>
      </c>
      <c r="O180" s="84" t="str">
        <f t="shared" si="90"/>
        <v>187/13:21</v>
      </c>
      <c r="P180" s="32" t="str">
        <f t="shared" si="91"/>
        <v>187_1</v>
      </c>
      <c r="Q180" s="58">
        <f t="shared" si="92"/>
        <v>597572935.16666865</v>
      </c>
      <c r="R180" s="21">
        <f t="shared" si="88"/>
        <v>597943849.72718894</v>
      </c>
      <c r="S180" s="21">
        <f t="shared" si="83"/>
        <v>370914.56052029133</v>
      </c>
      <c r="T180" s="21">
        <f t="shared" si="89"/>
        <v>1370875.0000001567</v>
      </c>
      <c r="U180" s="3">
        <v>0</v>
      </c>
      <c r="V180" s="20">
        <f t="shared" si="84"/>
        <v>1370875.0000001567</v>
      </c>
      <c r="W180" s="20">
        <f t="shared" si="93"/>
        <v>1370875.0000000002</v>
      </c>
      <c r="X180" s="332">
        <f t="shared" si="85"/>
        <v>-1.5646219253540039E-7</v>
      </c>
      <c r="Y180" s="332"/>
      <c r="Z180" s="332"/>
      <c r="AA180" s="77">
        <f t="shared" si="94"/>
        <v>10.967000000000002</v>
      </c>
      <c r="AB180" s="50"/>
      <c r="AC180" s="129">
        <f t="shared" si="95"/>
        <v>49.42543689076382</v>
      </c>
      <c r="AD180" s="98"/>
      <c r="AE180" s="98"/>
      <c r="AF180" s="98"/>
      <c r="AG180" s="98"/>
      <c r="AH180" s="31" t="str">
        <f t="shared" si="96"/>
        <v>TRK_187_1</v>
      </c>
      <c r="AI180" s="34" t="s">
        <v>626</v>
      </c>
      <c r="AJ180" s="40">
        <f t="shared" si="86"/>
        <v>-1.2516975402832031E-12</v>
      </c>
      <c r="AK180" s="40">
        <f t="shared" si="87"/>
        <v>10.967000000001253</v>
      </c>
      <c r="AL180" s="97" t="s">
        <v>627</v>
      </c>
      <c r="AM180" s="97" t="s">
        <v>628</v>
      </c>
      <c r="AN180" s="97">
        <v>9.9700000000000006</v>
      </c>
      <c r="AO180" s="97">
        <v>9.9700000000000006</v>
      </c>
      <c r="AP180" s="97">
        <v>9.9700000000000006</v>
      </c>
    </row>
    <row r="181" spans="1:42" ht="15.4" customHeight="1">
      <c r="C181" s="3"/>
      <c r="D181" s="3"/>
      <c r="E181" s="3"/>
      <c r="F181" s="3"/>
      <c r="G181" s="3"/>
      <c r="H181" s="3"/>
      <c r="I181" s="3"/>
      <c r="J181" s="3" t="s">
        <v>228</v>
      </c>
      <c r="K181" s="3" t="s">
        <v>825</v>
      </c>
      <c r="L181" s="47" t="s">
        <v>625</v>
      </c>
      <c r="M181" s="47" t="s">
        <v>629</v>
      </c>
      <c r="O181" s="84" t="str">
        <f t="shared" si="90"/>
        <v>189/12:16</v>
      </c>
      <c r="P181" s="32" t="str">
        <f t="shared" si="91"/>
        <v>189_1</v>
      </c>
      <c r="Q181" s="58">
        <f t="shared" si="92"/>
        <v>597943846.72718894</v>
      </c>
      <c r="R181" s="21">
        <f t="shared" si="88"/>
        <v>598228822.2069869</v>
      </c>
      <c r="S181" s="21">
        <f t="shared" si="83"/>
        <v>284975.47979795933</v>
      </c>
      <c r="T181" s="21">
        <f t="shared" si="89"/>
        <v>1053250.000000203</v>
      </c>
      <c r="U181" s="3">
        <v>0</v>
      </c>
      <c r="V181" s="20">
        <f t="shared" si="84"/>
        <v>1053250.000000203</v>
      </c>
      <c r="W181" s="20">
        <f t="shared" si="93"/>
        <v>1053250</v>
      </c>
      <c r="X181" s="332">
        <f t="shared" si="85"/>
        <v>-2.0302832126617432E-7</v>
      </c>
      <c r="Y181" s="332"/>
      <c r="Z181" s="332"/>
      <c r="AA181" s="77">
        <f t="shared" si="94"/>
        <v>8.4260000000000002</v>
      </c>
      <c r="AB181" s="50"/>
      <c r="AC181" s="129">
        <f t="shared" si="95"/>
        <v>57.851436890765441</v>
      </c>
      <c r="AD181" s="98"/>
      <c r="AE181" s="98"/>
      <c r="AF181" s="98"/>
      <c r="AG181" s="98"/>
      <c r="AH181" s="31" t="str">
        <f t="shared" si="96"/>
        <v>TRK_189_1</v>
      </c>
      <c r="AI181" s="34" t="s">
        <v>630</v>
      </c>
      <c r="AJ181" s="40">
        <f t="shared" si="86"/>
        <v>-1.6242265701293946E-12</v>
      </c>
      <c r="AK181" s="40">
        <f t="shared" si="87"/>
        <v>8.4260000000016237</v>
      </c>
      <c r="AL181" s="97" t="s">
        <v>631</v>
      </c>
      <c r="AM181" s="97" t="s">
        <v>632</v>
      </c>
      <c r="AN181" s="97">
        <v>7.66</v>
      </c>
      <c r="AO181" s="97">
        <v>7.66</v>
      </c>
      <c r="AP181" s="97">
        <v>7.66</v>
      </c>
    </row>
    <row r="182" spans="1:42" ht="15.4" customHeight="1">
      <c r="C182" s="3"/>
      <c r="D182" s="3"/>
      <c r="E182" s="3"/>
      <c r="F182" s="3"/>
      <c r="G182" s="3"/>
      <c r="H182" s="3"/>
      <c r="I182" s="3"/>
      <c r="J182" s="3" t="s">
        <v>228</v>
      </c>
      <c r="K182" s="3" t="s">
        <v>825</v>
      </c>
      <c r="L182" s="47" t="s">
        <v>1263</v>
      </c>
      <c r="M182" s="47" t="s">
        <v>633</v>
      </c>
      <c r="O182" s="84" t="str">
        <f t="shared" si="90"/>
        <v>190/20:06</v>
      </c>
      <c r="P182" s="32" t="str">
        <f t="shared" si="91"/>
        <v>190_1</v>
      </c>
      <c r="Q182" s="58">
        <f t="shared" si="92"/>
        <v>598228819.2069869</v>
      </c>
      <c r="R182" s="21">
        <f t="shared" si="88"/>
        <v>598699065.95171869</v>
      </c>
      <c r="S182" s="21">
        <f t="shared" si="83"/>
        <v>470246.74473178387</v>
      </c>
      <c r="T182" s="21">
        <f t="shared" si="89"/>
        <v>1737999.9999999772</v>
      </c>
      <c r="U182" s="3">
        <v>0</v>
      </c>
      <c r="V182" s="20">
        <f t="shared" si="84"/>
        <v>1737999.9999999772</v>
      </c>
      <c r="W182" s="20">
        <f t="shared" si="93"/>
        <v>1738000.0000000002</v>
      </c>
      <c r="X182" s="332">
        <f t="shared" si="85"/>
        <v>2.3050233721733093E-8</v>
      </c>
      <c r="Y182" s="332"/>
      <c r="Z182" s="332"/>
      <c r="AA182" s="77">
        <f t="shared" si="94"/>
        <v>13.904000000000002</v>
      </c>
      <c r="AB182" s="50"/>
      <c r="AC182" s="129">
        <f t="shared" si="95"/>
        <v>71.755436890765253</v>
      </c>
      <c r="AD182" s="98"/>
      <c r="AE182" s="98"/>
      <c r="AF182" s="98"/>
      <c r="AG182" s="98"/>
      <c r="AH182" s="31" t="str">
        <f t="shared" si="96"/>
        <v>TRK_190_1</v>
      </c>
      <c r="AI182" s="34" t="s">
        <v>634</v>
      </c>
      <c r="AJ182" s="40">
        <f t="shared" si="86"/>
        <v>1.8440186977386473E-13</v>
      </c>
      <c r="AK182" s="40">
        <f t="shared" si="87"/>
        <v>13.903999999999817</v>
      </c>
      <c r="AL182" s="97" t="s">
        <v>635</v>
      </c>
      <c r="AM182" s="97" t="s">
        <v>636</v>
      </c>
      <c r="AN182" s="97">
        <v>12.64</v>
      </c>
      <c r="AO182" s="97">
        <v>12.64</v>
      </c>
      <c r="AP182" s="97">
        <v>12.64</v>
      </c>
    </row>
    <row r="183" spans="1:42" ht="15.4" customHeight="1">
      <c r="C183" s="3"/>
      <c r="D183" s="3"/>
      <c r="E183" s="3"/>
      <c r="F183" s="3"/>
      <c r="G183" s="3"/>
      <c r="H183" s="3"/>
      <c r="I183" s="3"/>
      <c r="J183" s="3" t="s">
        <v>228</v>
      </c>
      <c r="K183" s="3" t="s">
        <v>825</v>
      </c>
      <c r="L183" s="47" t="s">
        <v>633</v>
      </c>
      <c r="M183" s="47" t="s">
        <v>637</v>
      </c>
      <c r="O183" s="84" t="str">
        <f t="shared" si="90"/>
        <v>191/12:11</v>
      </c>
      <c r="P183" s="32" t="str">
        <f t="shared" si="91"/>
        <v>191_1</v>
      </c>
      <c r="Q183" s="58">
        <f t="shared" si="92"/>
        <v>598699062.95171869</v>
      </c>
      <c r="R183" s="21">
        <f t="shared" si="88"/>
        <v>599169681.72710299</v>
      </c>
      <c r="S183" s="21">
        <f t="shared" si="83"/>
        <v>470618.77538430691</v>
      </c>
      <c r="T183" s="21">
        <f t="shared" si="89"/>
        <v>1739375.0000001448</v>
      </c>
      <c r="U183" s="3">
        <v>0</v>
      </c>
      <c r="V183" s="20">
        <f t="shared" si="84"/>
        <v>1739375.0000001448</v>
      </c>
      <c r="W183" s="20">
        <f t="shared" si="93"/>
        <v>1739375</v>
      </c>
      <c r="X183" s="332">
        <f t="shared" si="85"/>
        <v>-1.4482066035270691E-7</v>
      </c>
      <c r="Y183" s="332"/>
      <c r="Z183" s="332"/>
      <c r="AA183" s="77">
        <f t="shared" si="94"/>
        <v>13.915000000000001</v>
      </c>
      <c r="AB183" s="50"/>
      <c r="AC183" s="129">
        <f t="shared" si="95"/>
        <v>85.67043689076641</v>
      </c>
      <c r="AD183" s="98"/>
      <c r="AE183" s="98"/>
      <c r="AF183" s="98"/>
      <c r="AG183" s="98"/>
      <c r="AH183" s="31" t="str">
        <f t="shared" si="96"/>
        <v>TRK_191_1</v>
      </c>
      <c r="AI183" s="34" t="s">
        <v>638</v>
      </c>
      <c r="AJ183" s="40">
        <f t="shared" si="86"/>
        <v>-1.1585652828216554E-12</v>
      </c>
      <c r="AK183" s="40">
        <f t="shared" si="87"/>
        <v>13.915000000001159</v>
      </c>
      <c r="AL183" s="97" t="s">
        <v>639</v>
      </c>
      <c r="AM183" s="97" t="s">
        <v>640</v>
      </c>
      <c r="AN183" s="97">
        <v>12.65</v>
      </c>
      <c r="AO183" s="97">
        <v>12.65</v>
      </c>
      <c r="AP183" s="97">
        <v>12.65</v>
      </c>
    </row>
    <row r="184" spans="1:42" ht="15.4" customHeight="1">
      <c r="C184" s="3"/>
      <c r="D184" s="3"/>
      <c r="E184" s="3"/>
      <c r="F184" s="3"/>
      <c r="G184" s="3"/>
      <c r="H184" s="3"/>
      <c r="I184" s="3"/>
      <c r="J184" s="3" t="s">
        <v>228</v>
      </c>
      <c r="K184" s="3" t="s">
        <v>825</v>
      </c>
      <c r="L184" s="47" t="s">
        <v>637</v>
      </c>
      <c r="M184" s="47" t="s">
        <v>641</v>
      </c>
      <c r="O184" s="84" t="str">
        <f t="shared" si="90"/>
        <v>192/12:06</v>
      </c>
      <c r="P184" s="32" t="str">
        <f t="shared" si="91"/>
        <v>192_2</v>
      </c>
      <c r="Q184" s="58">
        <f t="shared" si="92"/>
        <v>599169678.72710299</v>
      </c>
      <c r="R184" s="21">
        <f t="shared" si="88"/>
        <v>599478464.16865945</v>
      </c>
      <c r="S184" s="21">
        <f t="shared" si="83"/>
        <v>308785.4415564537</v>
      </c>
      <c r="T184" s="21">
        <f t="shared" si="89"/>
        <v>1141249.9999999173</v>
      </c>
      <c r="U184" s="3">
        <v>0</v>
      </c>
      <c r="V184" s="20">
        <f t="shared" si="84"/>
        <v>1141249.9999999173</v>
      </c>
      <c r="W184" s="20">
        <f t="shared" si="93"/>
        <v>1141250</v>
      </c>
      <c r="X184" s="332">
        <f t="shared" si="85"/>
        <v>8.2654878497123718E-8</v>
      </c>
      <c r="Y184" s="332"/>
      <c r="Z184" s="332"/>
      <c r="AA184" s="77">
        <f t="shared" si="94"/>
        <v>9.1300000000000008</v>
      </c>
      <c r="AB184" s="50"/>
      <c r="AC184" s="129">
        <f t="shared" si="95"/>
        <v>94.800436890765752</v>
      </c>
      <c r="AD184" s="98"/>
      <c r="AE184" s="98"/>
      <c r="AF184" s="98"/>
      <c r="AG184" s="98"/>
      <c r="AH184" s="31" t="str">
        <f t="shared" si="96"/>
        <v>TRK_192_2</v>
      </c>
      <c r="AI184" s="34" t="s">
        <v>642</v>
      </c>
      <c r="AJ184" s="40">
        <f t="shared" si="86"/>
        <v>6.6123902797698976E-13</v>
      </c>
      <c r="AK184" s="40">
        <f t="shared" si="87"/>
        <v>9.1299999999993382</v>
      </c>
      <c r="AL184" s="97" t="s">
        <v>643</v>
      </c>
      <c r="AM184" s="97" t="s">
        <v>644</v>
      </c>
      <c r="AN184" s="97">
        <v>8.3000000000000007</v>
      </c>
      <c r="AO184" s="97">
        <v>8.3000000000000007</v>
      </c>
      <c r="AP184" s="97">
        <v>8.3000000000000007</v>
      </c>
    </row>
    <row r="185" spans="1:42" ht="15.4" customHeight="1">
      <c r="C185" s="3"/>
      <c r="D185" s="3"/>
      <c r="E185" s="3"/>
      <c r="F185" s="3"/>
      <c r="G185" s="3"/>
      <c r="H185" s="3"/>
      <c r="I185" s="3"/>
      <c r="J185" s="3" t="s">
        <v>228</v>
      </c>
      <c r="K185" s="3" t="s">
        <v>825</v>
      </c>
      <c r="L185" s="47" t="s">
        <v>641</v>
      </c>
      <c r="M185" s="47" t="s">
        <v>645</v>
      </c>
      <c r="O185" s="84" t="str">
        <f t="shared" si="90"/>
        <v>193/13:50</v>
      </c>
      <c r="P185" s="32" t="str">
        <f t="shared" si="91"/>
        <v>193_1</v>
      </c>
      <c r="Q185" s="58">
        <f t="shared" si="92"/>
        <v>599478461.16865945</v>
      </c>
      <c r="R185" s="21">
        <f t="shared" si="88"/>
        <v>600150720.55768657</v>
      </c>
      <c r="S185" s="21">
        <f t="shared" si="83"/>
        <v>672259.38902711868</v>
      </c>
      <c r="T185" s="21">
        <f t="shared" si="89"/>
        <v>2484624.9999998054</v>
      </c>
      <c r="U185" s="3">
        <v>0</v>
      </c>
      <c r="V185" s="20">
        <f t="shared" si="84"/>
        <v>2484624.9999998054</v>
      </c>
      <c r="W185" s="20">
        <f t="shared" si="93"/>
        <v>2484625.0000000005</v>
      </c>
      <c r="X185" s="332">
        <f t="shared" si="85"/>
        <v>1.9511207938194275E-7</v>
      </c>
      <c r="Y185" s="332"/>
      <c r="Z185" s="332"/>
      <c r="AA185" s="77">
        <f t="shared" si="94"/>
        <v>19.877000000000002</v>
      </c>
      <c r="AB185" s="50"/>
      <c r="AC185" s="129">
        <f t="shared" si="95"/>
        <v>114.6774368907642</v>
      </c>
      <c r="AD185" s="98"/>
      <c r="AE185" s="98"/>
      <c r="AF185" s="98"/>
      <c r="AG185" s="98"/>
      <c r="AH185" s="31" t="str">
        <f t="shared" si="96"/>
        <v>TRK_193_1</v>
      </c>
      <c r="AI185" s="34" t="s">
        <v>646</v>
      </c>
      <c r="AJ185" s="40">
        <f t="shared" si="86"/>
        <v>1.560896635055542E-12</v>
      </c>
      <c r="AK185" s="40">
        <f t="shared" si="87"/>
        <v>19.876999999998443</v>
      </c>
      <c r="AL185" s="97" t="s">
        <v>647</v>
      </c>
      <c r="AM185" s="97" t="s">
        <v>648</v>
      </c>
      <c r="AN185" s="97">
        <v>18.07</v>
      </c>
      <c r="AO185" s="97">
        <v>18.07</v>
      </c>
      <c r="AP185" s="97">
        <v>18.07</v>
      </c>
    </row>
    <row r="186" spans="1:42" ht="15.4" customHeight="1">
      <c r="C186" s="3"/>
      <c r="D186" s="3"/>
      <c r="E186" s="3"/>
      <c r="F186" s="3"/>
      <c r="G186" s="3"/>
      <c r="H186" s="3"/>
      <c r="I186" s="3"/>
      <c r="J186" s="3" t="s">
        <v>228</v>
      </c>
      <c r="K186" s="3" t="s">
        <v>825</v>
      </c>
      <c r="L186" s="47" t="s">
        <v>645</v>
      </c>
      <c r="M186" s="47" t="s">
        <v>649</v>
      </c>
      <c r="O186" s="84" t="str">
        <f t="shared" si="90"/>
        <v>194/16:20</v>
      </c>
      <c r="P186" s="32" t="str">
        <f t="shared" si="91"/>
        <v>194_2</v>
      </c>
      <c r="Q186" s="58">
        <f t="shared" si="92"/>
        <v>600150717.55768657</v>
      </c>
      <c r="R186" s="21">
        <f t="shared" si="88"/>
        <v>600221403.38165736</v>
      </c>
      <c r="S186" s="21">
        <f t="shared" si="83"/>
        <v>70685.823970794678</v>
      </c>
      <c r="T186" s="21">
        <f t="shared" si="89"/>
        <v>261250.00000012974</v>
      </c>
      <c r="U186" s="3">
        <v>0</v>
      </c>
      <c r="V186" s="20">
        <f t="shared" si="84"/>
        <v>261250.00000012974</v>
      </c>
      <c r="W186" s="20">
        <f t="shared" si="93"/>
        <v>261249.99999999997</v>
      </c>
      <c r="X186" s="332">
        <f t="shared" si="85"/>
        <v>-1.2977398000657558E-7</v>
      </c>
      <c r="Y186" s="332"/>
      <c r="Z186" s="332"/>
      <c r="AA186" s="77">
        <f t="shared" si="94"/>
        <v>2.09</v>
      </c>
      <c r="AB186" s="50"/>
      <c r="AC186" s="129">
        <f t="shared" si="95"/>
        <v>116.76743689076524</v>
      </c>
      <c r="AD186" s="98"/>
      <c r="AE186" s="98"/>
      <c r="AF186" s="98"/>
      <c r="AG186" s="98"/>
      <c r="AH186" s="31" t="str">
        <f t="shared" si="96"/>
        <v>TRK_194_2</v>
      </c>
      <c r="AI186" s="34" t="s">
        <v>650</v>
      </c>
      <c r="AJ186" s="40">
        <f t="shared" si="86"/>
        <v>-1.0381918400526047E-12</v>
      </c>
      <c r="AK186" s="40">
        <f t="shared" si="87"/>
        <v>2.0900000000010381</v>
      </c>
      <c r="AL186" s="97" t="s">
        <v>651</v>
      </c>
      <c r="AM186" s="97" t="s">
        <v>652</v>
      </c>
      <c r="AN186" s="97">
        <v>1.9</v>
      </c>
      <c r="AO186" s="97">
        <v>1.9</v>
      </c>
      <c r="AP186" s="97">
        <v>1.9</v>
      </c>
    </row>
    <row r="187" spans="1:42" ht="15.4" customHeight="1">
      <c r="C187" s="3"/>
      <c r="D187" s="3"/>
      <c r="E187" s="3"/>
      <c r="F187" s="3"/>
      <c r="G187" s="3"/>
      <c r="H187" s="3"/>
      <c r="I187" s="3"/>
      <c r="J187" s="3" t="s">
        <v>228</v>
      </c>
      <c r="K187" s="3" t="s">
        <v>825</v>
      </c>
      <c r="L187" s="47" t="s">
        <v>649</v>
      </c>
      <c r="M187" s="47" t="s">
        <v>653</v>
      </c>
      <c r="O187" s="84" t="str">
        <f t="shared" si="90"/>
        <v>194/22:50</v>
      </c>
      <c r="P187" s="32" t="str">
        <f t="shared" si="91"/>
        <v>194_3</v>
      </c>
      <c r="Q187" s="58">
        <f t="shared" si="92"/>
        <v>600221400.38165736</v>
      </c>
      <c r="R187" s="21">
        <f t="shared" si="88"/>
        <v>600487402.29817891</v>
      </c>
      <c r="S187" s="21">
        <f t="shared" si="83"/>
        <v>266001.91652154922</v>
      </c>
      <c r="T187" s="21">
        <f t="shared" si="89"/>
        <v>983125.00000002445</v>
      </c>
      <c r="U187" s="3">
        <v>0</v>
      </c>
      <c r="V187" s="20">
        <f t="shared" si="84"/>
        <v>983125.00000002445</v>
      </c>
      <c r="W187" s="20">
        <f t="shared" si="93"/>
        <v>983125.00000000012</v>
      </c>
      <c r="X187" s="332">
        <f t="shared" si="85"/>
        <v>-2.4330802261829376E-8</v>
      </c>
      <c r="Y187" s="332"/>
      <c r="Z187" s="332"/>
      <c r="AA187" s="77">
        <f t="shared" si="94"/>
        <v>7.8650000000000011</v>
      </c>
      <c r="AB187" s="50"/>
      <c r="AC187" s="129">
        <f t="shared" si="95"/>
        <v>124.63243689076543</v>
      </c>
      <c r="AD187" s="98"/>
      <c r="AE187" s="98"/>
      <c r="AF187" s="98"/>
      <c r="AG187" s="98"/>
      <c r="AH187" s="31" t="str">
        <f t="shared" si="96"/>
        <v>TRK_194_3</v>
      </c>
      <c r="AI187" s="34" t="s">
        <v>654</v>
      </c>
      <c r="AJ187" s="40">
        <f t="shared" si="86"/>
        <v>-1.9464641809463502E-13</v>
      </c>
      <c r="AK187" s="40">
        <f t="shared" si="87"/>
        <v>7.8650000000001956</v>
      </c>
      <c r="AL187" s="97" t="s">
        <v>655</v>
      </c>
      <c r="AM187" s="97" t="s">
        <v>656</v>
      </c>
      <c r="AN187" s="97">
        <v>7.15</v>
      </c>
      <c r="AO187" s="97">
        <v>7.15</v>
      </c>
      <c r="AP187" s="97">
        <v>7.15</v>
      </c>
    </row>
    <row r="188" spans="1:42" ht="15.4" customHeight="1">
      <c r="C188" s="3"/>
      <c r="D188" s="3"/>
      <c r="E188" s="3"/>
      <c r="F188" s="3"/>
      <c r="G188" s="3"/>
      <c r="H188" s="3"/>
      <c r="I188" s="3"/>
      <c r="J188" s="3" t="s">
        <v>228</v>
      </c>
      <c r="K188" s="3" t="s">
        <v>825</v>
      </c>
      <c r="L188" s="47" t="s">
        <v>653</v>
      </c>
      <c r="M188" s="47" t="s">
        <v>657</v>
      </c>
      <c r="O188" s="84" t="str">
        <f t="shared" si="90"/>
        <v>195/15:30</v>
      </c>
      <c r="P188" s="32" t="str">
        <f t="shared" si="91"/>
        <v>195_1</v>
      </c>
      <c r="Q188" s="58">
        <f t="shared" si="92"/>
        <v>600487399.29817891</v>
      </c>
      <c r="R188" s="21">
        <f t="shared" si="88"/>
        <v>600627654.85416305</v>
      </c>
      <c r="S188" s="21">
        <f t="shared" si="83"/>
        <v>140255.55598413944</v>
      </c>
      <c r="T188" s="21">
        <f t="shared" si="89"/>
        <v>518375.00000019715</v>
      </c>
      <c r="U188" s="3">
        <v>0</v>
      </c>
      <c r="V188" s="20">
        <f t="shared" si="84"/>
        <v>518375.00000019715</v>
      </c>
      <c r="W188" s="20">
        <f t="shared" si="93"/>
        <v>518375.00000000006</v>
      </c>
      <c r="X188" s="332">
        <f t="shared" si="85"/>
        <v>-1.9709113985300064E-7</v>
      </c>
      <c r="Y188" s="332"/>
      <c r="Z188" s="332"/>
      <c r="AA188" s="77">
        <f t="shared" si="94"/>
        <v>4.1470000000000002</v>
      </c>
      <c r="AB188" s="50"/>
      <c r="AC188" s="129">
        <f t="shared" si="95"/>
        <v>128.77943689076702</v>
      </c>
      <c r="AD188" s="98"/>
      <c r="AE188" s="98"/>
      <c r="AF188" s="98"/>
      <c r="AG188" s="98"/>
      <c r="AH188" s="31" t="str">
        <f t="shared" si="96"/>
        <v>TRK_195_1</v>
      </c>
      <c r="AI188" s="34" t="s">
        <v>658</v>
      </c>
      <c r="AJ188" s="40">
        <f t="shared" si="86"/>
        <v>-1.5767291188240052E-12</v>
      </c>
      <c r="AK188" s="40">
        <f t="shared" si="87"/>
        <v>4.1470000000015768</v>
      </c>
      <c r="AL188" s="97" t="s">
        <v>659</v>
      </c>
      <c r="AM188" s="97" t="s">
        <v>660</v>
      </c>
      <c r="AN188" s="97">
        <v>3.77</v>
      </c>
      <c r="AO188" s="97">
        <v>3.77</v>
      </c>
      <c r="AP188" s="97">
        <v>3.77</v>
      </c>
    </row>
    <row r="189" spans="1:42" ht="15.4" customHeight="1">
      <c r="C189" s="3"/>
      <c r="D189" s="3"/>
      <c r="E189" s="3"/>
      <c r="F189" s="3"/>
      <c r="G189" s="3"/>
      <c r="H189" s="3"/>
      <c r="I189" s="3"/>
      <c r="J189" s="3" t="s">
        <v>228</v>
      </c>
      <c r="K189" s="3" t="s">
        <v>825</v>
      </c>
      <c r="L189" s="47" t="s">
        <v>657</v>
      </c>
      <c r="M189" s="47" t="s">
        <v>661</v>
      </c>
      <c r="O189" s="84" t="str">
        <f t="shared" si="90"/>
        <v>195/22:50</v>
      </c>
      <c r="P189" s="32" t="str">
        <f t="shared" si="91"/>
        <v>195_2</v>
      </c>
      <c r="Q189" s="58">
        <f t="shared" si="92"/>
        <v>600627651.85416305</v>
      </c>
      <c r="R189" s="21">
        <f t="shared" si="88"/>
        <v>600889189.40285492</v>
      </c>
      <c r="S189" s="21">
        <f t="shared" si="83"/>
        <v>261537.54869186878</v>
      </c>
      <c r="T189" s="21">
        <f t="shared" si="89"/>
        <v>966625.0000002156</v>
      </c>
      <c r="U189" s="3">
        <v>0</v>
      </c>
      <c r="V189" s="20">
        <f t="shared" si="84"/>
        <v>966625.0000002156</v>
      </c>
      <c r="W189" s="20">
        <f t="shared" si="93"/>
        <v>966625.00000000012</v>
      </c>
      <c r="X189" s="332">
        <f t="shared" si="85"/>
        <v>-2.1548476070165634E-7</v>
      </c>
      <c r="Y189" s="332"/>
      <c r="Z189" s="332"/>
      <c r="AA189" s="77">
        <f t="shared" si="94"/>
        <v>7.7330000000000005</v>
      </c>
      <c r="AB189" s="50"/>
      <c r="AC189" s="129">
        <f t="shared" si="95"/>
        <v>136.51243689076875</v>
      </c>
      <c r="AD189" s="98"/>
      <c r="AE189" s="98"/>
      <c r="AF189" s="98"/>
      <c r="AG189" s="98"/>
      <c r="AH189" s="31" t="str">
        <f t="shared" si="96"/>
        <v>TRK_195_2</v>
      </c>
      <c r="AI189" s="34" t="s">
        <v>662</v>
      </c>
      <c r="AJ189" s="40">
        <f t="shared" si="86"/>
        <v>-1.7238780856132507E-12</v>
      </c>
      <c r="AK189" s="40">
        <f t="shared" si="87"/>
        <v>7.7330000000017245</v>
      </c>
      <c r="AL189" s="97" t="s">
        <v>663</v>
      </c>
      <c r="AM189" s="97" t="s">
        <v>664</v>
      </c>
      <c r="AN189" s="97">
        <v>7.03</v>
      </c>
      <c r="AO189" s="97">
        <v>7.03</v>
      </c>
      <c r="AP189" s="97">
        <v>7.03</v>
      </c>
    </row>
    <row r="190" spans="1:42" ht="15.4" customHeight="1">
      <c r="C190" s="3"/>
      <c r="D190" s="3"/>
      <c r="E190" s="3"/>
      <c r="F190" s="3"/>
      <c r="G190" s="3"/>
      <c r="H190" s="3"/>
      <c r="I190" s="3"/>
      <c r="J190" s="3" t="s">
        <v>228</v>
      </c>
      <c r="K190" s="3" t="s">
        <v>825</v>
      </c>
      <c r="L190" s="47" t="s">
        <v>661</v>
      </c>
      <c r="M190" s="47" t="s">
        <v>665</v>
      </c>
      <c r="O190" s="84" t="str">
        <f t="shared" si="90"/>
        <v>197/15:45</v>
      </c>
      <c r="P190" s="32" t="str">
        <f t="shared" si="91"/>
        <v>197_2</v>
      </c>
      <c r="Q190" s="58">
        <f t="shared" si="92"/>
        <v>600889186.40285492</v>
      </c>
      <c r="R190" s="21">
        <f t="shared" si="88"/>
        <v>600955779.88964844</v>
      </c>
      <c r="S190" s="21">
        <f t="shared" si="83"/>
        <v>66593.486793518066</v>
      </c>
      <c r="T190" s="21">
        <f t="shared" si="89"/>
        <v>246125.00000004802</v>
      </c>
      <c r="U190" s="3">
        <v>0</v>
      </c>
      <c r="V190" s="20">
        <f t="shared" si="84"/>
        <v>246125.00000004802</v>
      </c>
      <c r="W190" s="20">
        <f t="shared" si="93"/>
        <v>246125.00000000003</v>
      </c>
      <c r="X190" s="332">
        <f t="shared" si="85"/>
        <v>-4.7992216423153877E-8</v>
      </c>
      <c r="Y190" s="332"/>
      <c r="Z190" s="332"/>
      <c r="AA190" s="77">
        <f t="shared" si="94"/>
        <v>1.9690000000000003</v>
      </c>
      <c r="AB190" s="50"/>
      <c r="AC190" s="129">
        <f t="shared" si="95"/>
        <v>138.48143689076915</v>
      </c>
      <c r="AD190" s="98"/>
      <c r="AE190" s="98"/>
      <c r="AF190" s="98"/>
      <c r="AG190" s="98"/>
      <c r="AH190" s="31" t="str">
        <f t="shared" si="96"/>
        <v>TRK_197_2</v>
      </c>
      <c r="AI190" s="34" t="s">
        <v>666</v>
      </c>
      <c r="AJ190" s="40">
        <f t="shared" si="86"/>
        <v>-3.8393773138523104E-13</v>
      </c>
      <c r="AK190" s="40">
        <f t="shared" si="87"/>
        <v>1.9690000000003842</v>
      </c>
      <c r="AL190" s="97" t="s">
        <v>667</v>
      </c>
      <c r="AM190" s="97" t="s">
        <v>668</v>
      </c>
      <c r="AN190" s="97">
        <v>1.79</v>
      </c>
      <c r="AO190" s="97">
        <v>1.79</v>
      </c>
      <c r="AP190" s="97">
        <v>1.79</v>
      </c>
    </row>
    <row r="191" spans="1:42" ht="15.4" customHeight="1">
      <c r="C191" s="3"/>
      <c r="D191" s="3"/>
      <c r="E191" s="3"/>
      <c r="F191" s="3"/>
      <c r="G191" s="3"/>
      <c r="H191" s="3"/>
      <c r="I191" s="3"/>
      <c r="J191" s="3" t="s">
        <v>228</v>
      </c>
      <c r="K191" s="3" t="s">
        <v>825</v>
      </c>
      <c r="L191" s="47" t="s">
        <v>665</v>
      </c>
      <c r="M191" s="47" t="s">
        <v>669</v>
      </c>
      <c r="O191" s="84" t="str">
        <f t="shared" si="90"/>
        <v>197/22:00</v>
      </c>
      <c r="P191" s="32" t="str">
        <f t="shared" si="91"/>
        <v>197_3</v>
      </c>
      <c r="Q191" s="58">
        <f t="shared" si="92"/>
        <v>600955776.88964844</v>
      </c>
      <c r="R191" s="21">
        <f t="shared" si="88"/>
        <v>601328551.60343111</v>
      </c>
      <c r="S191" s="21">
        <f t="shared" si="83"/>
        <v>372774.71378266811</v>
      </c>
      <c r="T191" s="21">
        <f t="shared" si="89"/>
        <v>1377750.0000001136</v>
      </c>
      <c r="U191" s="3">
        <v>0</v>
      </c>
      <c r="V191" s="20">
        <f t="shared" si="84"/>
        <v>1377750.0000001136</v>
      </c>
      <c r="W191" s="20">
        <f t="shared" si="93"/>
        <v>1377750</v>
      </c>
      <c r="X191" s="332">
        <f t="shared" si="85"/>
        <v>-1.1362135410308838E-7</v>
      </c>
      <c r="Y191" s="332"/>
      <c r="Z191" s="332"/>
      <c r="AA191" s="77">
        <f t="shared" si="94"/>
        <v>11.022</v>
      </c>
      <c r="AB191" s="50"/>
      <c r="AC191" s="129">
        <f t="shared" si="95"/>
        <v>149.50343689077005</v>
      </c>
      <c r="AD191" s="98"/>
      <c r="AE191" s="98"/>
      <c r="AF191" s="98"/>
      <c r="AG191" s="98"/>
      <c r="AH191" s="31" t="str">
        <f t="shared" si="96"/>
        <v>TRK_197_3</v>
      </c>
      <c r="AI191" s="34" t="s">
        <v>670</v>
      </c>
      <c r="AJ191" s="40">
        <f t="shared" si="86"/>
        <v>-9.0897083282470701E-13</v>
      </c>
      <c r="AK191" s="40">
        <f t="shared" si="87"/>
        <v>11.02200000000091</v>
      </c>
      <c r="AL191" s="97" t="s">
        <v>671</v>
      </c>
      <c r="AM191" s="97" t="s">
        <v>672</v>
      </c>
      <c r="AN191" s="97">
        <v>10.02</v>
      </c>
      <c r="AO191" s="97">
        <v>10.02</v>
      </c>
      <c r="AP191" s="97">
        <v>10.02</v>
      </c>
    </row>
    <row r="192" spans="1:42" ht="15.4" customHeight="1">
      <c r="A192" t="s">
        <v>673</v>
      </c>
      <c r="C192" s="3"/>
      <c r="D192" s="3"/>
      <c r="E192" s="3"/>
      <c r="F192" s="3"/>
      <c r="G192" s="3"/>
      <c r="H192" s="3" t="s">
        <v>53</v>
      </c>
      <c r="I192" s="3"/>
      <c r="J192" s="3"/>
      <c r="L192" s="78" t="s">
        <v>674</v>
      </c>
      <c r="M192" s="78" t="s">
        <v>675</v>
      </c>
      <c r="O192" s="84" t="str">
        <f t="shared" si="90"/>
        <v>198/14:30</v>
      </c>
      <c r="P192" s="32" t="str">
        <f t="shared" si="91"/>
        <v>198_1</v>
      </c>
      <c r="Q192" s="85">
        <v>612597116</v>
      </c>
      <c r="R192" s="28">
        <f>((W192-U192*$V$38)/$V$20)+Q192</f>
        <v>612615336.37914693</v>
      </c>
      <c r="S192" s="21">
        <f t="shared" si="83"/>
        <v>18220.379146933556</v>
      </c>
      <c r="T192" s="21">
        <f>S192*$V$20</f>
        <v>961125.00000074506</v>
      </c>
      <c r="U192" s="3">
        <v>0</v>
      </c>
      <c r="V192" s="20">
        <f t="shared" si="84"/>
        <v>961125.00000074506</v>
      </c>
      <c r="W192" s="20">
        <f t="shared" si="93"/>
        <v>961125.00000000012</v>
      </c>
      <c r="X192" s="332">
        <f t="shared" si="85"/>
        <v>-7.4494164437055588E-7</v>
      </c>
      <c r="Y192" s="331">
        <f>S192*$V$28+U192*$V$38</f>
        <v>1009712.6777259004</v>
      </c>
      <c r="Z192" s="330">
        <f t="shared" ref="Z192:Z197" si="97">(Y192/V192-1)</f>
        <v>5.0552922590836546E-2</v>
      </c>
      <c r="AA192" s="77">
        <f t="shared" si="94"/>
        <v>7.6890000000000009</v>
      </c>
      <c r="AB192" s="50"/>
      <c r="AC192" s="50"/>
      <c r="AD192" s="118">
        <f>AD173+AK192</f>
        <v>22.679563109241727</v>
      </c>
      <c r="AE192" s="118"/>
      <c r="AF192" s="118"/>
      <c r="AG192" s="118"/>
      <c r="AH192" s="31" t="str">
        <f t="shared" si="96"/>
        <v>TRK_198_1</v>
      </c>
      <c r="AI192" s="34" t="s">
        <v>676</v>
      </c>
      <c r="AJ192" s="40">
        <f t="shared" si="86"/>
        <v>-5.9595331549644472E-12</v>
      </c>
      <c r="AK192" s="40">
        <f t="shared" si="87"/>
        <v>7.6890000000059606</v>
      </c>
      <c r="AL192" s="97" t="s">
        <v>677</v>
      </c>
      <c r="AM192" s="97" t="s">
        <v>678</v>
      </c>
      <c r="AN192" s="97">
        <v>6.99</v>
      </c>
      <c r="AO192" s="97">
        <v>6.99</v>
      </c>
      <c r="AP192" s="97">
        <v>6.99</v>
      </c>
    </row>
    <row r="193" spans="1:44" ht="15.4" customHeight="1">
      <c r="A193" t="s">
        <v>673</v>
      </c>
      <c r="C193" s="3"/>
      <c r="D193" s="3"/>
      <c r="E193" s="3"/>
      <c r="F193" s="3"/>
      <c r="G193" s="3"/>
      <c r="H193" s="3" t="s">
        <v>53</v>
      </c>
      <c r="I193" s="3"/>
      <c r="J193" s="3"/>
      <c r="L193" s="78" t="s">
        <v>675</v>
      </c>
      <c r="M193" s="78" t="s">
        <v>679</v>
      </c>
      <c r="O193" s="84" t="str">
        <f t="shared" si="90"/>
        <v>198/22:25</v>
      </c>
      <c r="P193" s="32" t="str">
        <f t="shared" si="91"/>
        <v>198_2</v>
      </c>
      <c r="Q193" s="85">
        <f>R192-3</f>
        <v>612615333.37914693</v>
      </c>
      <c r="R193" s="28">
        <f>((W193-U193*$V$38)/$V$20)+Q193</f>
        <v>612634987.407583</v>
      </c>
      <c r="S193" s="21">
        <f t="shared" si="83"/>
        <v>19654.02843606472</v>
      </c>
      <c r="T193" s="21">
        <f>S193*$V$20</f>
        <v>1036750.000002414</v>
      </c>
      <c r="U193" s="3">
        <v>0</v>
      </c>
      <c r="V193" s="20">
        <f t="shared" si="84"/>
        <v>1036750.000002414</v>
      </c>
      <c r="W193" s="20">
        <f t="shared" si="93"/>
        <v>1036750.0000000001</v>
      </c>
      <c r="X193" s="332">
        <f t="shared" si="85"/>
        <v>-2.4138716980814934E-6</v>
      </c>
      <c r="Y193" s="331">
        <f>S193*$V$28+U193*$V$38</f>
        <v>1089160.7424985857</v>
      </c>
      <c r="Z193" s="330">
        <f t="shared" si="97"/>
        <v>5.0552922590836546E-2</v>
      </c>
      <c r="AA193" s="77">
        <f t="shared" si="94"/>
        <v>8.2940000000000005</v>
      </c>
      <c r="AB193" s="50"/>
      <c r="AC193" s="50"/>
      <c r="AD193" s="118">
        <f>AD192+AK193</f>
        <v>30.973563109261036</v>
      </c>
      <c r="AE193" s="118"/>
      <c r="AF193" s="118"/>
      <c r="AG193" s="118"/>
      <c r="AH193" s="31" t="str">
        <f t="shared" si="96"/>
        <v>TRK_198_2</v>
      </c>
      <c r="AI193" s="34" t="s">
        <v>680</v>
      </c>
      <c r="AJ193" s="40">
        <f t="shared" si="86"/>
        <v>-1.9310973584651947E-11</v>
      </c>
      <c r="AK193" s="17">
        <f t="shared" si="87"/>
        <v>8.2940000000193113</v>
      </c>
      <c r="AL193" s="97" t="s">
        <v>681</v>
      </c>
      <c r="AM193" s="97" t="s">
        <v>682</v>
      </c>
      <c r="AN193" s="97">
        <v>7.54</v>
      </c>
      <c r="AO193" s="97">
        <v>7.54</v>
      </c>
      <c r="AP193" s="97">
        <v>7.54</v>
      </c>
    </row>
    <row r="194" spans="1:44" ht="15.4" customHeight="1">
      <c r="A194" t="s">
        <v>683</v>
      </c>
      <c r="C194" s="3"/>
      <c r="D194" s="3"/>
      <c r="E194" s="3" t="s">
        <v>51</v>
      </c>
      <c r="F194" s="3" t="s">
        <v>49</v>
      </c>
      <c r="G194" s="3"/>
      <c r="H194" s="3" t="s">
        <v>53</v>
      </c>
      <c r="I194" s="3" t="s">
        <v>54</v>
      </c>
      <c r="J194" s="3"/>
      <c r="L194" s="78" t="s">
        <v>602</v>
      </c>
      <c r="M194" s="78" t="s">
        <v>684</v>
      </c>
      <c r="O194" s="84" t="str">
        <f t="shared" si="90"/>
        <v>199/14:45</v>
      </c>
      <c r="P194" s="32" t="str">
        <f t="shared" si="91"/>
        <v>199_1</v>
      </c>
      <c r="Q194" s="58">
        <f>R173-1</f>
        <v>613766275</v>
      </c>
      <c r="R194" s="21">
        <f>((W194-U194*$V$38)/$V$17)+Q194</f>
        <v>614172004.08581376</v>
      </c>
      <c r="S194" s="21">
        <f t="shared" si="83"/>
        <v>405729.08581376076</v>
      </c>
      <c r="T194" s="21">
        <f>S194*$V$17</f>
        <v>862125.00000006065</v>
      </c>
      <c r="U194" s="3">
        <v>0</v>
      </c>
      <c r="V194" s="27">
        <f t="shared" si="84"/>
        <v>862125.00000006065</v>
      </c>
      <c r="W194" s="20">
        <f t="shared" si="93"/>
        <v>862125</v>
      </c>
      <c r="X194" s="332">
        <f t="shared" si="85"/>
        <v>-6.0652382671833038E-8</v>
      </c>
      <c r="Y194" s="331">
        <f>S194*$V$27+U194*$V$38</f>
        <v>879676.07011845079</v>
      </c>
      <c r="Z194" s="330">
        <f t="shared" si="97"/>
        <v>2.03579180726563E-2</v>
      </c>
      <c r="AA194" s="77">
        <f t="shared" si="94"/>
        <v>6.8970000000000002</v>
      </c>
      <c r="AB194" s="50"/>
      <c r="AC194" s="50"/>
      <c r="AD194" s="118">
        <f>AD193+AK194</f>
        <v>37.870563109261525</v>
      </c>
      <c r="AE194" s="118"/>
      <c r="AF194" s="118"/>
      <c r="AG194" s="118"/>
      <c r="AH194" s="31" t="str">
        <f t="shared" si="96"/>
        <v>TRK_199_1</v>
      </c>
      <c r="AI194" s="34" t="s">
        <v>685</v>
      </c>
      <c r="AJ194" s="40">
        <f t="shared" si="86"/>
        <v>-4.8521906137466429E-13</v>
      </c>
      <c r="AK194" s="17">
        <f t="shared" si="87"/>
        <v>6.8970000000004852</v>
      </c>
      <c r="AL194" s="97" t="s">
        <v>686</v>
      </c>
      <c r="AM194" s="97" t="s">
        <v>687</v>
      </c>
      <c r="AN194" s="97">
        <v>6.27</v>
      </c>
      <c r="AO194" s="97">
        <v>6.27</v>
      </c>
      <c r="AP194" s="97">
        <v>6.27</v>
      </c>
    </row>
    <row r="195" spans="1:44" ht="15.4" customHeight="1">
      <c r="A195" t="s">
        <v>683</v>
      </c>
      <c r="C195" s="3"/>
      <c r="D195" s="3"/>
      <c r="E195" s="3" t="s">
        <v>51</v>
      </c>
      <c r="F195" s="3" t="s">
        <v>49</v>
      </c>
      <c r="G195" s="3"/>
      <c r="H195" s="3" t="s">
        <v>53</v>
      </c>
      <c r="I195" s="3" t="s">
        <v>54</v>
      </c>
      <c r="J195" s="3"/>
      <c r="L195" s="78" t="s">
        <v>684</v>
      </c>
      <c r="M195" s="78" t="s">
        <v>688</v>
      </c>
      <c r="O195" s="84" t="str">
        <f t="shared" si="90"/>
        <v>200/14:40</v>
      </c>
      <c r="P195" s="32" t="str">
        <f t="shared" si="91"/>
        <v>200_1</v>
      </c>
      <c r="Q195" s="58">
        <f>R194-1</f>
        <v>614172003.08581376</v>
      </c>
      <c r="R195" s="21">
        <f>((W195-U195*$V$38)/$V$17)+Q195</f>
        <v>615002874.13236058</v>
      </c>
      <c r="S195" s="21">
        <f t="shared" si="83"/>
        <v>830871.04654681683</v>
      </c>
      <c r="T195" s="21">
        <f>S195*$V$17</f>
        <v>1765500.0000000745</v>
      </c>
      <c r="U195" s="3">
        <v>0</v>
      </c>
      <c r="V195" s="27">
        <f t="shared" si="84"/>
        <v>1765500.0000000745</v>
      </c>
      <c r="W195" s="20">
        <f t="shared" si="93"/>
        <v>1765500</v>
      </c>
      <c r="X195" s="332">
        <f t="shared" si="85"/>
        <v>-7.4505805969238281E-8</v>
      </c>
      <c r="Y195" s="331">
        <f>S195*$V$27+U195*$V$38</f>
        <v>1801441.9043573509</v>
      </c>
      <c r="Z195" s="330">
        <f t="shared" si="97"/>
        <v>2.03579180726563E-2</v>
      </c>
      <c r="AA195" s="77">
        <f t="shared" si="94"/>
        <v>14.124000000000001</v>
      </c>
      <c r="AB195" s="50"/>
      <c r="AC195" s="50"/>
      <c r="AD195" s="118">
        <f>AD194+AK195</f>
        <v>51.994563109262117</v>
      </c>
      <c r="AE195" s="118"/>
      <c r="AF195" s="118"/>
      <c r="AG195" s="118"/>
      <c r="AH195" s="31" t="str">
        <f t="shared" si="96"/>
        <v>TRK_200_1</v>
      </c>
      <c r="AI195" s="34" t="s">
        <v>689</v>
      </c>
      <c r="AJ195" s="40">
        <f t="shared" si="86"/>
        <v>-5.960464477539063E-13</v>
      </c>
      <c r="AK195" s="40">
        <f t="shared" si="87"/>
        <v>14.124000000000596</v>
      </c>
      <c r="AL195" s="97" t="s">
        <v>690</v>
      </c>
      <c r="AM195" s="97" t="s">
        <v>691</v>
      </c>
      <c r="AN195" s="97">
        <v>12.84</v>
      </c>
      <c r="AO195" s="97">
        <v>12.84</v>
      </c>
      <c r="AP195" s="97">
        <v>12.84</v>
      </c>
    </row>
    <row r="196" spans="1:44" ht="15.4" customHeight="1">
      <c r="A196" t="s">
        <v>683</v>
      </c>
      <c r="C196" s="3"/>
      <c r="D196" s="3"/>
      <c r="E196" s="3" t="s">
        <v>51</v>
      </c>
      <c r="F196" s="3" t="s">
        <v>49</v>
      </c>
      <c r="G196" s="3"/>
      <c r="H196" s="3" t="s">
        <v>53</v>
      </c>
      <c r="I196" s="3" t="s">
        <v>54</v>
      </c>
      <c r="J196" s="3"/>
      <c r="L196" s="78" t="s">
        <v>688</v>
      </c>
      <c r="M196" s="78" t="s">
        <v>692</v>
      </c>
      <c r="O196" s="84" t="str">
        <f t="shared" si="90"/>
        <v>201/18:40</v>
      </c>
      <c r="P196" s="32" t="str">
        <f t="shared" si="91"/>
        <v>201_1</v>
      </c>
      <c r="Q196" s="58">
        <f>R195-1</f>
        <v>615002873.13236058</v>
      </c>
      <c r="R196" s="128">
        <v>615335513</v>
      </c>
      <c r="S196" s="21">
        <f t="shared" si="83"/>
        <v>332639.86763942242</v>
      </c>
      <c r="T196" s="21">
        <f>S196*$V$17</f>
        <v>706819.2937498563</v>
      </c>
      <c r="U196" s="3">
        <v>0</v>
      </c>
      <c r="V196" s="27">
        <f t="shared" si="84"/>
        <v>706819.2937498563</v>
      </c>
      <c r="W196" s="20">
        <f t="shared" si="93"/>
        <v>1962125.0000000002</v>
      </c>
      <c r="X196" s="332">
        <f t="shared" si="85"/>
        <v>1255305.7062501439</v>
      </c>
      <c r="Y196" s="331">
        <f>S196*$V$27+U196*$V$38</f>
        <v>721208.66302418872</v>
      </c>
      <c r="Z196" s="330">
        <f t="shared" si="97"/>
        <v>2.03579180726563E-2</v>
      </c>
      <c r="AA196" s="77">
        <f t="shared" si="94"/>
        <v>15.697000000000001</v>
      </c>
      <c r="AB196" s="50"/>
      <c r="AC196" s="50"/>
      <c r="AD196" s="118">
        <f>AD195+AK196</f>
        <v>57.649117459260964</v>
      </c>
      <c r="AE196" s="118"/>
      <c r="AF196" s="118"/>
      <c r="AG196" s="118"/>
      <c r="AH196" s="31" t="str">
        <f t="shared" si="96"/>
        <v>TRK_201_1</v>
      </c>
      <c r="AI196" s="34" t="s">
        <v>693</v>
      </c>
      <c r="AJ196" s="40">
        <f t="shared" si="86"/>
        <v>10.042445650001152</v>
      </c>
      <c r="AK196" s="40">
        <f t="shared" si="87"/>
        <v>5.6545543499988504</v>
      </c>
      <c r="AL196" s="97" t="s">
        <v>694</v>
      </c>
      <c r="AM196" s="97" t="s">
        <v>695</v>
      </c>
      <c r="AN196" s="97">
        <v>14.27</v>
      </c>
      <c r="AO196" s="97">
        <v>14.27</v>
      </c>
      <c r="AP196" s="97">
        <v>14.27</v>
      </c>
    </row>
    <row r="197" spans="1:44" ht="15.4" customHeight="1">
      <c r="A197" t="s">
        <v>696</v>
      </c>
      <c r="C197" s="3"/>
      <c r="D197" s="3"/>
      <c r="E197" s="3"/>
      <c r="F197" s="3"/>
      <c r="G197" s="3" t="s">
        <v>50</v>
      </c>
      <c r="H197" s="3"/>
      <c r="I197" s="3"/>
      <c r="J197" s="3"/>
      <c r="L197" s="78" t="s">
        <v>586</v>
      </c>
      <c r="M197" s="78" t="s">
        <v>697</v>
      </c>
      <c r="O197" s="84" t="s">
        <v>1266</v>
      </c>
      <c r="P197" s="32" t="str">
        <f t="shared" si="91"/>
        <v/>
      </c>
      <c r="Q197" s="85">
        <f>Q173</f>
        <v>613559215</v>
      </c>
      <c r="R197" s="21">
        <f>((W197-U197*$V$38)/$V$18)+Q197</f>
        <v>614308973.7444849</v>
      </c>
      <c r="S197" s="21">
        <f t="shared" si="83"/>
        <v>749758.74448490143</v>
      </c>
      <c r="T197" s="21">
        <f>S197*$V$18</f>
        <v>1255305.7062501269</v>
      </c>
      <c r="U197" s="3">
        <v>0</v>
      </c>
      <c r="V197" s="27">
        <f t="shared" si="84"/>
        <v>1255305.7062501269</v>
      </c>
      <c r="W197" s="27">
        <f>X196</f>
        <v>1255305.7062501439</v>
      </c>
      <c r="X197" s="332">
        <f t="shared" si="85"/>
        <v>1.6996636986732483E-8</v>
      </c>
      <c r="Y197" s="331">
        <f>S197*$V$29+U197*$V$38</f>
        <v>1401345.9533638111</v>
      </c>
      <c r="Z197" s="330">
        <f t="shared" si="97"/>
        <v>0.11633839182483952</v>
      </c>
      <c r="AD197" s="118">
        <f>AD196+AK197</f>
        <v>67.691563109261978</v>
      </c>
      <c r="AE197" s="118"/>
      <c r="AF197" s="118"/>
      <c r="AG197" s="118"/>
      <c r="AJ197" s="40">
        <f t="shared" si="86"/>
        <v>1.3597309589385986E-13</v>
      </c>
      <c r="AK197" s="40">
        <f t="shared" si="87"/>
        <v>10.042445650001016</v>
      </c>
    </row>
    <row r="198" spans="1:44" ht="15.4" customHeight="1">
      <c r="C198" s="3"/>
      <c r="D198" s="3"/>
      <c r="E198" s="3"/>
      <c r="F198" s="3"/>
      <c r="G198" s="3"/>
      <c r="H198" s="3"/>
      <c r="I198" s="3"/>
      <c r="J198" s="3"/>
      <c r="Y198" s="414">
        <f>SUM(Y168:Y197)-SUM(V168:V173)-SUM(V192:V197)</f>
        <v>407232.56431206875</v>
      </c>
      <c r="AA198" s="414">
        <f>Y198*8/1000000</f>
        <v>3.2578605144965498</v>
      </c>
      <c r="AB198" s="413" t="s">
        <v>828</v>
      </c>
      <c r="AN198" t="s">
        <v>698</v>
      </c>
      <c r="AQ198">
        <f>30.53+12.81+49.55-12.87</f>
        <v>80.02</v>
      </c>
    </row>
    <row r="199" spans="1:44" ht="15.4" customHeight="1">
      <c r="C199" s="3"/>
      <c r="D199" s="3"/>
      <c r="E199" s="3"/>
      <c r="F199" s="3"/>
      <c r="G199" s="3"/>
      <c r="H199" s="3"/>
      <c r="I199" s="3"/>
      <c r="J199" s="3"/>
      <c r="O199" s="41" t="s">
        <v>699</v>
      </c>
      <c r="P199" s="15" t="s">
        <v>700</v>
      </c>
      <c r="Q199" s="15" t="s">
        <v>701</v>
      </c>
      <c r="R199" s="15">
        <v>615338922</v>
      </c>
      <c r="S199" s="15">
        <v>1</v>
      </c>
      <c r="T199" s="15" t="s">
        <v>27</v>
      </c>
      <c r="U199" s="15" t="s">
        <v>702</v>
      </c>
      <c r="V199" s="15" t="s">
        <v>28</v>
      </c>
      <c r="W199" s="15"/>
      <c r="X199" s="15" t="s">
        <v>703</v>
      </c>
      <c r="Y199" s="15"/>
      <c r="Z199" s="15"/>
      <c r="AC199" s="50"/>
      <c r="AH199" s="31" t="str">
        <f>MID(AL199,7,9)</f>
        <v>TRK_202_1</v>
      </c>
      <c r="AI199" s="34" t="s">
        <v>704</v>
      </c>
      <c r="AJ199" s="40"/>
      <c r="AK199" s="40"/>
      <c r="AL199" s="97" t="s">
        <v>705</v>
      </c>
      <c r="AM199" s="97" t="s">
        <v>706</v>
      </c>
      <c r="AN199" s="133">
        <v>30.53</v>
      </c>
      <c r="AO199" s="133">
        <v>-3.95</v>
      </c>
      <c r="AP199" s="133">
        <v>-3.95</v>
      </c>
      <c r="AQ199">
        <f>AP199+AN199</f>
        <v>26.580000000000002</v>
      </c>
      <c r="AR199">
        <f>AQ199</f>
        <v>26.580000000000002</v>
      </c>
    </row>
    <row r="200" spans="1:44" ht="15.4" customHeight="1">
      <c r="A200" t="s">
        <v>707</v>
      </c>
      <c r="C200" s="3"/>
      <c r="D200" s="3"/>
      <c r="E200" s="3"/>
      <c r="F200" s="3"/>
      <c r="G200" s="3"/>
      <c r="H200" s="3"/>
      <c r="I200" s="3"/>
      <c r="J200" s="3"/>
      <c r="AA200" s="74">
        <f>1.1*AP200</f>
        <v>-13.552000000000001</v>
      </c>
      <c r="AB200" s="50"/>
      <c r="AC200" s="50"/>
      <c r="AH200" s="31" t="str">
        <f>MID(AL200,7,9)</f>
        <v>TRK_203_2</v>
      </c>
      <c r="AI200" s="34" t="s">
        <v>708</v>
      </c>
      <c r="AJ200" s="40">
        <f>X200*8/1000000</f>
        <v>0</v>
      </c>
      <c r="AK200" s="40">
        <f>V200*8/1000000</f>
        <v>0</v>
      </c>
      <c r="AL200" s="97" t="s">
        <v>709</v>
      </c>
      <c r="AM200" s="97" t="s">
        <v>710</v>
      </c>
      <c r="AN200" s="133">
        <v>12.81</v>
      </c>
      <c r="AO200" s="133">
        <v>-8.3699999999999992</v>
      </c>
      <c r="AP200" s="133">
        <v>-12.32</v>
      </c>
      <c r="AQ200">
        <f>AP200+AN200</f>
        <v>0.49000000000000021</v>
      </c>
      <c r="AR200">
        <f>AR199+AQ200</f>
        <v>27.07</v>
      </c>
    </row>
    <row r="201" spans="1:44" ht="15.4" customHeight="1">
      <c r="A201" t="s">
        <v>696</v>
      </c>
      <c r="C201" s="3"/>
      <c r="D201" s="3"/>
      <c r="E201" s="3"/>
      <c r="F201" s="3"/>
      <c r="G201" s="3" t="s">
        <v>50</v>
      </c>
      <c r="H201" s="3"/>
      <c r="I201" s="3"/>
      <c r="J201" s="3"/>
      <c r="L201" s="78" t="s">
        <v>697</v>
      </c>
      <c r="M201" s="78" t="s">
        <v>711</v>
      </c>
      <c r="O201" s="84" t="str">
        <f>AI201</f>
        <v>204/12:55</v>
      </c>
      <c r="P201" s="32" t="str">
        <f>MID(AL201,11,5)</f>
        <v>204_1</v>
      </c>
      <c r="Q201" s="58">
        <f>R197-1</f>
        <v>614308972.7444849</v>
      </c>
      <c r="R201" s="21">
        <f>((W201-U201*$V$38)/$V$18)+Q201</f>
        <v>615365919.91807222</v>
      </c>
      <c r="S201" s="21">
        <f>R201-Q201</f>
        <v>1056947.1735873222</v>
      </c>
      <c r="T201" s="21">
        <f>S201*$V$18</f>
        <v>1769625.0000000207</v>
      </c>
      <c r="U201" s="3">
        <v>0</v>
      </c>
      <c r="V201" s="27">
        <f>T201+U201*$V$38</f>
        <v>1769625.0000000207</v>
      </c>
      <c r="W201" s="20">
        <f>AA201*1000000/8</f>
        <v>1769625</v>
      </c>
      <c r="X201" s="332">
        <f>W201-V201</f>
        <v>-2.0721927285194397E-8</v>
      </c>
      <c r="Y201" s="332"/>
      <c r="Z201" s="332"/>
      <c r="AA201" s="77">
        <f>1.1*AP201</f>
        <v>14.157</v>
      </c>
      <c r="AB201" s="50"/>
      <c r="AC201" s="50"/>
      <c r="AD201" s="118">
        <f>AD197+AK201</f>
        <v>81.848563109262145</v>
      </c>
      <c r="AE201" s="118"/>
      <c r="AF201" s="118"/>
      <c r="AG201" s="118"/>
      <c r="AH201" s="31" t="str">
        <f>MID(AL201,7,9)</f>
        <v>TRK_204_1</v>
      </c>
      <c r="AI201" s="34" t="s">
        <v>712</v>
      </c>
      <c r="AJ201" s="40">
        <f>X201*8/1000000</f>
        <v>-1.6577541828155517E-13</v>
      </c>
      <c r="AK201" s="40">
        <f>V201*8/1000000</f>
        <v>14.157000000000165</v>
      </c>
      <c r="AL201" s="97" t="s">
        <v>713</v>
      </c>
      <c r="AM201" s="97" t="s">
        <v>714</v>
      </c>
      <c r="AN201" s="133">
        <v>49.55</v>
      </c>
      <c r="AO201" s="133">
        <v>25.2</v>
      </c>
      <c r="AP201" s="133">
        <v>12.87</v>
      </c>
      <c r="AQ201">
        <f>AP201+AN201</f>
        <v>62.419999999999995</v>
      </c>
      <c r="AR201">
        <f>AR200+AQ201</f>
        <v>89.49</v>
      </c>
    </row>
    <row r="202" spans="1:44" ht="15.4" customHeight="1">
      <c r="A202" t="s">
        <v>603</v>
      </c>
      <c r="C202" s="3"/>
      <c r="D202" s="3"/>
      <c r="E202" s="3"/>
      <c r="F202" s="3"/>
      <c r="G202" s="3"/>
      <c r="H202" s="3"/>
      <c r="I202" s="3"/>
      <c r="J202" s="3" t="s">
        <v>228</v>
      </c>
      <c r="K202" s="3" t="s">
        <v>825</v>
      </c>
      <c r="L202" s="47" t="s">
        <v>669</v>
      </c>
      <c r="M202" s="47" t="s">
        <v>715</v>
      </c>
      <c r="O202" s="84" t="str">
        <f>AI202</f>
        <v>206/11:24</v>
      </c>
      <c r="P202" s="32" t="str">
        <f>MID(AL202,11,5)</f>
        <v>206_1</v>
      </c>
      <c r="Q202" s="58">
        <f>R191-3</f>
        <v>601328548.60343111</v>
      </c>
      <c r="R202" s="21">
        <f>((W202)/$X$9)+Q202</f>
        <v>601729597.64680207</v>
      </c>
      <c r="S202" s="21">
        <f>R202-Q202</f>
        <v>401049.04337096214</v>
      </c>
      <c r="T202" s="21">
        <f>S202*$X$9</f>
        <v>1482250.0000000775</v>
      </c>
      <c r="U202" s="3">
        <v>0</v>
      </c>
      <c r="V202" s="20">
        <f>T202+U202*$V$38</f>
        <v>1482250.0000000775</v>
      </c>
      <c r="W202" s="20">
        <f>AA202*1000000/8</f>
        <v>1482250</v>
      </c>
      <c r="X202" s="332">
        <f>W202-V202</f>
        <v>-7.7532604336738586E-8</v>
      </c>
      <c r="Y202" s="332"/>
      <c r="Z202" s="332"/>
      <c r="AA202" s="77">
        <f>1.1*AP202</f>
        <v>11.858000000000001</v>
      </c>
      <c r="AB202" s="50"/>
      <c r="AC202" s="129">
        <f>AC191+AK202</f>
        <v>161.36143689077068</v>
      </c>
      <c r="AD202" s="118"/>
      <c r="AE202" s="118"/>
      <c r="AF202" s="118"/>
      <c r="AG202" s="118"/>
      <c r="AH202" s="31" t="str">
        <f>MID(AL202,7,9)</f>
        <v>TRK_206_1</v>
      </c>
      <c r="AI202" s="34" t="s">
        <v>716</v>
      </c>
      <c r="AJ202" s="40">
        <f>X202*8/1000000</f>
        <v>-6.2026083469390872E-13</v>
      </c>
      <c r="AK202" s="40">
        <f>V202*8/1000000</f>
        <v>11.85800000000062</v>
      </c>
      <c r="AL202" s="97" t="s">
        <v>717</v>
      </c>
      <c r="AM202" s="97" t="s">
        <v>718</v>
      </c>
      <c r="AN202" s="97">
        <v>10.78</v>
      </c>
      <c r="AO202" s="97">
        <v>10.78</v>
      </c>
      <c r="AP202" s="97">
        <v>10.78</v>
      </c>
    </row>
    <row r="203" spans="1:44" ht="15.4" customHeight="1">
      <c r="A203" t="s">
        <v>603</v>
      </c>
      <c r="C203" s="3"/>
      <c r="D203" s="3"/>
      <c r="E203" s="3"/>
      <c r="F203" s="3"/>
      <c r="G203" s="3"/>
      <c r="H203" s="3"/>
      <c r="I203" s="3"/>
      <c r="J203" s="3" t="s">
        <v>228</v>
      </c>
      <c r="K203" s="3" t="s">
        <v>825</v>
      </c>
      <c r="L203" s="47" t="s">
        <v>715</v>
      </c>
      <c r="M203" s="47" t="s">
        <v>719</v>
      </c>
      <c r="O203" s="84" t="str">
        <f>AI203</f>
        <v>207/15:24</v>
      </c>
      <c r="P203" s="32" t="str">
        <f>MID(AL203,11,5)</f>
        <v>207_1</v>
      </c>
      <c r="Q203" s="58">
        <f>R202-3</f>
        <v>601729594.64680207</v>
      </c>
      <c r="R203" s="21">
        <f>((W203)/$X$9)+Q203</f>
        <v>601814789.66621947</v>
      </c>
      <c r="S203" s="21">
        <f>R203-Q203</f>
        <v>85195.019417405128</v>
      </c>
      <c r="T203" s="21">
        <f>S203*$X$9</f>
        <v>314875.00000005896</v>
      </c>
      <c r="U203" s="3">
        <v>0</v>
      </c>
      <c r="V203" s="20">
        <f>T203+U203*$V$38</f>
        <v>314875.00000005896</v>
      </c>
      <c r="W203" s="20">
        <f>AA203*1000000/8</f>
        <v>314875</v>
      </c>
      <c r="X203" s="332">
        <f>W203-V203</f>
        <v>-5.8964360505342484E-8</v>
      </c>
      <c r="Y203" s="332"/>
      <c r="Z203" s="332"/>
      <c r="AA203" s="77">
        <f>1.1*AP203</f>
        <v>2.5190000000000001</v>
      </c>
      <c r="AB203" s="50"/>
      <c r="AC203" s="129">
        <f>AC202+AK203</f>
        <v>163.88043689077114</v>
      </c>
      <c r="AD203" s="118"/>
      <c r="AE203" s="118"/>
      <c r="AF203" s="118"/>
      <c r="AG203" s="118"/>
      <c r="AH203" s="31" t="str">
        <f>MID(AL203,7,9)</f>
        <v>TRK_207_1</v>
      </c>
      <c r="AI203" s="34" t="s">
        <v>720</v>
      </c>
      <c r="AJ203" s="40">
        <f>X203*8/1000000</f>
        <v>-4.7171488404273987E-13</v>
      </c>
      <c r="AK203" s="40">
        <f>V203*8/1000000</f>
        <v>2.5190000000004718</v>
      </c>
      <c r="AL203" s="97" t="s">
        <v>721</v>
      </c>
      <c r="AM203" s="97" t="s">
        <v>722</v>
      </c>
      <c r="AN203" s="97">
        <v>2.29</v>
      </c>
      <c r="AO203" s="97">
        <v>2.29</v>
      </c>
      <c r="AP203" s="97">
        <v>2.29</v>
      </c>
    </row>
    <row r="204" spans="1:44" ht="15">
      <c r="C204" s="3"/>
      <c r="D204" s="3"/>
      <c r="E204" s="3"/>
      <c r="F204" s="3"/>
      <c r="G204" s="3"/>
      <c r="H204" s="3"/>
      <c r="I204" s="3"/>
      <c r="J204" s="3"/>
      <c r="AB204">
        <f>36+42+56+105+AD201</f>
        <v>320.84856310926216</v>
      </c>
      <c r="AC204">
        <f>37+82</f>
        <v>119</v>
      </c>
    </row>
    <row r="205" spans="1:44" ht="15">
      <c r="C205" s="3"/>
      <c r="D205" s="3"/>
      <c r="E205" s="3"/>
      <c r="F205" s="3"/>
      <c r="G205" s="3"/>
      <c r="H205" s="3"/>
      <c r="I205" s="3"/>
      <c r="J205" s="3"/>
      <c r="P205" s="15" t="s">
        <v>723</v>
      </c>
      <c r="Q205" s="15" t="s">
        <v>724</v>
      </c>
      <c r="R205" s="15">
        <v>615780416</v>
      </c>
      <c r="S205" s="15">
        <v>7</v>
      </c>
      <c r="T205" s="15" t="s">
        <v>27</v>
      </c>
      <c r="U205" s="15" t="s">
        <v>725</v>
      </c>
      <c r="V205" s="15" t="s">
        <v>151</v>
      </c>
      <c r="W205" s="15" t="s">
        <v>152</v>
      </c>
      <c r="Z205" s="15" t="s">
        <v>726</v>
      </c>
    </row>
    <row r="206" spans="1:44" ht="15">
      <c r="C206" s="3"/>
      <c r="D206" s="3"/>
      <c r="E206" s="3"/>
      <c r="F206" s="3"/>
      <c r="G206" s="3"/>
      <c r="H206" s="3"/>
      <c r="I206" s="3"/>
      <c r="J206" s="3"/>
      <c r="P206" s="15" t="s">
        <v>727</v>
      </c>
      <c r="Q206" s="15" t="s">
        <v>728</v>
      </c>
      <c r="R206" s="15">
        <v>615782106</v>
      </c>
      <c r="S206" s="15">
        <v>0</v>
      </c>
      <c r="T206" s="15" t="s">
        <v>409</v>
      </c>
      <c r="U206" s="15" t="s">
        <v>725</v>
      </c>
      <c r="V206" s="15" t="s">
        <v>729</v>
      </c>
      <c r="W206" s="15"/>
      <c r="Z206" s="15" t="s">
        <v>726</v>
      </c>
      <c r="AB206">
        <f>380*0.12</f>
        <v>45.6</v>
      </c>
    </row>
    <row r="207" spans="1:44" ht="15">
      <c r="C207" s="3"/>
      <c r="D207" s="3"/>
      <c r="E207" s="3"/>
      <c r="F207" s="3"/>
      <c r="G207" s="3"/>
      <c r="H207" s="3"/>
      <c r="I207" s="3"/>
      <c r="J207" s="3"/>
      <c r="P207" s="15" t="s">
        <v>730</v>
      </c>
      <c r="Q207" s="15" t="s">
        <v>731</v>
      </c>
      <c r="R207" s="15">
        <v>615782109</v>
      </c>
      <c r="S207" s="15">
        <v>0</v>
      </c>
      <c r="T207" s="15" t="s">
        <v>409</v>
      </c>
      <c r="U207" s="15" t="s">
        <v>725</v>
      </c>
      <c r="V207" s="15" t="s">
        <v>732</v>
      </c>
      <c r="W207" s="15"/>
      <c r="Z207" s="15" t="s">
        <v>726</v>
      </c>
    </row>
    <row r="208" spans="1:44" ht="15">
      <c r="C208" s="3"/>
      <c r="D208" s="3"/>
      <c r="E208" s="3"/>
      <c r="F208" s="3"/>
      <c r="G208" s="3"/>
      <c r="H208" s="3"/>
      <c r="I208" s="3"/>
      <c r="J208" s="3"/>
      <c r="P208" s="15" t="s">
        <v>733</v>
      </c>
      <c r="Q208" s="15" t="s">
        <v>734</v>
      </c>
      <c r="R208" s="15">
        <v>615782112</v>
      </c>
      <c r="S208" s="15">
        <v>0</v>
      </c>
      <c r="T208" s="15" t="s">
        <v>409</v>
      </c>
      <c r="U208" s="15" t="s">
        <v>735</v>
      </c>
      <c r="V208" s="15" t="s">
        <v>445</v>
      </c>
      <c r="W208" s="15"/>
      <c r="Z208" s="15" t="s">
        <v>726</v>
      </c>
    </row>
    <row r="209" spans="1:46" ht="15">
      <c r="P209" s="15" t="s">
        <v>736</v>
      </c>
      <c r="Q209" s="15" t="s">
        <v>737</v>
      </c>
      <c r="R209" s="15">
        <v>615782115</v>
      </c>
      <c r="S209" s="15">
        <v>0</v>
      </c>
      <c r="T209" s="15" t="s">
        <v>409</v>
      </c>
      <c r="U209" s="15" t="s">
        <v>735</v>
      </c>
      <c r="V209" s="15" t="s">
        <v>449</v>
      </c>
      <c r="W209" s="15"/>
      <c r="Z209" s="15" t="s">
        <v>726</v>
      </c>
    </row>
    <row r="210" spans="1:46" ht="15.75" thickBot="1">
      <c r="AJ210" t="s">
        <v>738</v>
      </c>
      <c r="AK210" t="s">
        <v>739</v>
      </c>
      <c r="AL210" t="s">
        <v>740</v>
      </c>
      <c r="AM210" t="s">
        <v>741</v>
      </c>
      <c r="AN210" t="s">
        <v>742</v>
      </c>
      <c r="AO210" t="s">
        <v>743</v>
      </c>
      <c r="AP210" s="134" t="s">
        <v>744</v>
      </c>
      <c r="AQ210" t="s">
        <v>745</v>
      </c>
    </row>
    <row r="211" spans="1:46" ht="15">
      <c r="P211" s="9">
        <v>25207</v>
      </c>
      <c r="T211" s="3"/>
      <c r="V211" s="18"/>
      <c r="X211" t="s">
        <v>295</v>
      </c>
      <c r="AP211" s="134"/>
    </row>
    <row r="212" spans="1:46" ht="15">
      <c r="P212" s="12" t="s">
        <v>122</v>
      </c>
      <c r="Q212" s="11" t="s">
        <v>5</v>
      </c>
      <c r="R212" s="12" t="s">
        <v>6</v>
      </c>
      <c r="S212" s="12" t="s">
        <v>7</v>
      </c>
      <c r="T212" s="13" t="s">
        <v>8</v>
      </c>
      <c r="U212" s="3" t="s">
        <v>22</v>
      </c>
      <c r="V212" s="13" t="s">
        <v>25</v>
      </c>
      <c r="W212" s="12" t="s">
        <v>26</v>
      </c>
      <c r="X212" s="12" t="s">
        <v>9</v>
      </c>
      <c r="AJ212" t="s">
        <v>746</v>
      </c>
      <c r="AK212" t="s">
        <v>747</v>
      </c>
      <c r="AL212">
        <v>2.7576000000000001</v>
      </c>
      <c r="AM212">
        <v>8</v>
      </c>
      <c r="AN212">
        <v>1.7008620000000001</v>
      </c>
      <c r="AO212">
        <v>0</v>
      </c>
      <c r="AP212" s="134"/>
      <c r="AQ212">
        <v>0</v>
      </c>
    </row>
    <row r="213" spans="1:46" ht="15">
      <c r="C213" s="112" t="s">
        <v>226</v>
      </c>
      <c r="D213" s="112" t="s">
        <v>227</v>
      </c>
      <c r="E213" s="112" t="s">
        <v>51</v>
      </c>
      <c r="F213" s="112" t="s">
        <v>49</v>
      </c>
      <c r="G213" s="112" t="s">
        <v>50</v>
      </c>
      <c r="H213" s="112" t="s">
        <v>53</v>
      </c>
      <c r="I213" s="112" t="s">
        <v>54</v>
      </c>
      <c r="J213" s="112" t="s">
        <v>228</v>
      </c>
      <c r="K213" s="112" t="s">
        <v>825</v>
      </c>
      <c r="P213" s="45" t="s">
        <v>748</v>
      </c>
      <c r="Q213" s="45" t="s">
        <v>749</v>
      </c>
      <c r="R213" s="45">
        <v>615306116</v>
      </c>
      <c r="S213" s="45">
        <v>8</v>
      </c>
      <c r="T213" s="45" t="s">
        <v>27</v>
      </c>
      <c r="U213" s="45" t="s">
        <v>750</v>
      </c>
      <c r="V213" s="45" t="s">
        <v>101</v>
      </c>
      <c r="W213" s="45" t="s">
        <v>102</v>
      </c>
      <c r="X213" s="45" t="s">
        <v>751</v>
      </c>
      <c r="AJ213" t="s">
        <v>752</v>
      </c>
      <c r="AK213" t="s">
        <v>753</v>
      </c>
      <c r="AL213">
        <v>1.3248500000000001</v>
      </c>
      <c r="AM213">
        <v>2</v>
      </c>
      <c r="AN213">
        <v>0.84326100000000004</v>
      </c>
      <c r="AO213">
        <v>0</v>
      </c>
      <c r="AP213" s="134"/>
      <c r="AQ213">
        <v>0</v>
      </c>
    </row>
    <row r="214" spans="1:46" ht="15">
      <c r="P214" s="45" t="s">
        <v>754</v>
      </c>
      <c r="Q214" s="45" t="s">
        <v>755</v>
      </c>
      <c r="R214" s="45">
        <v>615312896</v>
      </c>
      <c r="S214" s="45">
        <v>0</v>
      </c>
      <c r="T214" s="45" t="s">
        <v>111</v>
      </c>
      <c r="U214" s="45" t="s">
        <v>750</v>
      </c>
      <c r="V214" s="45" t="s">
        <v>756</v>
      </c>
      <c r="W214" s="45"/>
      <c r="X214" s="45" t="s">
        <v>757</v>
      </c>
      <c r="AP214" s="134"/>
    </row>
    <row r="215" spans="1:46" ht="15">
      <c r="P215" s="45" t="s">
        <v>758</v>
      </c>
      <c r="Q215" s="45" t="s">
        <v>759</v>
      </c>
      <c r="R215" s="45">
        <v>615338560</v>
      </c>
      <c r="S215" s="45">
        <v>0</v>
      </c>
      <c r="T215" s="45" t="s">
        <v>111</v>
      </c>
      <c r="U215" s="45" t="s">
        <v>760</v>
      </c>
      <c r="V215" s="45" t="s">
        <v>113</v>
      </c>
      <c r="W215" s="45"/>
      <c r="X215" s="45" t="s">
        <v>761</v>
      </c>
      <c r="AP215" s="134"/>
    </row>
    <row r="216" spans="1:46" ht="15">
      <c r="P216" s="45" t="s">
        <v>762</v>
      </c>
      <c r="Q216" s="45" t="s">
        <v>763</v>
      </c>
      <c r="R216" s="45">
        <v>615339001</v>
      </c>
      <c r="S216" s="45">
        <v>1</v>
      </c>
      <c r="T216" s="45" t="s">
        <v>27</v>
      </c>
      <c r="U216" s="45" t="s">
        <v>760</v>
      </c>
      <c r="V216" s="45" t="s">
        <v>118</v>
      </c>
      <c r="W216" s="45"/>
      <c r="X216" s="45" t="s">
        <v>761</v>
      </c>
      <c r="AP216" s="134"/>
    </row>
    <row r="217" spans="1:46" ht="15">
      <c r="AP217" s="134"/>
    </row>
    <row r="218" spans="1:46" ht="15.75">
      <c r="A218" t="s">
        <v>603</v>
      </c>
      <c r="C218" s="3"/>
      <c r="D218" s="3"/>
      <c r="E218" s="3"/>
      <c r="F218" s="3"/>
      <c r="G218" s="3"/>
      <c r="H218" s="3"/>
      <c r="I218" s="3"/>
      <c r="J218" s="3" t="s">
        <v>228</v>
      </c>
      <c r="K218" s="3" t="s">
        <v>825</v>
      </c>
      <c r="L218" s="47" t="s">
        <v>719</v>
      </c>
      <c r="M218" s="47" t="s">
        <v>764</v>
      </c>
      <c r="O218" s="84" t="str">
        <f>AI218</f>
        <v>209/22:54</v>
      </c>
      <c r="P218" s="32" t="str">
        <f>MID(AL218,5,5)</f>
        <v>209_2</v>
      </c>
      <c r="Q218" s="58">
        <f>R203-3</f>
        <v>601814786.66621947</v>
      </c>
      <c r="R218" s="21">
        <f>((W218)/$X$9)+Q218</f>
        <v>601824016.27321386</v>
      </c>
      <c r="S218" s="21">
        <f t="shared" ref="S218:S225" si="98">R218-Q218</f>
        <v>9229.6069943904877</v>
      </c>
      <c r="T218" s="21">
        <f>S218*$X$9</f>
        <v>34111.999999914609</v>
      </c>
      <c r="U218" s="3">
        <v>0</v>
      </c>
      <c r="V218" s="20">
        <f t="shared" ref="V218:V225" si="99">T218+U218*$V$38</f>
        <v>34111.999999914609</v>
      </c>
      <c r="W218" s="20">
        <f>AA218*1000000/8</f>
        <v>34112</v>
      </c>
      <c r="X218" s="332">
        <f t="shared" ref="X218:X225" si="100">W218-V218</f>
        <v>8.5390638560056686E-8</v>
      </c>
      <c r="Y218" s="332"/>
      <c r="Z218" s="332"/>
      <c r="AA218" s="77">
        <f>AR218</f>
        <v>0.27289600000000003</v>
      </c>
      <c r="AB218" s="50"/>
      <c r="AC218" s="129">
        <f>AA213+AK218</f>
        <v>0.27289599999931685</v>
      </c>
      <c r="AH218" s="31" t="str">
        <f>AL218</f>
        <v>TRK_209_2</v>
      </c>
      <c r="AI218" s="34" t="s">
        <v>765</v>
      </c>
      <c r="AJ218" s="40">
        <f t="shared" ref="AJ218:AJ225" si="101">X218*8/1000000</f>
        <v>6.8312510848045349E-13</v>
      </c>
      <c r="AK218" s="40">
        <f t="shared" ref="AK218:AK225" si="102">V218*8/1000000</f>
        <v>0.27289599999931685</v>
      </c>
      <c r="AL218" t="s">
        <v>766</v>
      </c>
      <c r="AM218" t="s">
        <v>767</v>
      </c>
      <c r="AN218">
        <v>0.67269000000000001</v>
      </c>
      <c r="AO218">
        <v>9</v>
      </c>
      <c r="AP218">
        <v>0.70681099999999997</v>
      </c>
      <c r="AQ218">
        <v>3.4112000000000003E-2</v>
      </c>
      <c r="AR218" s="134">
        <f>AQ218*8</f>
        <v>0.27289600000000003</v>
      </c>
      <c r="AS218">
        <v>0.30018699999999998</v>
      </c>
      <c r="AT218">
        <f>AS218</f>
        <v>0.30018699999999998</v>
      </c>
    </row>
    <row r="219" spans="1:46" ht="15.75">
      <c r="A219" t="s">
        <v>768</v>
      </c>
      <c r="C219" s="3"/>
      <c r="D219" s="3"/>
      <c r="E219" s="3"/>
      <c r="F219" s="3"/>
      <c r="G219" s="3"/>
      <c r="H219" s="3"/>
      <c r="I219" s="3"/>
      <c r="J219" s="3" t="s">
        <v>228</v>
      </c>
      <c r="K219" s="3" t="s">
        <v>825</v>
      </c>
      <c r="L219" s="47" t="s">
        <v>769</v>
      </c>
      <c r="M219" s="47" t="s">
        <v>770</v>
      </c>
      <c r="N219" t="s">
        <v>829</v>
      </c>
      <c r="O219" s="84" t="str">
        <f>AI219</f>
        <v>210/20:49</v>
      </c>
      <c r="P219" s="32" t="str">
        <f>MID(AL219,5,5)</f>
        <v>210_2</v>
      </c>
      <c r="Q219" s="58">
        <f>R213-20</f>
        <v>615306096</v>
      </c>
      <c r="R219" s="21">
        <f>R216+20</f>
        <v>615339021</v>
      </c>
      <c r="S219" s="21">
        <f t="shared" si="98"/>
        <v>32925</v>
      </c>
      <c r="T219" s="21">
        <f>W219</f>
        <v>845631</v>
      </c>
      <c r="U219" s="3">
        <v>0</v>
      </c>
      <c r="V219" s="20">
        <f t="shared" si="99"/>
        <v>845631</v>
      </c>
      <c r="W219" s="20">
        <f>AA219*1000000/8</f>
        <v>845631</v>
      </c>
      <c r="X219" s="332">
        <f t="shared" si="100"/>
        <v>0</v>
      </c>
      <c r="Y219" s="332"/>
      <c r="Z219" s="332"/>
      <c r="AA219" s="77">
        <f>AR219</f>
        <v>6.7650480000000002</v>
      </c>
      <c r="AB219" s="50"/>
      <c r="AC219" s="129">
        <f>AC218+AK219</f>
        <v>7.0379439999993174</v>
      </c>
      <c r="AH219" s="31" t="str">
        <f>AL219</f>
        <v>TRK_210_2</v>
      </c>
      <c r="AI219" s="34" t="s">
        <v>771</v>
      </c>
      <c r="AJ219" s="40">
        <f t="shared" si="101"/>
        <v>0</v>
      </c>
      <c r="AK219" s="40">
        <f t="shared" si="102"/>
        <v>6.7650480000000002</v>
      </c>
      <c r="AL219" t="s">
        <v>772</v>
      </c>
      <c r="AM219" t="s">
        <v>773</v>
      </c>
      <c r="AN219">
        <v>0.55793000000000004</v>
      </c>
      <c r="AO219">
        <v>7</v>
      </c>
      <c r="AP219">
        <v>1.4035679999999999</v>
      </c>
      <c r="AQ219">
        <v>0.84563100000000002</v>
      </c>
      <c r="AR219" s="134">
        <f>AQ219*8</f>
        <v>6.7650480000000002</v>
      </c>
      <c r="AS219">
        <v>7.4415480000000001</v>
      </c>
      <c r="AT219">
        <f>AS219+AS218</f>
        <v>7.7417350000000003</v>
      </c>
    </row>
    <row r="220" spans="1:46" ht="15.75">
      <c r="A220" t="s">
        <v>603</v>
      </c>
      <c r="C220" s="3"/>
      <c r="D220" s="3"/>
      <c r="E220" s="3"/>
      <c r="F220" s="3"/>
      <c r="G220" s="3"/>
      <c r="H220" s="3"/>
      <c r="I220" s="3"/>
      <c r="J220" s="3" t="s">
        <v>228</v>
      </c>
      <c r="K220" s="3" t="s">
        <v>825</v>
      </c>
      <c r="L220" s="47" t="s">
        <v>764</v>
      </c>
      <c r="M220" s="47" t="s">
        <v>774</v>
      </c>
      <c r="O220" s="84" t="str">
        <f>AI220</f>
        <v>211/13:39</v>
      </c>
      <c r="P220" s="32" t="str">
        <f>MID(AL220,5,5)</f>
        <v>211_1</v>
      </c>
      <c r="Q220" s="58">
        <f>R218-3</f>
        <v>601824013.27321386</v>
      </c>
      <c r="R220" s="21">
        <f>((W220)/$X$9)+Q220</f>
        <v>602046790.36870468</v>
      </c>
      <c r="S220" s="21">
        <f t="shared" si="98"/>
        <v>222777.09549081326</v>
      </c>
      <c r="T220" s="21">
        <f>S220*$X$9</f>
        <v>823368.99999992386</v>
      </c>
      <c r="U220" s="3">
        <v>0</v>
      </c>
      <c r="V220" s="20">
        <f t="shared" si="99"/>
        <v>823368.99999992386</v>
      </c>
      <c r="W220" s="20">
        <f>AA220*1000000/8</f>
        <v>823369</v>
      </c>
      <c r="X220" s="332">
        <f t="shared" si="100"/>
        <v>7.6135620474815369E-8</v>
      </c>
      <c r="Y220" s="332"/>
      <c r="Z220" s="332"/>
      <c r="AA220" s="77">
        <f>AR220</f>
        <v>6.5869520000000001</v>
      </c>
      <c r="AB220" s="50"/>
      <c r="AC220" s="129">
        <f>AC219+AK220</f>
        <v>13.624895999998708</v>
      </c>
      <c r="AH220" s="31" t="str">
        <f>AL220</f>
        <v>TRK_211_1</v>
      </c>
      <c r="AI220" s="34" t="s">
        <v>775</v>
      </c>
      <c r="AJ220" s="40">
        <f t="shared" si="101"/>
        <v>6.0908496379852291E-13</v>
      </c>
      <c r="AK220" s="40">
        <f t="shared" si="102"/>
        <v>6.5869519999993908</v>
      </c>
      <c r="AL220" t="s">
        <v>39</v>
      </c>
      <c r="AM220" t="s">
        <v>776</v>
      </c>
      <c r="AN220">
        <v>0.24687999999999999</v>
      </c>
      <c r="AO220">
        <v>0</v>
      </c>
      <c r="AP220">
        <v>1.070249</v>
      </c>
      <c r="AQ220">
        <v>0.82336900000000002</v>
      </c>
      <c r="AR220" s="134">
        <f>AQ220*8</f>
        <v>6.5869520000000001</v>
      </c>
      <c r="AS220">
        <v>7.2456469999999999</v>
      </c>
      <c r="AT220">
        <f>AS220+AS219</f>
        <v>14.687194999999999</v>
      </c>
    </row>
    <row r="221" spans="1:46" ht="15.75">
      <c r="A221" t="s">
        <v>603</v>
      </c>
      <c r="C221" s="3"/>
      <c r="D221" s="3"/>
      <c r="E221" s="3"/>
      <c r="F221" s="3"/>
      <c r="G221" s="3"/>
      <c r="H221" s="3"/>
      <c r="I221" s="3"/>
      <c r="J221" s="3" t="s">
        <v>228</v>
      </c>
      <c r="K221" s="3" t="s">
        <v>825</v>
      </c>
      <c r="L221" s="47" t="s">
        <v>774</v>
      </c>
      <c r="M221" s="47" t="s">
        <v>777</v>
      </c>
      <c r="O221" s="84" t="str">
        <f>AI221</f>
        <v>212/08:19</v>
      </c>
      <c r="P221" s="32" t="str">
        <f>MID(AL221,5,5)</f>
        <v>212_1</v>
      </c>
      <c r="Q221" s="58">
        <f>R220-3</f>
        <v>602046787.36870468</v>
      </c>
      <c r="R221" s="21">
        <f>((W221)/$X$9)+Q221</f>
        <v>602076916.71076822</v>
      </c>
      <c r="S221" s="21">
        <f t="shared" si="98"/>
        <v>30129.342063546181</v>
      </c>
      <c r="T221" s="21">
        <f>S221*$X$9</f>
        <v>111356.0000001915</v>
      </c>
      <c r="U221" s="3">
        <v>0</v>
      </c>
      <c r="V221" s="20">
        <f t="shared" si="99"/>
        <v>111356.0000001915</v>
      </c>
      <c r="W221" s="20">
        <f>AA221*1000000/8</f>
        <v>111356</v>
      </c>
      <c r="X221" s="332">
        <f t="shared" si="100"/>
        <v>-1.9150320440530777E-7</v>
      </c>
      <c r="Y221" s="332"/>
      <c r="Z221" s="332"/>
      <c r="AA221" s="77">
        <f>AR221</f>
        <v>0.89084799999999997</v>
      </c>
      <c r="AB221" s="50"/>
      <c r="AC221" s="129">
        <f>AC220+AK221</f>
        <v>14.51574400000024</v>
      </c>
      <c r="AH221" s="31" t="str">
        <f>AL221</f>
        <v>TRK_212_1</v>
      </c>
      <c r="AI221" s="34" t="s">
        <v>778</v>
      </c>
      <c r="AJ221" s="40">
        <f t="shared" si="101"/>
        <v>-1.5320256352424621E-12</v>
      </c>
      <c r="AK221" s="40">
        <f t="shared" si="102"/>
        <v>0.89084800000153208</v>
      </c>
      <c r="AL221" t="s">
        <v>779</v>
      </c>
      <c r="AM221" t="s">
        <v>780</v>
      </c>
      <c r="AN221">
        <v>0.26268999999999998</v>
      </c>
      <c r="AO221">
        <v>7</v>
      </c>
      <c r="AP221">
        <v>0.37405300000000002</v>
      </c>
      <c r="AQ221">
        <v>0.111356</v>
      </c>
      <c r="AR221" s="134">
        <f>AQ221*8</f>
        <v>0.89084799999999997</v>
      </c>
      <c r="AS221">
        <v>0.97992999999999997</v>
      </c>
      <c r="AT221">
        <f>AS221+AS220</f>
        <v>8.2255769999999995</v>
      </c>
    </row>
    <row r="222" spans="1:46" ht="15.75">
      <c r="A222" t="s">
        <v>683</v>
      </c>
      <c r="C222" s="3">
        <v>103</v>
      </c>
      <c r="D222" s="3">
        <v>105</v>
      </c>
      <c r="E222" s="3" t="s">
        <v>51</v>
      </c>
      <c r="F222" s="3" t="s">
        <v>49</v>
      </c>
      <c r="G222" s="3"/>
      <c r="H222" s="3" t="s">
        <v>53</v>
      </c>
      <c r="I222" s="3" t="s">
        <v>54</v>
      </c>
      <c r="J222" s="3"/>
      <c r="L222" s="78" t="s">
        <v>692</v>
      </c>
      <c r="M222" s="78" t="s">
        <v>781</v>
      </c>
      <c r="N222" t="s">
        <v>18</v>
      </c>
      <c r="O222" s="84" t="str">
        <f>AI222</f>
        <v>212/20:54</v>
      </c>
      <c r="P222" s="32" t="str">
        <f>MID(AL222,5,5)</f>
        <v>212_2</v>
      </c>
      <c r="Q222" s="58">
        <f>R196-1</f>
        <v>615335512</v>
      </c>
      <c r="R222" s="128">
        <f>R199+20</f>
        <v>615338942</v>
      </c>
      <c r="S222" s="21">
        <f t="shared" si="98"/>
        <v>3430</v>
      </c>
      <c r="T222" s="21">
        <f>S222*$V$17</f>
        <v>7288.3331597222032</v>
      </c>
      <c r="U222" s="3">
        <v>0</v>
      </c>
      <c r="V222" s="27">
        <f t="shared" si="99"/>
        <v>7288.3331597222032</v>
      </c>
      <c r="W222" s="20">
        <f>AA222*1000000/8</f>
        <v>1095433</v>
      </c>
      <c r="X222" s="332">
        <f t="shared" si="100"/>
        <v>1088144.6668402778</v>
      </c>
      <c r="Y222" s="331">
        <f>S222*$V$29+U222*$V$38</f>
        <v>6410.8843750000005</v>
      </c>
      <c r="Z222" s="330">
        <f>Y222/V222</f>
        <v>0.87960912797300739</v>
      </c>
      <c r="AA222" s="77">
        <f>AR222</f>
        <v>8.7634640000000008</v>
      </c>
      <c r="AB222" s="50"/>
      <c r="AC222" s="50"/>
      <c r="AD222" s="118">
        <f>AK222</f>
        <v>5.8306665277777628E-2</v>
      </c>
      <c r="AE222" s="118"/>
      <c r="AF222" s="118"/>
      <c r="AG222" s="118"/>
      <c r="AH222" s="31" t="str">
        <f>AL222</f>
        <v>TRK_212_2</v>
      </c>
      <c r="AI222" s="34" t="s">
        <v>782</v>
      </c>
      <c r="AJ222" s="40">
        <f t="shared" si="101"/>
        <v>8.7051573347222231</v>
      </c>
      <c r="AK222" s="40">
        <f t="shared" si="102"/>
        <v>5.8306665277777628E-2</v>
      </c>
      <c r="AL222" t="s">
        <v>783</v>
      </c>
      <c r="AM222" t="s">
        <v>784</v>
      </c>
      <c r="AN222">
        <v>0.22791</v>
      </c>
      <c r="AO222">
        <v>1</v>
      </c>
      <c r="AP222">
        <v>1.3233440000000001</v>
      </c>
      <c r="AQ222">
        <v>1.0954330000000001</v>
      </c>
      <c r="AR222" s="134">
        <f>AQ222*8</f>
        <v>8.7634640000000008</v>
      </c>
      <c r="AS222">
        <v>9.6398080000000004</v>
      </c>
      <c r="AT222">
        <f>AS222+AS221</f>
        <v>10.619738</v>
      </c>
    </row>
    <row r="223" spans="1:46" ht="15.75">
      <c r="A223" t="s">
        <v>785</v>
      </c>
      <c r="C223" s="3"/>
      <c r="D223" s="3"/>
      <c r="E223" s="3" t="s">
        <v>51</v>
      </c>
      <c r="F223" s="3" t="s">
        <v>49</v>
      </c>
      <c r="G223" s="3" t="s">
        <v>50</v>
      </c>
      <c r="H223" s="3"/>
      <c r="I223" s="3"/>
      <c r="J223" s="3"/>
      <c r="K223" s="269"/>
      <c r="L223" s="78" t="s">
        <v>787</v>
      </c>
      <c r="M223" s="78" t="s">
        <v>788</v>
      </c>
      <c r="O223" s="84" t="s">
        <v>1266</v>
      </c>
      <c r="P223" s="32"/>
      <c r="Q223" s="124">
        <f>R205-20</f>
        <v>615780396</v>
      </c>
      <c r="R223" s="128">
        <f>R228</f>
        <v>615857156</v>
      </c>
      <c r="S223" s="21">
        <f t="shared" si="98"/>
        <v>76760</v>
      </c>
      <c r="T223" s="21">
        <f>S223*$V$15</f>
        <v>132922.73333333287</v>
      </c>
      <c r="U223" s="3">
        <v>1</v>
      </c>
      <c r="V223" s="27">
        <f t="shared" si="99"/>
        <v>330297.73333333287</v>
      </c>
      <c r="W223" s="27">
        <f>X222</f>
        <v>1088144.6668402778</v>
      </c>
      <c r="X223" s="332">
        <f t="shared" si="100"/>
        <v>757846.93350694492</v>
      </c>
      <c r="Y223" s="331">
        <f>S223*$V$29+U223*$V$38</f>
        <v>340844.23750000005</v>
      </c>
      <c r="Z223" s="330">
        <f>Y223/V223</f>
        <v>1.0319302953133613</v>
      </c>
      <c r="AA223" s="77"/>
      <c r="AB223" s="50"/>
      <c r="AC223" s="50"/>
      <c r="AD223" s="118">
        <f>AK223+AD222</f>
        <v>2.7006885319444409</v>
      </c>
      <c r="AE223" s="118"/>
      <c r="AF223" s="118"/>
      <c r="AG223" s="118"/>
      <c r="AH223" s="31"/>
      <c r="AI223" s="34"/>
      <c r="AJ223" s="40">
        <f t="shared" si="101"/>
        <v>6.062775468055559</v>
      </c>
      <c r="AK223" s="40">
        <f t="shared" si="102"/>
        <v>2.6423818666666632</v>
      </c>
    </row>
    <row r="224" spans="1:46" ht="15.75">
      <c r="A224" t="s">
        <v>789</v>
      </c>
      <c r="C224" s="3">
        <v>104</v>
      </c>
      <c r="D224" s="3">
        <v>105</v>
      </c>
      <c r="E224" s="3" t="s">
        <v>51</v>
      </c>
      <c r="F224" s="3" t="s">
        <v>49</v>
      </c>
      <c r="G224" s="3"/>
      <c r="H224" s="3" t="s">
        <v>53</v>
      </c>
      <c r="I224" s="3" t="s">
        <v>54</v>
      </c>
      <c r="J224" s="3"/>
      <c r="L224" s="78" t="s">
        <v>788</v>
      </c>
      <c r="M224" s="78" t="s">
        <v>790</v>
      </c>
      <c r="O224" s="84" t="s">
        <v>1266</v>
      </c>
      <c r="P224" s="32" t="str">
        <f>MID(AL224,5,5)</f>
        <v/>
      </c>
      <c r="Q224" s="58">
        <f>R223-1</f>
        <v>615857155</v>
      </c>
      <c r="R224" s="21">
        <f>((W224-U224*$V$38)/$V$21)+Q224</f>
        <v>616280773.53132844</v>
      </c>
      <c r="S224" s="21">
        <f t="shared" si="98"/>
        <v>423618.53132843971</v>
      </c>
      <c r="T224" s="21">
        <f>S224*$V$21</f>
        <v>757846.93350702629</v>
      </c>
      <c r="U224" s="3">
        <v>0</v>
      </c>
      <c r="V224" s="27">
        <f t="shared" si="99"/>
        <v>757846.93350702629</v>
      </c>
      <c r="W224" s="135">
        <f>X223</f>
        <v>757846.93350694492</v>
      </c>
      <c r="X224" s="332">
        <f t="shared" si="100"/>
        <v>-8.1374309957027435E-8</v>
      </c>
      <c r="Y224" s="331">
        <f>S224*$V$29+U224*$V$38</f>
        <v>791769.51121106185</v>
      </c>
      <c r="Z224" s="330">
        <f>Y224/V224</f>
        <v>1.044761779990393</v>
      </c>
      <c r="AA224" s="77"/>
      <c r="AB224" s="50"/>
      <c r="AC224" s="50"/>
      <c r="AD224" s="118">
        <f>AK224+AD223</f>
        <v>8.763464000000651</v>
      </c>
      <c r="AE224" s="118"/>
      <c r="AF224" s="118"/>
      <c r="AG224" s="118"/>
      <c r="AJ224" s="40">
        <f t="shared" si="101"/>
        <v>-6.5099447965621945E-13</v>
      </c>
      <c r="AK224" s="40">
        <f t="shared" si="102"/>
        <v>6.06277546805621</v>
      </c>
    </row>
    <row r="225" spans="1:46" ht="15.75">
      <c r="J225" s="3" t="s">
        <v>228</v>
      </c>
      <c r="K225" s="3" t="s">
        <v>825</v>
      </c>
      <c r="L225" s="47" t="str">
        <f>M221</f>
        <v>048/05:43</v>
      </c>
      <c r="M225" s="47" t="s">
        <v>792</v>
      </c>
      <c r="O225" s="84" t="str">
        <f>AI225</f>
        <v>213/11:49</v>
      </c>
      <c r="P225" s="32" t="str">
        <f>MID(AL225,5,5)</f>
        <v>213_1</v>
      </c>
      <c r="Q225" s="58">
        <f>R221-3</f>
        <v>602076913.71076822</v>
      </c>
      <c r="R225" s="21">
        <f>((W225)/$X$9)+Q225</f>
        <v>602366037.53526711</v>
      </c>
      <c r="S225" s="21">
        <f t="shared" si="98"/>
        <v>289123.82449889183</v>
      </c>
      <c r="T225" s="21">
        <f>S225*$X$9</f>
        <v>1068582.0000001879</v>
      </c>
      <c r="U225" s="3">
        <v>0</v>
      </c>
      <c r="V225" s="20">
        <f t="shared" si="99"/>
        <v>1068582.0000001879</v>
      </c>
      <c r="W225" s="20">
        <f>AA225*1000000/8</f>
        <v>1068582</v>
      </c>
      <c r="X225" s="332">
        <f t="shared" si="100"/>
        <v>-1.8789432942867279E-7</v>
      </c>
      <c r="Y225" s="332"/>
      <c r="Z225" s="332"/>
      <c r="AA225" s="77">
        <f>AR225</f>
        <v>8.5486559999999994</v>
      </c>
      <c r="AB225" s="50"/>
      <c r="AC225" s="129">
        <f>AA225+AC221</f>
        <v>23.064400000000241</v>
      </c>
      <c r="AD225" s="60">
        <f>AD224+AD223+AD222</f>
        <v>11.52245919722287</v>
      </c>
      <c r="AH225" s="31" t="str">
        <f>AL225</f>
        <v>TRK_213_1</v>
      </c>
      <c r="AI225" s="34" t="s">
        <v>793</v>
      </c>
      <c r="AJ225" s="40">
        <f t="shared" si="101"/>
        <v>-1.5031546354293823E-12</v>
      </c>
      <c r="AK225" s="40">
        <f t="shared" si="102"/>
        <v>8.5486560000015039</v>
      </c>
      <c r="AL225" t="s">
        <v>40</v>
      </c>
      <c r="AM225" t="s">
        <v>794</v>
      </c>
      <c r="AN225">
        <v>0.38590999999999998</v>
      </c>
      <c r="AO225">
        <v>0</v>
      </c>
      <c r="AP225">
        <v>1.4544919999999999</v>
      </c>
      <c r="AQ225">
        <v>1.0685819999999999</v>
      </c>
      <c r="AR225" s="134">
        <f>AQ225*8</f>
        <v>8.5486559999999994</v>
      </c>
      <c r="AS225">
        <v>9.4035250000000001</v>
      </c>
      <c r="AT225">
        <f>AS225+AS222</f>
        <v>19.043333000000001</v>
      </c>
    </row>
    <row r="226" spans="1:46" ht="15">
      <c r="AB226">
        <f>AD225+119</f>
        <v>130.52245919722287</v>
      </c>
      <c r="AC226" s="3" t="s">
        <v>830</v>
      </c>
      <c r="AD226" s="3">
        <v>12</v>
      </c>
      <c r="AE226">
        <f>38-AD226</f>
        <v>26</v>
      </c>
    </row>
    <row r="227" spans="1:46" ht="15">
      <c r="M227">
        <f>(M228-18)*60</f>
        <v>39.87738947405262</v>
      </c>
      <c r="AB227">
        <f>AB226*0.12</f>
        <v>15.662695103666744</v>
      </c>
      <c r="AC227" s="3">
        <v>13</v>
      </c>
      <c r="AD227" s="3">
        <v>13</v>
      </c>
      <c r="AL227" s="136" t="s">
        <v>795</v>
      </c>
      <c r="AM227" s="136" t="s">
        <v>796</v>
      </c>
      <c r="AN227" s="136">
        <v>0.86926000000000003</v>
      </c>
      <c r="AO227" s="136">
        <v>4</v>
      </c>
      <c r="AP227" s="136">
        <v>2.0916389999999998</v>
      </c>
      <c r="AQ227" s="136">
        <v>1.222375</v>
      </c>
      <c r="AR227" s="134">
        <f>AQ227*8</f>
        <v>9.7789999999999999</v>
      </c>
      <c r="AS227" s="136">
        <v>10.756899000000001</v>
      </c>
    </row>
    <row r="228" spans="1:46" ht="15">
      <c r="A228">
        <f>0.00087256</f>
        <v>8.7255999999999998E-4</v>
      </c>
      <c r="M228">
        <f>M229*60</f>
        <v>18.664623157900877</v>
      </c>
      <c r="P228" s="15" t="s">
        <v>799</v>
      </c>
      <c r="Q228" s="15" t="s">
        <v>800</v>
      </c>
      <c r="R228" s="15">
        <v>615857156</v>
      </c>
      <c r="S228" s="15">
        <v>0</v>
      </c>
      <c r="T228" s="15" t="s">
        <v>409</v>
      </c>
      <c r="U228" s="15" t="s">
        <v>801</v>
      </c>
      <c r="V228" s="15" t="s">
        <v>802</v>
      </c>
      <c r="W228" s="15"/>
      <c r="X228" s="15" t="s">
        <v>803</v>
      </c>
      <c r="AC228">
        <f>AC227/2.55</f>
        <v>5.098039215686275</v>
      </c>
      <c r="AD228" t="s">
        <v>831</v>
      </c>
      <c r="AL228" s="136" t="s">
        <v>797</v>
      </c>
      <c r="AM228" s="136" t="s">
        <v>798</v>
      </c>
      <c r="AN228" s="136">
        <v>0.24697</v>
      </c>
      <c r="AO228" s="136">
        <v>1</v>
      </c>
      <c r="AP228" s="136">
        <v>2.9744730000000001</v>
      </c>
      <c r="AQ228" s="136">
        <v>2.7275019999999999</v>
      </c>
      <c r="AR228" s="134">
        <f>AQ228*8</f>
        <v>21.820015999999999</v>
      </c>
      <c r="AS228" s="136">
        <v>24.002020000000002</v>
      </c>
    </row>
    <row r="229" spans="1:46" ht="15">
      <c r="A229">
        <f>A228*4</f>
        <v>3.4902399999999999E-3</v>
      </c>
      <c r="M229">
        <f>M230-13</f>
        <v>0.31107705263168128</v>
      </c>
      <c r="P229" s="15" t="s">
        <v>806</v>
      </c>
      <c r="Q229" s="15" t="s">
        <v>807</v>
      </c>
      <c r="R229" s="15">
        <v>615857159</v>
      </c>
      <c r="S229" s="15">
        <v>0</v>
      </c>
      <c r="T229" s="15" t="s">
        <v>409</v>
      </c>
      <c r="U229" s="15" t="s">
        <v>801</v>
      </c>
      <c r="V229" s="15" t="s">
        <v>808</v>
      </c>
      <c r="W229" s="15"/>
      <c r="X229" s="15" t="s">
        <v>803</v>
      </c>
      <c r="AC229" t="s">
        <v>832</v>
      </c>
      <c r="AL229" s="136" t="s">
        <v>804</v>
      </c>
      <c r="AM229" s="136" t="s">
        <v>805</v>
      </c>
      <c r="AN229" s="136">
        <v>0.52649000000000001</v>
      </c>
      <c r="AO229" s="136">
        <v>1</v>
      </c>
      <c r="AP229" s="136">
        <v>1.3696569999999999</v>
      </c>
      <c r="AQ229" s="136">
        <v>0.84316599999999997</v>
      </c>
      <c r="AR229" s="134">
        <f>AQ229*8</f>
        <v>6.7453279999999998</v>
      </c>
      <c r="AS229" s="136">
        <v>7.4198620000000002</v>
      </c>
    </row>
    <row r="230" spans="1:46" ht="15">
      <c r="L230" t="s">
        <v>833</v>
      </c>
      <c r="M230">
        <f>M231-48</f>
        <v>13.311077052631681</v>
      </c>
      <c r="P230" s="15" t="s">
        <v>811</v>
      </c>
      <c r="Q230" s="15" t="s">
        <v>812</v>
      </c>
      <c r="R230" s="15">
        <v>615857162</v>
      </c>
      <c r="S230" s="15">
        <v>0</v>
      </c>
      <c r="T230" s="15" t="s">
        <v>409</v>
      </c>
      <c r="U230" s="15" t="s">
        <v>801</v>
      </c>
      <c r="V230" s="15" t="s">
        <v>813</v>
      </c>
      <c r="W230" s="15"/>
      <c r="X230" s="15" t="s">
        <v>803</v>
      </c>
      <c r="AL230" s="136" t="s">
        <v>809</v>
      </c>
      <c r="AM230" s="136" t="s">
        <v>810</v>
      </c>
      <c r="AN230" s="136">
        <v>0.27113999999999999</v>
      </c>
      <c r="AO230" s="136">
        <v>5</v>
      </c>
      <c r="AP230" s="136">
        <v>0.32642500000000002</v>
      </c>
      <c r="AQ230" s="136">
        <v>5.5280000000000003E-2</v>
      </c>
      <c r="AR230" s="134">
        <f>AQ230*8</f>
        <v>0.44224000000000002</v>
      </c>
      <c r="AS230" s="136">
        <v>0.48646099999999998</v>
      </c>
    </row>
    <row r="231" spans="1:46" ht="15">
      <c r="M231">
        <f>M232*24</f>
        <v>61.311077052631681</v>
      </c>
      <c r="P231" s="15" t="s">
        <v>814</v>
      </c>
      <c r="Q231" s="15" t="s">
        <v>815</v>
      </c>
      <c r="R231" s="15">
        <v>615857165</v>
      </c>
      <c r="S231" s="15">
        <v>0</v>
      </c>
      <c r="T231" s="15" t="s">
        <v>409</v>
      </c>
      <c r="U231" s="15" t="s">
        <v>801</v>
      </c>
      <c r="V231" s="15" t="s">
        <v>449</v>
      </c>
      <c r="W231" s="15"/>
      <c r="X231" s="15" t="s">
        <v>803</v>
      </c>
      <c r="AC231" s="3">
        <f>36</f>
        <v>36</v>
      </c>
      <c r="AD231" s="3">
        <f>11+12+13</f>
        <v>36</v>
      </c>
      <c r="AN231">
        <f>AN230+AN229+AN228+AN227</f>
        <v>1.9138600000000001</v>
      </c>
      <c r="AR231">
        <f>SUM(AR227:AR230)</f>
        <v>38.786583999999998</v>
      </c>
      <c r="AS231" s="137">
        <f>SUM(AQ212:AQ227)</f>
        <v>5.2008580000000002</v>
      </c>
    </row>
    <row r="232" spans="1:46" ht="15">
      <c r="A232" s="412" t="s">
        <v>834</v>
      </c>
      <c r="M232">
        <v>2.5546282105263201</v>
      </c>
      <c r="P232" s="15" t="s">
        <v>816</v>
      </c>
      <c r="Q232" s="15" t="s">
        <v>817</v>
      </c>
      <c r="R232" s="15">
        <v>615857756</v>
      </c>
      <c r="S232" s="15">
        <v>0</v>
      </c>
      <c r="T232" s="15" t="s">
        <v>409</v>
      </c>
      <c r="U232" s="15" t="s">
        <v>801</v>
      </c>
      <c r="V232" s="15" t="s">
        <v>818</v>
      </c>
      <c r="W232" s="15"/>
      <c r="X232" s="15" t="s">
        <v>803</v>
      </c>
      <c r="AF232" t="s">
        <v>835</v>
      </c>
    </row>
    <row r="234" spans="1:46" ht="13.5" customHeight="1">
      <c r="A234" t="s">
        <v>603</v>
      </c>
      <c r="C234" s="3"/>
      <c r="D234" s="3"/>
      <c r="E234" s="3"/>
      <c r="F234" s="3"/>
      <c r="G234" s="3"/>
      <c r="H234" s="3"/>
      <c r="I234" s="3"/>
      <c r="J234" s="3" t="s">
        <v>228</v>
      </c>
      <c r="K234" s="3" t="s">
        <v>825</v>
      </c>
      <c r="L234" s="47" t="str">
        <f>M225</f>
        <v>051/14:02</v>
      </c>
      <c r="M234" s="47" t="s">
        <v>836</v>
      </c>
      <c r="O234" s="84" t="s">
        <v>401</v>
      </c>
      <c r="P234" s="138"/>
      <c r="Q234" s="85">
        <f>R225-3</f>
        <v>602366034.53526711</v>
      </c>
      <c r="R234" s="28">
        <f t="shared" ref="R234:R245" si="103">((W234)/$X$9)+Q234</f>
        <v>602501318.40889537</v>
      </c>
      <c r="S234" s="21">
        <f t="shared" ref="S234:S245" si="104">R234-Q234</f>
        <v>135283.87362825871</v>
      </c>
      <c r="T234" s="21">
        <f t="shared" ref="T234:T245" si="105">S234*$X$9</f>
        <v>500000.00000003958</v>
      </c>
      <c r="U234" s="3">
        <v>0</v>
      </c>
      <c r="V234" s="20">
        <f t="shared" ref="V234:V245" si="106">T234+U234*$V$38</f>
        <v>500000.00000003958</v>
      </c>
      <c r="W234" s="20">
        <f t="shared" ref="W234:W245" si="107">AA234*1000000/8</f>
        <v>500000</v>
      </c>
      <c r="X234" s="332">
        <f t="shared" ref="X234:X245" si="108">W234-V234</f>
        <v>-3.9581209421157837E-8</v>
      </c>
      <c r="Y234" s="332"/>
      <c r="Z234" s="332"/>
      <c r="AA234" s="77">
        <v>4</v>
      </c>
      <c r="AB234" s="50"/>
      <c r="AC234" s="129">
        <f t="shared" ref="AC234:AC245" si="109">AC233+AK234</f>
        <v>4.0000000000003171</v>
      </c>
      <c r="AH234" s="31"/>
      <c r="AI234" s="34"/>
      <c r="AJ234" s="40">
        <f t="shared" ref="AJ234:AJ241" si="110">X234*8/1000000</f>
        <v>-3.1664967536926272E-13</v>
      </c>
      <c r="AK234" s="40">
        <f t="shared" ref="AK234:AK241" si="111">V234*8/1000000</f>
        <v>4.0000000000003171</v>
      </c>
    </row>
    <row r="235" spans="1:46" ht="13.5" customHeight="1">
      <c r="A235" t="s">
        <v>603</v>
      </c>
      <c r="C235" s="3"/>
      <c r="D235" s="3"/>
      <c r="E235" s="3"/>
      <c r="F235" s="3"/>
      <c r="G235" s="3"/>
      <c r="H235" s="3"/>
      <c r="I235" s="3"/>
      <c r="J235" s="3" t="s">
        <v>228</v>
      </c>
      <c r="K235" s="3" t="s">
        <v>825</v>
      </c>
      <c r="L235" s="47" t="str">
        <f t="shared" ref="L235:L245" si="112">M234</f>
        <v>053/03:37</v>
      </c>
      <c r="M235" s="47" t="s">
        <v>837</v>
      </c>
      <c r="O235" s="84" t="s">
        <v>401</v>
      </c>
      <c r="P235" s="138"/>
      <c r="Q235" s="85">
        <f t="shared" ref="Q235:Q245" si="113">R234-3</f>
        <v>602501315.40889537</v>
      </c>
      <c r="R235" s="28">
        <f t="shared" si="103"/>
        <v>602636599.28252363</v>
      </c>
      <c r="S235" s="21">
        <f t="shared" si="104"/>
        <v>135283.87362825871</v>
      </c>
      <c r="T235" s="21">
        <f t="shared" si="105"/>
        <v>500000.00000003958</v>
      </c>
      <c r="U235" s="3">
        <v>0</v>
      </c>
      <c r="V235" s="20">
        <f t="shared" si="106"/>
        <v>500000.00000003958</v>
      </c>
      <c r="W235" s="20">
        <f t="shared" si="107"/>
        <v>500000</v>
      </c>
      <c r="X235" s="332">
        <f t="shared" si="108"/>
        <v>-3.9581209421157837E-8</v>
      </c>
      <c r="Y235" s="332"/>
      <c r="Z235" s="332"/>
      <c r="AA235" s="77">
        <v>4</v>
      </c>
      <c r="AB235" s="50"/>
      <c r="AC235" s="129">
        <f t="shared" si="109"/>
        <v>8.0000000000006342</v>
      </c>
      <c r="AH235" s="31"/>
      <c r="AI235" s="34"/>
      <c r="AJ235" s="40">
        <f t="shared" si="110"/>
        <v>-3.1664967536926272E-13</v>
      </c>
      <c r="AK235" s="40">
        <f t="shared" si="111"/>
        <v>4.0000000000003171</v>
      </c>
    </row>
    <row r="236" spans="1:46" ht="13.5" customHeight="1">
      <c r="A236" t="s">
        <v>603</v>
      </c>
      <c r="C236" s="3"/>
      <c r="D236" s="3"/>
      <c r="E236" s="3"/>
      <c r="F236" s="3"/>
      <c r="G236" s="3"/>
      <c r="H236" s="3"/>
      <c r="I236" s="3"/>
      <c r="J236" s="3" t="s">
        <v>228</v>
      </c>
      <c r="K236" s="3" t="s">
        <v>825</v>
      </c>
      <c r="L236" s="47" t="str">
        <f t="shared" si="112"/>
        <v>054/17:11</v>
      </c>
      <c r="M236" s="47" t="s">
        <v>838</v>
      </c>
      <c r="O236" s="84" t="s">
        <v>401</v>
      </c>
      <c r="P236" s="138"/>
      <c r="Q236" s="85">
        <f t="shared" si="113"/>
        <v>602636596.28252363</v>
      </c>
      <c r="R236" s="28">
        <f t="shared" si="103"/>
        <v>602771880.15615189</v>
      </c>
      <c r="S236" s="21">
        <f t="shared" si="104"/>
        <v>135283.87362825871</v>
      </c>
      <c r="T236" s="21">
        <f t="shared" si="105"/>
        <v>500000.00000003958</v>
      </c>
      <c r="U236" s="3">
        <v>0</v>
      </c>
      <c r="V236" s="20">
        <f t="shared" si="106"/>
        <v>500000.00000003958</v>
      </c>
      <c r="W236" s="20">
        <f t="shared" si="107"/>
        <v>500000</v>
      </c>
      <c r="X236" s="332">
        <f t="shared" si="108"/>
        <v>-3.9581209421157837E-8</v>
      </c>
      <c r="Y236" s="332"/>
      <c r="Z236" s="332"/>
      <c r="AA236" s="77">
        <v>4</v>
      </c>
      <c r="AB236" s="50"/>
      <c r="AC236" s="129">
        <f t="shared" si="109"/>
        <v>12.000000000000952</v>
      </c>
      <c r="AH236" s="31"/>
      <c r="AI236" s="34"/>
      <c r="AJ236" s="40">
        <f t="shared" si="110"/>
        <v>-3.1664967536926272E-13</v>
      </c>
      <c r="AK236" s="40">
        <f t="shared" si="111"/>
        <v>4.0000000000003171</v>
      </c>
    </row>
    <row r="237" spans="1:46" ht="15.75">
      <c r="A237" t="s">
        <v>603</v>
      </c>
      <c r="C237" s="3"/>
      <c r="D237" s="3"/>
      <c r="E237" s="3"/>
      <c r="F237" s="3"/>
      <c r="G237" s="3"/>
      <c r="H237" s="3"/>
      <c r="I237" s="3"/>
      <c r="J237" s="3" t="s">
        <v>228</v>
      </c>
      <c r="K237" s="3" t="s">
        <v>825</v>
      </c>
      <c r="L237" s="47" t="str">
        <f t="shared" si="112"/>
        <v>056/05:46</v>
      </c>
      <c r="M237" s="47" t="s">
        <v>839</v>
      </c>
      <c r="O237" s="84" t="s">
        <v>401</v>
      </c>
      <c r="P237" s="138"/>
      <c r="Q237" s="85">
        <f t="shared" si="113"/>
        <v>602771877.15615189</v>
      </c>
      <c r="R237" s="28">
        <f t="shared" si="103"/>
        <v>602907161.02978015</v>
      </c>
      <c r="S237" s="21">
        <f t="shared" si="104"/>
        <v>135283.87362825871</v>
      </c>
      <c r="T237" s="21">
        <f t="shared" si="105"/>
        <v>500000.00000003958</v>
      </c>
      <c r="U237" s="3">
        <v>0</v>
      </c>
      <c r="V237" s="20">
        <f t="shared" si="106"/>
        <v>500000.00000003958</v>
      </c>
      <c r="W237" s="20">
        <f t="shared" si="107"/>
        <v>500000</v>
      </c>
      <c r="X237" s="332">
        <f t="shared" si="108"/>
        <v>-3.9581209421157837E-8</v>
      </c>
      <c r="Y237" s="332"/>
      <c r="Z237" s="332"/>
      <c r="AA237" s="77">
        <v>4</v>
      </c>
      <c r="AB237" s="50"/>
      <c r="AC237" s="129">
        <f t="shared" si="109"/>
        <v>16.000000000001268</v>
      </c>
      <c r="AH237" s="31"/>
      <c r="AI237" s="34"/>
      <c r="AJ237" s="40">
        <f t="shared" si="110"/>
        <v>-3.1664967536926272E-13</v>
      </c>
      <c r="AK237" s="40">
        <f t="shared" si="111"/>
        <v>4.0000000000003171</v>
      </c>
    </row>
    <row r="238" spans="1:46" ht="15.75">
      <c r="A238" t="s">
        <v>603</v>
      </c>
      <c r="C238" s="3"/>
      <c r="D238" s="3"/>
      <c r="E238" s="3"/>
      <c r="F238" s="3"/>
      <c r="G238" s="3"/>
      <c r="H238" s="3"/>
      <c r="I238" s="3"/>
      <c r="J238" s="3" t="s">
        <v>228</v>
      </c>
      <c r="K238" s="3" t="s">
        <v>825</v>
      </c>
      <c r="L238" s="47" t="str">
        <f t="shared" si="112"/>
        <v>057/20:21</v>
      </c>
      <c r="M238" s="47" t="s">
        <v>840</v>
      </c>
      <c r="O238" s="84" t="s">
        <v>401</v>
      </c>
      <c r="P238" s="138"/>
      <c r="Q238" s="85">
        <f t="shared" si="113"/>
        <v>602907158.02978015</v>
      </c>
      <c r="R238" s="28">
        <f t="shared" si="103"/>
        <v>603042441.90340841</v>
      </c>
      <c r="S238" s="21">
        <f t="shared" si="104"/>
        <v>135283.87362825871</v>
      </c>
      <c r="T238" s="21">
        <f t="shared" si="105"/>
        <v>500000.00000003958</v>
      </c>
      <c r="U238" s="3">
        <v>0</v>
      </c>
      <c r="V238" s="20">
        <f t="shared" si="106"/>
        <v>500000.00000003958</v>
      </c>
      <c r="W238" s="20">
        <f t="shared" si="107"/>
        <v>500000</v>
      </c>
      <c r="X238" s="332">
        <f t="shared" si="108"/>
        <v>-3.9581209421157837E-8</v>
      </c>
      <c r="Y238" s="332"/>
      <c r="Z238" s="332"/>
      <c r="AA238" s="77">
        <v>4</v>
      </c>
      <c r="AB238" s="50"/>
      <c r="AC238" s="129">
        <f t="shared" si="109"/>
        <v>20.000000000001585</v>
      </c>
      <c r="AH238" s="31"/>
      <c r="AI238" s="34"/>
      <c r="AJ238" s="40">
        <f t="shared" si="110"/>
        <v>-3.1664967536926272E-13</v>
      </c>
      <c r="AK238" s="40">
        <f t="shared" si="111"/>
        <v>4.0000000000003171</v>
      </c>
    </row>
    <row r="239" spans="1:46" ht="15.75">
      <c r="A239" t="s">
        <v>603</v>
      </c>
      <c r="C239" s="3"/>
      <c r="D239" s="3"/>
      <c r="E239" s="3"/>
      <c r="F239" s="3"/>
      <c r="G239" s="3"/>
      <c r="H239" s="3"/>
      <c r="I239" s="3"/>
      <c r="J239" s="3" t="s">
        <v>228</v>
      </c>
      <c r="K239" s="3" t="s">
        <v>825</v>
      </c>
      <c r="L239" s="47" t="str">
        <f t="shared" si="112"/>
        <v>059/09:55</v>
      </c>
      <c r="M239" s="47" t="s">
        <v>841</v>
      </c>
      <c r="O239" s="84" t="s">
        <v>401</v>
      </c>
      <c r="P239" s="138"/>
      <c r="Q239" s="85">
        <f t="shared" si="113"/>
        <v>603042438.90340841</v>
      </c>
      <c r="R239" s="28">
        <f t="shared" si="103"/>
        <v>603177722.77703667</v>
      </c>
      <c r="S239" s="21">
        <f t="shared" si="104"/>
        <v>135283.87362825871</v>
      </c>
      <c r="T239" s="21">
        <f t="shared" si="105"/>
        <v>500000.00000003958</v>
      </c>
      <c r="U239" s="3">
        <v>0</v>
      </c>
      <c r="V239" s="20">
        <f t="shared" si="106"/>
        <v>500000.00000003958</v>
      </c>
      <c r="W239" s="20">
        <f t="shared" si="107"/>
        <v>500000</v>
      </c>
      <c r="X239" s="332">
        <f t="shared" si="108"/>
        <v>-3.9581209421157837E-8</v>
      </c>
      <c r="Y239" s="332"/>
      <c r="Z239" s="332"/>
      <c r="AA239" s="77">
        <v>4</v>
      </c>
      <c r="AB239" s="50"/>
      <c r="AC239" s="129">
        <f t="shared" si="109"/>
        <v>24.000000000001901</v>
      </c>
      <c r="AH239" s="31"/>
      <c r="AI239" s="34"/>
      <c r="AJ239" s="40">
        <f t="shared" si="110"/>
        <v>-3.1664967536926272E-13</v>
      </c>
      <c r="AK239" s="40">
        <f t="shared" si="111"/>
        <v>4.0000000000003171</v>
      </c>
    </row>
    <row r="240" spans="1:46" ht="15.75">
      <c r="A240" t="s">
        <v>603</v>
      </c>
      <c r="C240" s="3"/>
      <c r="D240" s="3"/>
      <c r="E240" s="3"/>
      <c r="F240" s="3"/>
      <c r="G240" s="3"/>
      <c r="H240" s="3"/>
      <c r="I240" s="3"/>
      <c r="J240" s="3" t="s">
        <v>228</v>
      </c>
      <c r="K240" s="3" t="s">
        <v>825</v>
      </c>
      <c r="L240" s="47" t="str">
        <f t="shared" si="112"/>
        <v>060/23:30</v>
      </c>
      <c r="M240" s="47" t="s">
        <v>842</v>
      </c>
      <c r="O240" s="84" t="s">
        <v>401</v>
      </c>
      <c r="P240" s="138"/>
      <c r="Q240" s="85">
        <f t="shared" si="113"/>
        <v>603177719.77703667</v>
      </c>
      <c r="R240" s="28">
        <f t="shared" si="103"/>
        <v>603313003.65066493</v>
      </c>
      <c r="S240" s="21">
        <f t="shared" si="104"/>
        <v>135283.87362825871</v>
      </c>
      <c r="T240" s="21">
        <f t="shared" si="105"/>
        <v>500000.00000003958</v>
      </c>
      <c r="U240" s="3">
        <v>0</v>
      </c>
      <c r="V240" s="20">
        <f t="shared" si="106"/>
        <v>500000.00000003958</v>
      </c>
      <c r="W240" s="20">
        <f t="shared" si="107"/>
        <v>500000</v>
      </c>
      <c r="X240" s="332">
        <f t="shared" si="108"/>
        <v>-3.9581209421157837E-8</v>
      </c>
      <c r="Y240" s="332"/>
      <c r="Z240" s="332"/>
      <c r="AA240" s="77">
        <v>4</v>
      </c>
      <c r="AB240" s="50"/>
      <c r="AC240" s="129">
        <f t="shared" si="109"/>
        <v>28.000000000002217</v>
      </c>
      <c r="AH240" s="31"/>
      <c r="AI240" s="34"/>
      <c r="AJ240" s="40">
        <f t="shared" si="110"/>
        <v>-3.1664967536926272E-13</v>
      </c>
      <c r="AK240" s="40">
        <f t="shared" si="111"/>
        <v>4.0000000000003171</v>
      </c>
    </row>
    <row r="241" spans="1:37" ht="13.5" customHeight="1">
      <c r="A241" t="s">
        <v>603</v>
      </c>
      <c r="C241" s="3"/>
      <c r="D241" s="3"/>
      <c r="E241" s="3"/>
      <c r="F241" s="3"/>
      <c r="G241" s="3"/>
      <c r="H241" s="3"/>
      <c r="I241" s="3"/>
      <c r="J241" s="3" t="s">
        <v>228</v>
      </c>
      <c r="K241" s="3" t="s">
        <v>825</v>
      </c>
      <c r="L241" s="47" t="str">
        <f t="shared" si="112"/>
        <v>062/13:05</v>
      </c>
      <c r="M241" s="47" t="s">
        <v>843</v>
      </c>
      <c r="O241" s="84" t="s">
        <v>401</v>
      </c>
      <c r="P241" s="138"/>
      <c r="Q241" s="85">
        <f t="shared" si="113"/>
        <v>603313000.65066493</v>
      </c>
      <c r="R241" s="28">
        <f t="shared" si="103"/>
        <v>603448284.52429318</v>
      </c>
      <c r="S241" s="21">
        <f t="shared" si="104"/>
        <v>135283.87362825871</v>
      </c>
      <c r="T241" s="21">
        <f t="shared" si="105"/>
        <v>500000.00000003958</v>
      </c>
      <c r="U241" s="3">
        <v>0</v>
      </c>
      <c r="V241" s="20">
        <f t="shared" si="106"/>
        <v>500000.00000003958</v>
      </c>
      <c r="W241" s="20">
        <f t="shared" si="107"/>
        <v>500000</v>
      </c>
      <c r="X241" s="332">
        <f t="shared" si="108"/>
        <v>-3.9581209421157837E-8</v>
      </c>
      <c r="Y241" s="332"/>
      <c r="Z241" s="332"/>
      <c r="AA241" s="77">
        <v>4</v>
      </c>
      <c r="AB241" s="50"/>
      <c r="AC241" s="129">
        <f t="shared" si="109"/>
        <v>32.000000000002537</v>
      </c>
      <c r="AH241" s="31"/>
      <c r="AI241" s="34"/>
      <c r="AJ241" s="40">
        <f t="shared" si="110"/>
        <v>-3.1664967536926272E-13</v>
      </c>
      <c r="AK241" s="40">
        <f t="shared" si="111"/>
        <v>4.0000000000003171</v>
      </c>
    </row>
    <row r="242" spans="1:37" ht="13.5" customHeight="1">
      <c r="A242" t="s">
        <v>603</v>
      </c>
      <c r="C242" s="3"/>
      <c r="D242" s="3"/>
      <c r="E242" s="3"/>
      <c r="F242" s="3"/>
      <c r="G242" s="3"/>
      <c r="H242" s="3"/>
      <c r="I242" s="3"/>
      <c r="J242" s="3" t="s">
        <v>228</v>
      </c>
      <c r="K242" s="3" t="s">
        <v>825</v>
      </c>
      <c r="L242" s="47" t="str">
        <f t="shared" si="112"/>
        <v>064/02:39</v>
      </c>
      <c r="M242" s="47" t="s">
        <v>844</v>
      </c>
      <c r="N242" s="3"/>
      <c r="O242" s="84" t="s">
        <v>401</v>
      </c>
      <c r="P242" s="138"/>
      <c r="Q242" s="85">
        <f t="shared" si="113"/>
        <v>603448281.52429318</v>
      </c>
      <c r="R242" s="28">
        <f t="shared" si="103"/>
        <v>603583565.39792144</v>
      </c>
      <c r="S242" s="21">
        <f t="shared" si="104"/>
        <v>135283.87362825871</v>
      </c>
      <c r="T242" s="21">
        <f t="shared" si="105"/>
        <v>500000.00000003958</v>
      </c>
      <c r="U242" s="3">
        <v>0</v>
      </c>
      <c r="V242" s="20">
        <f t="shared" si="106"/>
        <v>500000.00000003958</v>
      </c>
      <c r="W242" s="20">
        <f t="shared" si="107"/>
        <v>500000</v>
      </c>
      <c r="X242" s="332">
        <f t="shared" si="108"/>
        <v>-3.9581209421157837E-8</v>
      </c>
      <c r="Y242" s="332"/>
      <c r="Z242" s="332"/>
      <c r="AA242" s="77">
        <v>4</v>
      </c>
      <c r="AB242" s="50"/>
      <c r="AC242" s="129">
        <f t="shared" si="109"/>
        <v>32.000000000002537</v>
      </c>
    </row>
    <row r="243" spans="1:37" ht="13.5" customHeight="1">
      <c r="A243" t="s">
        <v>603</v>
      </c>
      <c r="C243" s="3"/>
      <c r="D243" s="3"/>
      <c r="E243" s="3"/>
      <c r="F243" s="3"/>
      <c r="G243" s="3"/>
      <c r="H243" s="3"/>
      <c r="I243" s="3"/>
      <c r="J243" s="3" t="s">
        <v>228</v>
      </c>
      <c r="K243" s="3" t="s">
        <v>825</v>
      </c>
      <c r="L243" s="47" t="str">
        <f t="shared" si="112"/>
        <v>066/15:58</v>
      </c>
      <c r="M243" s="47" t="s">
        <v>845</v>
      </c>
      <c r="N243" s="3"/>
      <c r="O243" s="84" t="s">
        <v>401</v>
      </c>
      <c r="P243" s="138"/>
      <c r="Q243" s="85">
        <f t="shared" si="113"/>
        <v>603583562.39792144</v>
      </c>
      <c r="R243" s="28">
        <f t="shared" si="103"/>
        <v>603718846.2715497</v>
      </c>
      <c r="S243" s="21">
        <f t="shared" si="104"/>
        <v>135283.87362825871</v>
      </c>
      <c r="T243" s="21">
        <f t="shared" si="105"/>
        <v>500000.00000003958</v>
      </c>
      <c r="U243" s="3">
        <v>0</v>
      </c>
      <c r="V243" s="20">
        <f t="shared" si="106"/>
        <v>500000.00000003958</v>
      </c>
      <c r="W243" s="20">
        <f t="shared" si="107"/>
        <v>500000</v>
      </c>
      <c r="X243" s="332">
        <f t="shared" si="108"/>
        <v>-3.9581209421157837E-8</v>
      </c>
      <c r="Y243" s="332"/>
      <c r="Z243" s="332"/>
      <c r="AA243" s="77">
        <v>4</v>
      </c>
      <c r="AB243" s="50"/>
      <c r="AC243" s="129">
        <f t="shared" si="109"/>
        <v>32.000000000002537</v>
      </c>
    </row>
    <row r="244" spans="1:37" ht="13.5" customHeight="1">
      <c r="A244" t="s">
        <v>603</v>
      </c>
      <c r="C244" s="3"/>
      <c r="D244" s="3"/>
      <c r="E244" s="3"/>
      <c r="F244" s="3"/>
      <c r="G244" s="3"/>
      <c r="H244" s="3"/>
      <c r="I244" s="3"/>
      <c r="J244" s="3" t="s">
        <v>228</v>
      </c>
      <c r="K244" s="3" t="s">
        <v>825</v>
      </c>
      <c r="L244" s="47" t="str">
        <f t="shared" si="112"/>
        <v>069/04:77</v>
      </c>
      <c r="M244" s="47" t="s">
        <v>846</v>
      </c>
      <c r="O244" s="84" t="s">
        <v>401</v>
      </c>
      <c r="P244" s="138"/>
      <c r="Q244" s="85">
        <f t="shared" si="113"/>
        <v>603718843.2715497</v>
      </c>
      <c r="R244" s="28">
        <f t="shared" si="103"/>
        <v>603854127.14517796</v>
      </c>
      <c r="S244" s="21">
        <f t="shared" si="104"/>
        <v>135283.87362825871</v>
      </c>
      <c r="T244" s="21">
        <f t="shared" si="105"/>
        <v>500000.00000003958</v>
      </c>
      <c r="U244" s="3">
        <v>0</v>
      </c>
      <c r="V244" s="20">
        <f t="shared" si="106"/>
        <v>500000.00000003958</v>
      </c>
      <c r="W244" s="20">
        <f t="shared" si="107"/>
        <v>500000</v>
      </c>
      <c r="X244" s="332">
        <f t="shared" si="108"/>
        <v>-3.9581209421157837E-8</v>
      </c>
      <c r="Y244" s="332"/>
      <c r="Z244" s="332"/>
      <c r="AA244" s="77">
        <v>4</v>
      </c>
      <c r="AB244" s="50"/>
      <c r="AC244" s="129">
        <f t="shared" si="109"/>
        <v>32.000000000002537</v>
      </c>
    </row>
    <row r="245" spans="1:37" ht="13.5" customHeight="1">
      <c r="A245" t="s">
        <v>603</v>
      </c>
      <c r="C245" s="3"/>
      <c r="D245" s="3"/>
      <c r="E245" s="3"/>
      <c r="F245" s="3"/>
      <c r="G245" s="3"/>
      <c r="H245" s="3"/>
      <c r="I245" s="3"/>
      <c r="J245" s="3" t="s">
        <v>228</v>
      </c>
      <c r="K245" s="3" t="s">
        <v>825</v>
      </c>
      <c r="L245" s="47" t="str">
        <f t="shared" si="112"/>
        <v>071/18:36</v>
      </c>
      <c r="M245" s="181" t="s">
        <v>847</v>
      </c>
      <c r="N245" s="3" t="s">
        <v>1260</v>
      </c>
      <c r="O245" s="84" t="s">
        <v>401</v>
      </c>
      <c r="P245" s="138"/>
      <c r="Q245" s="85">
        <f t="shared" si="113"/>
        <v>603854124.14517796</v>
      </c>
      <c r="R245" s="182">
        <f t="shared" si="103"/>
        <v>603989408.01880622</v>
      </c>
      <c r="S245" s="21">
        <f t="shared" si="104"/>
        <v>135283.87362825871</v>
      </c>
      <c r="T245" s="21">
        <f t="shared" si="105"/>
        <v>500000.00000003958</v>
      </c>
      <c r="U245" s="3">
        <v>0</v>
      </c>
      <c r="V245" s="20">
        <f t="shared" si="106"/>
        <v>500000.00000003958</v>
      </c>
      <c r="W245" s="20">
        <f t="shared" si="107"/>
        <v>500000</v>
      </c>
      <c r="X245" s="332">
        <f t="shared" si="108"/>
        <v>-3.9581209421157837E-8</v>
      </c>
      <c r="Y245" s="332"/>
      <c r="Z245" s="332"/>
      <c r="AA245" s="77">
        <v>4</v>
      </c>
      <c r="AB245" s="50"/>
      <c r="AC245" s="129">
        <f t="shared" si="109"/>
        <v>32.000000000002537</v>
      </c>
    </row>
    <row r="247" spans="1:37" ht="13.5" customHeight="1">
      <c r="C247" s="112" t="s">
        <v>226</v>
      </c>
      <c r="D247" s="112" t="s">
        <v>227</v>
      </c>
      <c r="E247" s="112" t="s">
        <v>51</v>
      </c>
      <c r="F247" s="112" t="s">
        <v>49</v>
      </c>
      <c r="G247" s="112" t="s">
        <v>50</v>
      </c>
      <c r="H247" s="112" t="s">
        <v>53</v>
      </c>
      <c r="I247" s="112" t="s">
        <v>54</v>
      </c>
      <c r="J247" s="112" t="s">
        <v>228</v>
      </c>
      <c r="K247" s="112" t="s">
        <v>825</v>
      </c>
    </row>
    <row r="249" spans="1:37" ht="13.5" customHeight="1">
      <c r="A249" t="s">
        <v>789</v>
      </c>
      <c r="C249" s="3">
        <v>104</v>
      </c>
      <c r="D249" s="3">
        <v>105</v>
      </c>
      <c r="E249" s="3" t="s">
        <v>51</v>
      </c>
      <c r="F249" s="3" t="s">
        <v>49</v>
      </c>
      <c r="G249" s="3"/>
      <c r="H249" s="3" t="s">
        <v>53</v>
      </c>
      <c r="I249" s="3" t="s">
        <v>54</v>
      </c>
      <c r="J249" s="3"/>
      <c r="L249" s="78" t="s">
        <v>684</v>
      </c>
      <c r="M249" s="78" t="s">
        <v>688</v>
      </c>
      <c r="O249" s="84">
        <f>AI249</f>
        <v>0</v>
      </c>
      <c r="P249" s="32" t="str">
        <f>MID(AL249,11,5)</f>
        <v/>
      </c>
      <c r="Q249" s="58">
        <f>R248-1</f>
        <v>-1</v>
      </c>
      <c r="R249" s="21">
        <f>((W249-U249*$V$38)/$V$17)+Q249</f>
        <v>235306.57477960401</v>
      </c>
      <c r="S249" s="21">
        <f>R249-Q249</f>
        <v>235307.57477960401</v>
      </c>
      <c r="T249" s="21">
        <f>S249*$V$17</f>
        <v>500000</v>
      </c>
      <c r="U249" s="3">
        <v>0</v>
      </c>
      <c r="V249" s="27">
        <f>T249+U249*$V$38</f>
        <v>500000</v>
      </c>
      <c r="W249" s="20">
        <f>AA249*1000000/8</f>
        <v>500000</v>
      </c>
      <c r="X249" s="332">
        <f>W249-V249</f>
        <v>0</v>
      </c>
      <c r="Y249" s="331">
        <f>S249*$V$27+U249*$V$38</f>
        <v>510178.95903632819</v>
      </c>
      <c r="Z249" s="330">
        <f>(Y249/V249-1)</f>
        <v>2.03579180726563E-2</v>
      </c>
      <c r="AA249" s="77">
        <v>4</v>
      </c>
      <c r="AB249" s="50"/>
      <c r="AC249" s="50"/>
      <c r="AD249" s="118">
        <f>AK249+AD243</f>
        <v>4</v>
      </c>
      <c r="AE249" s="118"/>
      <c r="AF249" s="118"/>
      <c r="AG249" s="118"/>
      <c r="AJ249" s="40">
        <f>X249*8/1000000</f>
        <v>0</v>
      </c>
      <c r="AK249" s="40">
        <f>V249*8/1000000</f>
        <v>4</v>
      </c>
    </row>
    <row r="257" spans="16:25" ht="13.5" customHeight="1">
      <c r="V257">
        <f>1236-681</f>
        <v>555</v>
      </c>
      <c r="W257">
        <v>1570</v>
      </c>
      <c r="X257">
        <v>115</v>
      </c>
      <c r="Y257">
        <f>X257+W257+V257</f>
        <v>2240</v>
      </c>
    </row>
    <row r="266" spans="16:25" ht="13.5" customHeight="1" thickBot="1"/>
    <row r="267" spans="16:25" ht="13.5" customHeight="1">
      <c r="P267" s="9">
        <v>26179</v>
      </c>
      <c r="T267" s="3"/>
      <c r="V267" s="18"/>
      <c r="X267" t="s">
        <v>295</v>
      </c>
    </row>
    <row r="268" spans="16:25" ht="13.5" customHeight="1">
      <c r="P268" s="12" t="s">
        <v>122</v>
      </c>
      <c r="Q268" s="11" t="s">
        <v>5</v>
      </c>
      <c r="R268" s="12" t="s">
        <v>6</v>
      </c>
      <c r="S268" s="12" t="s">
        <v>7</v>
      </c>
      <c r="T268" s="13" t="s">
        <v>8</v>
      </c>
      <c r="U268" s="3" t="s">
        <v>22</v>
      </c>
      <c r="V268" s="13" t="s">
        <v>25</v>
      </c>
      <c r="W268" s="12" t="s">
        <v>26</v>
      </c>
      <c r="X268" s="12" t="s">
        <v>9</v>
      </c>
    </row>
    <row r="270" spans="16:25" ht="13.5" customHeight="1">
      <c r="P270" s="410" t="s">
        <v>947</v>
      </c>
      <c r="Q270" s="411" t="s">
        <v>948</v>
      </c>
      <c r="R270" s="411">
        <v>644923315</v>
      </c>
      <c r="S270" s="410">
        <v>7</v>
      </c>
      <c r="T270" s="410" t="s">
        <v>27</v>
      </c>
      <c r="U270" s="410" t="s">
        <v>298</v>
      </c>
      <c r="V270" s="411" t="s">
        <v>151</v>
      </c>
      <c r="W270" s="410" t="s">
        <v>152</v>
      </c>
      <c r="X270" s="410" t="s">
        <v>949</v>
      </c>
    </row>
    <row r="271" spans="16:25" ht="13.5" customHeight="1">
      <c r="P271" s="410" t="s">
        <v>950</v>
      </c>
      <c r="Q271" s="410" t="s">
        <v>951</v>
      </c>
      <c r="R271" s="411">
        <v>644924995</v>
      </c>
      <c r="S271" s="410">
        <v>0</v>
      </c>
      <c r="T271" s="410" t="s">
        <v>409</v>
      </c>
      <c r="U271" s="410" t="s">
        <v>952</v>
      </c>
      <c r="V271" s="410" t="s">
        <v>802</v>
      </c>
      <c r="W271" s="410"/>
      <c r="X271" s="410" t="s">
        <v>949</v>
      </c>
    </row>
    <row r="272" spans="16:25" ht="13.5" customHeight="1">
      <c r="P272" s="410" t="s">
        <v>953</v>
      </c>
      <c r="Q272" s="410" t="s">
        <v>954</v>
      </c>
      <c r="R272" s="410">
        <v>644924998</v>
      </c>
      <c r="S272" s="410">
        <v>0</v>
      </c>
      <c r="T272" s="410" t="s">
        <v>409</v>
      </c>
      <c r="U272" s="410" t="s">
        <v>952</v>
      </c>
      <c r="V272" s="410" t="s">
        <v>808</v>
      </c>
      <c r="W272" s="410"/>
      <c r="X272" s="410" t="s">
        <v>949</v>
      </c>
    </row>
    <row r="273" spans="1:43" ht="13.5" customHeight="1">
      <c r="P273" s="410" t="s">
        <v>955</v>
      </c>
      <c r="Q273" s="410" t="s">
        <v>956</v>
      </c>
      <c r="R273" s="410">
        <v>644925001</v>
      </c>
      <c r="S273" s="410">
        <v>0</v>
      </c>
      <c r="T273" s="410" t="s">
        <v>409</v>
      </c>
      <c r="U273" s="410" t="s">
        <v>952</v>
      </c>
      <c r="V273" s="410" t="s">
        <v>813</v>
      </c>
      <c r="W273" s="410"/>
      <c r="X273" s="410" t="s">
        <v>949</v>
      </c>
    </row>
    <row r="274" spans="1:43" ht="13.5" customHeight="1">
      <c r="P274" s="410" t="s">
        <v>957</v>
      </c>
      <c r="Q274" s="410" t="s">
        <v>958</v>
      </c>
      <c r="R274" s="410">
        <v>644925004</v>
      </c>
      <c r="S274" s="410">
        <v>0</v>
      </c>
      <c r="T274" s="410" t="s">
        <v>409</v>
      </c>
      <c r="U274" s="410" t="s">
        <v>952</v>
      </c>
      <c r="V274" s="410" t="s">
        <v>449</v>
      </c>
      <c r="W274" s="410"/>
      <c r="X274" s="410" t="s">
        <v>949</v>
      </c>
    </row>
    <row r="275" spans="1:43" ht="13.5" customHeight="1">
      <c r="L275">
        <f>265057</f>
        <v>265057</v>
      </c>
      <c r="M275">
        <v>21845</v>
      </c>
      <c r="P275" s="410" t="s">
        <v>959</v>
      </c>
      <c r="Q275" s="410" t="s">
        <v>960</v>
      </c>
      <c r="R275" s="410">
        <v>644925055</v>
      </c>
      <c r="S275" s="410">
        <v>0</v>
      </c>
      <c r="T275" s="410" t="s">
        <v>409</v>
      </c>
      <c r="U275" s="410" t="s">
        <v>952</v>
      </c>
      <c r="V275" s="411" t="s">
        <v>940</v>
      </c>
      <c r="W275" s="410"/>
      <c r="X275" s="410" t="s">
        <v>949</v>
      </c>
    </row>
    <row r="276" spans="1:43" ht="13.5" customHeight="1">
      <c r="L276">
        <f>L275*8/1000000</f>
        <v>2.1204559999999999</v>
      </c>
      <c r="M276">
        <f>M275*8/1000000</f>
        <v>0.17476</v>
      </c>
      <c r="P276" s="410" t="s">
        <v>961</v>
      </c>
      <c r="Q276" s="410" t="s">
        <v>962</v>
      </c>
      <c r="R276" s="410">
        <v>644925655</v>
      </c>
      <c r="S276" s="410">
        <v>0</v>
      </c>
      <c r="T276" s="410" t="s">
        <v>409</v>
      </c>
      <c r="U276" s="410" t="s">
        <v>952</v>
      </c>
      <c r="V276" s="410" t="s">
        <v>818</v>
      </c>
      <c r="W276" s="410"/>
      <c r="X276" s="410" t="s">
        <v>949</v>
      </c>
    </row>
    <row r="277" spans="1:43" ht="13.5" customHeight="1">
      <c r="P277" s="410" t="s">
        <v>963</v>
      </c>
      <c r="Q277" s="410" t="s">
        <v>964</v>
      </c>
      <c r="R277" s="410">
        <v>644926255</v>
      </c>
      <c r="S277" s="410">
        <v>0</v>
      </c>
      <c r="T277" s="410" t="s">
        <v>409</v>
      </c>
      <c r="U277" s="410" t="s">
        <v>952</v>
      </c>
      <c r="V277" s="410" t="s">
        <v>965</v>
      </c>
      <c r="W277" s="410"/>
      <c r="X277" s="410" t="s">
        <v>949</v>
      </c>
    </row>
    <row r="278" spans="1:43" ht="13.5" customHeight="1">
      <c r="P278" s="409"/>
      <c r="Q278" s="409"/>
      <c r="R278" s="409"/>
      <c r="S278" s="409"/>
      <c r="T278" s="409"/>
      <c r="U278" s="409"/>
      <c r="V278" s="409"/>
      <c r="W278" s="409"/>
      <c r="X278" s="409"/>
    </row>
    <row r="279" spans="1:43" ht="13.5" customHeight="1">
      <c r="O279" t="s">
        <v>1053</v>
      </c>
      <c r="P279" s="277" t="s">
        <v>1049</v>
      </c>
      <c r="Q279" s="277" t="s">
        <v>1050</v>
      </c>
      <c r="R279" s="277">
        <v>644288021</v>
      </c>
      <c r="S279" s="277">
        <v>1</v>
      </c>
      <c r="T279" s="277" t="s">
        <v>27</v>
      </c>
      <c r="U279" s="277" t="s">
        <v>1051</v>
      </c>
      <c r="V279" s="277" t="s">
        <v>28</v>
      </c>
      <c r="W279" s="277"/>
      <c r="X279" s="277" t="s">
        <v>1052</v>
      </c>
      <c r="AA279" t="s">
        <v>1058</v>
      </c>
    </row>
    <row r="280" spans="1:43" ht="13.5" customHeight="1">
      <c r="C280" s="112" t="s">
        <v>226</v>
      </c>
      <c r="D280" s="112" t="s">
        <v>227</v>
      </c>
      <c r="E280" s="112" t="s">
        <v>51</v>
      </c>
      <c r="F280" s="112" t="s">
        <v>49</v>
      </c>
      <c r="G280" s="112" t="s">
        <v>50</v>
      </c>
      <c r="H280" s="112" t="s">
        <v>53</v>
      </c>
      <c r="I280" s="112" t="s">
        <v>54</v>
      </c>
      <c r="J280" s="112" t="s">
        <v>228</v>
      </c>
      <c r="K280" s="112" t="s">
        <v>825</v>
      </c>
      <c r="L280" s="112" t="s">
        <v>5555</v>
      </c>
      <c r="P280" s="12" t="s">
        <v>122</v>
      </c>
      <c r="Q280" s="11" t="s">
        <v>5</v>
      </c>
      <c r="R280" s="12" t="s">
        <v>6</v>
      </c>
      <c r="S280" s="12" t="s">
        <v>7</v>
      </c>
      <c r="T280" s="13" t="s">
        <v>8</v>
      </c>
      <c r="U280" s="3" t="s">
        <v>22</v>
      </c>
      <c r="V280" s="13" t="s">
        <v>25</v>
      </c>
      <c r="W280" s="12" t="s">
        <v>26</v>
      </c>
      <c r="X280" s="12" t="s">
        <v>9</v>
      </c>
      <c r="AA280" t="s">
        <v>1057</v>
      </c>
      <c r="AJ280" s="3" t="s">
        <v>1015</v>
      </c>
      <c r="AK280" s="3" t="s">
        <v>1016</v>
      </c>
    </row>
    <row r="281" spans="1:43" ht="13.5" customHeight="1">
      <c r="C281" s="3">
        <v>104</v>
      </c>
      <c r="D281" s="3">
        <v>105</v>
      </c>
      <c r="E281" s="3" t="s">
        <v>51</v>
      </c>
      <c r="F281" s="3" t="s">
        <v>49</v>
      </c>
      <c r="G281" s="3" t="s">
        <v>50</v>
      </c>
      <c r="H281" s="3" t="s">
        <v>53</v>
      </c>
      <c r="I281" s="3" t="s">
        <v>54</v>
      </c>
      <c r="L281" s="78" t="s">
        <v>1055</v>
      </c>
      <c r="M281" s="78" t="s">
        <v>1054</v>
      </c>
      <c r="N281" t="s">
        <v>1056</v>
      </c>
      <c r="O281" s="84" t="str">
        <f>AI281</f>
        <v>194/12:27</v>
      </c>
      <c r="P281" s="32" t="str">
        <f>MID(AL281,5,5)</f>
        <v>194_1</v>
      </c>
      <c r="Q281" s="21">
        <f>R281-T281/$V$30</f>
        <v>644187671.24185646</v>
      </c>
      <c r="R281" s="124">
        <f>R279+20</f>
        <v>644288041</v>
      </c>
      <c r="S281" s="21">
        <f>R281-Q281</f>
        <v>100369.7581435442</v>
      </c>
      <c r="T281" s="180">
        <f>5.1*1000000/8</f>
        <v>637500</v>
      </c>
      <c r="U281" s="3">
        <v>0</v>
      </c>
      <c r="V281" s="20">
        <f>T281+U281*$V$38</f>
        <v>637500</v>
      </c>
      <c r="W281" s="20">
        <f>AA281*1000000/8</f>
        <v>1153666.25</v>
      </c>
      <c r="X281" s="332">
        <f>W281-V281</f>
        <v>516166.25</v>
      </c>
      <c r="Y281" s="331"/>
      <c r="Z281" s="330"/>
      <c r="AA281" s="77">
        <f>AQ281+0.1</f>
        <v>9.2293299999999991</v>
      </c>
      <c r="AD281" s="179">
        <f>AK281</f>
        <v>5.0999999999999996</v>
      </c>
      <c r="AE281" s="99"/>
      <c r="AH281" s="278" t="str">
        <f>AL281</f>
        <v>TRK_194_1</v>
      </c>
      <c r="AI281" s="408" t="s">
        <v>999</v>
      </c>
      <c r="AJ281" s="40">
        <f>X281*8/1000000</f>
        <v>4.1293300000000004</v>
      </c>
      <c r="AK281" s="40">
        <f>V281*8/1000000</f>
        <v>5.0999999999999996</v>
      </c>
      <c r="AL281" s="279" t="s">
        <v>966</v>
      </c>
      <c r="AM281" s="279" t="s">
        <v>967</v>
      </c>
      <c r="AN281">
        <v>0.27261099999999999</v>
      </c>
      <c r="AO281">
        <v>1.3100350000000001</v>
      </c>
      <c r="AP281">
        <v>1.0374239999999999</v>
      </c>
      <c r="AQ281" s="269">
        <v>9.1293299999999995</v>
      </c>
    </row>
    <row r="282" spans="1:43" ht="13.5" customHeight="1">
      <c r="A282" t="s">
        <v>5693</v>
      </c>
      <c r="C282" s="3">
        <v>104</v>
      </c>
      <c r="D282" s="3">
        <v>105</v>
      </c>
      <c r="E282" s="3"/>
      <c r="F282" s="3"/>
      <c r="G282" s="3" t="s">
        <v>50</v>
      </c>
      <c r="H282" s="3"/>
      <c r="I282" s="3"/>
      <c r="L282" s="78" t="s">
        <v>1000</v>
      </c>
      <c r="M282" s="78" t="s">
        <v>1036</v>
      </c>
      <c r="N282" t="s">
        <v>1035</v>
      </c>
      <c r="O282" s="84" t="s">
        <v>1266</v>
      </c>
      <c r="P282" s="32" t="str">
        <f>MID(AL282,5,5)</f>
        <v/>
      </c>
      <c r="Q282" s="124">
        <f>R270-5</f>
        <v>644923310</v>
      </c>
      <c r="R282" s="21">
        <f>((W282-U282*$V$38)/$V$22)+Q282</f>
        <v>644993181.58951569</v>
      </c>
      <c r="S282" s="21">
        <f>R282-Q282</f>
        <v>69871.589515686035</v>
      </c>
      <c r="T282" s="21">
        <f>S282*$V$22</f>
        <v>318791.25000006845</v>
      </c>
      <c r="U282" s="3">
        <v>1</v>
      </c>
      <c r="V282" s="20">
        <f>T282+U282*$V$38</f>
        <v>516166.25000006845</v>
      </c>
      <c r="W282" s="178">
        <f>X281</f>
        <v>516166.25</v>
      </c>
      <c r="X282" s="332">
        <f>W282-V282</f>
        <v>-6.8452209234237671E-8</v>
      </c>
      <c r="Y282" s="331"/>
      <c r="Z282" s="330"/>
      <c r="AA282" s="77"/>
      <c r="AD282" s="118">
        <f>AK282</f>
        <v>4.1293300000005475</v>
      </c>
      <c r="AE282" s="99"/>
      <c r="AH282" s="278"/>
      <c r="AI282" s="408"/>
      <c r="AJ282" s="40">
        <f>X282*8/1000000</f>
        <v>-5.4761767387390135E-13</v>
      </c>
      <c r="AK282" s="40">
        <f>V282*8/1000000</f>
        <v>4.1293300000005475</v>
      </c>
      <c r="AL282" s="279"/>
      <c r="AM282" s="279"/>
      <c r="AQ282" s="269"/>
    </row>
    <row r="283" spans="1:43" ht="13.5" customHeight="1">
      <c r="A283" t="s">
        <v>5693</v>
      </c>
      <c r="C283" s="3">
        <v>104</v>
      </c>
      <c r="D283" s="3">
        <v>105</v>
      </c>
      <c r="G283" s="3" t="s">
        <v>50</v>
      </c>
      <c r="L283" s="78" t="str">
        <f>M282</f>
        <v>179/22:54</v>
      </c>
      <c r="M283" s="78" t="s">
        <v>1037</v>
      </c>
      <c r="N283" t="s">
        <v>1035</v>
      </c>
      <c r="O283" s="84" t="str">
        <f>AI283</f>
        <v>194/22:57</v>
      </c>
      <c r="P283" s="32" t="str">
        <f>MID(AL283,5,5)</f>
        <v>194_2</v>
      </c>
      <c r="Q283" s="58">
        <f>R282-1</f>
        <v>644993180.58951569</v>
      </c>
      <c r="R283" s="21">
        <f>((W283-U283*$V$38)/$V$22)+Q283</f>
        <v>645404948.53246129</v>
      </c>
      <c r="S283" s="21">
        <f>R283-Q283</f>
        <v>411767.94294559956</v>
      </c>
      <c r="T283" s="21">
        <f>S283*$V$22</f>
        <v>1878703.7500000647</v>
      </c>
      <c r="U283" s="3">
        <v>0</v>
      </c>
      <c r="V283" s="20">
        <f>T283+U283*$V$38</f>
        <v>1878703.7500000647</v>
      </c>
      <c r="W283" s="20">
        <f>AA283*1000000/8</f>
        <v>1878703.75</v>
      </c>
      <c r="X283" s="332">
        <f>W283-V283</f>
        <v>-6.4726918935775757E-8</v>
      </c>
      <c r="Y283" s="331"/>
      <c r="Z283" s="330"/>
      <c r="AA283" s="77">
        <f>AQ283</f>
        <v>15.029629999999999</v>
      </c>
      <c r="AD283" s="118">
        <f>AD282+AK283</f>
        <v>19.158960000001066</v>
      </c>
      <c r="AE283" s="99"/>
      <c r="AH283" s="279" t="s">
        <v>968</v>
      </c>
      <c r="AI283" s="279" t="s">
        <v>998</v>
      </c>
      <c r="AJ283" s="40">
        <f>X283*8/1000000</f>
        <v>-5.1781535148620602E-13</v>
      </c>
      <c r="AK283" s="40">
        <f>V283*8/1000000</f>
        <v>15.029630000000518</v>
      </c>
      <c r="AL283" s="279" t="s">
        <v>968</v>
      </c>
      <c r="AM283" s="279" t="s">
        <v>969</v>
      </c>
      <c r="AN283">
        <v>0.20042599999999999</v>
      </c>
      <c r="AO283">
        <v>1.9083380000000001</v>
      </c>
      <c r="AP283">
        <v>1.7079120000000001</v>
      </c>
      <c r="AQ283" s="269">
        <v>15.029629999999999</v>
      </c>
    </row>
    <row r="284" spans="1:43" ht="13.5" customHeight="1">
      <c r="A284" t="s">
        <v>5693</v>
      </c>
      <c r="C284" s="3">
        <v>104</v>
      </c>
      <c r="D284" s="3">
        <v>105</v>
      </c>
      <c r="G284" s="3" t="s">
        <v>50</v>
      </c>
      <c r="L284" s="78" t="str">
        <f>M283</f>
        <v>184/17:17</v>
      </c>
      <c r="M284" s="78" t="s">
        <v>1038</v>
      </c>
      <c r="N284" t="s">
        <v>1035</v>
      </c>
      <c r="O284" s="84" t="str">
        <f>AI284</f>
        <v>195/12:22</v>
      </c>
      <c r="P284" s="32" t="str">
        <f>MID(AL284,5,5)</f>
        <v>195_1</v>
      </c>
      <c r="Q284" s="58">
        <f>R283-1</f>
        <v>645404947.53246129</v>
      </c>
      <c r="R284" s="21">
        <f>((W284-U284*$V$38)/$V$22)+Q284</f>
        <v>645654144.17441666</v>
      </c>
      <c r="S284" s="21">
        <f>R284-Q284</f>
        <v>249196.64195537567</v>
      </c>
      <c r="T284" s="21">
        <f>S284*$V$22</f>
        <v>1136967.2499999332</v>
      </c>
      <c r="U284" s="3">
        <v>0</v>
      </c>
      <c r="V284" s="20">
        <f>T284+U284*$V$38</f>
        <v>1136967.2499999332</v>
      </c>
      <c r="W284" s="20">
        <f>AA284*1000000/8</f>
        <v>1136967.25</v>
      </c>
      <c r="X284" s="332">
        <f>W284-V284</f>
        <v>6.6822394728660583E-8</v>
      </c>
      <c r="Y284" s="331"/>
      <c r="Z284" s="330"/>
      <c r="AA284" s="77">
        <f>AQ284</f>
        <v>9.0957380000000008</v>
      </c>
      <c r="AD284" s="118">
        <f>AD283+AK284</f>
        <v>28.254698000000531</v>
      </c>
      <c r="AE284" s="99"/>
      <c r="AH284" s="279" t="s">
        <v>970</v>
      </c>
      <c r="AI284" s="279" t="s">
        <v>997</v>
      </c>
      <c r="AJ284" s="40">
        <f>X284*8/1000000</f>
        <v>5.3457915782928464E-13</v>
      </c>
      <c r="AK284" s="40">
        <f>V284*8/1000000</f>
        <v>9.0957379999994661</v>
      </c>
      <c r="AL284" s="279" t="s">
        <v>970</v>
      </c>
      <c r="AM284" s="279" t="s">
        <v>971</v>
      </c>
      <c r="AN284">
        <v>0.37072500000000003</v>
      </c>
      <c r="AO284">
        <v>1.4043319999999999</v>
      </c>
      <c r="AP284">
        <v>1.0336069999999999</v>
      </c>
      <c r="AQ284" s="269">
        <v>9.0957380000000008</v>
      </c>
    </row>
    <row r="285" spans="1:43" ht="13.5" customHeight="1">
      <c r="A285" t="s">
        <v>5693</v>
      </c>
      <c r="C285" s="3">
        <v>104</v>
      </c>
      <c r="D285" s="3">
        <v>105</v>
      </c>
      <c r="G285" s="3" t="s">
        <v>50</v>
      </c>
      <c r="L285" s="78" t="str">
        <f>M284</f>
        <v>187/14:30</v>
      </c>
      <c r="M285" s="78" t="s">
        <v>1039</v>
      </c>
      <c r="N285" t="s">
        <v>1035</v>
      </c>
      <c r="O285" s="84" t="str">
        <f>AI285</f>
        <v>196/00:36</v>
      </c>
      <c r="P285" s="32" t="str">
        <f>MID(AL285,5,5)</f>
        <v>196_1</v>
      </c>
      <c r="Q285" s="58">
        <f>R284-1</f>
        <v>645654143.17441666</v>
      </c>
      <c r="R285" s="21">
        <f>((W285-U285*$V$38)/$V$22)+Q285</f>
        <v>646084146.11922204</v>
      </c>
      <c r="S285" s="21">
        <f>R285-Q285</f>
        <v>430002.94480538368</v>
      </c>
      <c r="T285" s="21">
        <f>S285*$V$22</f>
        <v>1961901.5000001432</v>
      </c>
      <c r="U285" s="3">
        <v>0</v>
      </c>
      <c r="V285" s="20">
        <f>T285+U285*$V$38</f>
        <v>1961901.5000001432</v>
      </c>
      <c r="W285" s="20">
        <f>AA285*1000000/8</f>
        <v>1961901.5</v>
      </c>
      <c r="X285" s="332">
        <f>W285-V285</f>
        <v>-1.4319084584712982E-7</v>
      </c>
      <c r="Y285" s="331"/>
      <c r="Z285" s="330"/>
      <c r="AA285" s="77">
        <f>AQ285</f>
        <v>15.695212</v>
      </c>
      <c r="AD285" s="118">
        <f>AD284+AK285</f>
        <v>43.94991000000168</v>
      </c>
      <c r="AE285" s="99"/>
      <c r="AH285" s="279" t="s">
        <v>972</v>
      </c>
      <c r="AI285" s="279" t="s">
        <v>996</v>
      </c>
      <c r="AJ285" s="40">
        <f>X285*8/1000000</f>
        <v>-1.1455267667770385E-12</v>
      </c>
      <c r="AK285" s="40">
        <f>V285*8/1000000</f>
        <v>15.695212000001145</v>
      </c>
      <c r="AL285" s="279" t="s">
        <v>972</v>
      </c>
      <c r="AM285" s="279" t="s">
        <v>973</v>
      </c>
      <c r="AN285">
        <v>0.210508</v>
      </c>
      <c r="AO285">
        <v>1.9940549999999999</v>
      </c>
      <c r="AP285">
        <v>1.783547</v>
      </c>
      <c r="AQ285" s="269">
        <v>15.695212</v>
      </c>
    </row>
    <row r="286" spans="1:43" ht="13.5" customHeight="1">
      <c r="O286" t="s">
        <v>1251</v>
      </c>
      <c r="P286" s="280" t="s">
        <v>1004</v>
      </c>
      <c r="Q286" s="280" t="s">
        <v>1005</v>
      </c>
      <c r="R286" s="280">
        <v>645155515</v>
      </c>
      <c r="S286" s="280">
        <v>8</v>
      </c>
      <c r="T286" s="280" t="s">
        <v>27</v>
      </c>
      <c r="U286" s="280" t="s">
        <v>1006</v>
      </c>
      <c r="V286" s="280" t="s">
        <v>101</v>
      </c>
      <c r="W286" s="280" t="s">
        <v>102</v>
      </c>
      <c r="X286" s="280" t="s">
        <v>1007</v>
      </c>
      <c r="AD286" s="118"/>
      <c r="AE286" s="99"/>
      <c r="AH286" s="279"/>
      <c r="AI286" s="279"/>
      <c r="AJ286" s="40"/>
      <c r="AK286" s="40"/>
      <c r="AL286" s="279"/>
      <c r="AM286" s="279"/>
      <c r="AQ286" s="269"/>
    </row>
    <row r="287" spans="1:43" ht="13.5" customHeight="1">
      <c r="O287" t="s">
        <v>1013</v>
      </c>
      <c r="P287" s="280" t="s">
        <v>1009</v>
      </c>
      <c r="Q287" s="280" t="s">
        <v>1010</v>
      </c>
      <c r="R287" s="280">
        <v>645161815</v>
      </c>
      <c r="S287" s="280">
        <v>7</v>
      </c>
      <c r="T287" s="280" t="s">
        <v>27</v>
      </c>
      <c r="U287" s="280" t="s">
        <v>1006</v>
      </c>
      <c r="V287" s="280" t="s">
        <v>101</v>
      </c>
      <c r="W287" s="280" t="s">
        <v>102</v>
      </c>
      <c r="X287" s="280" t="s">
        <v>1011</v>
      </c>
      <c r="AD287" s="118"/>
      <c r="AE287" s="99"/>
      <c r="AH287" s="279"/>
      <c r="AI287" s="279"/>
      <c r="AJ287" s="40"/>
      <c r="AK287" s="40"/>
      <c r="AL287" s="279"/>
      <c r="AM287" s="279"/>
      <c r="AQ287" s="269"/>
    </row>
    <row r="288" spans="1:43" ht="13.5" customHeight="1">
      <c r="O288" t="s">
        <v>21</v>
      </c>
      <c r="P288" s="281" t="s">
        <v>1059</v>
      </c>
      <c r="Q288" s="281" t="s">
        <v>1060</v>
      </c>
      <c r="R288" s="281">
        <v>645161840</v>
      </c>
      <c r="S288" s="281">
        <v>1</v>
      </c>
      <c r="T288" s="281" t="s">
        <v>27</v>
      </c>
      <c r="U288" s="281" t="s">
        <v>1006</v>
      </c>
      <c r="V288" s="281" t="s">
        <v>118</v>
      </c>
      <c r="W288" s="281"/>
      <c r="X288" s="281" t="s">
        <v>1011</v>
      </c>
      <c r="AD288" s="118"/>
      <c r="AE288" s="99"/>
      <c r="AH288" s="279"/>
      <c r="AI288" s="279"/>
      <c r="AJ288" s="40"/>
      <c r="AK288" s="40"/>
      <c r="AL288" s="279"/>
      <c r="AM288" s="279"/>
      <c r="AN288">
        <f t="shared" ref="AN288:AO288" si="114">$AQ289/AN289</f>
        <v>40.914089817982493</v>
      </c>
      <c r="AO288">
        <f t="shared" si="114"/>
        <v>7.2422931255415888</v>
      </c>
      <c r="AP288">
        <f>$AQ289/AP289</f>
        <v>8.8000006098007173</v>
      </c>
      <c r="AQ288" s="269"/>
    </row>
    <row r="289" spans="1:43" ht="13.5" customHeight="1">
      <c r="A289" t="s">
        <v>1003</v>
      </c>
      <c r="C289" s="3"/>
      <c r="D289" s="3"/>
      <c r="E289" s="3"/>
      <c r="F289" s="3"/>
      <c r="G289" s="3"/>
      <c r="H289" s="3"/>
      <c r="I289" s="3"/>
      <c r="J289" s="3" t="s">
        <v>228</v>
      </c>
      <c r="K289" s="3" t="s">
        <v>825</v>
      </c>
      <c r="L289" s="47" t="s">
        <v>1001</v>
      </c>
      <c r="M289" s="47" t="s">
        <v>1002</v>
      </c>
      <c r="N289" t="s">
        <v>1008</v>
      </c>
      <c r="O289" s="84" t="str">
        <f>AI289</f>
        <v>196/12:51</v>
      </c>
      <c r="P289" s="32" t="str">
        <f>MID(AL289,5,5)</f>
        <v>196_2</v>
      </c>
      <c r="Q289" s="341">
        <f>R286-5</f>
        <v>645155510</v>
      </c>
      <c r="R289" s="176">
        <f>R288+20</f>
        <v>645161860</v>
      </c>
      <c r="S289" s="21">
        <f>R289-Q289</f>
        <v>6350</v>
      </c>
      <c r="T289" s="176">
        <f>5.4*1000000/8</f>
        <v>675000</v>
      </c>
      <c r="U289" s="3"/>
      <c r="V289" s="20">
        <f>T289+U289*$V$38</f>
        <v>675000</v>
      </c>
      <c r="W289" s="20">
        <f>AA289*1000000/8</f>
        <v>1082320.875</v>
      </c>
      <c r="X289" s="332">
        <f>W289-V289</f>
        <v>407320.875</v>
      </c>
      <c r="Y289" s="331"/>
      <c r="Z289" s="330"/>
      <c r="AA289" s="77">
        <f>AQ289</f>
        <v>8.6585669999999997</v>
      </c>
      <c r="AC289" s="129">
        <f>AK289</f>
        <v>5.4</v>
      </c>
      <c r="AD289" t="s">
        <v>829</v>
      </c>
      <c r="AH289" s="279" t="s">
        <v>974</v>
      </c>
      <c r="AI289" s="279" t="s">
        <v>995</v>
      </c>
      <c r="AJ289" s="40">
        <f>X289*8/1000000</f>
        <v>3.2585670000000002</v>
      </c>
      <c r="AK289" s="40">
        <f>V289*8/1000000</f>
        <v>5.4</v>
      </c>
      <c r="AL289" s="279" t="s">
        <v>974</v>
      </c>
      <c r="AM289" s="279" t="s">
        <v>975</v>
      </c>
      <c r="AN289">
        <v>0.21162800000000001</v>
      </c>
      <c r="AO289">
        <v>1.1955560000000001</v>
      </c>
      <c r="AP289">
        <v>0.98392800000000002</v>
      </c>
      <c r="AQ289" s="269">
        <v>8.6585669999999997</v>
      </c>
    </row>
    <row r="290" spans="1:43" ht="13.5" customHeight="1">
      <c r="A290" t="s">
        <v>5693</v>
      </c>
      <c r="C290" s="3">
        <v>104</v>
      </c>
      <c r="D290" s="3">
        <v>105</v>
      </c>
      <c r="G290" s="3" t="s">
        <v>50</v>
      </c>
      <c r="H290" s="3"/>
      <c r="I290" s="3"/>
      <c r="J290" s="3"/>
      <c r="K290" s="3"/>
      <c r="L290" s="78" t="str">
        <f>M285</f>
        <v>192/13:57</v>
      </c>
      <c r="M290" s="78" t="s">
        <v>1061</v>
      </c>
      <c r="N290" t="s">
        <v>1035</v>
      </c>
      <c r="O290" s="84" t="s">
        <v>1266</v>
      </c>
      <c r="P290" s="32" t="str">
        <f>MID(AL290,5,5)</f>
        <v/>
      </c>
      <c r="Q290" s="58">
        <f>R285-1</f>
        <v>646084145.11922204</v>
      </c>
      <c r="R290" s="21">
        <f>((W290-U290*$V$38)/$V$22)+Q290</f>
        <v>646173420.3329525</v>
      </c>
      <c r="S290" s="21">
        <f>R290-Q290</f>
        <v>89275.213730454445</v>
      </c>
      <c r="T290" s="21">
        <f>S290*$V$22</f>
        <v>407320.87499978225</v>
      </c>
      <c r="U290" s="3">
        <v>0</v>
      </c>
      <c r="V290" s="20">
        <f>T290+U290*$V$38</f>
        <v>407320.87499978225</v>
      </c>
      <c r="W290" s="178">
        <f>X289</f>
        <v>407320.875</v>
      </c>
      <c r="X290" s="332">
        <f>W290-V290</f>
        <v>2.1775485947728157E-7</v>
      </c>
      <c r="Y290" s="331"/>
      <c r="Z290" s="330"/>
      <c r="AA290" s="77"/>
      <c r="AD290" s="177">
        <f>AD285+AK290</f>
        <v>47.208476999999938</v>
      </c>
      <c r="AH290" s="279"/>
      <c r="AI290" s="279"/>
      <c r="AJ290" s="40">
        <f>X290*8/1000000</f>
        <v>1.7420388758182525E-12</v>
      </c>
      <c r="AK290" s="40">
        <f>V290*8/1000000</f>
        <v>3.2585669999982581</v>
      </c>
      <c r="AL290" s="279"/>
      <c r="AM290" s="279"/>
      <c r="AQ290" s="269"/>
    </row>
    <row r="291" spans="1:43" ht="13.5" customHeight="1">
      <c r="C291" s="3"/>
      <c r="D291" s="3"/>
      <c r="G291" s="3"/>
      <c r="H291" s="3"/>
      <c r="I291" s="3"/>
      <c r="J291" s="3"/>
      <c r="K291" s="3"/>
      <c r="L291" s="78"/>
      <c r="M291" s="78"/>
      <c r="O291" t="s">
        <v>1029</v>
      </c>
      <c r="P291" s="280" t="s">
        <v>1030</v>
      </c>
      <c r="Q291" s="281" t="s">
        <v>1031</v>
      </c>
      <c r="R291" s="281">
        <v>616842836</v>
      </c>
      <c r="S291" s="280">
        <v>7</v>
      </c>
      <c r="T291" s="280" t="s">
        <v>27</v>
      </c>
      <c r="U291" s="280" t="s">
        <v>1032</v>
      </c>
      <c r="V291" s="280" t="s">
        <v>101</v>
      </c>
      <c r="W291" s="280" t="s">
        <v>102</v>
      </c>
      <c r="X291" s="280" t="s">
        <v>1033</v>
      </c>
      <c r="Y291" s="331"/>
      <c r="Z291" s="330"/>
      <c r="AA291" s="77"/>
      <c r="AD291" s="118"/>
      <c r="AE291" t="s">
        <v>5692</v>
      </c>
      <c r="AF291" t="s">
        <v>5691</v>
      </c>
      <c r="AH291" s="279"/>
      <c r="AI291" s="279"/>
      <c r="AJ291" s="40"/>
      <c r="AK291" s="40"/>
      <c r="AL291" s="279"/>
      <c r="AM291" s="279"/>
      <c r="AQ291" s="269"/>
    </row>
    <row r="292" spans="1:43" ht="13.5" customHeight="1">
      <c r="C292" s="3"/>
      <c r="D292" s="3"/>
      <c r="G292" s="3"/>
      <c r="H292" s="3"/>
      <c r="I292" s="3"/>
      <c r="J292" s="3" t="s">
        <v>228</v>
      </c>
      <c r="K292" s="3" t="s">
        <v>825</v>
      </c>
      <c r="L292" s="47" t="s">
        <v>1063</v>
      </c>
      <c r="M292" s="47" t="s">
        <v>1019</v>
      </c>
      <c r="N292" t="s">
        <v>1034</v>
      </c>
      <c r="O292" s="84" t="str">
        <f>AI292</f>
        <v>197/03:26</v>
      </c>
      <c r="P292" s="32" t="str">
        <f>MID(AL292,5,5)</f>
        <v>197_1</v>
      </c>
      <c r="Q292" s="58">
        <f>R245-3</f>
        <v>603989405.01880622</v>
      </c>
      <c r="R292" s="21">
        <f>((W292)/$X$9)+Q292</f>
        <v>604588097.88287854</v>
      </c>
      <c r="S292" s="21">
        <f>R292-Q292</f>
        <v>598692.86407232285</v>
      </c>
      <c r="T292" s="21">
        <f>S292*$X$9</f>
        <v>2212728.1249999357</v>
      </c>
      <c r="U292" s="3">
        <v>0</v>
      </c>
      <c r="V292" s="20">
        <f>T292+U292*$V$38</f>
        <v>2212728.1249999357</v>
      </c>
      <c r="W292" s="20">
        <f>AA292*1000000/8</f>
        <v>2212728.125</v>
      </c>
      <c r="X292" s="332">
        <f>W292-V292</f>
        <v>6.4261257648468018E-8</v>
      </c>
      <c r="Y292" s="331"/>
      <c r="Z292" s="330"/>
      <c r="AA292" s="77">
        <f>AQ292</f>
        <v>17.701824999999999</v>
      </c>
      <c r="AC292" s="129">
        <f>AK292</f>
        <v>17.701824999999484</v>
      </c>
      <c r="AD292" s="118"/>
      <c r="AE292" t="s">
        <v>5690</v>
      </c>
      <c r="AH292" s="279" t="str">
        <f>AL292</f>
        <v>TRK_197_1</v>
      </c>
      <c r="AI292" s="279" t="s">
        <v>1066</v>
      </c>
      <c r="AJ292" s="40">
        <f>X292*8/1000000</f>
        <v>5.1409006118774412E-13</v>
      </c>
      <c r="AK292" s="40">
        <f>V292*8/1000000</f>
        <v>17.701824999999484</v>
      </c>
      <c r="AL292" s="279" t="s">
        <v>1064</v>
      </c>
      <c r="AM292" s="279" t="s">
        <v>1065</v>
      </c>
      <c r="AN292">
        <v>0.21068500000000001</v>
      </c>
      <c r="AO292">
        <v>2.2222559999999998</v>
      </c>
      <c r="AP292">
        <v>2.011571</v>
      </c>
      <c r="AQ292" s="269">
        <v>17.701824999999999</v>
      </c>
    </row>
    <row r="293" spans="1:43" ht="13.5" customHeight="1">
      <c r="N293" s="286" t="s">
        <v>1012</v>
      </c>
      <c r="O293" s="84" t="str">
        <f>AI293</f>
        <v>197/15:01</v>
      </c>
      <c r="P293" s="32" t="str">
        <f>MID(AL293,5,5)</f>
        <v>197_2</v>
      </c>
      <c r="Q293" s="85">
        <f>R247-1</f>
        <v>-1</v>
      </c>
      <c r="R293" s="28">
        <f>((W293)/$W$9)+Q293</f>
        <v>170822.03166868188</v>
      </c>
      <c r="S293" s="21">
        <f>R293-Q293</f>
        <v>170823.03166868188</v>
      </c>
      <c r="T293" s="21">
        <f>265057+21845+265057</f>
        <v>551959</v>
      </c>
      <c r="U293" s="3"/>
      <c r="V293" s="20">
        <f>T293+U293*$V$38</f>
        <v>551959</v>
      </c>
      <c r="W293" s="20">
        <f>AA293*1000000/8</f>
        <v>629331.375</v>
      </c>
      <c r="X293" s="332">
        <f>W293-V293</f>
        <v>77372.375</v>
      </c>
      <c r="Y293" s="331"/>
      <c r="Z293" s="330"/>
      <c r="AA293" s="77">
        <f>AQ293</f>
        <v>5.0346510000000002</v>
      </c>
      <c r="AB293">
        <f>X293*8/1000000</f>
        <v>0.61897899999999995</v>
      </c>
      <c r="AC293" t="s">
        <v>1027</v>
      </c>
      <c r="AE293">
        <v>265057</v>
      </c>
      <c r="AF293">
        <v>21845</v>
      </c>
      <c r="AH293" s="279" t="str">
        <f>AL293</f>
        <v>TRK_197_2</v>
      </c>
      <c r="AI293" s="279" t="s">
        <v>989</v>
      </c>
      <c r="AJ293" s="40">
        <f>X293*8/1000000</f>
        <v>0.61897899999999995</v>
      </c>
      <c r="AK293" s="40">
        <f>V293*8/1000000</f>
        <v>4.4156719999999998</v>
      </c>
      <c r="AL293" s="279" t="s">
        <v>34</v>
      </c>
      <c r="AM293" s="279" t="s">
        <v>976</v>
      </c>
      <c r="AN293">
        <v>0.201819</v>
      </c>
      <c r="AO293">
        <v>0.77393800000000001</v>
      </c>
      <c r="AP293">
        <v>0.57211900000000004</v>
      </c>
      <c r="AQ293" s="269">
        <v>5.0346510000000002</v>
      </c>
    </row>
    <row r="294" spans="1:43" ht="13.5" customHeight="1">
      <c r="O294" t="s">
        <v>1044</v>
      </c>
      <c r="P294" s="282" t="s">
        <v>1041</v>
      </c>
      <c r="Q294" s="282" t="s">
        <v>1042</v>
      </c>
      <c r="R294" s="282">
        <v>629506577</v>
      </c>
      <c r="S294" s="282">
        <v>0</v>
      </c>
      <c r="T294" s="282" t="s">
        <v>409</v>
      </c>
      <c r="U294" s="282" t="s">
        <v>1043</v>
      </c>
      <c r="V294" s="282" t="s">
        <v>416</v>
      </c>
      <c r="W294" s="282" t="s">
        <v>417</v>
      </c>
      <c r="X294" s="407"/>
      <c r="Y294" s="331"/>
      <c r="Z294" s="330"/>
      <c r="AA294" s="77"/>
      <c r="AE294">
        <f>AE293*8/1000000</f>
        <v>2.1204559999999999</v>
      </c>
      <c r="AF294">
        <f>AF293*8/1000000</f>
        <v>0.17476</v>
      </c>
      <c r="AG294">
        <f>AF294+AE294</f>
        <v>2.2952159999999999</v>
      </c>
      <c r="AH294" s="279"/>
      <c r="AI294" s="279"/>
      <c r="AJ294" s="40"/>
      <c r="AK294" s="40"/>
      <c r="AL294" s="279"/>
      <c r="AM294" s="279"/>
      <c r="AQ294" s="269"/>
    </row>
    <row r="295" spans="1:43" ht="13.5" customHeight="1">
      <c r="C295" s="3">
        <v>104</v>
      </c>
      <c r="D295" s="3">
        <v>105</v>
      </c>
      <c r="G295" s="3" t="s">
        <v>50</v>
      </c>
      <c r="L295" s="78" t="s">
        <v>1040</v>
      </c>
      <c r="M295" s="78" t="s">
        <v>1045</v>
      </c>
      <c r="N295" t="s">
        <v>1044</v>
      </c>
      <c r="O295" t="s">
        <v>1266</v>
      </c>
      <c r="P295" s="32" t="str">
        <f>MID(AL295,5,5)</f>
        <v/>
      </c>
      <c r="Q295" s="341">
        <f>R294-5</f>
        <v>629506572</v>
      </c>
      <c r="R295" s="21">
        <f>((W295-U295*$V$38)/$V$22)+Q295</f>
        <v>629523530.21584141</v>
      </c>
      <c r="S295" s="21">
        <f>R295-Q295</f>
        <v>16958.215841412544</v>
      </c>
      <c r="T295" s="21">
        <f>S295*$V$22</f>
        <v>77372.375000016313</v>
      </c>
      <c r="U295" s="3">
        <v>0</v>
      </c>
      <c r="V295" s="20">
        <f>T295+U295*$V$38</f>
        <v>77372.375000016313</v>
      </c>
      <c r="W295" s="178">
        <f>X293</f>
        <v>77372.375</v>
      </c>
      <c r="X295" s="332">
        <f>W295-V295</f>
        <v>-1.6312696970999241E-8</v>
      </c>
      <c r="Y295" s="331"/>
      <c r="Z295" s="330"/>
      <c r="AA295" s="77"/>
      <c r="AD295" s="118">
        <f>AK295</f>
        <v>0.61897900000013051</v>
      </c>
      <c r="AH295" s="279"/>
      <c r="AI295" s="279"/>
      <c r="AJ295" s="40">
        <f>X295*8/1000000</f>
        <v>-1.3050157576799393E-13</v>
      </c>
      <c r="AK295" s="40">
        <f>V295*8/1000000</f>
        <v>0.61897900000013051</v>
      </c>
      <c r="AL295" s="279"/>
      <c r="AM295" s="279"/>
      <c r="AQ295" s="269"/>
    </row>
    <row r="296" spans="1:43" ht="13.5" customHeight="1">
      <c r="C296" s="3">
        <v>104</v>
      </c>
      <c r="D296" s="3">
        <v>105</v>
      </c>
      <c r="G296" s="3" t="s">
        <v>50</v>
      </c>
      <c r="L296" s="78" t="str">
        <f>M295</f>
        <v>25-365/21:47</v>
      </c>
      <c r="M296" s="78" t="s">
        <v>1046</v>
      </c>
      <c r="N296" t="s">
        <v>1044</v>
      </c>
      <c r="O296" s="84" t="str">
        <f>AI296</f>
        <v>198/03:56</v>
      </c>
      <c r="P296" s="32" t="str">
        <f>MID(AL296,5,5)</f>
        <v>198_1</v>
      </c>
      <c r="Q296" s="58">
        <f>R295-1</f>
        <v>629523529.21584141</v>
      </c>
      <c r="R296" s="21">
        <f>((W296-U296*$V$38)/$V$22)+Q296</f>
        <v>630235396.22890353</v>
      </c>
      <c r="S296" s="21">
        <f>R296-Q296</f>
        <v>711867.01306211948</v>
      </c>
      <c r="T296" s="21">
        <f>S296*$V$22</f>
        <v>3247914.8749999632</v>
      </c>
      <c r="U296" s="3">
        <v>0</v>
      </c>
      <c r="V296" s="20">
        <f>T296+U296*$V$38</f>
        <v>3247914.8749999632</v>
      </c>
      <c r="W296" s="20">
        <f>AA296*1000000/8</f>
        <v>3247914.875</v>
      </c>
      <c r="X296" s="332">
        <f>W296-V296</f>
        <v>3.6787241697311401E-8</v>
      </c>
      <c r="Y296" s="331"/>
      <c r="Z296" s="330"/>
      <c r="AA296" s="77">
        <f>AQ296</f>
        <v>25.983319000000002</v>
      </c>
      <c r="AD296" s="118">
        <f>AD295+AK296</f>
        <v>26.602297999999838</v>
      </c>
      <c r="AH296" s="279" t="s">
        <v>977</v>
      </c>
      <c r="AI296" s="279" t="s">
        <v>990</v>
      </c>
      <c r="AJ296" s="40">
        <f>X296*8/1000000</f>
        <v>2.942979335784912E-13</v>
      </c>
      <c r="AK296" s="40">
        <f>V296*8/1000000</f>
        <v>25.983318999999707</v>
      </c>
      <c r="AL296" s="279" t="s">
        <v>977</v>
      </c>
      <c r="AM296" s="279" t="s">
        <v>978</v>
      </c>
      <c r="AN296">
        <v>0.22420200000000001</v>
      </c>
      <c r="AO296">
        <v>3.1768519999999998</v>
      </c>
      <c r="AP296">
        <v>2.9526500000000002</v>
      </c>
      <c r="AQ296" s="269">
        <v>25.983319000000002</v>
      </c>
    </row>
    <row r="297" spans="1:43" ht="13.5" customHeight="1">
      <c r="C297" s="3">
        <v>104</v>
      </c>
      <c r="D297" s="3">
        <v>105</v>
      </c>
      <c r="G297" s="3" t="s">
        <v>50</v>
      </c>
      <c r="L297" s="78" t="str">
        <f>M296</f>
        <v>26-009/03:31</v>
      </c>
      <c r="M297" s="78" t="s">
        <v>1062</v>
      </c>
      <c r="N297" t="s">
        <v>1044</v>
      </c>
      <c r="O297" s="84" t="str">
        <f>AI297</f>
        <v>199/02:36</v>
      </c>
      <c r="P297" s="32" t="str">
        <f>MID(AL297,5,5)</f>
        <v>199_1</v>
      </c>
      <c r="Q297" s="58">
        <f>R296-1</f>
        <v>630235395.22890353</v>
      </c>
      <c r="R297" s="21">
        <f>((W297-U297*$V$38)/$V$22)+Q297</f>
        <v>630695495.94588888</v>
      </c>
      <c r="S297" s="21">
        <f>R297-Q297</f>
        <v>460100.71698534489</v>
      </c>
      <c r="T297" s="21">
        <f>S297*$V$22</f>
        <v>2099223.5000000587</v>
      </c>
      <c r="U297" s="3">
        <v>0</v>
      </c>
      <c r="V297" s="20">
        <f>T297+U297*$V$38</f>
        <v>2099223.5000000587</v>
      </c>
      <c r="W297" s="20">
        <f>AA297*1000000/8</f>
        <v>2099223.5</v>
      </c>
      <c r="X297" s="332">
        <f>W297-V297</f>
        <v>-5.8673322200775146E-8</v>
      </c>
      <c r="Y297" s="331"/>
      <c r="Z297" s="330"/>
      <c r="AA297" s="77">
        <f>AQ297</f>
        <v>16.793787999999999</v>
      </c>
      <c r="AD297" s="118">
        <f>AD296+AK297</f>
        <v>43.396086000000309</v>
      </c>
      <c r="AH297" s="279" t="s">
        <v>979</v>
      </c>
      <c r="AI297" s="279" t="s">
        <v>991</v>
      </c>
      <c r="AJ297" s="40">
        <f>X297*8/1000000</f>
        <v>-4.6938657760620117E-13</v>
      </c>
      <c r="AK297" s="40">
        <f>V297*8/1000000</f>
        <v>16.793788000000468</v>
      </c>
      <c r="AL297" s="279" t="s">
        <v>979</v>
      </c>
      <c r="AM297" s="279" t="s">
        <v>980</v>
      </c>
      <c r="AN297">
        <v>0.25603500000000001</v>
      </c>
      <c r="AO297">
        <v>2.1644199999999998</v>
      </c>
      <c r="AP297">
        <v>1.908385</v>
      </c>
      <c r="AQ297" s="269">
        <v>16.793787999999999</v>
      </c>
    </row>
    <row r="298" spans="1:43" ht="13.5" customHeight="1">
      <c r="N298" s="6"/>
      <c r="Y298" s="331"/>
      <c r="Z298" s="330"/>
      <c r="AA298" s="77"/>
      <c r="AH298" s="279"/>
      <c r="AI298" s="279"/>
      <c r="AJ298" s="40"/>
      <c r="AK298" s="40"/>
      <c r="AL298" s="279"/>
      <c r="AM298" s="279"/>
      <c r="AQ298" s="269"/>
    </row>
    <row r="299" spans="1:43" ht="13.5" customHeight="1">
      <c r="N299" s="6"/>
      <c r="Y299" s="331"/>
      <c r="Z299" s="330"/>
      <c r="AA299" s="77"/>
      <c r="AH299" s="279"/>
      <c r="AI299" s="279"/>
      <c r="AJ299" s="40"/>
      <c r="AK299" s="40"/>
      <c r="AL299" s="279"/>
      <c r="AM299" s="279"/>
      <c r="AQ299" s="269"/>
    </row>
    <row r="300" spans="1:43" ht="13.5" customHeight="1">
      <c r="J300" s="3" t="s">
        <v>228</v>
      </c>
      <c r="K300" s="3" t="s">
        <v>825</v>
      </c>
      <c r="L300" s="47" t="str">
        <f>M292</f>
        <v>25-077/07:16</v>
      </c>
      <c r="M300" s="47" t="s">
        <v>1067</v>
      </c>
      <c r="N300" t="s">
        <v>1034</v>
      </c>
      <c r="O300" s="84" t="str">
        <f>AI300</f>
        <v>199/11:41</v>
      </c>
      <c r="P300" s="32" t="str">
        <f>MID(AL300,5,5)</f>
        <v>199_2</v>
      </c>
      <c r="Q300" s="58">
        <f>R292-3</f>
        <v>604588094.88287854</v>
      </c>
      <c r="R300" s="21">
        <f>((W300)/$X$9)+Q300</f>
        <v>604974375.62836385</v>
      </c>
      <c r="S300" s="21">
        <f>R300-Q300</f>
        <v>386280.74548530579</v>
      </c>
      <c r="T300" s="21">
        <f>S300*$X$9</f>
        <v>1427667.3749998547</v>
      </c>
      <c r="U300" s="3">
        <v>0</v>
      </c>
      <c r="V300" s="20">
        <f>T300+U300*$V$38</f>
        <v>1427667.3749998547</v>
      </c>
      <c r="W300" s="20">
        <f>AA300*1000000/8</f>
        <v>1427667.375</v>
      </c>
      <c r="X300" s="332">
        <f>W300-V300</f>
        <v>1.4528632164001465E-7</v>
      </c>
      <c r="Y300" s="331"/>
      <c r="Z300" s="330"/>
      <c r="AA300" s="77">
        <f>AQ300</f>
        <v>11.421339</v>
      </c>
      <c r="AC300" s="129">
        <f>AK300+AC292</f>
        <v>29.123163999998322</v>
      </c>
      <c r="AH300" s="279" t="s">
        <v>981</v>
      </c>
      <c r="AI300" s="279" t="s">
        <v>992</v>
      </c>
      <c r="AJ300" s="40">
        <f>X300*8/1000000</f>
        <v>1.1622905731201172E-12</v>
      </c>
      <c r="AK300" s="40">
        <f>V300*8/1000000</f>
        <v>11.421338999998838</v>
      </c>
      <c r="AL300" s="279" t="s">
        <v>981</v>
      </c>
      <c r="AM300" s="279" t="s">
        <v>982</v>
      </c>
      <c r="AN300">
        <v>0.18662899999999999</v>
      </c>
      <c r="AO300">
        <v>1.4845079999999999</v>
      </c>
      <c r="AP300">
        <v>1.297879</v>
      </c>
      <c r="AQ300" s="269">
        <v>11.421339</v>
      </c>
    </row>
    <row r="301" spans="1:43" ht="13.5" customHeight="1">
      <c r="C301">
        <v>104</v>
      </c>
      <c r="D301">
        <v>105</v>
      </c>
      <c r="G301" t="s">
        <v>50</v>
      </c>
      <c r="L301" s="78" t="str">
        <f>M297</f>
        <v>26-014/11:20</v>
      </c>
      <c r="M301" s="78" t="s">
        <v>1047</v>
      </c>
      <c r="N301" t="s">
        <v>1044</v>
      </c>
      <c r="O301" s="84" t="str">
        <f>AI301</f>
        <v>200/13:51</v>
      </c>
      <c r="P301" s="32" t="str">
        <f>MID(AL301,5,5)</f>
        <v>200_1</v>
      </c>
      <c r="Q301" s="58">
        <f>R297-1</f>
        <v>630695494.94588888</v>
      </c>
      <c r="R301" s="21">
        <f>((W301-U301*$V$38)/$V$22)+Q301</f>
        <v>630803343.78936124</v>
      </c>
      <c r="S301" s="21">
        <f>R301-Q301</f>
        <v>107848.84347236156</v>
      </c>
      <c r="T301" s="21">
        <f>S301*$V$22</f>
        <v>492063.62500022043</v>
      </c>
      <c r="U301" s="3">
        <v>0</v>
      </c>
      <c r="V301" s="20">
        <f>T301+U301*$V$38</f>
        <v>492063.62500022043</v>
      </c>
      <c r="W301" s="20">
        <f>AA301*1000000/8</f>
        <v>492063.625</v>
      </c>
      <c r="X301" s="332">
        <f>W301-V301</f>
        <v>-2.2043241187930107E-7</v>
      </c>
      <c r="Y301" s="331"/>
      <c r="Z301" s="330"/>
      <c r="AA301" s="77">
        <f>AQ301</f>
        <v>3.936509</v>
      </c>
      <c r="AD301" s="177">
        <f>AD297+AK301</f>
        <v>47.332595000002073</v>
      </c>
      <c r="AH301" s="279" t="s">
        <v>983</v>
      </c>
      <c r="AI301" s="279" t="s">
        <v>993</v>
      </c>
      <c r="AJ301" s="40">
        <f>X301*8/1000000</f>
        <v>-1.7634592950344086E-12</v>
      </c>
      <c r="AK301" s="40">
        <f>V301*8/1000000</f>
        <v>3.9365090000017635</v>
      </c>
      <c r="AL301" s="279" t="s">
        <v>983</v>
      </c>
      <c r="AM301" s="279" t="s">
        <v>984</v>
      </c>
      <c r="AN301">
        <v>0.54563799999999996</v>
      </c>
      <c r="AO301">
        <v>0.99296899999999999</v>
      </c>
      <c r="AP301">
        <v>0.44733099999999998</v>
      </c>
      <c r="AQ301" s="269">
        <v>3.936509</v>
      </c>
    </row>
    <row r="302" spans="1:43" ht="13.5" customHeight="1">
      <c r="J302" s="3" t="s">
        <v>228</v>
      </c>
      <c r="K302" s="3" t="s">
        <v>825</v>
      </c>
      <c r="L302" s="47" t="str">
        <f>M300</f>
        <v>25-081/18:34</v>
      </c>
      <c r="M302" s="47" t="s">
        <v>1024</v>
      </c>
      <c r="N302" t="s">
        <v>1028</v>
      </c>
      <c r="O302" s="84" t="str">
        <f>AI302</f>
        <v>201/06:41</v>
      </c>
      <c r="P302" s="32" t="str">
        <f>MID(AL302,5,5)</f>
        <v>201_1</v>
      </c>
      <c r="Q302" s="58">
        <f>R300-3</f>
        <v>604974372.62836385</v>
      </c>
      <c r="R302" s="341">
        <f>R304</f>
        <v>605079001</v>
      </c>
      <c r="S302" s="21">
        <f>R302-Q302</f>
        <v>104628.37163615227</v>
      </c>
      <c r="T302" s="21">
        <f>S302*$X$9</f>
        <v>386699.34867353365</v>
      </c>
      <c r="U302" s="3">
        <v>0</v>
      </c>
      <c r="V302" s="20">
        <f>T302+U302*$V$38</f>
        <v>386699.34867353365</v>
      </c>
      <c r="W302" s="20">
        <f>AA302*1000000/8</f>
        <v>632848.5</v>
      </c>
      <c r="X302" s="195">
        <f>W302-V302</f>
        <v>246149.15132646635</v>
      </c>
      <c r="Y302" s="331"/>
      <c r="Z302" s="330"/>
      <c r="AA302" s="77">
        <f>AQ302</f>
        <v>5.0627880000000003</v>
      </c>
      <c r="AC302" s="129">
        <f>AC300+AK302</f>
        <v>32.216758789386589</v>
      </c>
      <c r="AH302" s="279" t="s">
        <v>985</v>
      </c>
      <c r="AI302" s="279" t="s">
        <v>994</v>
      </c>
      <c r="AJ302" s="40">
        <f>X302*8/1000000</f>
        <v>1.9691932106117309</v>
      </c>
      <c r="AK302" s="40">
        <f>V302*8/1000000</f>
        <v>3.0935947893882694</v>
      </c>
      <c r="AL302" s="279" t="s">
        <v>985</v>
      </c>
      <c r="AM302" s="279" t="s">
        <v>986</v>
      </c>
      <c r="AN302">
        <v>0.24905099999999999</v>
      </c>
      <c r="AO302">
        <v>0.82436799999999999</v>
      </c>
      <c r="AP302">
        <v>0.57531699999999997</v>
      </c>
      <c r="AQ302" s="269">
        <v>5.0627880000000003</v>
      </c>
    </row>
    <row r="303" spans="1:43" ht="13.5" customHeight="1">
      <c r="J303" s="3" t="s">
        <v>228</v>
      </c>
      <c r="K303" s="3" t="s">
        <v>825</v>
      </c>
      <c r="L303" s="47" t="s">
        <v>1071</v>
      </c>
      <c r="M303" s="47" t="s">
        <v>1070</v>
      </c>
      <c r="N303" t="s">
        <v>1069</v>
      </c>
      <c r="O303" s="84" t="s">
        <v>1266</v>
      </c>
      <c r="P303" s="32" t="str">
        <f>MID(AL303,5,5)</f>
        <v/>
      </c>
      <c r="Q303" s="58">
        <f>R80-3</f>
        <v>608807390.15183246</v>
      </c>
      <c r="R303" s="21">
        <f>((W303)/$S$4)+Q303</f>
        <v>608982856.46091604</v>
      </c>
      <c r="S303" s="21">
        <f>R303-Q303</f>
        <v>175466.30908358097</v>
      </c>
      <c r="T303" s="21">
        <f>S303*$S$4</f>
        <v>246149.15132645614</v>
      </c>
      <c r="U303" s="3">
        <v>0</v>
      </c>
      <c r="V303" s="20">
        <f>T303+U303*$V$38</f>
        <v>246149.15132645614</v>
      </c>
      <c r="W303" s="183">
        <f>X302</f>
        <v>246149.15132646635</v>
      </c>
      <c r="X303" s="332">
        <f>W303-V303</f>
        <v>1.021544449031353E-8</v>
      </c>
      <c r="Y303" s="331"/>
      <c r="Z303" s="330"/>
      <c r="AA303" s="77"/>
      <c r="AC303" s="129">
        <f>AK303</f>
        <v>1.969193210611649</v>
      </c>
      <c r="AJ303" s="40">
        <f>X303*8/1000000</f>
        <v>8.1723555922508245E-14</v>
      </c>
      <c r="AK303" s="40">
        <f>V303*8/1000000</f>
        <v>1.969193210611649</v>
      </c>
      <c r="AQ303">
        <f>SUM(AQ281:AQ302)</f>
        <v>143.54269600000001</v>
      </c>
    </row>
    <row r="304" spans="1:43" ht="13.5" customHeight="1">
      <c r="O304" t="s">
        <v>1025</v>
      </c>
      <c r="P304" s="283" t="s">
        <v>1020</v>
      </c>
      <c r="Q304" s="284" t="s">
        <v>1021</v>
      </c>
      <c r="R304" s="284">
        <v>605079001</v>
      </c>
      <c r="S304" s="285">
        <v>1</v>
      </c>
      <c r="T304" s="285" t="s">
        <v>27</v>
      </c>
      <c r="U304" s="285" t="s">
        <v>1022</v>
      </c>
      <c r="V304" s="285" t="s">
        <v>118</v>
      </c>
      <c r="W304" s="285"/>
      <c r="X304" s="285" t="s">
        <v>1023</v>
      </c>
      <c r="AC304" t="s">
        <v>1202</v>
      </c>
      <c r="AD304" t="s">
        <v>1203</v>
      </c>
    </row>
    <row r="305" spans="1:46" ht="13.5" customHeight="1">
      <c r="C305" s="112" t="s">
        <v>226</v>
      </c>
      <c r="D305" s="112" t="s">
        <v>227</v>
      </c>
      <c r="E305" s="112" t="s">
        <v>51</v>
      </c>
      <c r="F305" s="112" t="s">
        <v>49</v>
      </c>
      <c r="G305" s="112" t="s">
        <v>50</v>
      </c>
      <c r="H305" s="112" t="s">
        <v>53</v>
      </c>
      <c r="I305" s="112" t="s">
        <v>54</v>
      </c>
      <c r="J305" s="112" t="s">
        <v>228</v>
      </c>
      <c r="K305" s="112" t="s">
        <v>825</v>
      </c>
      <c r="P305" s="12" t="s">
        <v>122</v>
      </c>
      <c r="Q305" s="11" t="s">
        <v>5</v>
      </c>
      <c r="R305" s="12" t="s">
        <v>6</v>
      </c>
      <c r="S305" s="12" t="s">
        <v>7</v>
      </c>
      <c r="T305" s="13" t="s">
        <v>8</v>
      </c>
      <c r="U305" s="3" t="s">
        <v>22</v>
      </c>
      <c r="V305" s="13" t="s">
        <v>25</v>
      </c>
      <c r="W305" s="12" t="s">
        <v>26</v>
      </c>
      <c r="X305" s="12" t="s">
        <v>9</v>
      </c>
      <c r="AC305" s="189">
        <f>AC303+AC302+AC289</f>
        <v>39.585951999998237</v>
      </c>
      <c r="AD305" s="177">
        <f>AD301+AD290+AD281</f>
        <v>99.641072000001998</v>
      </c>
    </row>
    <row r="307" spans="1:46" ht="13.5" customHeight="1">
      <c r="X307">
        <v>0.57699999999999996</v>
      </c>
      <c r="Y307">
        <f>X307+Y308</f>
        <v>23.576999999999998</v>
      </c>
      <c r="Z307">
        <f>X307*Z308</f>
        <v>130.97899999999998</v>
      </c>
      <c r="AA307">
        <f>Z307+Y307</f>
        <v>154.55599999999998</v>
      </c>
      <c r="AC307">
        <f>47.2+47.3+5.4+4.4+5.1+32.2+1.97</f>
        <v>143.57000000000002</v>
      </c>
    </row>
    <row r="308" spans="1:46" ht="13.5" customHeight="1">
      <c r="W308">
        <f>222*0.6</f>
        <v>133.19999999999999</v>
      </c>
      <c r="Y308">
        <v>23</v>
      </c>
      <c r="Z308">
        <v>227</v>
      </c>
      <c r="AD308">
        <f>1510-47</f>
        <v>1463</v>
      </c>
    </row>
    <row r="309" spans="1:46" ht="13.5" customHeight="1" thickBot="1"/>
    <row r="310" spans="1:46" ht="13.5" customHeight="1">
      <c r="P310" s="9">
        <v>26201</v>
      </c>
      <c r="T310" s="3"/>
      <c r="V310" s="18"/>
      <c r="X310" t="s">
        <v>295</v>
      </c>
    </row>
    <row r="311" spans="1:46" ht="13.5" customHeight="1">
      <c r="C311" s="112" t="s">
        <v>226</v>
      </c>
      <c r="D311" s="112" t="s">
        <v>227</v>
      </c>
      <c r="E311" s="112" t="s">
        <v>51</v>
      </c>
      <c r="F311" s="112" t="s">
        <v>49</v>
      </c>
      <c r="G311" s="112" t="s">
        <v>50</v>
      </c>
      <c r="H311" s="112" t="s">
        <v>53</v>
      </c>
      <c r="I311" s="112" t="s">
        <v>54</v>
      </c>
      <c r="J311" s="112" t="s">
        <v>228</v>
      </c>
      <c r="K311" s="112" t="s">
        <v>825</v>
      </c>
      <c r="P311" s="12" t="s">
        <v>122</v>
      </c>
      <c r="Q311" s="11" t="s">
        <v>5</v>
      </c>
      <c r="R311" s="12" t="s">
        <v>6</v>
      </c>
      <c r="S311" s="12" t="s">
        <v>7</v>
      </c>
      <c r="T311" s="13" t="s">
        <v>8</v>
      </c>
      <c r="U311" s="3" t="s">
        <v>22</v>
      </c>
      <c r="V311" s="13" t="s">
        <v>25</v>
      </c>
      <c r="W311" s="12" t="s">
        <v>26</v>
      </c>
      <c r="X311" s="12" t="s">
        <v>9</v>
      </c>
      <c r="Y311" t="s">
        <v>1134</v>
      </c>
      <c r="AA311" t="s">
        <v>1057</v>
      </c>
      <c r="AJ311" s="3" t="s">
        <v>1015</v>
      </c>
      <c r="AK311" s="3" t="s">
        <v>1016</v>
      </c>
      <c r="AQ311" t="s">
        <v>1258</v>
      </c>
      <c r="AR311" t="s">
        <v>1264</v>
      </c>
    </row>
    <row r="312" spans="1:46" ht="13.5" customHeight="1">
      <c r="A312" t="s">
        <v>5689</v>
      </c>
      <c r="M312" s="286"/>
      <c r="N312" s="185" t="s">
        <v>1132</v>
      </c>
      <c r="O312" s="84" t="str">
        <f>AI312</f>
        <v>205/03:41</v>
      </c>
      <c r="P312" s="32" t="str">
        <f>MID(AL312,5,5)</f>
        <v>205_1</v>
      </c>
      <c r="Q312" s="3">
        <v>645951158</v>
      </c>
      <c r="R312" s="3">
        <v>645951767</v>
      </c>
      <c r="S312" s="21">
        <f>R312-Q312</f>
        <v>609</v>
      </c>
      <c r="T312" s="21">
        <v>3578250</v>
      </c>
      <c r="U312" s="3"/>
      <c r="V312" s="20">
        <f>T312+U312*$V$38</f>
        <v>3578250</v>
      </c>
      <c r="W312" s="20">
        <f>AA312*1000000/8</f>
        <v>454937.39999999997</v>
      </c>
      <c r="X312" s="332">
        <f>W312-V312</f>
        <v>-3123312.6</v>
      </c>
      <c r="Y312" s="331">
        <f>X312*8/1000000</f>
        <v>-24.986500800000002</v>
      </c>
      <c r="Z312" s="330"/>
      <c r="AA312" s="77">
        <f>AR312</f>
        <v>3.6394991999999999</v>
      </c>
      <c r="AC312" s="184">
        <f>AC310+AK312</f>
        <v>28.626000000000001</v>
      </c>
      <c r="AD312">
        <f>AC312*0.6</f>
        <v>17.175599999999999</v>
      </c>
      <c r="AE312" s="99">
        <f>AC312-AD312</f>
        <v>11.450400000000002</v>
      </c>
      <c r="AH312" s="279" t="str">
        <f>AL312</f>
        <v>TRK_205_1</v>
      </c>
      <c r="AI312" s="279" t="s">
        <v>1109</v>
      </c>
      <c r="AJ312" s="40">
        <f>X312*8/1000000</f>
        <v>-24.986500800000002</v>
      </c>
      <c r="AK312" s="40">
        <f>V312*8/1000000</f>
        <v>28.626000000000001</v>
      </c>
      <c r="AL312" s="286" t="s">
        <v>38</v>
      </c>
      <c r="AM312" s="286" t="s">
        <v>1073</v>
      </c>
      <c r="AN312">
        <v>1.348517</v>
      </c>
      <c r="AO312">
        <v>1.8080499999999999</v>
      </c>
      <c r="AP312">
        <v>0.45953300000000002</v>
      </c>
      <c r="AQ312" s="287">
        <v>4.0438879999999999</v>
      </c>
      <c r="AR312">
        <f>AQ312*0.9</f>
        <v>3.6394991999999999</v>
      </c>
      <c r="AS312" s="286">
        <f>AR312</f>
        <v>3.6394991999999999</v>
      </c>
    </row>
    <row r="313" spans="1:46" ht="13.5" customHeight="1" thickBot="1">
      <c r="O313" s="84" t="str">
        <f>AI313</f>
        <v>205/22:11</v>
      </c>
      <c r="P313" s="32" t="str">
        <f>MID(AL313,5,5)</f>
        <v>205_2</v>
      </c>
      <c r="Q313" s="3"/>
      <c r="R313" s="3"/>
      <c r="S313" s="21"/>
      <c r="T313" s="21"/>
      <c r="U313" s="3"/>
      <c r="V313" s="20">
        <f>T313+U313*$V$38</f>
        <v>0</v>
      </c>
      <c r="W313" s="183">
        <f>AA313*1000000/8+X312</f>
        <v>-242405.06250000047</v>
      </c>
      <c r="X313" s="332">
        <f>W313-V313</f>
        <v>-242405.06250000047</v>
      </c>
      <c r="Y313" s="331">
        <f>X313*8/1000000</f>
        <v>-1.9392405000000037</v>
      </c>
      <c r="Z313" s="330"/>
      <c r="AA313" s="77">
        <f>AR313</f>
        <v>23.047260299999998</v>
      </c>
      <c r="AH313" s="279" t="str">
        <f>AL313</f>
        <v>TRK_205_2</v>
      </c>
      <c r="AI313" t="s">
        <v>1110</v>
      </c>
      <c r="AJ313" s="40">
        <f>X313*8/1000000</f>
        <v>-1.9392405000000037</v>
      </c>
      <c r="AK313" s="40">
        <f>V313*8/1000000</f>
        <v>0</v>
      </c>
      <c r="AL313" t="s">
        <v>1074</v>
      </c>
      <c r="AM313" t="s">
        <v>1075</v>
      </c>
      <c r="AN313">
        <v>0.26355099999999998</v>
      </c>
      <c r="AO313">
        <v>3.173559</v>
      </c>
      <c r="AP313">
        <v>2.9100079999999999</v>
      </c>
      <c r="AQ313" s="287">
        <v>25.608066999999998</v>
      </c>
      <c r="AR313">
        <f>AQ313*0.9</f>
        <v>23.047260299999998</v>
      </c>
      <c r="AS313" s="286">
        <f>AS312+AR313</f>
        <v>26.686759499999997</v>
      </c>
      <c r="AT313">
        <f>28.626</f>
        <v>28.626000000000001</v>
      </c>
    </row>
    <row r="314" spans="1:46" ht="13.5" customHeight="1">
      <c r="M314" s="406"/>
      <c r="N314" s="405" t="s">
        <v>1133</v>
      </c>
      <c r="O314" s="404" t="str">
        <f>AI314</f>
        <v>207/04:26</v>
      </c>
      <c r="P314" s="403" t="str">
        <f>MID(AL314,5,5)</f>
        <v>207_1</v>
      </c>
      <c r="Q314" s="251">
        <v>645951790</v>
      </c>
      <c r="R314" s="251">
        <v>645952358</v>
      </c>
      <c r="S314" s="402">
        <f>R314-Q314</f>
        <v>568</v>
      </c>
      <c r="T314" s="402">
        <v>3759250</v>
      </c>
      <c r="U314" s="251"/>
      <c r="V314" s="401">
        <f>T314+U314*$V$38</f>
        <v>3759250</v>
      </c>
      <c r="W314" s="400">
        <f>AA314*1000000/8+X313</f>
        <v>845500.87499999953</v>
      </c>
      <c r="X314" s="399">
        <f>W314-V314</f>
        <v>-2913749.1250000005</v>
      </c>
      <c r="Y314" s="398">
        <f>X314*8/1000000</f>
        <v>-23.309993000000002</v>
      </c>
      <c r="Z314" s="397"/>
      <c r="AA314" s="396">
        <f>AR314</f>
        <v>8.7032474999999998</v>
      </c>
      <c r="AB314" s="395"/>
      <c r="AC314" s="394">
        <f>AC312+AK314</f>
        <v>58.7</v>
      </c>
      <c r="AD314" s="99">
        <f>AC314+AC312</f>
        <v>87.326000000000008</v>
      </c>
      <c r="AE314" t="s">
        <v>5688</v>
      </c>
      <c r="AF314" s="99"/>
      <c r="AH314" s="279" t="str">
        <f>AL314</f>
        <v>TRK_207_1</v>
      </c>
      <c r="AI314" t="s">
        <v>1111</v>
      </c>
      <c r="AJ314" s="40">
        <f>X314*8/1000000</f>
        <v>-23.309993000000002</v>
      </c>
      <c r="AK314" s="40">
        <f>V314*8/1000000</f>
        <v>30.074000000000002</v>
      </c>
      <c r="AL314" s="286" t="s">
        <v>1072</v>
      </c>
      <c r="AM314" s="286" t="s">
        <v>1076</v>
      </c>
      <c r="AN314">
        <v>0.34161599999999998</v>
      </c>
      <c r="AO314">
        <v>1.4405110000000001</v>
      </c>
      <c r="AP314">
        <v>1.098895</v>
      </c>
      <c r="AQ314" s="287">
        <v>9.6702750000000002</v>
      </c>
      <c r="AR314">
        <f>AQ314*0.9</f>
        <v>8.7032474999999998</v>
      </c>
      <c r="AS314" s="286">
        <f>AS313+AR314</f>
        <v>35.390006999999997</v>
      </c>
    </row>
    <row r="315" spans="1:46" ht="13.5" customHeight="1">
      <c r="M315">
        <f>16+18+66+90+23+164+33</f>
        <v>410</v>
      </c>
      <c r="N315" s="142" t="s">
        <v>1135</v>
      </c>
      <c r="O315" s="393" t="str">
        <f>AI315</f>
        <v>207/22:05</v>
      </c>
      <c r="P315" s="392" t="str">
        <f>MID(AL315,5,5)</f>
        <v>207_2</v>
      </c>
      <c r="Q315" s="2"/>
      <c r="R315" s="2"/>
      <c r="S315" s="391"/>
      <c r="T315" s="391"/>
      <c r="U315" s="2"/>
      <c r="V315" s="312">
        <f>T315+U315*$V$38</f>
        <v>0</v>
      </c>
      <c r="W315" s="390">
        <f>AA315*1000000/8+X314</f>
        <v>-2606388.4375000005</v>
      </c>
      <c r="X315" s="389">
        <f>W315-V315</f>
        <v>-2606388.4375000005</v>
      </c>
      <c r="Y315" s="388">
        <f>X315*8/1000000</f>
        <v>-20.851107500000005</v>
      </c>
      <c r="Z315" s="387"/>
      <c r="AA315" s="386">
        <f>AR315</f>
        <v>2.4588855000000001</v>
      </c>
      <c r="AB315" s="142"/>
      <c r="AC315" s="385"/>
      <c r="AD315" s="99">
        <f>AC314-AC312</f>
        <v>30.074000000000002</v>
      </c>
      <c r="AH315" s="279" t="str">
        <f>AL315</f>
        <v>TRK_207_2</v>
      </c>
      <c r="AI315" t="s">
        <v>1131</v>
      </c>
      <c r="AJ315" s="40">
        <f>X315*8/1000000</f>
        <v>-20.851107500000005</v>
      </c>
      <c r="AK315" s="40">
        <f>V315*8/1000000</f>
        <v>0</v>
      </c>
      <c r="AL315" t="s">
        <v>1077</v>
      </c>
      <c r="AM315" t="s">
        <v>1078</v>
      </c>
      <c r="AN315">
        <v>0.26087700000000003</v>
      </c>
      <c r="AO315">
        <v>0.57134200000000002</v>
      </c>
      <c r="AP315">
        <v>0.31046499999999999</v>
      </c>
      <c r="AQ315" s="287">
        <v>2.7320950000000002</v>
      </c>
      <c r="AR315">
        <f>AQ315*0.9</f>
        <v>2.4588855000000001</v>
      </c>
      <c r="AS315" s="286">
        <f>AS314+AR315</f>
        <v>37.848892499999998</v>
      </c>
    </row>
    <row r="316" spans="1:46" ht="13.5" customHeight="1" thickBot="1">
      <c r="M316" s="384" t="s">
        <v>1233</v>
      </c>
      <c r="N316" s="373"/>
      <c r="O316" s="383" t="str">
        <f>AI316</f>
        <v>208/22:00</v>
      </c>
      <c r="P316" s="382" t="str">
        <f>MID(AL316,5,5)</f>
        <v>208_1</v>
      </c>
      <c r="Q316" s="380"/>
      <c r="R316" s="380"/>
      <c r="S316" s="381"/>
      <c r="T316" s="381"/>
      <c r="U316" s="380"/>
      <c r="V316" s="379">
        <f>T316+U316*$V$38</f>
        <v>0</v>
      </c>
      <c r="W316" s="378">
        <f>AA316*1000000/8+X315</f>
        <v>-4106.9500000006519</v>
      </c>
      <c r="X316" s="377">
        <f>W316-V316</f>
        <v>-4106.9500000006519</v>
      </c>
      <c r="Y316" s="376">
        <f>X316*8/1000000</f>
        <v>-3.2855600000005217E-2</v>
      </c>
      <c r="Z316" s="375">
        <f>AA316+AA315+AA314</f>
        <v>31.980384900000001</v>
      </c>
      <c r="AA316" s="374">
        <f>AR316</f>
        <v>20.8182519</v>
      </c>
      <c r="AB316" s="373">
        <f>SUM(AA312:AA316)</f>
        <v>58.667144399999998</v>
      </c>
      <c r="AC316" s="372"/>
      <c r="AH316" s="279" t="str">
        <f>AL316</f>
        <v>TRK_208_1</v>
      </c>
      <c r="AI316" t="s">
        <v>1112</v>
      </c>
      <c r="AJ316" s="40">
        <f>X316*8/1000000</f>
        <v>-3.2855600000005217E-2</v>
      </c>
      <c r="AK316" s="40">
        <f>V316*8/1000000</f>
        <v>0</v>
      </c>
      <c r="AL316" t="s">
        <v>746</v>
      </c>
      <c r="AM316" t="s">
        <v>1079</v>
      </c>
      <c r="AN316">
        <v>0.31857600000000003</v>
      </c>
      <c r="AO316">
        <v>2.9471430000000001</v>
      </c>
      <c r="AP316">
        <v>2.6285669999999999</v>
      </c>
      <c r="AQ316" s="287">
        <v>23.131391000000001</v>
      </c>
      <c r="AR316">
        <f>AQ316*0.9</f>
        <v>20.8182519</v>
      </c>
      <c r="AS316" s="286">
        <f>AS315+AR316</f>
        <v>58.667144399999998</v>
      </c>
      <c r="AT316" t="s">
        <v>1080</v>
      </c>
    </row>
    <row r="317" spans="1:46" ht="13.5" customHeight="1">
      <c r="O317" s="34" t="s">
        <v>1250</v>
      </c>
      <c r="P317" s="371" t="s">
        <v>1167</v>
      </c>
      <c r="Q317" s="371" t="s">
        <v>1168</v>
      </c>
      <c r="R317" s="371">
        <v>611968056</v>
      </c>
      <c r="S317" s="371">
        <v>1</v>
      </c>
      <c r="T317" s="371" t="s">
        <v>27</v>
      </c>
      <c r="U317" s="371" t="s">
        <v>937</v>
      </c>
      <c r="V317" s="371" t="s">
        <v>118</v>
      </c>
      <c r="W317" s="371"/>
      <c r="X317" s="371"/>
      <c r="Y317" s="331"/>
      <c r="Z317" s="330"/>
      <c r="AA317" s="77"/>
      <c r="AJ317" s="40"/>
      <c r="AK317" s="40"/>
      <c r="AQ317" s="287"/>
      <c r="AS317" s="286"/>
    </row>
    <row r="318" spans="1:46" ht="13.5" customHeight="1">
      <c r="O318" s="84"/>
      <c r="P318" s="285" t="s">
        <v>1169</v>
      </c>
      <c r="Q318" s="284" t="s">
        <v>1170</v>
      </c>
      <c r="R318" s="288">
        <v>611992316</v>
      </c>
      <c r="S318" s="285">
        <v>8</v>
      </c>
      <c r="T318" s="285" t="s">
        <v>27</v>
      </c>
      <c r="U318" s="285" t="s">
        <v>1171</v>
      </c>
      <c r="V318" s="285" t="s">
        <v>101</v>
      </c>
      <c r="W318" s="285" t="s">
        <v>102</v>
      </c>
      <c r="X318" s="285" t="s">
        <v>1172</v>
      </c>
      <c r="Y318" s="331"/>
      <c r="Z318" s="330"/>
      <c r="AA318" s="77"/>
      <c r="AJ318" s="40"/>
      <c r="AK318" s="40"/>
      <c r="AQ318" s="287"/>
      <c r="AS318" s="286"/>
    </row>
    <row r="319" spans="1:46" ht="13.5" customHeight="1">
      <c r="O319" s="84"/>
      <c r="P319" s="285" t="s">
        <v>1173</v>
      </c>
      <c r="Q319" s="285" t="s">
        <v>1174</v>
      </c>
      <c r="R319" s="285">
        <v>611992336</v>
      </c>
      <c r="S319" s="285">
        <v>1</v>
      </c>
      <c r="T319" s="285" t="s">
        <v>27</v>
      </c>
      <c r="U319" s="285" t="s">
        <v>1171</v>
      </c>
      <c r="V319" s="285" t="s">
        <v>118</v>
      </c>
      <c r="W319" s="285"/>
      <c r="X319" s="285" t="s">
        <v>1172</v>
      </c>
      <c r="Y319" s="331"/>
      <c r="Z319" s="330"/>
      <c r="AA319" s="77"/>
      <c r="AJ319" s="40"/>
      <c r="AK319" s="40"/>
      <c r="AQ319" s="287"/>
      <c r="AS319" s="286"/>
    </row>
    <row r="320" spans="1:46" ht="13.5" customHeight="1">
      <c r="O320" s="84"/>
      <c r="P320" s="285" t="s">
        <v>1175</v>
      </c>
      <c r="Q320" s="285" t="s">
        <v>1176</v>
      </c>
      <c r="R320" s="288">
        <v>611992341</v>
      </c>
      <c r="S320" s="285">
        <v>1</v>
      </c>
      <c r="T320" s="285" t="s">
        <v>27</v>
      </c>
      <c r="U320" s="285" t="s">
        <v>1171</v>
      </c>
      <c r="V320" s="285" t="s">
        <v>118</v>
      </c>
      <c r="W320" s="285"/>
      <c r="X320" s="285" t="s">
        <v>1172</v>
      </c>
      <c r="Y320" s="331"/>
      <c r="Z320" s="330"/>
      <c r="AA320" s="77"/>
      <c r="AJ320" s="40"/>
      <c r="AK320" s="40"/>
      <c r="AQ320" s="287"/>
      <c r="AS320" s="286"/>
    </row>
    <row r="321" spans="3:45" ht="13.5" customHeight="1">
      <c r="O321" s="84"/>
      <c r="P321" s="285" t="s">
        <v>1177</v>
      </c>
      <c r="Q321" s="285" t="s">
        <v>1178</v>
      </c>
      <c r="R321" s="285">
        <v>611992832</v>
      </c>
      <c r="S321" s="285">
        <v>0</v>
      </c>
      <c r="T321" s="285" t="s">
        <v>111</v>
      </c>
      <c r="U321" s="285" t="s">
        <v>1179</v>
      </c>
      <c r="V321" s="285" t="s">
        <v>1180</v>
      </c>
      <c r="W321" s="285"/>
      <c r="X321" s="285" t="s">
        <v>1172</v>
      </c>
      <c r="Y321" s="331"/>
      <c r="Z321" s="330"/>
      <c r="AA321" s="77"/>
      <c r="AJ321" s="40"/>
      <c r="AK321" s="40"/>
      <c r="AQ321" s="287"/>
      <c r="AS321" s="286"/>
    </row>
    <row r="322" spans="3:45" ht="13.5" customHeight="1">
      <c r="O322" s="84"/>
      <c r="P322" s="285" t="s">
        <v>1177</v>
      </c>
      <c r="Q322" s="285" t="s">
        <v>1178</v>
      </c>
      <c r="R322" s="285">
        <v>611992832</v>
      </c>
      <c r="S322" s="285">
        <v>0</v>
      </c>
      <c r="T322" s="285" t="s">
        <v>111</v>
      </c>
      <c r="U322" s="285" t="s">
        <v>1179</v>
      </c>
      <c r="V322" s="285" t="s">
        <v>1181</v>
      </c>
      <c r="W322" s="285"/>
      <c r="X322" s="285" t="s">
        <v>1172</v>
      </c>
      <c r="Y322" s="331"/>
      <c r="Z322" s="330"/>
      <c r="AA322" s="77"/>
      <c r="AJ322" s="40"/>
      <c r="AK322" s="40"/>
      <c r="AQ322" s="287"/>
      <c r="AS322" s="286"/>
    </row>
    <row r="323" spans="3:45" ht="13.5" customHeight="1">
      <c r="O323" s="84"/>
      <c r="P323" s="285" t="s">
        <v>1177</v>
      </c>
      <c r="Q323" s="285" t="s">
        <v>1178</v>
      </c>
      <c r="R323" s="285">
        <v>611992832</v>
      </c>
      <c r="S323" s="285">
        <v>0</v>
      </c>
      <c r="T323" s="285" t="s">
        <v>111</v>
      </c>
      <c r="U323" s="285" t="s">
        <v>1179</v>
      </c>
      <c r="V323" s="285" t="s">
        <v>1182</v>
      </c>
      <c r="W323" s="285"/>
      <c r="X323" s="285" t="s">
        <v>1172</v>
      </c>
      <c r="Y323" s="331"/>
      <c r="Z323" s="330"/>
      <c r="AA323" s="77"/>
      <c r="AJ323" s="40"/>
      <c r="AK323" s="40"/>
      <c r="AQ323" s="287"/>
      <c r="AS323" s="286"/>
    </row>
    <row r="324" spans="3:45" ht="13.5" customHeight="1">
      <c r="O324" s="84"/>
      <c r="P324" s="285" t="s">
        <v>1177</v>
      </c>
      <c r="Q324" s="285" t="s">
        <v>1178</v>
      </c>
      <c r="R324" s="285">
        <v>611992832</v>
      </c>
      <c r="S324" s="285">
        <v>0</v>
      </c>
      <c r="T324" s="285" t="s">
        <v>111</v>
      </c>
      <c r="U324" s="285" t="s">
        <v>1179</v>
      </c>
      <c r="V324" s="285" t="s">
        <v>113</v>
      </c>
      <c r="W324" s="285"/>
      <c r="X324" s="285" t="s">
        <v>1172</v>
      </c>
      <c r="Y324" s="331"/>
      <c r="Z324" s="330"/>
      <c r="AA324" s="77"/>
      <c r="AJ324" s="40"/>
      <c r="AK324" s="40"/>
      <c r="AQ324" s="287"/>
      <c r="AS324" s="286"/>
    </row>
    <row r="325" spans="3:45" ht="13.5" customHeight="1">
      <c r="O325" s="370" t="s">
        <v>1212</v>
      </c>
      <c r="P325" s="285" t="s">
        <v>1177</v>
      </c>
      <c r="Q325" s="285" t="s">
        <v>1178</v>
      </c>
      <c r="R325" s="289">
        <v>611992832</v>
      </c>
      <c r="S325" s="285">
        <v>0</v>
      </c>
      <c r="T325" s="285" t="s">
        <v>111</v>
      </c>
      <c r="U325" s="285" t="s">
        <v>1179</v>
      </c>
      <c r="V325" s="284" t="s">
        <v>1183</v>
      </c>
      <c r="W325" s="285"/>
      <c r="X325" s="285" t="s">
        <v>1172</v>
      </c>
      <c r="Y325" s="331"/>
      <c r="Z325" s="330"/>
      <c r="AA325" s="77"/>
      <c r="AJ325" s="40"/>
      <c r="AK325" s="40"/>
      <c r="AQ325" s="287"/>
      <c r="AS325" s="286"/>
    </row>
    <row r="326" spans="3:45" ht="13.5" customHeight="1">
      <c r="O326" s="84"/>
      <c r="P326" s="285" t="s">
        <v>1177</v>
      </c>
      <c r="Q326" s="285" t="s">
        <v>1178</v>
      </c>
      <c r="R326" s="285">
        <v>611992832</v>
      </c>
      <c r="S326" s="285">
        <v>0</v>
      </c>
      <c r="T326" s="285" t="s">
        <v>111</v>
      </c>
      <c r="U326" s="285" t="s">
        <v>1179</v>
      </c>
      <c r="V326" s="285" t="s">
        <v>1184</v>
      </c>
      <c r="W326" s="285"/>
      <c r="X326" s="285" t="s">
        <v>1172</v>
      </c>
      <c r="Y326" s="331"/>
      <c r="Z326" s="330"/>
      <c r="AA326" s="77"/>
      <c r="AJ326" s="40"/>
      <c r="AK326" s="40"/>
      <c r="AQ326" s="287"/>
      <c r="AS326" s="286"/>
    </row>
    <row r="327" spans="3:45" ht="13.5" customHeight="1">
      <c r="M327" s="204" t="str" cm="1">
        <f t="array" aca="1" ref="M327" ca="1">MID(met2utc(R328),3,12)</f>
        <v>25-133/18:11</v>
      </c>
      <c r="O327" s="84"/>
      <c r="P327" s="285" t="s">
        <v>1177</v>
      </c>
      <c r="Q327" s="285" t="s">
        <v>1178</v>
      </c>
      <c r="R327" s="285">
        <v>611992832</v>
      </c>
      <c r="S327" s="285">
        <v>0</v>
      </c>
      <c r="T327" s="285" t="s">
        <v>111</v>
      </c>
      <c r="U327" s="285" t="s">
        <v>1179</v>
      </c>
      <c r="V327" s="285" t="s">
        <v>756</v>
      </c>
      <c r="W327" s="285"/>
      <c r="X327" s="285" t="s">
        <v>1172</v>
      </c>
      <c r="Y327" s="331"/>
      <c r="Z327" s="330"/>
      <c r="AA327" s="77"/>
      <c r="AJ327" s="40"/>
      <c r="AK327" s="40"/>
      <c r="AQ327" s="287"/>
      <c r="AS327" s="286"/>
    </row>
    <row r="328" spans="3:45" ht="13.5" customHeight="1">
      <c r="C328" s="3"/>
      <c r="D328" s="3"/>
      <c r="E328" s="3"/>
      <c r="F328" s="3"/>
      <c r="G328" s="3"/>
      <c r="H328" s="3"/>
      <c r="I328" s="3"/>
      <c r="J328" s="3" t="s">
        <v>228</v>
      </c>
      <c r="K328" s="3" t="s">
        <v>825</v>
      </c>
      <c r="L328" s="47" t="str">
        <f>M303</f>
        <v>25-128/04:02</v>
      </c>
      <c r="M328" s="47" t="s">
        <v>1162</v>
      </c>
      <c r="N328" t="s">
        <v>1069</v>
      </c>
      <c r="O328" s="84" t="str">
        <f>AI328</f>
        <v>211/03:05</v>
      </c>
      <c r="P328" s="32" t="str">
        <f t="shared" ref="P328:P335" si="115">MID(AL328,5,5)</f>
        <v>211_1</v>
      </c>
      <c r="Q328" s="85">
        <f>R303-3</f>
        <v>608982853.46091604</v>
      </c>
      <c r="R328" s="21">
        <f>((W328)/$S$4)+Q328</f>
        <v>609465828.44969428</v>
      </c>
      <c r="S328" s="21">
        <f t="shared" ref="S328:S335" si="116">R328-Q328</f>
        <v>482974.98877823353</v>
      </c>
      <c r="T328" s="21">
        <f>S328*$S$4</f>
        <v>677531.11249999655</v>
      </c>
      <c r="U328" s="3">
        <v>0</v>
      </c>
      <c r="V328" s="20">
        <f t="shared" ref="V328:V335" si="117">T328+U328*$V$38</f>
        <v>677531.11249999655</v>
      </c>
      <c r="W328" s="20">
        <f>AA328*1000000/8+X316</f>
        <v>677531.11249999935</v>
      </c>
      <c r="X328" s="332">
        <f t="shared" ref="X328:X335" si="118">W328-V328</f>
        <v>2.7939677238464355E-9</v>
      </c>
      <c r="Y328" s="331"/>
      <c r="Z328" s="330"/>
      <c r="AA328" s="77">
        <f>AR328</f>
        <v>5.4531045000000002</v>
      </c>
      <c r="AC328" s="129">
        <f>AC315+AK328</f>
        <v>5.4202488999999723</v>
      </c>
      <c r="AH328" s="279" t="str">
        <f>AL328</f>
        <v>TRK_211_1</v>
      </c>
      <c r="AI328" t="s">
        <v>1113</v>
      </c>
      <c r="AJ328" s="40">
        <f>X328*8/1000000</f>
        <v>2.2351741790771485E-14</v>
      </c>
      <c r="AK328" s="40">
        <f>V328*8/1000000</f>
        <v>5.4202488999999723</v>
      </c>
      <c r="AL328" t="s">
        <v>39</v>
      </c>
      <c r="AM328" t="s">
        <v>1081</v>
      </c>
      <c r="AN328">
        <v>0.87197400000000003</v>
      </c>
      <c r="AO328">
        <v>1.560497</v>
      </c>
      <c r="AP328">
        <v>0.688523</v>
      </c>
      <c r="AQ328" s="287">
        <v>6.059005</v>
      </c>
      <c r="AR328">
        <f>AQ328*0.9</f>
        <v>5.4531045000000002</v>
      </c>
      <c r="AS328">
        <f>AS316+AR328</f>
        <v>64.120248899999993</v>
      </c>
    </row>
    <row r="329" spans="3:45" ht="13.5" customHeight="1">
      <c r="C329" s="3"/>
      <c r="D329" s="3"/>
      <c r="E329" s="3"/>
      <c r="F329" s="3"/>
      <c r="G329" s="3"/>
      <c r="H329" s="3"/>
      <c r="I329" s="3"/>
      <c r="J329" s="3" t="s">
        <v>228</v>
      </c>
      <c r="K329" s="3" t="s">
        <v>825</v>
      </c>
      <c r="L329" s="47" t="str">
        <f t="shared" ref="L329:L335" si="119">M328</f>
        <v>25-133/18:11</v>
      </c>
      <c r="M329" s="47" t="s">
        <v>1163</v>
      </c>
      <c r="N329" t="s">
        <v>1069</v>
      </c>
      <c r="O329" s="84" t="str">
        <f>AI329</f>
        <v>212/03:35</v>
      </c>
      <c r="P329" s="32" t="str">
        <f t="shared" si="115"/>
        <v>212_1</v>
      </c>
      <c r="Q329" s="58">
        <f t="shared" ref="Q329:Q335" si="120">R328-3</f>
        <v>609465825.44969428</v>
      </c>
      <c r="R329" s="21">
        <f>((W329)/$S$4)+Q329</f>
        <v>610411500.69402742</v>
      </c>
      <c r="S329" s="21">
        <f t="shared" si="116"/>
        <v>945675.244333148</v>
      </c>
      <c r="T329" s="21">
        <f>S329*$S$4</f>
        <v>1326620.250000034</v>
      </c>
      <c r="U329" s="3">
        <v>0</v>
      </c>
      <c r="V329" s="20">
        <f t="shared" si="117"/>
        <v>1326620.250000034</v>
      </c>
      <c r="W329" s="20">
        <f>AA329*1000000/8</f>
        <v>1326620.25</v>
      </c>
      <c r="X329" s="332">
        <f t="shared" si="118"/>
        <v>-3.3993273973464966E-8</v>
      </c>
      <c r="Y329" s="331"/>
      <c r="Z329" s="330"/>
      <c r="AA329" s="77">
        <f>AR329</f>
        <v>10.612962</v>
      </c>
      <c r="AC329" s="129">
        <f>AK329+AC328</f>
        <v>16.033210900000242</v>
      </c>
      <c r="AH329" s="279" t="str">
        <f>AL329</f>
        <v>TRK_212_1</v>
      </c>
      <c r="AI329" t="s">
        <v>1114</v>
      </c>
      <c r="AJ329" s="40">
        <f>X329*8/1000000</f>
        <v>-2.7194619178771972E-13</v>
      </c>
      <c r="AK329" s="40">
        <f>V329*8/1000000</f>
        <v>10.612962000000271</v>
      </c>
      <c r="AL329" t="s">
        <v>779</v>
      </c>
      <c r="AM329" t="s">
        <v>1082</v>
      </c>
      <c r="AN329">
        <v>0.31300499999999998</v>
      </c>
      <c r="AO329">
        <v>1.653025</v>
      </c>
      <c r="AP329">
        <v>1.34002</v>
      </c>
      <c r="AQ329" s="287">
        <v>11.79218</v>
      </c>
      <c r="AR329">
        <f>AQ329*0.9</f>
        <v>10.612962</v>
      </c>
      <c r="AS329">
        <f>AS328+AR329</f>
        <v>74.733210899999989</v>
      </c>
    </row>
    <row r="330" spans="3:45" ht="13.5" customHeight="1">
      <c r="J330" s="3" t="s">
        <v>228</v>
      </c>
      <c r="K330" s="3" t="s">
        <v>825</v>
      </c>
      <c r="L330" s="47" t="str">
        <f t="shared" si="119"/>
        <v>25-144/16:53</v>
      </c>
      <c r="M330" s="47" t="s">
        <v>1164</v>
      </c>
      <c r="N330" t="s">
        <v>1069</v>
      </c>
      <c r="O330" s="84" t="str">
        <f>AI330</f>
        <v>212/13:50</v>
      </c>
      <c r="P330" s="32" t="str">
        <f t="shared" si="115"/>
        <v>212_2</v>
      </c>
      <c r="Q330" s="58">
        <f t="shared" si="120"/>
        <v>610411497.69402742</v>
      </c>
      <c r="R330" s="21">
        <f>((W330)/$S$4)+Q330</f>
        <v>610848059.61678576</v>
      </c>
      <c r="S330" s="21">
        <f t="shared" si="116"/>
        <v>436561.92275834084</v>
      </c>
      <c r="T330" s="21">
        <f>S330*$S$4</f>
        <v>612421.53749996936</v>
      </c>
      <c r="U330" s="3">
        <v>0</v>
      </c>
      <c r="V330" s="20">
        <f t="shared" si="117"/>
        <v>612421.53749996936</v>
      </c>
      <c r="W330" s="20">
        <f>AA330*1000000/8</f>
        <v>612421.53750000009</v>
      </c>
      <c r="X330" s="332">
        <f t="shared" si="118"/>
        <v>3.0733644962310791E-8</v>
      </c>
      <c r="Y330" s="331"/>
      <c r="Z330" s="330"/>
      <c r="AA330" s="77">
        <f>AR330</f>
        <v>4.8993723000000005</v>
      </c>
      <c r="AC330" s="129">
        <f>AK330+AC329</f>
        <v>20.932583199999996</v>
      </c>
      <c r="AH330" s="279" t="str">
        <f>AL330</f>
        <v>TRK_212_2</v>
      </c>
      <c r="AI330" t="s">
        <v>1115</v>
      </c>
      <c r="AJ330" s="40">
        <f>X330*8/1000000</f>
        <v>2.4586915969848635E-13</v>
      </c>
      <c r="AK330" s="40">
        <f>V330*8/1000000</f>
        <v>4.8993722999997544</v>
      </c>
      <c r="AL330" t="s">
        <v>783</v>
      </c>
      <c r="AM330" t="s">
        <v>1083</v>
      </c>
      <c r="AN330">
        <v>0.200989</v>
      </c>
      <c r="AO330">
        <v>0.81959700000000002</v>
      </c>
      <c r="AP330">
        <v>0.61860800000000005</v>
      </c>
      <c r="AQ330" s="287">
        <v>5.4437470000000001</v>
      </c>
      <c r="AR330">
        <f>AQ330*0.9</f>
        <v>4.8993723000000005</v>
      </c>
      <c r="AS330">
        <f>AS329+AR330</f>
        <v>79.632583199999985</v>
      </c>
    </row>
    <row r="331" spans="3:45" ht="13.5" customHeight="1">
      <c r="J331" s="3" t="s">
        <v>228</v>
      </c>
      <c r="K331" s="3" t="s">
        <v>825</v>
      </c>
      <c r="L331" s="47" t="str">
        <f t="shared" si="119"/>
        <v>25-149/18:09</v>
      </c>
      <c r="M331" s="47" t="s">
        <v>1234</v>
      </c>
      <c r="N331" t="s">
        <v>1069</v>
      </c>
      <c r="O331" s="84" t="str">
        <f>AI331</f>
        <v>213/02:25</v>
      </c>
      <c r="P331" s="32" t="str">
        <f t="shared" si="115"/>
        <v>213_1</v>
      </c>
      <c r="Q331" s="58">
        <f t="shared" si="120"/>
        <v>610848056.61678576</v>
      </c>
      <c r="R331" s="186">
        <f>R325-20</f>
        <v>611992812</v>
      </c>
      <c r="S331" s="21">
        <f t="shared" si="116"/>
        <v>1144755.3832142353</v>
      </c>
      <c r="T331" s="21">
        <f>S331*$S$4</f>
        <v>1605895.5563962641</v>
      </c>
      <c r="U331" s="3">
        <v>0</v>
      </c>
      <c r="V331" s="20">
        <f t="shared" si="117"/>
        <v>1605895.5563962641</v>
      </c>
      <c r="W331" s="20">
        <f>AA331*1000000/8</f>
        <v>1831892.625</v>
      </c>
      <c r="X331" s="187">
        <f t="shared" si="118"/>
        <v>225997.06860373588</v>
      </c>
      <c r="Y331" s="331"/>
      <c r="Z331" s="330"/>
      <c r="AA331" s="77">
        <f>AR331</f>
        <v>14.655141</v>
      </c>
      <c r="AC331" s="129">
        <f>AK331+AC330</f>
        <v>33.779747651170112</v>
      </c>
      <c r="AH331" s="279" t="str">
        <f>AL331</f>
        <v>TRK_213_1</v>
      </c>
      <c r="AI331" t="s">
        <v>1116</v>
      </c>
      <c r="AJ331" s="40">
        <f>X331*8/1000000</f>
        <v>1.8079765488298871</v>
      </c>
      <c r="AK331" s="40">
        <f>V331*8/1000000</f>
        <v>12.847164451170112</v>
      </c>
      <c r="AL331" t="s">
        <v>40</v>
      </c>
      <c r="AM331" t="s">
        <v>1084</v>
      </c>
      <c r="AN331">
        <v>0.22583300000000001</v>
      </c>
      <c r="AO331">
        <v>2.0762299999999998</v>
      </c>
      <c r="AP331">
        <v>1.8503970000000001</v>
      </c>
      <c r="AQ331" s="287">
        <v>16.28349</v>
      </c>
      <c r="AR331">
        <f>AQ331*0.9</f>
        <v>14.655141</v>
      </c>
      <c r="AS331">
        <f>AS330+AR331</f>
        <v>94.287724199999985</v>
      </c>
    </row>
    <row r="332" spans="3:45" ht="13.5" customHeight="1">
      <c r="J332" s="3" t="s">
        <v>228</v>
      </c>
      <c r="K332" s="3" t="s">
        <v>825</v>
      </c>
      <c r="L332" s="47" t="str">
        <f t="shared" si="119"/>
        <v>25-163/08:37</v>
      </c>
      <c r="M332" s="47" t="s">
        <v>1245</v>
      </c>
      <c r="N332" t="s">
        <v>1185</v>
      </c>
      <c r="O332" s="84" t="s">
        <v>1266</v>
      </c>
      <c r="P332" s="32" t="str">
        <f t="shared" si="115"/>
        <v/>
      </c>
      <c r="Q332" s="58">
        <f t="shared" si="120"/>
        <v>611992809</v>
      </c>
      <c r="R332" s="21">
        <f>((W332)/$S$5)+Q332</f>
        <v>612053956.5177387</v>
      </c>
      <c r="S332" s="21">
        <f t="shared" si="116"/>
        <v>61147.517738699913</v>
      </c>
      <c r="T332" s="21">
        <f>S332*$S$5</f>
        <v>225997.06860379208</v>
      </c>
      <c r="U332" s="3">
        <v>0</v>
      </c>
      <c r="V332" s="20">
        <f t="shared" si="117"/>
        <v>225997.06860379208</v>
      </c>
      <c r="W332" s="183">
        <f>X331</f>
        <v>225997.06860373588</v>
      </c>
      <c r="X332" s="332">
        <f t="shared" si="118"/>
        <v>-5.6199496611952782E-8</v>
      </c>
      <c r="Y332" s="331"/>
      <c r="Z332" s="330"/>
      <c r="AA332" s="77"/>
      <c r="AC332" s="129"/>
      <c r="AH332" s="279"/>
      <c r="AJ332" s="40"/>
      <c r="AK332" s="40"/>
      <c r="AQ332" s="287"/>
    </row>
    <row r="333" spans="3:45" ht="13.5" customHeight="1">
      <c r="J333" s="3" t="s">
        <v>228</v>
      </c>
      <c r="K333" s="3" t="s">
        <v>825</v>
      </c>
      <c r="L333" s="47" t="str">
        <f t="shared" si="119"/>
        <v>25-163/17:07</v>
      </c>
      <c r="M333" s="47" t="s">
        <v>1246</v>
      </c>
      <c r="N333" t="s">
        <v>1185</v>
      </c>
      <c r="O333" s="84" t="str">
        <f>AI333</f>
        <v>213/22:40</v>
      </c>
      <c r="P333" s="32" t="str">
        <f t="shared" si="115"/>
        <v>213_2</v>
      </c>
      <c r="Q333" s="58">
        <f t="shared" si="120"/>
        <v>612053953.5177387</v>
      </c>
      <c r="R333" s="21">
        <f>((W333)/$S$5)+Q333</f>
        <v>612779862.37503493</v>
      </c>
      <c r="S333" s="21">
        <f t="shared" si="116"/>
        <v>725908.85729622841</v>
      </c>
      <c r="T333" s="21">
        <f>S333*$S$5</f>
        <v>2682909.7874998068</v>
      </c>
      <c r="U333" s="3">
        <v>0</v>
      </c>
      <c r="V333" s="20">
        <f t="shared" si="117"/>
        <v>2682909.7874998068</v>
      </c>
      <c r="W333" s="20">
        <f>AA333*1000000/8</f>
        <v>2682909.7875000001</v>
      </c>
      <c r="X333" s="332">
        <f t="shared" si="118"/>
        <v>1.9324943423271179E-7</v>
      </c>
      <c r="Y333" s="331"/>
      <c r="Z333" s="330"/>
      <c r="AA333" s="77">
        <f>AR333</f>
        <v>21.463278299999999</v>
      </c>
      <c r="AC333" s="129">
        <f>AK333+AC331</f>
        <v>55.243025951168562</v>
      </c>
      <c r="AH333" s="279" t="str">
        <f>AL333</f>
        <v>TRK_213_2</v>
      </c>
      <c r="AI333" t="s">
        <v>1117</v>
      </c>
      <c r="AJ333" s="40">
        <f>X333*8/1000000</f>
        <v>1.5459954738616944E-12</v>
      </c>
      <c r="AK333" s="40">
        <f>V333*8/1000000</f>
        <v>21.463278299998453</v>
      </c>
      <c r="AL333" t="s">
        <v>1085</v>
      </c>
      <c r="AM333" t="s">
        <v>1086</v>
      </c>
      <c r="AN333">
        <v>0.25551299999999999</v>
      </c>
      <c r="AO333">
        <v>2.9655230000000001</v>
      </c>
      <c r="AP333">
        <v>2.71001</v>
      </c>
      <c r="AQ333" s="287">
        <v>23.848087</v>
      </c>
      <c r="AR333">
        <f>AQ333*0.9</f>
        <v>21.463278299999999</v>
      </c>
      <c r="AS333">
        <f>AS331+AR333</f>
        <v>115.75100249999998</v>
      </c>
    </row>
    <row r="334" spans="3:45" ht="13.5" customHeight="1">
      <c r="J334" s="3" t="s">
        <v>228</v>
      </c>
      <c r="K334" s="3" t="s">
        <v>825</v>
      </c>
      <c r="L334" s="47" t="str">
        <f t="shared" si="119"/>
        <v>25-172/02:45</v>
      </c>
      <c r="M334" s="47" t="s">
        <v>1247</v>
      </c>
      <c r="N334" t="s">
        <v>1185</v>
      </c>
      <c r="O334" s="84" t="str">
        <f>AI334</f>
        <v>214/11:25</v>
      </c>
      <c r="P334" s="32" t="str">
        <f t="shared" si="115"/>
        <v>214_1</v>
      </c>
      <c r="Q334" s="58">
        <f t="shared" si="120"/>
        <v>612779859.37503493</v>
      </c>
      <c r="R334" s="21">
        <f>((W334)/$S$5)+Q334</f>
        <v>613007457.63604379</v>
      </c>
      <c r="S334" s="21">
        <f t="shared" si="116"/>
        <v>227598.26100885868</v>
      </c>
      <c r="T334" s="21">
        <f>S334*$S$5</f>
        <v>841187.69999994489</v>
      </c>
      <c r="U334" s="3">
        <v>0</v>
      </c>
      <c r="V334" s="20">
        <f t="shared" si="117"/>
        <v>841187.69999994489</v>
      </c>
      <c r="W334" s="20">
        <f>AA334*1000000/8</f>
        <v>841187.7</v>
      </c>
      <c r="X334" s="332">
        <f t="shared" si="118"/>
        <v>5.5064447224140167E-8</v>
      </c>
      <c r="Y334" s="331"/>
      <c r="Z334" s="330"/>
      <c r="AA334" s="77">
        <f>AR334</f>
        <v>6.7295015999999999</v>
      </c>
      <c r="AC334" s="129">
        <f>AK334+AC333</f>
        <v>61.97252755116812</v>
      </c>
      <c r="AH334" s="279" t="str">
        <f>AL334</f>
        <v>TRK_214_1</v>
      </c>
      <c r="AI334" t="s">
        <v>1118</v>
      </c>
      <c r="AJ334" s="40">
        <f>X334*8/1000000</f>
        <v>4.4051557779312134E-13</v>
      </c>
      <c r="AK334" s="40">
        <f>V334*8/1000000</f>
        <v>6.7295015999995593</v>
      </c>
      <c r="AL334" t="s">
        <v>41</v>
      </c>
      <c r="AM334" t="s">
        <v>1087</v>
      </c>
      <c r="AN334">
        <v>0.35693000000000003</v>
      </c>
      <c r="AO334">
        <v>1.206615</v>
      </c>
      <c r="AP334">
        <v>0.84968500000000002</v>
      </c>
      <c r="AQ334" s="287">
        <v>7.4772239999999996</v>
      </c>
      <c r="AR334">
        <f>AQ334*0.9</f>
        <v>6.7295015999999999</v>
      </c>
      <c r="AS334">
        <f>AS333+AR334</f>
        <v>122.48050409999999</v>
      </c>
    </row>
    <row r="335" spans="3:45" ht="13.5" customHeight="1">
      <c r="J335" s="3" t="s">
        <v>228</v>
      </c>
      <c r="K335" s="3" t="s">
        <v>825</v>
      </c>
      <c r="L335" s="47" t="str">
        <f t="shared" si="119"/>
        <v>25-174/17:59</v>
      </c>
      <c r="M335" s="47" t="s">
        <v>1235</v>
      </c>
      <c r="N335" t="s">
        <v>1185</v>
      </c>
      <c r="O335" s="84" t="str">
        <f>AI335</f>
        <v>214/23:00</v>
      </c>
      <c r="P335" s="32" t="str">
        <f t="shared" si="115"/>
        <v>214_2</v>
      </c>
      <c r="Q335" s="58">
        <f t="shared" si="120"/>
        <v>613007454.63604379</v>
      </c>
      <c r="R335" s="188">
        <f>R343</f>
        <v>613564800</v>
      </c>
      <c r="S335" s="21">
        <f t="shared" si="116"/>
        <v>557345.363956213</v>
      </c>
      <c r="T335" s="21">
        <f>S335*$S$5</f>
        <v>2059910.5754754029</v>
      </c>
      <c r="U335" s="3">
        <v>0</v>
      </c>
      <c r="V335" s="20">
        <f t="shared" si="117"/>
        <v>2059910.5754754029</v>
      </c>
      <c r="W335" s="20">
        <f>AA335*1000000/8</f>
        <v>2355370.875</v>
      </c>
      <c r="X335" s="187">
        <f t="shared" si="118"/>
        <v>295460.29952459713</v>
      </c>
      <c r="Y335" s="331"/>
      <c r="Z335" s="330"/>
      <c r="AA335" s="77">
        <f>AR335</f>
        <v>18.842967000000002</v>
      </c>
      <c r="AC335" s="129">
        <f>AK335+AC334</f>
        <v>78.45181215497135</v>
      </c>
      <c r="AH335" s="279" t="str">
        <f>AL335</f>
        <v>TRK_214_2</v>
      </c>
      <c r="AI335" t="s">
        <v>1119</v>
      </c>
      <c r="AJ335" s="40">
        <f>X335*8/1000000</f>
        <v>2.363682396196777</v>
      </c>
      <c r="AK335" s="40">
        <f>V335*8/1000000</f>
        <v>16.479284603803222</v>
      </c>
      <c r="AL335" t="s">
        <v>1088</v>
      </c>
      <c r="AM335" t="s">
        <v>1089</v>
      </c>
      <c r="AN335">
        <v>0.215169</v>
      </c>
      <c r="AO335">
        <v>2.5943320000000001</v>
      </c>
      <c r="AP335">
        <v>2.3791630000000001</v>
      </c>
      <c r="AQ335" s="287">
        <v>20.936630000000001</v>
      </c>
      <c r="AR335">
        <f>AQ335*0.9</f>
        <v>18.842967000000002</v>
      </c>
      <c r="AS335">
        <f>AS334+AR335</f>
        <v>141.32347110000001</v>
      </c>
    </row>
    <row r="336" spans="3:45" ht="13.5" customHeight="1">
      <c r="J336" s="3"/>
      <c r="K336" s="3"/>
      <c r="L336" s="47"/>
      <c r="M336" s="47"/>
      <c r="O336" s="84"/>
      <c r="P336" s="285" t="s">
        <v>1213</v>
      </c>
      <c r="Q336" s="284" t="s">
        <v>1214</v>
      </c>
      <c r="R336" s="290">
        <v>613564318</v>
      </c>
      <c r="S336" s="285">
        <v>7</v>
      </c>
      <c r="T336" s="285" t="s">
        <v>27</v>
      </c>
      <c r="U336" s="285" t="s">
        <v>1215</v>
      </c>
      <c r="V336" s="285" t="s">
        <v>101</v>
      </c>
      <c r="W336" s="285" t="s">
        <v>102</v>
      </c>
      <c r="X336" s="285" t="s">
        <v>1216</v>
      </c>
      <c r="Y336" s="331"/>
      <c r="Z336" s="330"/>
      <c r="AA336" s="77"/>
      <c r="AC336" s="129"/>
      <c r="AH336" s="279"/>
      <c r="AJ336" s="40"/>
      <c r="AK336" s="40"/>
      <c r="AQ336" s="287"/>
    </row>
    <row r="337" spans="7:45" ht="13.5" customHeight="1">
      <c r="J337" s="3"/>
      <c r="K337" s="3"/>
      <c r="L337" s="47"/>
      <c r="M337" s="47"/>
      <c r="O337" s="84"/>
      <c r="P337" s="285" t="s">
        <v>1217</v>
      </c>
      <c r="Q337" s="285" t="s">
        <v>1218</v>
      </c>
      <c r="R337" s="285">
        <v>613564338</v>
      </c>
      <c r="S337" s="285">
        <v>1</v>
      </c>
      <c r="T337" s="285" t="s">
        <v>27</v>
      </c>
      <c r="U337" s="285" t="s">
        <v>1215</v>
      </c>
      <c r="V337" s="285" t="s">
        <v>118</v>
      </c>
      <c r="W337" s="285"/>
      <c r="X337" s="285" t="s">
        <v>1216</v>
      </c>
      <c r="Y337" s="331"/>
      <c r="Z337" s="330"/>
      <c r="AA337" s="77"/>
      <c r="AC337" s="129"/>
      <c r="AH337" s="279"/>
      <c r="AJ337" s="40"/>
      <c r="AK337" s="40"/>
      <c r="AQ337" s="287"/>
    </row>
    <row r="338" spans="7:45" ht="13.5" customHeight="1">
      <c r="J338" s="3"/>
      <c r="K338" s="3"/>
      <c r="L338" s="47"/>
      <c r="M338" s="47"/>
      <c r="O338" s="84"/>
      <c r="P338" s="285" t="s">
        <v>1219</v>
      </c>
      <c r="Q338" s="285" t="s">
        <v>1220</v>
      </c>
      <c r="R338" s="285">
        <v>613564343</v>
      </c>
      <c r="S338" s="285">
        <v>1</v>
      </c>
      <c r="T338" s="285" t="s">
        <v>27</v>
      </c>
      <c r="U338" s="285" t="s">
        <v>1215</v>
      </c>
      <c r="V338" s="285" t="s">
        <v>118</v>
      </c>
      <c r="W338" s="285"/>
      <c r="X338" s="285" t="s">
        <v>1216</v>
      </c>
      <c r="Y338" s="331"/>
      <c r="Z338" s="330"/>
      <c r="AA338" s="77"/>
      <c r="AC338" s="129"/>
      <c r="AH338" s="279"/>
      <c r="AJ338" s="40"/>
      <c r="AK338" s="40"/>
      <c r="AQ338" s="287"/>
    </row>
    <row r="339" spans="7:45" ht="13.5" customHeight="1">
      <c r="J339" s="3"/>
      <c r="K339" s="3"/>
      <c r="L339" s="47"/>
      <c r="M339" s="47"/>
      <c r="O339" s="84"/>
      <c r="P339" s="285" t="s">
        <v>1221</v>
      </c>
      <c r="Q339" s="285" t="s">
        <v>1222</v>
      </c>
      <c r="R339" s="285">
        <v>613564800</v>
      </c>
      <c r="S339" s="285">
        <v>0</v>
      </c>
      <c r="T339" s="285" t="s">
        <v>111</v>
      </c>
      <c r="U339" s="285" t="s">
        <v>436</v>
      </c>
      <c r="V339" s="285" t="s">
        <v>1180</v>
      </c>
      <c r="W339" s="285"/>
      <c r="X339" s="285" t="s">
        <v>1216</v>
      </c>
      <c r="Y339" s="331"/>
      <c r="Z339" s="330"/>
      <c r="AA339" s="77"/>
      <c r="AC339" s="129"/>
      <c r="AH339" s="279"/>
      <c r="AJ339" s="40"/>
      <c r="AK339" s="40"/>
      <c r="AQ339" s="287"/>
    </row>
    <row r="340" spans="7:45" ht="13.5" customHeight="1">
      <c r="J340" s="3"/>
      <c r="K340" s="3"/>
      <c r="L340" s="47"/>
      <c r="M340" s="47"/>
      <c r="O340" s="84"/>
      <c r="P340" s="285" t="s">
        <v>1221</v>
      </c>
      <c r="Q340" s="285" t="s">
        <v>1222</v>
      </c>
      <c r="R340" s="285">
        <v>613564800</v>
      </c>
      <c r="S340" s="285">
        <v>0</v>
      </c>
      <c r="T340" s="285" t="s">
        <v>111</v>
      </c>
      <c r="U340" s="285" t="s">
        <v>436</v>
      </c>
      <c r="V340" s="285" t="s">
        <v>1181</v>
      </c>
      <c r="W340" s="285"/>
      <c r="X340" s="285" t="s">
        <v>1216</v>
      </c>
      <c r="Y340" s="331"/>
      <c r="Z340" s="330"/>
      <c r="AA340" s="77"/>
      <c r="AC340" s="129"/>
      <c r="AH340" s="279"/>
      <c r="AJ340" s="40"/>
      <c r="AK340" s="40"/>
      <c r="AQ340" s="287"/>
    </row>
    <row r="341" spans="7:45" ht="13.5" customHeight="1">
      <c r="J341" s="3"/>
      <c r="K341" s="3"/>
      <c r="L341" s="47"/>
      <c r="M341" s="47"/>
      <c r="O341" s="84"/>
      <c r="P341" s="285" t="s">
        <v>1221</v>
      </c>
      <c r="Q341" s="285" t="s">
        <v>1222</v>
      </c>
      <c r="R341" s="285">
        <v>613564800</v>
      </c>
      <c r="S341" s="285">
        <v>0</v>
      </c>
      <c r="T341" s="285" t="s">
        <v>111</v>
      </c>
      <c r="U341" s="285" t="s">
        <v>436</v>
      </c>
      <c r="V341" s="285" t="s">
        <v>1182</v>
      </c>
      <c r="W341" s="285"/>
      <c r="X341" s="285" t="s">
        <v>1216</v>
      </c>
      <c r="Y341" s="331"/>
      <c r="Z341" s="330"/>
      <c r="AA341" s="77"/>
      <c r="AC341" s="129"/>
      <c r="AH341" s="279"/>
      <c r="AJ341" s="40"/>
      <c r="AK341" s="40"/>
      <c r="AQ341" s="287"/>
    </row>
    <row r="342" spans="7:45" ht="13.5" customHeight="1">
      <c r="J342" s="3"/>
      <c r="K342" s="3"/>
      <c r="L342" s="47"/>
      <c r="M342" s="47"/>
      <c r="O342" s="84"/>
      <c r="P342" s="285" t="s">
        <v>1221</v>
      </c>
      <c r="Q342" s="285" t="s">
        <v>1222</v>
      </c>
      <c r="R342" s="285">
        <v>613564800</v>
      </c>
      <c r="S342" s="285">
        <v>0</v>
      </c>
      <c r="T342" s="285" t="s">
        <v>111</v>
      </c>
      <c r="U342" s="285" t="s">
        <v>436</v>
      </c>
      <c r="V342" s="285" t="s">
        <v>113</v>
      </c>
      <c r="W342" s="285"/>
      <c r="X342" s="285" t="s">
        <v>1216</v>
      </c>
      <c r="Y342" s="331"/>
      <c r="Z342" s="330"/>
      <c r="AA342" s="77"/>
      <c r="AC342" s="129"/>
      <c r="AH342" s="279"/>
      <c r="AJ342" s="40"/>
      <c r="AK342" s="40"/>
      <c r="AQ342" s="287"/>
    </row>
    <row r="343" spans="7:45" ht="13.5" customHeight="1">
      <c r="J343" s="3"/>
      <c r="K343" s="3"/>
      <c r="L343" s="47"/>
      <c r="M343" s="47"/>
      <c r="O343" s="84" t="s">
        <v>1223</v>
      </c>
      <c r="P343" s="285" t="s">
        <v>1221</v>
      </c>
      <c r="Q343" s="285" t="s">
        <v>1222</v>
      </c>
      <c r="R343" s="291">
        <v>613564800</v>
      </c>
      <c r="S343" s="285">
        <v>0</v>
      </c>
      <c r="T343" s="285" t="s">
        <v>111</v>
      </c>
      <c r="U343" s="285" t="s">
        <v>436</v>
      </c>
      <c r="V343" s="284" t="s">
        <v>1200</v>
      </c>
      <c r="W343" s="285"/>
      <c r="X343" s="285" t="s">
        <v>1216</v>
      </c>
      <c r="Y343" s="331"/>
      <c r="Z343" s="330"/>
      <c r="AA343" s="77"/>
      <c r="AC343" s="129"/>
      <c r="AH343" s="279"/>
      <c r="AJ343" s="40"/>
      <c r="AK343" s="40"/>
      <c r="AQ343" s="287"/>
    </row>
    <row r="344" spans="7:45" ht="13.5" customHeight="1">
      <c r="J344" s="3"/>
      <c r="K344" s="3"/>
      <c r="L344" s="47"/>
      <c r="M344" s="47"/>
      <c r="O344" s="84"/>
      <c r="P344" s="285" t="s">
        <v>1221</v>
      </c>
      <c r="Q344" s="285" t="s">
        <v>1222</v>
      </c>
      <c r="R344" s="285">
        <v>613564800</v>
      </c>
      <c r="S344" s="285">
        <v>0</v>
      </c>
      <c r="T344" s="285" t="s">
        <v>111</v>
      </c>
      <c r="U344" s="285" t="s">
        <v>436</v>
      </c>
      <c r="V344" s="285" t="s">
        <v>1184</v>
      </c>
      <c r="W344" s="285"/>
      <c r="X344" s="285" t="s">
        <v>1216</v>
      </c>
      <c r="Y344" s="331"/>
      <c r="Z344" s="330"/>
      <c r="AA344" s="77"/>
      <c r="AC344" s="129"/>
      <c r="AH344" s="279"/>
      <c r="AJ344" s="40"/>
      <c r="AK344" s="40"/>
      <c r="AQ344" s="287"/>
    </row>
    <row r="345" spans="7:45" ht="13.5" customHeight="1">
      <c r="J345" s="3"/>
      <c r="K345" s="3"/>
      <c r="L345" s="47"/>
      <c r="M345" s="47"/>
      <c r="O345" s="84"/>
      <c r="P345" s="285" t="s">
        <v>1221</v>
      </c>
      <c r="Q345" s="285" t="s">
        <v>1222</v>
      </c>
      <c r="R345" s="285">
        <v>613564800</v>
      </c>
      <c r="S345" s="285">
        <v>0</v>
      </c>
      <c r="T345" s="285" t="s">
        <v>111</v>
      </c>
      <c r="U345" s="285" t="s">
        <v>436</v>
      </c>
      <c r="V345" s="285" t="s">
        <v>756</v>
      </c>
      <c r="W345" s="285"/>
      <c r="X345" s="285" t="s">
        <v>1216</v>
      </c>
      <c r="Y345" s="331"/>
      <c r="Z345" s="330"/>
      <c r="AA345" s="77"/>
      <c r="AC345" s="129"/>
      <c r="AH345" s="279"/>
      <c r="AJ345" s="40"/>
      <c r="AK345" s="40"/>
      <c r="AQ345" s="287"/>
    </row>
    <row r="346" spans="7:45" ht="13.5" customHeight="1">
      <c r="J346" s="3" t="s">
        <v>228</v>
      </c>
      <c r="K346" s="3" t="s">
        <v>825</v>
      </c>
      <c r="L346" s="47" t="str">
        <f>M335</f>
        <v>25-181/04:48</v>
      </c>
      <c r="M346" s="47" t="s">
        <v>1248</v>
      </c>
      <c r="N346" t="s">
        <v>1224</v>
      </c>
      <c r="O346" s="84" t="s">
        <v>1266</v>
      </c>
      <c r="P346" s="32" t="str">
        <f>MID(AL346,5,5)</f>
        <v/>
      </c>
      <c r="Q346" s="369">
        <f>R343-3</f>
        <v>613564797</v>
      </c>
      <c r="R346" s="21">
        <f>((W346)/$S$2)+Q346</f>
        <v>614149095.70580232</v>
      </c>
      <c r="S346" s="21">
        <f>R346-Q346</f>
        <v>584298.70580232143</v>
      </c>
      <c r="T346" s="21">
        <f>S346*$S$2</f>
        <v>295460.29952462157</v>
      </c>
      <c r="U346" s="3">
        <v>0</v>
      </c>
      <c r="V346" s="20">
        <f>T346+U346*$V$38</f>
        <v>295460.29952462157</v>
      </c>
      <c r="W346" s="183">
        <f>X335</f>
        <v>295460.29952459713</v>
      </c>
      <c r="X346" s="332">
        <f>W346-V346</f>
        <v>-2.4447217583656311E-8</v>
      </c>
      <c r="Y346" s="331"/>
      <c r="Z346" s="330"/>
      <c r="AA346" s="77"/>
      <c r="AB346">
        <f>W346*8/1000000</f>
        <v>2.363682396196777</v>
      </c>
      <c r="AC346" s="129">
        <f>AK346+AC335</f>
        <v>80.815494551168328</v>
      </c>
      <c r="AH346" s="279"/>
      <c r="AJ346" s="40">
        <f>X346*8/1000000</f>
        <v>-1.955777406692505E-13</v>
      </c>
      <c r="AK346" s="40">
        <f>V346*8/1000000</f>
        <v>2.3636823961969724</v>
      </c>
      <c r="AQ346" s="287"/>
    </row>
    <row r="347" spans="7:45" ht="13.5" customHeight="1">
      <c r="G347" s="175"/>
      <c r="H347" s="175"/>
      <c r="I347" s="175"/>
      <c r="J347" s="3" t="s">
        <v>228</v>
      </c>
      <c r="K347" s="3" t="s">
        <v>825</v>
      </c>
      <c r="L347" s="47" t="str">
        <f>M346</f>
        <v>25-187/23:06</v>
      </c>
      <c r="M347" s="47" t="s">
        <v>1249</v>
      </c>
      <c r="N347" t="s">
        <v>1224</v>
      </c>
      <c r="O347" s="84" t="str">
        <f>AI347</f>
        <v>215/14:20</v>
      </c>
      <c r="P347" s="32" t="str">
        <f>MID(AL347,5,5)</f>
        <v>215_1</v>
      </c>
      <c r="Q347" s="58">
        <f>R346-3</f>
        <v>614149092.70580232</v>
      </c>
      <c r="R347" s="21">
        <f>((W347)/$S$2)+Q347</f>
        <v>614850080.39412427</v>
      </c>
      <c r="S347" s="21">
        <f>R347-Q347</f>
        <v>700987.68832194805</v>
      </c>
      <c r="T347" s="21">
        <f>S347*$S$2</f>
        <v>354466.01250002626</v>
      </c>
      <c r="U347" s="3">
        <v>0</v>
      </c>
      <c r="V347" s="20">
        <f>T347+U347*$V$38</f>
        <v>354466.01250002626</v>
      </c>
      <c r="W347" s="20">
        <f>AA347*1000000/8</f>
        <v>354466.01250000001</v>
      </c>
      <c r="X347" s="332">
        <f>W347-V347</f>
        <v>-2.6251655071973801E-8</v>
      </c>
      <c r="Y347" s="331"/>
      <c r="Z347" s="330"/>
      <c r="AA347" s="77">
        <f>AR347</f>
        <v>2.8357281000000003</v>
      </c>
      <c r="AC347" s="129">
        <f>AK347+AC346</f>
        <v>83.651222651168538</v>
      </c>
      <c r="AE347" s="99"/>
      <c r="AH347" s="279" t="str">
        <f>AL347</f>
        <v>TRK_215_1</v>
      </c>
      <c r="AI347" t="s">
        <v>1120</v>
      </c>
      <c r="AJ347" s="40">
        <f>X347*8/1000000</f>
        <v>-2.1001324057579041E-13</v>
      </c>
      <c r="AK347" s="40">
        <f>V347*8/1000000</f>
        <v>2.8357281000002099</v>
      </c>
      <c r="AL347" t="s">
        <v>795</v>
      </c>
      <c r="AM347" t="s">
        <v>1090</v>
      </c>
      <c r="AN347">
        <v>0.22704199999999999</v>
      </c>
      <c r="AO347">
        <v>0.58508800000000005</v>
      </c>
      <c r="AP347">
        <v>0.35804599999999998</v>
      </c>
      <c r="AQ347" s="287">
        <v>3.1508090000000002</v>
      </c>
      <c r="AR347">
        <f>AQ347*0.9</f>
        <v>2.8357281000000003</v>
      </c>
      <c r="AS347">
        <f>AS335+AR347</f>
        <v>144.15919920000002</v>
      </c>
    </row>
    <row r="348" spans="7:45" ht="13.5" customHeight="1">
      <c r="G348" s="175"/>
      <c r="H348" s="175"/>
      <c r="I348" s="175"/>
      <c r="J348" s="3"/>
      <c r="K348" s="3"/>
      <c r="L348" s="47" t="str">
        <f>M347</f>
        <v>25-196/01:49</v>
      </c>
      <c r="M348" s="47" t="s">
        <v>1186</v>
      </c>
      <c r="N348" t="s">
        <v>1225</v>
      </c>
      <c r="O348" s="84" t="str">
        <f>AI348</f>
        <v>216/03:34</v>
      </c>
      <c r="P348" s="32" t="str">
        <f>MID(AL348,5,5)</f>
        <v>216_1</v>
      </c>
      <c r="Q348" s="58">
        <f>R347-3</f>
        <v>614850077.39412427</v>
      </c>
      <c r="R348" s="196">
        <f>Q219-3</f>
        <v>615306093</v>
      </c>
      <c r="S348" s="21">
        <f>R348-Q348</f>
        <v>456015.60587573051</v>
      </c>
      <c r="T348" s="21">
        <f>S348*$S$2</f>
        <v>230591.82942213837</v>
      </c>
      <c r="U348" s="3">
        <v>0</v>
      </c>
      <c r="V348" s="20">
        <f>T348+U348*$V$38</f>
        <v>230591.82942213837</v>
      </c>
      <c r="W348" s="20">
        <f>AA348*1000000/8</f>
        <v>1016345.8125000002</v>
      </c>
      <c r="X348" s="187">
        <f>W348-V348</f>
        <v>785753.98307786183</v>
      </c>
      <c r="Y348" s="331"/>
      <c r="Z348" s="330"/>
      <c r="AA348" s="77">
        <f>AR348</f>
        <v>8.1307665000000018</v>
      </c>
      <c r="AB348">
        <f>V348*8/1000000</f>
        <v>1.844734635377107</v>
      </c>
      <c r="AC348" s="129">
        <f>AK348+AC347</f>
        <v>85.495957286545647</v>
      </c>
      <c r="AE348" s="99"/>
      <c r="AH348" s="279" t="str">
        <f>AL348</f>
        <v>TRK_216_1</v>
      </c>
      <c r="AI348" t="s">
        <v>1130</v>
      </c>
      <c r="AJ348" s="40">
        <f>X348*8/1000000</f>
        <v>6.2860318646228945</v>
      </c>
      <c r="AK348" s="40">
        <f>V348*8/1000000</f>
        <v>1.844734635377107</v>
      </c>
      <c r="AL348" t="s">
        <v>797</v>
      </c>
      <c r="AM348" t="s">
        <v>1091</v>
      </c>
      <c r="AN348">
        <v>0.23466000000000001</v>
      </c>
      <c r="AO348">
        <v>1.2612719999999999</v>
      </c>
      <c r="AP348">
        <v>1.0266120000000001</v>
      </c>
      <c r="AQ348" s="287">
        <v>9.0341850000000008</v>
      </c>
      <c r="AR348">
        <f>AQ348*0.9</f>
        <v>8.1307665000000018</v>
      </c>
      <c r="AS348">
        <f>AS347+AR348</f>
        <v>152.28996570000001</v>
      </c>
    </row>
    <row r="349" spans="7:45" ht="13.5" customHeight="1">
      <c r="G349" s="175"/>
      <c r="H349" s="175"/>
      <c r="I349" s="175"/>
      <c r="J349" s="3"/>
      <c r="K349" s="3"/>
      <c r="L349" s="47"/>
      <c r="M349" s="47"/>
      <c r="O349" s="84"/>
      <c r="P349" s="193" t="s">
        <v>1197</v>
      </c>
      <c r="Q349" s="193" t="s">
        <v>24</v>
      </c>
      <c r="R349" s="193" t="s">
        <v>1197</v>
      </c>
      <c r="S349" s="193" t="s">
        <v>24</v>
      </c>
      <c r="T349" s="21" t="s">
        <v>1231</v>
      </c>
      <c r="U349" s="3"/>
      <c r="V349" s="191">
        <v>615306096</v>
      </c>
      <c r="W349" s="191">
        <v>615339021</v>
      </c>
      <c r="X349" s="368"/>
      <c r="Y349" s="331"/>
      <c r="Z349" s="330"/>
      <c r="AA349" s="77"/>
      <c r="AC349" s="129"/>
      <c r="AE349" s="99"/>
      <c r="AH349" s="279"/>
      <c r="AJ349" s="40"/>
      <c r="AK349" s="40"/>
      <c r="AQ349" s="287"/>
    </row>
    <row r="350" spans="7:45" ht="13.5" customHeight="1">
      <c r="G350" s="175"/>
      <c r="H350" s="175"/>
      <c r="I350" s="175"/>
      <c r="J350" s="3"/>
      <c r="K350" s="3"/>
      <c r="L350" s="47"/>
      <c r="M350" s="47"/>
      <c r="O350" s="84"/>
      <c r="P350" s="193" t="s">
        <v>1187</v>
      </c>
      <c r="Q350" s="194" t="s">
        <v>770</v>
      </c>
      <c r="R350" s="292">
        <v>615306096</v>
      </c>
      <c r="S350" s="293">
        <v>615339021</v>
      </c>
      <c r="T350" s="21"/>
      <c r="U350" s="3"/>
      <c r="V350" s="192" t="s">
        <v>1252</v>
      </c>
      <c r="W350" s="191"/>
      <c r="X350" s="368"/>
      <c r="Y350" s="331"/>
      <c r="Z350" s="330"/>
      <c r="AA350" s="77"/>
      <c r="AC350" s="129"/>
      <c r="AE350" s="99"/>
      <c r="AH350" s="279"/>
      <c r="AJ350" s="40"/>
      <c r="AK350" s="40"/>
      <c r="AQ350" s="287"/>
    </row>
    <row r="351" spans="7:45" ht="13.5" customHeight="1">
      <c r="G351" s="175"/>
      <c r="H351" s="175"/>
      <c r="I351" s="175"/>
      <c r="J351" s="3"/>
      <c r="K351" s="3"/>
      <c r="L351" s="47"/>
      <c r="M351" s="47"/>
      <c r="N351" s="6" t="s">
        <v>1236</v>
      </c>
      <c r="O351" s="84" t="s">
        <v>19</v>
      </c>
      <c r="P351" s="285" t="s">
        <v>1188</v>
      </c>
      <c r="Q351" s="285" t="s">
        <v>1189</v>
      </c>
      <c r="R351" s="294">
        <v>615779216</v>
      </c>
      <c r="S351" s="285">
        <v>7</v>
      </c>
      <c r="T351" s="285" t="s">
        <v>27</v>
      </c>
      <c r="U351" s="285" t="s">
        <v>1190</v>
      </c>
      <c r="V351" s="285" t="s">
        <v>101</v>
      </c>
      <c r="W351" s="285" t="s">
        <v>102</v>
      </c>
      <c r="X351" s="285" t="s">
        <v>1191</v>
      </c>
      <c r="Y351" s="331"/>
      <c r="Z351" s="330"/>
      <c r="AA351" s="77"/>
      <c r="AC351" s="129"/>
      <c r="AE351" s="99"/>
      <c r="AH351" s="279"/>
      <c r="AJ351" s="40"/>
      <c r="AK351" s="40"/>
      <c r="AQ351" s="287"/>
    </row>
    <row r="352" spans="7:45" ht="13.5" customHeight="1">
      <c r="G352" s="175"/>
      <c r="H352" s="175"/>
      <c r="I352" s="175"/>
      <c r="J352" s="3"/>
      <c r="K352" s="3"/>
      <c r="L352" s="47"/>
      <c r="M352" s="47"/>
      <c r="O352" s="84"/>
      <c r="P352" s="285" t="s">
        <v>1192</v>
      </c>
      <c r="Q352" s="285" t="s">
        <v>1193</v>
      </c>
      <c r="R352" s="285">
        <v>615779236</v>
      </c>
      <c r="S352" s="285">
        <v>1</v>
      </c>
      <c r="T352" s="285" t="s">
        <v>27</v>
      </c>
      <c r="U352" s="285" t="s">
        <v>1190</v>
      </c>
      <c r="V352" s="285" t="s">
        <v>118</v>
      </c>
      <c r="W352" s="285"/>
      <c r="X352" s="285" t="s">
        <v>1191</v>
      </c>
      <c r="Y352" s="331"/>
      <c r="Z352" s="330"/>
      <c r="AA352" s="77"/>
      <c r="AC352" s="129"/>
      <c r="AE352" s="99"/>
      <c r="AH352" s="279"/>
      <c r="AJ352" s="40"/>
      <c r="AK352" s="40"/>
      <c r="AQ352" s="287"/>
    </row>
    <row r="353" spans="7:45" ht="13.5" customHeight="1">
      <c r="G353" s="175"/>
      <c r="H353" s="175"/>
      <c r="I353" s="175"/>
      <c r="J353" s="3"/>
      <c r="K353" s="3"/>
      <c r="L353" s="47"/>
      <c r="M353" s="47"/>
      <c r="O353" s="84"/>
      <c r="P353" s="285" t="s">
        <v>1194</v>
      </c>
      <c r="Q353" s="285" t="s">
        <v>1195</v>
      </c>
      <c r="R353" s="285">
        <v>615779241</v>
      </c>
      <c r="S353" s="285">
        <v>1</v>
      </c>
      <c r="T353" s="285" t="s">
        <v>27</v>
      </c>
      <c r="U353" s="285" t="s">
        <v>1190</v>
      </c>
      <c r="V353" s="285" t="s">
        <v>118</v>
      </c>
      <c r="W353" s="285"/>
      <c r="X353" s="285" t="s">
        <v>1191</v>
      </c>
      <c r="Y353" s="331"/>
      <c r="Z353" s="330"/>
      <c r="AA353" s="77"/>
      <c r="AC353" s="129"/>
      <c r="AE353" s="99"/>
      <c r="AH353" s="279"/>
      <c r="AJ353" s="40"/>
      <c r="AK353" s="40"/>
      <c r="AQ353" s="287"/>
    </row>
    <row r="354" spans="7:45" ht="13.5" customHeight="1">
      <c r="G354" s="175"/>
      <c r="H354" s="175"/>
      <c r="I354" s="175"/>
      <c r="J354" s="3"/>
      <c r="K354" s="3"/>
      <c r="L354" s="47"/>
      <c r="M354" s="47"/>
      <c r="O354" s="84"/>
      <c r="P354" s="285" t="s">
        <v>1198</v>
      </c>
      <c r="Q354" s="285" t="s">
        <v>1199</v>
      </c>
      <c r="R354" s="285">
        <v>615779712</v>
      </c>
      <c r="S354" s="285">
        <v>0</v>
      </c>
      <c r="T354" s="285" t="s">
        <v>111</v>
      </c>
      <c r="U354" s="285" t="s">
        <v>1190</v>
      </c>
      <c r="V354" s="285" t="s">
        <v>1180</v>
      </c>
      <c r="W354" s="285"/>
      <c r="X354" s="285" t="s">
        <v>1191</v>
      </c>
      <c r="Y354" s="331"/>
      <c r="Z354" s="330"/>
      <c r="AA354" s="77"/>
      <c r="AC354" s="129"/>
      <c r="AE354" s="99"/>
      <c r="AH354" s="279"/>
      <c r="AJ354" s="40"/>
      <c r="AK354" s="40"/>
      <c r="AQ354" s="287"/>
    </row>
    <row r="355" spans="7:45" ht="13.5" customHeight="1">
      <c r="G355" s="175"/>
      <c r="H355" s="175"/>
      <c r="I355" s="175"/>
      <c r="J355" s="3"/>
      <c r="K355" s="3"/>
      <c r="L355" s="47"/>
      <c r="M355" s="47"/>
      <c r="O355" s="84"/>
      <c r="P355" s="285" t="s">
        <v>1198</v>
      </c>
      <c r="Q355" s="285" t="s">
        <v>1199</v>
      </c>
      <c r="R355" s="285">
        <v>615779712</v>
      </c>
      <c r="S355" s="285">
        <v>0</v>
      </c>
      <c r="T355" s="285" t="s">
        <v>111</v>
      </c>
      <c r="U355" s="285" t="s">
        <v>1190</v>
      </c>
      <c r="V355" s="285" t="s">
        <v>1181</v>
      </c>
      <c r="W355" s="285"/>
      <c r="X355" s="285" t="s">
        <v>1191</v>
      </c>
      <c r="Y355" s="331"/>
      <c r="Z355" s="330"/>
      <c r="AA355" s="77"/>
      <c r="AC355" s="129"/>
      <c r="AE355" s="99"/>
      <c r="AH355" s="279"/>
      <c r="AJ355" s="40"/>
      <c r="AK355" s="40"/>
      <c r="AQ355" s="287"/>
    </row>
    <row r="356" spans="7:45" ht="13.5" customHeight="1">
      <c r="G356" s="175"/>
      <c r="H356" s="175"/>
      <c r="I356" s="175"/>
      <c r="J356" s="3"/>
      <c r="K356" s="3"/>
      <c r="L356" s="47"/>
      <c r="M356" s="47"/>
      <c r="O356" s="84"/>
      <c r="P356" s="285" t="s">
        <v>1198</v>
      </c>
      <c r="Q356" s="285" t="s">
        <v>1199</v>
      </c>
      <c r="R356" s="285">
        <v>615779712</v>
      </c>
      <c r="S356" s="285">
        <v>0</v>
      </c>
      <c r="T356" s="285" t="s">
        <v>111</v>
      </c>
      <c r="U356" s="285" t="s">
        <v>1190</v>
      </c>
      <c r="V356" s="285" t="s">
        <v>1182</v>
      </c>
      <c r="W356" s="285"/>
      <c r="X356" s="285" t="s">
        <v>1191</v>
      </c>
      <c r="Y356" s="331"/>
      <c r="Z356" s="330"/>
      <c r="AA356" s="77"/>
      <c r="AC356" s="129"/>
      <c r="AE356" s="99"/>
      <c r="AH356" s="279"/>
      <c r="AJ356" s="40"/>
      <c r="AK356" s="40"/>
      <c r="AQ356" s="287"/>
    </row>
    <row r="357" spans="7:45" ht="13.5" customHeight="1">
      <c r="G357" s="175"/>
      <c r="H357" s="175"/>
      <c r="I357" s="175"/>
      <c r="J357" s="3"/>
      <c r="K357" s="3"/>
      <c r="L357" s="47"/>
      <c r="M357" s="47"/>
      <c r="O357" s="84"/>
      <c r="P357" s="285" t="s">
        <v>1198</v>
      </c>
      <c r="Q357" s="285" t="s">
        <v>1199</v>
      </c>
      <c r="R357" s="285">
        <v>615779712</v>
      </c>
      <c r="S357" s="285">
        <v>0</v>
      </c>
      <c r="T357" s="285" t="s">
        <v>111</v>
      </c>
      <c r="U357" s="285" t="s">
        <v>1190</v>
      </c>
      <c r="V357" s="285" t="s">
        <v>113</v>
      </c>
      <c r="W357" s="285"/>
      <c r="X357" s="285" t="s">
        <v>1191</v>
      </c>
      <c r="Y357" s="331"/>
      <c r="Z357" s="330"/>
      <c r="AA357" s="77"/>
      <c r="AC357" s="129"/>
      <c r="AE357" s="99"/>
      <c r="AH357" s="279"/>
      <c r="AJ357" s="40"/>
      <c r="AK357" s="40"/>
      <c r="AQ357" s="287"/>
    </row>
    <row r="358" spans="7:45" ht="13.5" customHeight="1">
      <c r="G358" s="175"/>
      <c r="H358" s="175"/>
      <c r="I358" s="175"/>
      <c r="J358" s="3"/>
      <c r="K358" s="3"/>
      <c r="L358" s="47"/>
      <c r="M358" s="47"/>
      <c r="O358" s="84"/>
      <c r="P358" s="285" t="s">
        <v>1198</v>
      </c>
      <c r="Q358" s="285" t="s">
        <v>1199</v>
      </c>
      <c r="R358" s="285">
        <v>615779712</v>
      </c>
      <c r="S358" s="285">
        <v>0</v>
      </c>
      <c r="T358" s="285" t="s">
        <v>111</v>
      </c>
      <c r="U358" s="285" t="s">
        <v>1190</v>
      </c>
      <c r="V358" s="284" t="s">
        <v>1200</v>
      </c>
      <c r="W358" s="285"/>
      <c r="X358" s="285" t="s">
        <v>1191</v>
      </c>
      <c r="Y358" s="331"/>
      <c r="Z358" s="330"/>
      <c r="AA358" s="77"/>
      <c r="AC358" s="129"/>
      <c r="AE358" s="99"/>
      <c r="AH358" s="279"/>
      <c r="AJ358" s="40"/>
      <c r="AK358" s="40"/>
      <c r="AQ358" s="287"/>
    </row>
    <row r="359" spans="7:45" ht="13.5" customHeight="1">
      <c r="G359" s="175"/>
      <c r="H359" s="175"/>
      <c r="I359" s="175"/>
      <c r="J359" s="3"/>
      <c r="K359" s="3"/>
      <c r="L359" s="47"/>
      <c r="M359" s="47"/>
      <c r="O359" s="84"/>
      <c r="P359" s="285" t="s">
        <v>1198</v>
      </c>
      <c r="Q359" s="285" t="s">
        <v>1199</v>
      </c>
      <c r="R359" s="285">
        <v>615779712</v>
      </c>
      <c r="S359" s="285">
        <v>0</v>
      </c>
      <c r="T359" s="285" t="s">
        <v>1232</v>
      </c>
      <c r="U359" s="285" t="s">
        <v>1190</v>
      </c>
      <c r="V359" s="285" t="s">
        <v>1184</v>
      </c>
      <c r="W359" s="285"/>
      <c r="X359" s="285" t="s">
        <v>1191</v>
      </c>
      <c r="Y359" s="331"/>
      <c r="Z359" s="330"/>
      <c r="AA359" s="77"/>
      <c r="AC359" s="129"/>
      <c r="AE359" s="99"/>
      <c r="AH359" s="279"/>
      <c r="AJ359" s="40"/>
      <c r="AK359" s="40"/>
      <c r="AQ359" s="287"/>
    </row>
    <row r="360" spans="7:45" ht="13.5" customHeight="1">
      <c r="G360" s="175"/>
      <c r="H360" s="175"/>
      <c r="I360" s="175"/>
      <c r="J360" s="3"/>
      <c r="K360" s="3"/>
      <c r="L360" s="204" t="str" cm="1">
        <f t="array" aca="1" ref="L360" ca="1">MID(met2utc(Q361),3,12)</f>
        <v>25-206/19:54</v>
      </c>
      <c r="M360" s="47">
        <f>(218-206)*3600/1000000</f>
        <v>4.3200000000000002E-2</v>
      </c>
      <c r="O360" s="84"/>
      <c r="P360" s="285" t="s">
        <v>1198</v>
      </c>
      <c r="Q360" s="285" t="s">
        <v>1199</v>
      </c>
      <c r="R360" s="285">
        <v>615779712</v>
      </c>
      <c r="S360" s="285">
        <v>0</v>
      </c>
      <c r="T360" s="285" t="s">
        <v>111</v>
      </c>
      <c r="U360" s="285" t="s">
        <v>1190</v>
      </c>
      <c r="V360" s="285" t="s">
        <v>756</v>
      </c>
      <c r="W360" s="285"/>
      <c r="X360" s="285" t="s">
        <v>1191</v>
      </c>
      <c r="Y360" s="331"/>
      <c r="Z360" s="330"/>
      <c r="AA360" s="77"/>
      <c r="AC360" s="129"/>
      <c r="AE360" s="99"/>
      <c r="AH360" s="279"/>
      <c r="AJ360" s="40"/>
      <c r="AK360" s="40"/>
      <c r="AQ360" s="287"/>
    </row>
    <row r="361" spans="7:45" ht="13.5" customHeight="1">
      <c r="G361" s="175"/>
      <c r="H361" s="175"/>
      <c r="I361" s="175"/>
      <c r="J361" s="3" t="s">
        <v>228</v>
      </c>
      <c r="K361" s="3" t="s">
        <v>825</v>
      </c>
      <c r="L361" s="47" t="s">
        <v>1201</v>
      </c>
      <c r="M361" s="47" t="s">
        <v>1229</v>
      </c>
      <c r="N361" t="s">
        <v>1224</v>
      </c>
      <c r="O361" s="34" t="s">
        <v>1237</v>
      </c>
      <c r="P361" s="32" t="str">
        <f>MID(AL361,5,5)</f>
        <v/>
      </c>
      <c r="Q361" s="294">
        <f>R351-5</f>
        <v>615779211</v>
      </c>
      <c r="R361" s="190">
        <f>R363+20</f>
        <v>616808241</v>
      </c>
      <c r="S361" s="21">
        <f>R361-Q361</f>
        <v>1029030</v>
      </c>
      <c r="T361" s="21">
        <f>S361*$S$2</f>
        <v>520346.03020784812</v>
      </c>
      <c r="U361" s="3">
        <v>0</v>
      </c>
      <c r="V361" s="20">
        <f>T361+U361*$V$38</f>
        <v>520346.03020784812</v>
      </c>
      <c r="W361" s="183">
        <f>X348</f>
        <v>785753.98307786183</v>
      </c>
      <c r="X361" s="187">
        <f>W361-V361</f>
        <v>265407.95287001372</v>
      </c>
      <c r="Y361" s="331"/>
      <c r="Z361" s="330"/>
      <c r="AA361" s="77"/>
      <c r="AB361">
        <f>V361*8/1000000</f>
        <v>4.1627682416627847</v>
      </c>
      <c r="AC361" s="129">
        <f>AK361+AC348</f>
        <v>89.658725528208436</v>
      </c>
      <c r="AH361" s="279"/>
      <c r="AJ361" s="40">
        <f>X361*8/1000000</f>
        <v>2.1232636229601098</v>
      </c>
      <c r="AK361" s="40">
        <f>V361*8/1000000</f>
        <v>4.1627682416627847</v>
      </c>
      <c r="AL361" s="295"/>
      <c r="AM361" s="295"/>
      <c r="AN361" s="295"/>
      <c r="AO361" s="295"/>
      <c r="AP361" s="295"/>
      <c r="AQ361" s="296"/>
    </row>
    <row r="362" spans="7:45" ht="13.5" customHeight="1">
      <c r="G362" s="175"/>
      <c r="H362" s="175"/>
      <c r="I362" s="175"/>
      <c r="J362" s="3"/>
      <c r="K362" s="3"/>
      <c r="L362" s="47"/>
      <c r="M362" s="205" t="str" cm="1">
        <f t="array" aca="1" ref="M362" ca="1">MID(met2utc(R361),3,12)</f>
        <v>25-218/17:45</v>
      </c>
      <c r="O362" s="34"/>
      <c r="P362" s="280" t="s">
        <v>1204</v>
      </c>
      <c r="Q362" s="280" t="s">
        <v>1205</v>
      </c>
      <c r="R362" s="297">
        <v>616807877</v>
      </c>
      <c r="S362" s="280">
        <v>0</v>
      </c>
      <c r="T362" s="280" t="s">
        <v>111</v>
      </c>
      <c r="U362" s="280" t="s">
        <v>938</v>
      </c>
      <c r="V362" s="280" t="s">
        <v>1206</v>
      </c>
      <c r="W362" s="280"/>
      <c r="X362" s="280" t="s">
        <v>1207</v>
      </c>
      <c r="Y362" s="331"/>
      <c r="Z362" s="330"/>
      <c r="AA362" s="77"/>
      <c r="AC362" s="129"/>
      <c r="AE362" s="99"/>
      <c r="AH362" s="279"/>
      <c r="AJ362" s="40"/>
      <c r="AK362" s="40"/>
      <c r="AQ362" s="287"/>
    </row>
    <row r="363" spans="7:45" ht="13.5" customHeight="1">
      <c r="G363" s="175"/>
      <c r="H363" s="175"/>
      <c r="I363" s="175"/>
      <c r="J363" s="3"/>
      <c r="K363" s="3"/>
      <c r="L363" s="47"/>
      <c r="M363" s="47"/>
      <c r="O363" s="34" t="s">
        <v>1227</v>
      </c>
      <c r="P363" s="280" t="s">
        <v>1208</v>
      </c>
      <c r="Q363" s="280" t="s">
        <v>1209</v>
      </c>
      <c r="R363" s="298">
        <v>616808221</v>
      </c>
      <c r="S363" s="280">
        <v>1</v>
      </c>
      <c r="T363" s="280" t="s">
        <v>27</v>
      </c>
      <c r="U363" s="280" t="s">
        <v>357</v>
      </c>
      <c r="V363" s="280" t="s">
        <v>118</v>
      </c>
      <c r="W363" s="280"/>
      <c r="X363" s="280" t="s">
        <v>1207</v>
      </c>
      <c r="Y363" s="331"/>
      <c r="Z363" s="330"/>
      <c r="AA363" s="77"/>
      <c r="AC363" s="129"/>
      <c r="AE363" s="99"/>
      <c r="AH363" s="279"/>
      <c r="AJ363" s="40"/>
      <c r="AK363" s="40"/>
      <c r="AQ363" s="287"/>
    </row>
    <row r="364" spans="7:45" ht="13.5" customHeight="1">
      <c r="G364" s="175"/>
      <c r="H364" s="175"/>
      <c r="I364" s="175"/>
      <c r="J364" s="3"/>
      <c r="K364" s="3"/>
      <c r="L364" s="47"/>
      <c r="M364" s="47"/>
      <c r="O364" s="84" t="s">
        <v>1226</v>
      </c>
      <c r="P364" s="280" t="s">
        <v>1030</v>
      </c>
      <c r="Q364" s="280" t="s">
        <v>1031</v>
      </c>
      <c r="R364" s="299">
        <v>616842836</v>
      </c>
      <c r="S364" s="280">
        <v>7</v>
      </c>
      <c r="T364" s="280" t="s">
        <v>27</v>
      </c>
      <c r="U364" s="280" t="s">
        <v>1032</v>
      </c>
      <c r="V364" s="280" t="s">
        <v>101</v>
      </c>
      <c r="W364" s="280" t="s">
        <v>102</v>
      </c>
      <c r="X364" s="280" t="s">
        <v>1033</v>
      </c>
      <c r="Y364" s="331"/>
      <c r="Z364" s="330"/>
      <c r="AA364" s="77"/>
      <c r="AC364" s="129"/>
      <c r="AE364" s="99"/>
      <c r="AH364" s="279"/>
      <c r="AJ364" s="40"/>
      <c r="AK364" s="40"/>
      <c r="AQ364" s="287"/>
    </row>
    <row r="365" spans="7:45" ht="13.5" customHeight="1">
      <c r="G365" s="175"/>
      <c r="H365" s="175"/>
      <c r="I365" s="175"/>
      <c r="J365" s="3"/>
      <c r="K365" s="3"/>
      <c r="L365" s="204" t="str" cm="1">
        <f t="array" aca="1" ref="L365" ca="1">MID(met2utc(Q366),3,12)</f>
        <v>25-219/03:21</v>
      </c>
      <c r="M365" s="47"/>
      <c r="O365" s="84"/>
      <c r="P365" s="281" t="s">
        <v>1210</v>
      </c>
      <c r="Q365" s="281" t="s">
        <v>1211</v>
      </c>
      <c r="R365" s="300">
        <v>616843328</v>
      </c>
      <c r="S365" s="281">
        <v>0</v>
      </c>
      <c r="T365" s="281" t="s">
        <v>111</v>
      </c>
      <c r="U365" s="281" t="s">
        <v>1032</v>
      </c>
      <c r="V365" s="281" t="s">
        <v>1200</v>
      </c>
      <c r="W365" s="281"/>
      <c r="X365" s="281" t="s">
        <v>1033</v>
      </c>
      <c r="Y365" s="331"/>
      <c r="Z365" s="330"/>
      <c r="AA365" s="77"/>
      <c r="AC365" s="129"/>
      <c r="AE365" s="99"/>
      <c r="AH365" s="279"/>
      <c r="AJ365" s="40"/>
      <c r="AK365" s="40"/>
      <c r="AQ365" s="287"/>
    </row>
    <row r="366" spans="7:45" ht="13.5" customHeight="1">
      <c r="J366" s="3" t="s">
        <v>228</v>
      </c>
      <c r="K366" s="3" t="s">
        <v>825</v>
      </c>
      <c r="L366" s="47" t="s">
        <v>1228</v>
      </c>
      <c r="M366" s="47" t="s">
        <v>1238</v>
      </c>
      <c r="N366" t="s">
        <v>1230</v>
      </c>
      <c r="O366" s="34" t="s">
        <v>1226</v>
      </c>
      <c r="P366" s="32" t="str">
        <f>MID(AL366,5,5)</f>
        <v/>
      </c>
      <c r="Q366" s="367">
        <f>R364-5</f>
        <v>616842831</v>
      </c>
      <c r="R366" s="21">
        <f>((W366)/$S$2)+Q366</f>
        <v>617367698.54945111</v>
      </c>
      <c r="S366" s="21">
        <f>R366-Q366</f>
        <v>524867.54945111275</v>
      </c>
      <c r="T366" s="21">
        <f>S366*$S$2</f>
        <v>265407.95286999206</v>
      </c>
      <c r="U366" s="3">
        <v>0</v>
      </c>
      <c r="V366" s="20">
        <f>T366+U366*$V$38</f>
        <v>265407.95286999206</v>
      </c>
      <c r="W366" s="183">
        <f>X361</f>
        <v>265407.95287001372</v>
      </c>
      <c r="X366" s="332">
        <f>W366-V366</f>
        <v>2.1653249859809875E-8</v>
      </c>
      <c r="Y366" s="331"/>
      <c r="Z366" s="330"/>
      <c r="AA366" s="77"/>
      <c r="AB366">
        <f>V366*8/1000000</f>
        <v>2.1232636229599366</v>
      </c>
      <c r="AC366" s="129">
        <f>AK366+AC361</f>
        <v>91.781989151168375</v>
      </c>
      <c r="AH366" s="279"/>
      <c r="AJ366" s="40">
        <f>X366*8/1000000</f>
        <v>1.73225998878479E-13</v>
      </c>
      <c r="AK366" s="40">
        <f>V366*8/1000000</f>
        <v>2.1232636229599366</v>
      </c>
      <c r="AL366" s="295"/>
      <c r="AM366" s="295"/>
      <c r="AN366" s="295"/>
      <c r="AO366" s="295"/>
      <c r="AP366" s="295"/>
      <c r="AQ366" s="296"/>
    </row>
    <row r="367" spans="7:45" ht="13.5" customHeight="1">
      <c r="J367" s="3" t="s">
        <v>228</v>
      </c>
      <c r="K367" s="3" t="s">
        <v>825</v>
      </c>
      <c r="L367" s="47" t="str">
        <f>M366</f>
        <v>25-225/05:09</v>
      </c>
      <c r="M367" s="47" t="s">
        <v>1239</v>
      </c>
      <c r="N367" t="s">
        <v>1230</v>
      </c>
      <c r="O367" s="84" t="str">
        <f>AI367</f>
        <v>216/21:24</v>
      </c>
      <c r="P367" s="32" t="str">
        <f>MID(AL367,5,5)</f>
        <v>216_2</v>
      </c>
      <c r="Q367" s="58">
        <f>R366-3</f>
        <v>617367695.54945111</v>
      </c>
      <c r="R367" s="21">
        <f>((W367)/$S$2)+Q367</f>
        <v>621546384.50990295</v>
      </c>
      <c r="S367" s="21">
        <f>R367-Q367</f>
        <v>4178688.9604518414</v>
      </c>
      <c r="T367" s="21">
        <f>S367*$S$2</f>
        <v>2113023.1499999762</v>
      </c>
      <c r="U367" s="3">
        <v>0</v>
      </c>
      <c r="V367" s="20">
        <f>T367+U367*$V$38</f>
        <v>2113023.1499999762</v>
      </c>
      <c r="W367" s="20">
        <f>AA367*1000000/8</f>
        <v>2113023.15</v>
      </c>
      <c r="X367" s="332">
        <f>W367-V367</f>
        <v>2.3748725652694702E-8</v>
      </c>
      <c r="Y367" s="331"/>
      <c r="Z367" s="330"/>
      <c r="AA367" s="77">
        <f>AR367</f>
        <v>16.904185200000001</v>
      </c>
      <c r="AC367" s="129">
        <f>AK367+AC348</f>
        <v>102.40014248654546</v>
      </c>
      <c r="AH367" s="279" t="str">
        <f>AL367</f>
        <v>TRK_216_2</v>
      </c>
      <c r="AI367" t="s">
        <v>1121</v>
      </c>
      <c r="AJ367" s="40">
        <f>X367*8/1000000</f>
        <v>1.8998980522155762E-13</v>
      </c>
      <c r="AK367" s="40">
        <f>V367*8/1000000</f>
        <v>16.904185199999809</v>
      </c>
      <c r="AL367" s="295" t="s">
        <v>1092</v>
      </c>
      <c r="AM367" s="295" t="s">
        <v>1093</v>
      </c>
      <c r="AN367" s="295">
        <v>0.265287</v>
      </c>
      <c r="AO367" s="295">
        <v>2.399654</v>
      </c>
      <c r="AP367" s="295">
        <v>2.1343670000000001</v>
      </c>
      <c r="AQ367" s="296">
        <v>18.782427999999999</v>
      </c>
      <c r="AR367">
        <f>AQ367*0.9</f>
        <v>16.904185200000001</v>
      </c>
      <c r="AS367">
        <f>AR367+AS348</f>
        <v>169.19415090000001</v>
      </c>
    </row>
    <row r="368" spans="7:45" ht="13.5" customHeight="1">
      <c r="J368" s="3" t="s">
        <v>228</v>
      </c>
      <c r="K368" s="3" t="s">
        <v>825</v>
      </c>
      <c r="L368" s="47" t="str">
        <f>M367</f>
        <v>25-273/13:54</v>
      </c>
      <c r="M368" s="47" t="s">
        <v>1240</v>
      </c>
      <c r="N368" t="s">
        <v>1230</v>
      </c>
      <c r="O368" s="84" t="str">
        <f>AI368</f>
        <v>217/14:19</v>
      </c>
      <c r="P368" s="32" t="str">
        <f>MID(AL368,5,5)</f>
        <v>217_1</v>
      </c>
      <c r="Q368" s="58">
        <f>R367-3</f>
        <v>621546381.50990295</v>
      </c>
      <c r="R368" s="21">
        <f>((W368)/$S$2)+Q368</f>
        <v>622193452.3907274</v>
      </c>
      <c r="S368" s="21">
        <f>R368-Q368</f>
        <v>647070.88082444668</v>
      </c>
      <c r="T368" s="21">
        <f>S368*$S$2</f>
        <v>327202.08749997226</v>
      </c>
      <c r="U368" s="3">
        <v>0</v>
      </c>
      <c r="V368" s="20">
        <f>T368+U368*$V$38</f>
        <v>327202.08749997226</v>
      </c>
      <c r="W368" s="20">
        <f>AA368*1000000/8</f>
        <v>327202.08749999997</v>
      </c>
      <c r="X368" s="332">
        <f>W368-V368</f>
        <v>2.7706846594810486E-8</v>
      </c>
      <c r="Y368" s="331"/>
      <c r="Z368" s="330"/>
      <c r="AA368" s="77">
        <f>AR368</f>
        <v>2.6176166999999997</v>
      </c>
      <c r="AC368" s="129">
        <f>AK368+AC367</f>
        <v>105.01775918654523</v>
      </c>
      <c r="AH368" s="279" t="str">
        <f>AL368</f>
        <v>TRK_217_1</v>
      </c>
      <c r="AI368" t="s">
        <v>1122</v>
      </c>
      <c r="AJ368" s="40">
        <f>X368*8/1000000</f>
        <v>2.216547727584839E-13</v>
      </c>
      <c r="AK368" s="40">
        <f>V368*8/1000000</f>
        <v>2.6176166999997781</v>
      </c>
      <c r="AL368" t="s">
        <v>1094</v>
      </c>
      <c r="AM368" t="s">
        <v>1095</v>
      </c>
      <c r="AN368">
        <v>0.24232699999999999</v>
      </c>
      <c r="AO368">
        <v>0.57283399999999995</v>
      </c>
      <c r="AP368">
        <v>0.330507</v>
      </c>
      <c r="AQ368" s="287">
        <v>2.9084629999999998</v>
      </c>
      <c r="AR368">
        <f>AQ368*0.9</f>
        <v>2.6176166999999997</v>
      </c>
      <c r="AS368">
        <f>AS367+AR368</f>
        <v>171.81176760000002</v>
      </c>
    </row>
    <row r="369" spans="3:45" ht="13.5" customHeight="1">
      <c r="J369" s="3" t="s">
        <v>228</v>
      </c>
      <c r="K369" s="3" t="s">
        <v>825</v>
      </c>
      <c r="L369" s="47" t="str">
        <f>M368</f>
        <v>25-281/01:38</v>
      </c>
      <c r="M369" s="47" t="s">
        <v>1241</v>
      </c>
      <c r="N369" t="s">
        <v>1230</v>
      </c>
      <c r="O369" s="84" t="str">
        <f>AI369</f>
        <v>218/03:29</v>
      </c>
      <c r="P369" s="32" t="str">
        <f>MID(AL369,5,5)</f>
        <v>218_1</v>
      </c>
      <c r="Q369" s="58">
        <f>R368-3</f>
        <v>622193449.3907274</v>
      </c>
      <c r="R369" s="21">
        <f>((W369)/$S$2)+Q369</f>
        <v>624386851.57853949</v>
      </c>
      <c r="S369" s="21">
        <f>R369-Q369</f>
        <v>2193402.1878120899</v>
      </c>
      <c r="T369" s="21">
        <f>S369*$S$2</f>
        <v>1109130.0749999804</v>
      </c>
      <c r="U369" s="3">
        <v>0</v>
      </c>
      <c r="V369" s="20">
        <f>T369+U369*$V$38</f>
        <v>1109130.0749999804</v>
      </c>
      <c r="W369" s="20">
        <f>AA369*1000000/8</f>
        <v>1109130.075</v>
      </c>
      <c r="X369" s="332">
        <f>W369-V369</f>
        <v>1.9557774066925049E-8</v>
      </c>
      <c r="Y369" s="331"/>
      <c r="Z369" s="330"/>
      <c r="AA369" s="77">
        <f>AR369</f>
        <v>8.8730405999999995</v>
      </c>
      <c r="AC369" s="129">
        <f>AK369+AC368</f>
        <v>113.89079978654507</v>
      </c>
      <c r="AH369" s="279" t="str">
        <f>AL369</f>
        <v>TRK_218_1</v>
      </c>
      <c r="AI369" t="s">
        <v>1123</v>
      </c>
      <c r="AJ369" s="40">
        <f>X369*8/1000000</f>
        <v>1.5646219253540038E-13</v>
      </c>
      <c r="AK369" s="40">
        <f>V369*8/1000000</f>
        <v>8.8730405999998432</v>
      </c>
      <c r="AL369" t="s">
        <v>1096</v>
      </c>
      <c r="AM369" t="s">
        <v>1097</v>
      </c>
      <c r="AN369">
        <v>0.23408999999999999</v>
      </c>
      <c r="AO369">
        <v>1.3544229999999999</v>
      </c>
      <c r="AP369">
        <v>1.120333</v>
      </c>
      <c r="AQ369" s="287">
        <v>9.8589339999999996</v>
      </c>
      <c r="AR369">
        <f>AQ369*0.9</f>
        <v>8.8730405999999995</v>
      </c>
      <c r="AS369">
        <f>AS368+AR369</f>
        <v>180.68480820000002</v>
      </c>
    </row>
    <row r="370" spans="3:45" ht="13.5" customHeight="1">
      <c r="J370" s="3" t="s">
        <v>228</v>
      </c>
      <c r="K370" s="3" t="s">
        <v>825</v>
      </c>
      <c r="L370" s="47" t="str">
        <f>M369</f>
        <v>25-306/10:55</v>
      </c>
      <c r="M370" s="47" t="s">
        <v>1242</v>
      </c>
      <c r="N370" t="s">
        <v>1230</v>
      </c>
      <c r="O370" s="84" t="str">
        <f>AI370</f>
        <v>218/11:19</v>
      </c>
      <c r="P370" s="32" t="str">
        <f>MID(AL370,5,5)</f>
        <v>218_2</v>
      </c>
      <c r="Q370" s="58">
        <f>R369-3</f>
        <v>624386848.57853949</v>
      </c>
      <c r="R370" s="21">
        <f>((W370)/$S$2)+Q370</f>
        <v>626639848.34333825</v>
      </c>
      <c r="S370" s="21">
        <f>R370-Q370</f>
        <v>2252999.7647987604</v>
      </c>
      <c r="T370" s="21">
        <f>S370*$S$2</f>
        <v>1139266.5750000004</v>
      </c>
      <c r="U370" s="3">
        <v>0</v>
      </c>
      <c r="V370" s="20">
        <f>T370+U370*$V$38</f>
        <v>1139266.5750000004</v>
      </c>
      <c r="W370" s="20">
        <f>AA370*1000000/8</f>
        <v>1139266.575</v>
      </c>
      <c r="X370" s="332">
        <f>W370-V370</f>
        <v>0</v>
      </c>
      <c r="Y370" s="331"/>
      <c r="Z370" s="330"/>
      <c r="AA370" s="77">
        <f>AR370</f>
        <v>9.1141325999999996</v>
      </c>
      <c r="AC370" s="129">
        <f>AK370+AC369</f>
        <v>123.00493238654508</v>
      </c>
      <c r="AH370" s="279" t="str">
        <f>AL370</f>
        <v>TRK_218_2</v>
      </c>
      <c r="AI370" t="s">
        <v>1124</v>
      </c>
      <c r="AJ370" s="40">
        <f>X370*8/1000000</f>
        <v>0</v>
      </c>
      <c r="AK370" s="40">
        <f>V370*8/1000000</f>
        <v>9.1141326000000031</v>
      </c>
      <c r="AL370" t="s">
        <v>1098</v>
      </c>
      <c r="AM370" t="s">
        <v>1099</v>
      </c>
      <c r="AN370">
        <v>0.186725</v>
      </c>
      <c r="AO370">
        <v>1.337499</v>
      </c>
      <c r="AP370">
        <v>1.150774</v>
      </c>
      <c r="AQ370" s="287">
        <v>10.126814</v>
      </c>
      <c r="AR370">
        <f>AQ370*0.9</f>
        <v>9.1141325999999996</v>
      </c>
      <c r="AS370">
        <f>AS369+AR370</f>
        <v>189.79894080000003</v>
      </c>
    </row>
    <row r="371" spans="3:45" ht="13.5" customHeight="1">
      <c r="J371" s="3"/>
      <c r="K371" s="3"/>
      <c r="L371" s="3"/>
      <c r="M371" s="205" t="str" cm="1">
        <f t="array" aca="1" ref="M371" ca="1">MID(met2utc(R370),3,12)</f>
        <v>25-332/12:45</v>
      </c>
      <c r="N371" s="3"/>
      <c r="O371" s="3"/>
      <c r="P371" s="277" t="s">
        <v>1149</v>
      </c>
      <c r="Q371" s="301" t="s">
        <v>1150</v>
      </c>
      <c r="R371" s="301">
        <v>646883515</v>
      </c>
      <c r="S371" s="277">
        <v>0</v>
      </c>
      <c r="T371" s="277" t="s">
        <v>409</v>
      </c>
      <c r="U371" s="277" t="s">
        <v>1151</v>
      </c>
      <c r="V371" s="277" t="s">
        <v>573</v>
      </c>
      <c r="W371" s="277"/>
      <c r="X371" s="277" t="s">
        <v>1139</v>
      </c>
    </row>
    <row r="372" spans="3:45" ht="13.5" customHeight="1">
      <c r="J372" s="3"/>
      <c r="K372" s="3"/>
      <c r="P372" s="277" t="s">
        <v>1136</v>
      </c>
      <c r="Q372" s="301" t="s">
        <v>1137</v>
      </c>
      <c r="R372" s="301">
        <v>646884115</v>
      </c>
      <c r="S372" s="277">
        <v>0</v>
      </c>
      <c r="T372" s="277" t="s">
        <v>409</v>
      </c>
      <c r="U372" s="277" t="s">
        <v>1138</v>
      </c>
      <c r="V372" s="301" t="s">
        <v>802</v>
      </c>
      <c r="W372" s="277"/>
      <c r="X372" s="277" t="s">
        <v>1139</v>
      </c>
    </row>
    <row r="373" spans="3:45" ht="13.5" customHeight="1">
      <c r="H373" t="s">
        <v>53</v>
      </c>
      <c r="J373" s="3"/>
      <c r="K373" s="3"/>
      <c r="P373" s="277" t="s">
        <v>1140</v>
      </c>
      <c r="Q373" s="277" t="s">
        <v>1141</v>
      </c>
      <c r="R373" s="277">
        <v>646884118</v>
      </c>
      <c r="S373" s="277">
        <v>0</v>
      </c>
      <c r="T373" s="277" t="s">
        <v>409</v>
      </c>
      <c r="U373" s="277" t="s">
        <v>1138</v>
      </c>
      <c r="V373" s="301" t="s">
        <v>808</v>
      </c>
      <c r="W373" s="277"/>
      <c r="X373" s="277" t="s">
        <v>1139</v>
      </c>
    </row>
    <row r="374" spans="3:45" ht="13.5" customHeight="1">
      <c r="J374" s="3"/>
      <c r="K374" s="3"/>
      <c r="L374" s="3"/>
      <c r="M374" s="3"/>
      <c r="N374" s="3"/>
      <c r="O374" s="3"/>
      <c r="P374" s="277" t="s">
        <v>1142</v>
      </c>
      <c r="Q374" s="277" t="s">
        <v>1143</v>
      </c>
      <c r="R374" s="277">
        <v>646884121</v>
      </c>
      <c r="S374" s="277">
        <v>0</v>
      </c>
      <c r="T374" s="277" t="s">
        <v>409</v>
      </c>
      <c r="U374" s="277" t="s">
        <v>1138</v>
      </c>
      <c r="V374" s="301" t="s">
        <v>445</v>
      </c>
      <c r="W374" s="277"/>
      <c r="X374" s="277" t="s">
        <v>1139</v>
      </c>
    </row>
    <row r="375" spans="3:45" ht="13.5" customHeight="1">
      <c r="J375" s="3"/>
      <c r="K375" s="3"/>
      <c r="L375" s="3"/>
      <c r="M375" s="3"/>
      <c r="N375" s="3"/>
      <c r="O375" s="3"/>
      <c r="P375" s="277" t="s">
        <v>1144</v>
      </c>
      <c r="Q375" s="277" t="s">
        <v>1145</v>
      </c>
      <c r="R375" s="277">
        <v>646884124</v>
      </c>
      <c r="S375" s="277">
        <v>0</v>
      </c>
      <c r="T375" s="277" t="s">
        <v>409</v>
      </c>
      <c r="U375" s="277" t="s">
        <v>1138</v>
      </c>
      <c r="V375" s="301" t="s">
        <v>449</v>
      </c>
      <c r="W375" s="277"/>
      <c r="X375" s="277" t="s">
        <v>1139</v>
      </c>
    </row>
    <row r="376" spans="3:45" ht="13.5" customHeight="1">
      <c r="C376" s="112" t="s">
        <v>226</v>
      </c>
      <c r="D376" s="112" t="s">
        <v>227</v>
      </c>
      <c r="E376" s="112" t="s">
        <v>51</v>
      </c>
      <c r="F376" s="112" t="s">
        <v>49</v>
      </c>
      <c r="G376" s="112" t="s">
        <v>50</v>
      </c>
      <c r="H376" s="112" t="s">
        <v>53</v>
      </c>
      <c r="I376" s="112" t="s">
        <v>54</v>
      </c>
      <c r="J376" s="112" t="s">
        <v>228</v>
      </c>
      <c r="K376" s="112" t="s">
        <v>825</v>
      </c>
      <c r="L376" s="3"/>
      <c r="M376" s="3"/>
      <c r="N376" s="3"/>
      <c r="O376" s="3"/>
      <c r="P376" s="277" t="s">
        <v>1146</v>
      </c>
      <c r="Q376" s="277" t="s">
        <v>1147</v>
      </c>
      <c r="R376" s="277">
        <v>646884715</v>
      </c>
      <c r="S376" s="277">
        <v>0</v>
      </c>
      <c r="T376" s="277" t="s">
        <v>409</v>
      </c>
      <c r="U376" s="277" t="s">
        <v>1148</v>
      </c>
      <c r="V376" s="277" t="s">
        <v>411</v>
      </c>
      <c r="W376" s="277"/>
      <c r="X376" s="277" t="s">
        <v>1139</v>
      </c>
    </row>
    <row r="377" spans="3:45" ht="13.5" customHeight="1">
      <c r="J377" s="3"/>
      <c r="K377" s="3"/>
      <c r="L377" s="3" t="s">
        <v>1265</v>
      </c>
      <c r="M377" s="204" t="str" cm="1">
        <f t="array" aca="1" ref="M377" ca="1">MID(met2utc(R378),3,12)</f>
        <v>26-208/16:54</v>
      </c>
      <c r="N377" s="3"/>
      <c r="O377" s="3"/>
      <c r="P377" s="277" t="s">
        <v>1152</v>
      </c>
      <c r="Q377" s="277" t="s">
        <v>1153</v>
      </c>
      <c r="R377" s="277">
        <v>646885315</v>
      </c>
      <c r="S377" s="277">
        <v>0</v>
      </c>
      <c r="T377" s="277" t="s">
        <v>409</v>
      </c>
      <c r="U377" s="277" t="s">
        <v>1154</v>
      </c>
      <c r="V377" s="277" t="s">
        <v>1155</v>
      </c>
      <c r="W377" s="277"/>
      <c r="X377" s="277" t="s">
        <v>1139</v>
      </c>
    </row>
    <row r="378" spans="3:45" ht="13.5" customHeight="1">
      <c r="C378" s="3">
        <v>103</v>
      </c>
      <c r="D378" s="3">
        <v>109</v>
      </c>
      <c r="E378" t="s">
        <v>51</v>
      </c>
      <c r="F378" t="s">
        <v>49</v>
      </c>
      <c r="G378" s="3" t="s">
        <v>50</v>
      </c>
      <c r="H378" t="s">
        <v>53</v>
      </c>
      <c r="I378" t="s">
        <v>54</v>
      </c>
      <c r="L378" s="78" t="str" cm="1">
        <f t="array" aca="1" ref="L378" ca="1">MID(met2utc(Q378),3,12)</f>
        <v>26-201/20:09</v>
      </c>
      <c r="M378" s="78" t="s">
        <v>1158</v>
      </c>
      <c r="N378" t="s">
        <v>1161</v>
      </c>
      <c r="O378" s="84" t="str">
        <f>AI378</f>
        <v>218/21:19</v>
      </c>
      <c r="P378" s="32" t="str">
        <f>MID(AL378,5,5)</f>
        <v>218_3</v>
      </c>
      <c r="Q378" s="85">
        <f>R372-5</f>
        <v>646884110</v>
      </c>
      <c r="R378" s="21">
        <f>((W378-U378*$V$38)/$V$34)+Q378</f>
        <v>647477189.49812257</v>
      </c>
      <c r="S378" s="21">
        <f>R378-Q378</f>
        <v>593079.4981225729</v>
      </c>
      <c r="T378" s="21">
        <f>S378*$V$34</f>
        <v>2930095.8749997877</v>
      </c>
      <c r="U378" s="3">
        <v>0</v>
      </c>
      <c r="V378" s="20">
        <f>T378+U378*$V$34</f>
        <v>2930095.8749997877</v>
      </c>
      <c r="W378" s="20">
        <f>AA378*1000000/8</f>
        <v>2930095.875</v>
      </c>
      <c r="X378" s="332">
        <f>W378-V378</f>
        <v>2.123415470123291E-7</v>
      </c>
      <c r="Y378" s="331"/>
      <c r="Z378" s="330"/>
      <c r="AA378" s="77">
        <f>AQ378</f>
        <v>23.440767000000001</v>
      </c>
      <c r="AC378" s="118">
        <f>AK378</f>
        <v>23.440766999998303</v>
      </c>
      <c r="AH378" s="279" t="str">
        <f>AL378</f>
        <v>TRK_218_3</v>
      </c>
      <c r="AI378" t="s">
        <v>1125</v>
      </c>
      <c r="AJ378" s="40">
        <f>X378*8/1000000</f>
        <v>1.6987323760986329E-12</v>
      </c>
      <c r="AK378" s="40">
        <f>V378*8/1000000</f>
        <v>23.440766999998303</v>
      </c>
      <c r="AL378" s="302" t="s">
        <v>1100</v>
      </c>
      <c r="AM378" s="302" t="s">
        <v>1101</v>
      </c>
      <c r="AN378" s="302">
        <v>0.19877600000000001</v>
      </c>
      <c r="AO378" s="302">
        <v>2.8624990000000001</v>
      </c>
      <c r="AP378" s="302">
        <v>2.6637230000000001</v>
      </c>
      <c r="AQ378" s="303">
        <v>23.440767000000001</v>
      </c>
      <c r="AR378">
        <f>AQ378*0.9</f>
        <v>21.096690300000002</v>
      </c>
      <c r="AS378">
        <f>AR378+AS370</f>
        <v>210.89563110000003</v>
      </c>
    </row>
    <row r="379" spans="3:45" ht="13.5" customHeight="1">
      <c r="C379" s="3">
        <v>103</v>
      </c>
      <c r="D379" s="3">
        <v>109</v>
      </c>
      <c r="E379" t="s">
        <v>51</v>
      </c>
      <c r="F379" t="s">
        <v>49</v>
      </c>
      <c r="G379" s="3" t="s">
        <v>50</v>
      </c>
      <c r="H379" t="s">
        <v>53</v>
      </c>
      <c r="I379" t="s">
        <v>54</v>
      </c>
      <c r="L379" s="78" t="str">
        <f>M378</f>
        <v>26-208/16:54</v>
      </c>
      <c r="M379" s="78" t="s">
        <v>1159</v>
      </c>
      <c r="N379" t="s">
        <v>1161</v>
      </c>
      <c r="O379" s="84" t="str">
        <f>AI379</f>
        <v>219/10:04</v>
      </c>
      <c r="P379" s="32" t="str">
        <f>MID(AL379,5,5)</f>
        <v>219_1</v>
      </c>
      <c r="Q379" s="58">
        <f>R378-1</f>
        <v>647477188.49812257</v>
      </c>
      <c r="R379" s="21">
        <f>((W379-U379*$V$38)/$V$34)+Q379</f>
        <v>647749391.16353357</v>
      </c>
      <c r="S379" s="21">
        <f>R379-Q379</f>
        <v>272202.66541099548</v>
      </c>
      <c r="T379" s="21">
        <f>S379*$V$34</f>
        <v>1344811.1250000887</v>
      </c>
      <c r="U379" s="3">
        <v>0</v>
      </c>
      <c r="V379" s="20">
        <f>T379+U379*$V$34</f>
        <v>1344811.1250000887</v>
      </c>
      <c r="W379" s="20">
        <f>AA379*1000000/8</f>
        <v>1344811.125</v>
      </c>
      <c r="X379" s="332">
        <f>W379-V379</f>
        <v>-8.8708475232124329E-8</v>
      </c>
      <c r="Y379" s="331"/>
      <c r="Z379" s="330"/>
      <c r="AA379" s="77">
        <f>AQ379</f>
        <v>10.758489000000001</v>
      </c>
      <c r="AC379" s="118">
        <f>AC378+AK379</f>
        <v>34.199255999999011</v>
      </c>
      <c r="AH379" s="279" t="str">
        <f>AL379</f>
        <v>TRK_219_1</v>
      </c>
      <c r="AI379" t="s">
        <v>1126</v>
      </c>
      <c r="AJ379" s="40">
        <f>X379*8/1000000</f>
        <v>-7.0966780185699461E-13</v>
      </c>
      <c r="AK379" s="40">
        <f>V379*8/1000000</f>
        <v>10.75848900000071</v>
      </c>
      <c r="AL379" s="302" t="s">
        <v>42</v>
      </c>
      <c r="AM379" s="302" t="s">
        <v>1102</v>
      </c>
      <c r="AN379" s="302">
        <v>0.35693000000000003</v>
      </c>
      <c r="AO379" s="302">
        <v>1.5794859999999999</v>
      </c>
      <c r="AP379" s="302">
        <v>1.222556</v>
      </c>
      <c r="AQ379" s="303">
        <v>10.758489000000001</v>
      </c>
      <c r="AR379">
        <f>AQ379*0.9</f>
        <v>9.6826401000000004</v>
      </c>
      <c r="AS379">
        <f>AS378+AR379</f>
        <v>220.57827120000002</v>
      </c>
    </row>
    <row r="380" spans="3:45" ht="13.5" customHeight="1">
      <c r="C380" s="3">
        <v>103</v>
      </c>
      <c r="D380" s="3">
        <v>109</v>
      </c>
      <c r="E380" t="s">
        <v>51</v>
      </c>
      <c r="F380" t="s">
        <v>49</v>
      </c>
      <c r="G380" s="3" t="s">
        <v>50</v>
      </c>
      <c r="H380" t="s">
        <v>53</v>
      </c>
      <c r="I380" t="s">
        <v>54</v>
      </c>
      <c r="L380" s="78" t="str">
        <f>M379</f>
        <v>26-211/20:31</v>
      </c>
      <c r="M380" s="78" t="s">
        <v>1160</v>
      </c>
      <c r="N380" t="s">
        <v>1161</v>
      </c>
      <c r="O380" s="84" t="str">
        <f>AI380</f>
        <v>220/03:04</v>
      </c>
      <c r="P380" s="32" t="str">
        <f>MID(AL380,5,5)</f>
        <v>220_1</v>
      </c>
      <c r="Q380" s="58">
        <f>R379-1</f>
        <v>647749390.16353357</v>
      </c>
      <c r="R380" s="21">
        <f>((W380-U380*$V$38)/$V$34)+Q380</f>
        <v>648431949.04522061</v>
      </c>
      <c r="S380" s="21">
        <f>R380-Q380</f>
        <v>682558.8816870451</v>
      </c>
      <c r="T380" s="21">
        <f>S380*$V$34</f>
        <v>3372166.7500000866</v>
      </c>
      <c r="U380" s="3">
        <v>0</v>
      </c>
      <c r="V380" s="20">
        <f>T380+U380*$V$34</f>
        <v>3372166.7500000866</v>
      </c>
      <c r="W380" s="20">
        <f>AA380*1000000/8</f>
        <v>3372166.75</v>
      </c>
      <c r="X380" s="332">
        <f>W380-V380</f>
        <v>-8.6612999439239502E-8</v>
      </c>
      <c r="Y380" s="331"/>
      <c r="Z380" s="330"/>
      <c r="AA380" s="77">
        <f>AQ380</f>
        <v>26.977333999999999</v>
      </c>
      <c r="AC380" s="118">
        <f>AC379+AK380</f>
        <v>61.176589999999706</v>
      </c>
      <c r="AH380" s="279" t="str">
        <f>AL380</f>
        <v>TRK_220_1</v>
      </c>
      <c r="AI380" t="s">
        <v>1127</v>
      </c>
      <c r="AJ380" s="40">
        <f>X380*8/1000000</f>
        <v>-6.92903995513916E-13</v>
      </c>
      <c r="AK380" s="40">
        <f>V380*8/1000000</f>
        <v>26.977334000000692</v>
      </c>
      <c r="AL380" s="302" t="s">
        <v>1103</v>
      </c>
      <c r="AM380" s="302" t="s">
        <v>1104</v>
      </c>
      <c r="AN380" s="302">
        <v>0.22890099999999999</v>
      </c>
      <c r="AO380" s="302">
        <v>3.2945069999999999</v>
      </c>
      <c r="AP380" s="302">
        <v>3.0656059999999998</v>
      </c>
      <c r="AQ380" s="303">
        <v>26.977333999999999</v>
      </c>
      <c r="AR380">
        <f>AQ380*0.9</f>
        <v>24.279600599999998</v>
      </c>
      <c r="AS380">
        <f>AS379+AR380</f>
        <v>244.85787180000003</v>
      </c>
    </row>
    <row r="381" spans="3:45" ht="13.5" customHeight="1">
      <c r="J381" s="3" t="s">
        <v>228</v>
      </c>
      <c r="K381" s="3" t="s">
        <v>825</v>
      </c>
      <c r="L381" s="47" t="str">
        <f>M370</f>
        <v>25-332/12:45</v>
      </c>
      <c r="M381" s="47" t="s">
        <v>1243</v>
      </c>
      <c r="N381" t="s">
        <v>1230</v>
      </c>
      <c r="O381" s="84" t="str">
        <f>AI381</f>
        <v>221/03:04</v>
      </c>
      <c r="P381" s="32" t="str">
        <f>MID(AL381,5,5)</f>
        <v>221_1</v>
      </c>
      <c r="Q381" s="58">
        <f>R370-3</f>
        <v>626639845.34333825</v>
      </c>
      <c r="R381" s="21">
        <f>((W381)/$S$2)+Q381</f>
        <v>628472214.09533131</v>
      </c>
      <c r="S381" s="21">
        <f>R381-Q381</f>
        <v>1832368.7519930601</v>
      </c>
      <c r="T381" s="21">
        <f>S381*$S$2</f>
        <v>926567.54999999795</v>
      </c>
      <c r="U381" s="3">
        <v>0</v>
      </c>
      <c r="V381" s="20">
        <f>T381+U381*$V$38</f>
        <v>926567.54999999795</v>
      </c>
      <c r="W381" s="20">
        <f>AA381*1000000/8</f>
        <v>926567.54999999993</v>
      </c>
      <c r="X381" s="332">
        <f>W381-V381</f>
        <v>1.9790604710578918E-9</v>
      </c>
      <c r="Y381" s="331"/>
      <c r="Z381" s="330"/>
      <c r="AA381" s="77">
        <f>AR381</f>
        <v>7.4125403999999993</v>
      </c>
      <c r="AC381" s="129">
        <f>AK381+AC370</f>
        <v>130.41747278654506</v>
      </c>
      <c r="AH381" s="279" t="str">
        <f>AL381</f>
        <v>TRK_221_1</v>
      </c>
      <c r="AI381" t="s">
        <v>1128</v>
      </c>
      <c r="AJ381" s="40">
        <f>X381*8/1000000</f>
        <v>1.5832483768463135E-14</v>
      </c>
      <c r="AK381" s="40">
        <f>V381*8/1000000</f>
        <v>7.4125403999999833</v>
      </c>
      <c r="AL381" t="s">
        <v>1105</v>
      </c>
      <c r="AM381" t="s">
        <v>1106</v>
      </c>
      <c r="AN381">
        <v>0.27500799999999997</v>
      </c>
      <c r="AO381">
        <v>1.2109350000000001</v>
      </c>
      <c r="AP381">
        <v>0.93592699999999995</v>
      </c>
      <c r="AQ381" s="287">
        <v>8.2361559999999994</v>
      </c>
      <c r="AR381">
        <f>AQ381*0.9</f>
        <v>7.4125403999999993</v>
      </c>
      <c r="AS381">
        <f>AS380+AR381</f>
        <v>252.27041220000004</v>
      </c>
    </row>
    <row r="382" spans="3:45" ht="13.5" customHeight="1">
      <c r="J382" s="3" t="s">
        <v>228</v>
      </c>
      <c r="K382" s="3" t="s">
        <v>825</v>
      </c>
      <c r="L382" s="47" t="str">
        <f>M381</f>
        <v>25-342/17:45</v>
      </c>
      <c r="M382" s="47" t="s">
        <v>1244</v>
      </c>
      <c r="N382" t="s">
        <v>5613</v>
      </c>
      <c r="O382" s="84" t="str">
        <f>AI382</f>
        <v>221/09:44</v>
      </c>
      <c r="P382" s="32" t="str">
        <f>MID(AL382,5,5)</f>
        <v>221_2</v>
      </c>
      <c r="Q382" s="58">
        <f>R381-3</f>
        <v>628472211.09533131</v>
      </c>
      <c r="R382" s="21">
        <f>((W382)/$S$2)+Q382</f>
        <v>631293449.32854342</v>
      </c>
      <c r="S382" s="21">
        <f>R382-Q382</f>
        <v>2821238.2332121134</v>
      </c>
      <c r="T382" s="21">
        <f>S382*$S$2</f>
        <v>1426605.7500000256</v>
      </c>
      <c r="U382" s="3">
        <v>0</v>
      </c>
      <c r="V382" s="20">
        <f>T382+U382*$V$38</f>
        <v>1426605.7500000256</v>
      </c>
      <c r="W382" s="20">
        <f>AA382*1000000/8</f>
        <v>1426605.75</v>
      </c>
      <c r="X382" s="332">
        <f>W382-V382</f>
        <v>-2.5611370801925659E-8</v>
      </c>
      <c r="Y382" s="331"/>
      <c r="Z382" s="330"/>
      <c r="AA382" s="77">
        <f>AR382</f>
        <v>11.412846</v>
      </c>
      <c r="AC382" s="129">
        <f>AK382+AC381</f>
        <v>141.83031878654526</v>
      </c>
      <c r="AD382" s="99"/>
      <c r="AH382" s="279" t="str">
        <f>AL382</f>
        <v>TRK_221_2</v>
      </c>
      <c r="AI382" t="s">
        <v>1129</v>
      </c>
      <c r="AJ382" s="40">
        <f>X382*8/1000000</f>
        <v>-2.0489096641540528E-13</v>
      </c>
      <c r="AK382" s="40">
        <f>V382*8/1000000</f>
        <v>11.412846000000204</v>
      </c>
      <c r="AL382" t="s">
        <v>1107</v>
      </c>
      <c r="AM382" t="s">
        <v>1108</v>
      </c>
      <c r="AN382">
        <v>0.179698</v>
      </c>
      <c r="AO382">
        <v>1.620714</v>
      </c>
      <c r="AP382">
        <v>1.4410160000000001</v>
      </c>
      <c r="AQ382" s="287">
        <v>12.68094</v>
      </c>
      <c r="AR382">
        <f>AQ382*0.9</f>
        <v>11.412846</v>
      </c>
      <c r="AS382" s="304">
        <f>AS381+AR382</f>
        <v>263.68325820000001</v>
      </c>
    </row>
    <row r="383" spans="3:45" ht="13.5" customHeight="1">
      <c r="M383" s="205" t="str" cm="1">
        <f t="array" aca="1" ref="M383" ca="1">MID(met2utc(R382),3,12)</f>
        <v>26-021/09:25</v>
      </c>
      <c r="AK383" s="40"/>
      <c r="AQ383" s="287">
        <f>SUM(AQ312:AQ382)</f>
        <v>292.98139800000007</v>
      </c>
      <c r="AR383" s="304">
        <f>SUM(AR312:AR382)</f>
        <v>263.68325820000001</v>
      </c>
      <c r="AS383">
        <f>AR383-AS382</f>
        <v>0</v>
      </c>
    </row>
    <row r="385" spans="10:30" ht="13.5" customHeight="1">
      <c r="J385" t="s">
        <v>228</v>
      </c>
      <c r="K385" t="s">
        <v>825</v>
      </c>
      <c r="L385" s="47" t="str">
        <f>M382</f>
        <v>26-021/09:25</v>
      </c>
      <c r="M385" s="47" t="s">
        <v>1255</v>
      </c>
      <c r="N385" t="s">
        <v>5613</v>
      </c>
      <c r="O385" s="84" t="s">
        <v>1257</v>
      </c>
      <c r="P385" s="32" t="s">
        <v>1254</v>
      </c>
      <c r="Q385" s="58">
        <f>R382-3</f>
        <v>631293446.32854342</v>
      </c>
      <c r="R385" s="21">
        <f>((W385)/$S$2)+Q385</f>
        <v>634259828.14063001</v>
      </c>
      <c r="S385" s="21">
        <f>R385-Q385</f>
        <v>2966381.8120865822</v>
      </c>
      <c r="T385" s="21">
        <f>S385*$S$2</f>
        <v>1500000.0000000156</v>
      </c>
      <c r="U385" s="3">
        <v>0</v>
      </c>
      <c r="V385" s="20">
        <f>T385+U385*$V$38</f>
        <v>1500000.0000000156</v>
      </c>
      <c r="W385" s="20">
        <f>AA385*1000000/8</f>
        <v>1500000</v>
      </c>
      <c r="X385" s="332">
        <f>W385-V385</f>
        <v>-1.5599653124809265E-8</v>
      </c>
      <c r="Y385" s="331"/>
      <c r="Z385" s="330"/>
      <c r="AA385" s="77">
        <v>12</v>
      </c>
      <c r="AC385" s="129">
        <f>AC382+AA385</f>
        <v>153.83031878654526</v>
      </c>
      <c r="AD385" s="99">
        <f>AC385-AC361</f>
        <v>64.171593258336827</v>
      </c>
    </row>
    <row r="386" spans="10:30" ht="13.5" customHeight="1">
      <c r="M386" s="205" t="str" cm="1">
        <f t="array" aca="1" ref="M386" ca="1">MID(met2utc(R385),3,12)</f>
        <v>26-055/17:25</v>
      </c>
      <c r="O386" s="84" t="s">
        <v>1256</v>
      </c>
    </row>
    <row r="390" spans="10:30" ht="15"/>
    <row r="391" spans="10:30" ht="15"/>
    <row r="392" spans="10:30" ht="15"/>
    <row r="393" spans="10:30" ht="15"/>
    <row r="394" spans="10:30" ht="15">
      <c r="Z394" s="308" t="s">
        <v>939</v>
      </c>
    </row>
    <row r="395" spans="10:30" ht="15"/>
    <row r="396" spans="10:30" ht="15"/>
    <row r="399" spans="10:30" ht="13.5" customHeight="1" thickBot="1"/>
    <row r="400" spans="10:30" ht="13.5" customHeight="1">
      <c r="P400" s="9">
        <v>26222</v>
      </c>
      <c r="T400" s="3"/>
      <c r="V400" s="18"/>
      <c r="X400" t="s">
        <v>295</v>
      </c>
    </row>
    <row r="401" spans="3:40" ht="13.5" customHeight="1">
      <c r="P401" s="12" t="s">
        <v>122</v>
      </c>
      <c r="Q401" s="11" t="s">
        <v>5</v>
      </c>
      <c r="R401" s="12" t="s">
        <v>6</v>
      </c>
      <c r="S401" s="12" t="s">
        <v>7</v>
      </c>
      <c r="T401" s="13" t="s">
        <v>8</v>
      </c>
      <c r="U401" s="3" t="s">
        <v>22</v>
      </c>
      <c r="V401" s="13" t="s">
        <v>25</v>
      </c>
      <c r="W401" s="12" t="s">
        <v>26</v>
      </c>
      <c r="X401" s="12" t="s">
        <v>9</v>
      </c>
      <c r="Y401" t="s">
        <v>1134</v>
      </c>
      <c r="AA401" t="s">
        <v>5554</v>
      </c>
      <c r="AD401" t="s">
        <v>5445</v>
      </c>
      <c r="AE401" t="s">
        <v>5444</v>
      </c>
      <c r="AF401" t="s">
        <v>5443</v>
      </c>
      <c r="AG401" t="s">
        <v>5442</v>
      </c>
      <c r="AJ401" s="3"/>
      <c r="AK401" s="3"/>
    </row>
    <row r="402" spans="3:40" ht="13.5" customHeight="1">
      <c r="O402" t="s">
        <v>5687</v>
      </c>
      <c r="P402" s="277" t="s">
        <v>5686</v>
      </c>
      <c r="Q402" s="277" t="s">
        <v>5685</v>
      </c>
      <c r="R402" s="366">
        <v>616843136</v>
      </c>
      <c r="S402" s="277">
        <v>7</v>
      </c>
      <c r="T402" s="277" t="s">
        <v>27</v>
      </c>
      <c r="U402" s="277" t="s">
        <v>1032</v>
      </c>
      <c r="V402" s="277" t="s">
        <v>151</v>
      </c>
      <c r="W402" s="277" t="s">
        <v>152</v>
      </c>
      <c r="X402" s="277" t="s">
        <v>5659</v>
      </c>
      <c r="Y402" s="363"/>
      <c r="Z402" s="363"/>
      <c r="AA402" s="363"/>
      <c r="AJ402" s="3"/>
      <c r="AK402" s="3"/>
    </row>
    <row r="403" spans="3:40" ht="13.5" customHeight="1">
      <c r="O403" t="s">
        <v>5684</v>
      </c>
      <c r="P403" s="277" t="s">
        <v>5683</v>
      </c>
      <c r="Q403" s="277" t="s">
        <v>5682</v>
      </c>
      <c r="R403" s="365">
        <v>616844816</v>
      </c>
      <c r="S403" s="277">
        <v>0</v>
      </c>
      <c r="T403" s="277" t="s">
        <v>409</v>
      </c>
      <c r="U403" s="277" t="s">
        <v>367</v>
      </c>
      <c r="V403" s="277" t="s">
        <v>802</v>
      </c>
      <c r="W403" s="277"/>
      <c r="X403" s="277" t="s">
        <v>5659</v>
      </c>
      <c r="Y403" s="363"/>
      <c r="Z403" s="363"/>
      <c r="AA403" s="363"/>
      <c r="AJ403" s="3"/>
      <c r="AK403" s="3"/>
    </row>
    <row r="404" spans="3:40" ht="13.5" customHeight="1">
      <c r="O404" t="s">
        <v>5681</v>
      </c>
      <c r="P404" s="277" t="s">
        <v>5680</v>
      </c>
      <c r="Q404" s="277" t="s">
        <v>5679</v>
      </c>
      <c r="R404" s="277">
        <v>616844819</v>
      </c>
      <c r="S404" s="277">
        <v>0</v>
      </c>
      <c r="T404" s="277" t="s">
        <v>409</v>
      </c>
      <c r="U404" s="277" t="s">
        <v>367</v>
      </c>
      <c r="V404" s="277" t="s">
        <v>808</v>
      </c>
      <c r="W404" s="277"/>
      <c r="X404" s="364" t="s">
        <v>5659</v>
      </c>
      <c r="Y404" s="363"/>
      <c r="Z404" s="363"/>
      <c r="AA404" s="363"/>
      <c r="AJ404" s="3"/>
      <c r="AK404" s="3"/>
    </row>
    <row r="405" spans="3:40" ht="13.5" customHeight="1">
      <c r="O405" t="s">
        <v>5678</v>
      </c>
      <c r="P405" s="277" t="s">
        <v>5677</v>
      </c>
      <c r="Q405" s="277" t="s">
        <v>5676</v>
      </c>
      <c r="R405" s="277">
        <v>616844822</v>
      </c>
      <c r="S405" s="277">
        <v>0</v>
      </c>
      <c r="T405" s="277" t="s">
        <v>409</v>
      </c>
      <c r="U405" s="277" t="s">
        <v>367</v>
      </c>
      <c r="V405" s="277" t="s">
        <v>813</v>
      </c>
      <c r="W405" s="277"/>
      <c r="X405" s="277" t="s">
        <v>5659</v>
      </c>
      <c r="Y405" s="363"/>
      <c r="Z405" s="363"/>
      <c r="AA405" s="363"/>
      <c r="AJ405" s="3"/>
      <c r="AK405" s="3"/>
    </row>
    <row r="406" spans="3:40" ht="13.5" customHeight="1">
      <c r="O406" t="s">
        <v>5675</v>
      </c>
      <c r="P406" s="277" t="s">
        <v>5674</v>
      </c>
      <c r="Q406" s="277" t="s">
        <v>5673</v>
      </c>
      <c r="R406" s="277">
        <v>616844825</v>
      </c>
      <c r="S406" s="277">
        <v>0</v>
      </c>
      <c r="T406" s="277" t="s">
        <v>409</v>
      </c>
      <c r="U406" s="277" t="s">
        <v>367</v>
      </c>
      <c r="V406" s="277" t="s">
        <v>449</v>
      </c>
      <c r="W406" s="277"/>
      <c r="X406" s="277" t="s">
        <v>5659</v>
      </c>
      <c r="Y406" s="363"/>
      <c r="Z406" s="363"/>
      <c r="AA406" s="363"/>
      <c r="AJ406" s="3"/>
      <c r="AK406" s="3"/>
    </row>
    <row r="407" spans="3:40" ht="13.5" customHeight="1">
      <c r="O407" t="s">
        <v>5672</v>
      </c>
      <c r="P407" s="277" t="s">
        <v>5671</v>
      </c>
      <c r="Q407" s="277" t="s">
        <v>5670</v>
      </c>
      <c r="R407" s="277">
        <v>616844876</v>
      </c>
      <c r="S407" s="277">
        <v>0</v>
      </c>
      <c r="T407" s="277" t="s">
        <v>409</v>
      </c>
      <c r="U407" s="277" t="s">
        <v>367</v>
      </c>
      <c r="V407" s="277" t="s">
        <v>940</v>
      </c>
      <c r="W407" s="277"/>
      <c r="X407" s="277" t="s">
        <v>5659</v>
      </c>
      <c r="Y407" s="363"/>
      <c r="Z407" s="363"/>
      <c r="AA407" s="363"/>
      <c r="AB407" t="s">
        <v>5669</v>
      </c>
      <c r="AJ407" s="3"/>
      <c r="AK407" s="3"/>
    </row>
    <row r="408" spans="3:40" ht="13.5" customHeight="1">
      <c r="O408" t="s">
        <v>5668</v>
      </c>
      <c r="P408" s="277" t="s">
        <v>5667</v>
      </c>
      <c r="Q408" s="277" t="s">
        <v>5666</v>
      </c>
      <c r="R408" s="277">
        <v>616845476</v>
      </c>
      <c r="S408" s="277">
        <v>0</v>
      </c>
      <c r="T408" s="277" t="s">
        <v>409</v>
      </c>
      <c r="U408" s="277" t="s">
        <v>5665</v>
      </c>
      <c r="V408" s="277" t="s">
        <v>818</v>
      </c>
      <c r="W408" s="277"/>
      <c r="X408" s="277" t="s">
        <v>5659</v>
      </c>
      <c r="Y408" s="363"/>
      <c r="Z408" s="363"/>
      <c r="AA408" s="363"/>
      <c r="AB408" t="s">
        <v>5664</v>
      </c>
      <c r="AJ408" s="3"/>
      <c r="AK408" s="3"/>
    </row>
    <row r="409" spans="3:40" ht="13.5" customHeight="1">
      <c r="O409" t="s">
        <v>5663</v>
      </c>
      <c r="P409" s="277" t="s">
        <v>5662</v>
      </c>
      <c r="Q409" s="277" t="s">
        <v>5661</v>
      </c>
      <c r="R409" s="277">
        <v>616846076</v>
      </c>
      <c r="S409" s="277">
        <v>0</v>
      </c>
      <c r="T409" s="277" t="s">
        <v>409</v>
      </c>
      <c r="U409" s="277" t="s">
        <v>5660</v>
      </c>
      <c r="V409" s="277" t="s">
        <v>965</v>
      </c>
      <c r="W409" s="277"/>
      <c r="X409" s="277" t="s">
        <v>5659</v>
      </c>
      <c r="Y409" s="363"/>
      <c r="Z409" s="363"/>
      <c r="AA409" s="363"/>
      <c r="AJ409" s="3"/>
      <c r="AK409" s="3"/>
    </row>
    <row r="410" spans="3:40" ht="13.5" customHeight="1">
      <c r="AJ410" s="3"/>
      <c r="AK410" s="3"/>
    </row>
    <row r="411" spans="3:40" ht="15">
      <c r="L411" t="s">
        <v>5658</v>
      </c>
      <c r="M411" t="s">
        <v>5657</v>
      </c>
      <c r="T411" s="362" t="s">
        <v>5656</v>
      </c>
      <c r="U411" s="3"/>
      <c r="V411" s="362" t="s">
        <v>5656</v>
      </c>
      <c r="W411" t="s">
        <v>5655</v>
      </c>
      <c r="X411" s="361" t="s">
        <v>1015</v>
      </c>
      <c r="AH411" t="s">
        <v>5654</v>
      </c>
      <c r="AI411" t="s">
        <v>5653</v>
      </c>
      <c r="AJ411" t="s">
        <v>5652</v>
      </c>
      <c r="AK411" t="s">
        <v>742</v>
      </c>
      <c r="AL411" t="s">
        <v>743</v>
      </c>
      <c r="AM411" t="s">
        <v>745</v>
      </c>
      <c r="AN411" s="328" t="s">
        <v>5651</v>
      </c>
    </row>
    <row r="412" spans="3:40" ht="13.5" customHeight="1">
      <c r="C412" s="3">
        <v>104</v>
      </c>
      <c r="D412" s="3">
        <v>105</v>
      </c>
      <c r="E412" t="s">
        <v>51</v>
      </c>
      <c r="F412" t="s">
        <v>49</v>
      </c>
      <c r="G412" t="s">
        <v>50</v>
      </c>
      <c r="H412" t="s">
        <v>53</v>
      </c>
      <c r="I412" t="s">
        <v>54</v>
      </c>
      <c r="L412" s="78" t="str" cm="1">
        <f t="array" aca="1" ref="L412" ca="1">MID(met2utc(Q412),3,12)</f>
        <v>25-219/03:26</v>
      </c>
      <c r="M412" s="78" t="str" cm="1">
        <f t="array" aca="1" ref="M412" ca="1">MID(met2utc(R412),3,12)</f>
        <v>25-219/03:55</v>
      </c>
      <c r="N412" t="s">
        <v>5650</v>
      </c>
      <c r="O412" s="326" t="str">
        <f>AG412</f>
        <v>222/21:49</v>
      </c>
      <c r="P412" s="32" t="str">
        <f>MID(AH412,5,5)</f>
        <v>222_2</v>
      </c>
      <c r="Q412" s="341">
        <f>R402-5</f>
        <v>616843131</v>
      </c>
      <c r="R412" s="341">
        <f>R403</f>
        <v>616844816</v>
      </c>
      <c r="S412" s="21">
        <f>R412-Q412</f>
        <v>1685</v>
      </c>
      <c r="T412" s="21">
        <f>$V$38</f>
        <v>197375</v>
      </c>
      <c r="U412" s="3">
        <v>1</v>
      </c>
      <c r="V412" s="20">
        <f>T412</f>
        <v>197375</v>
      </c>
      <c r="W412" s="20">
        <f>AA412*1000000/8</f>
        <v>1540429.8</v>
      </c>
      <c r="X412" s="195">
        <f>W412-V412</f>
        <v>1343054.8</v>
      </c>
      <c r="Y412" s="331"/>
      <c r="Z412" s="330"/>
      <c r="AA412" s="77">
        <f>AN412</f>
        <v>12.323438400000001</v>
      </c>
      <c r="AC412" s="118">
        <f>AE412</f>
        <v>1.579</v>
      </c>
      <c r="AD412" s="3">
        <f t="shared" ref="AD412:AD441" si="121">X412*8/1000000</f>
        <v>10.7444384</v>
      </c>
      <c r="AE412" s="3">
        <f t="shared" ref="AE412:AE442" si="122">V412*8/1000000</f>
        <v>1.579</v>
      </c>
      <c r="AF412" s="329" t="str">
        <f>AH412</f>
        <v>TRK_222_2</v>
      </c>
      <c r="AG412" s="279" t="s">
        <v>5649</v>
      </c>
      <c r="AH412" t="s">
        <v>5648</v>
      </c>
      <c r="AI412" t="s">
        <v>5647</v>
      </c>
      <c r="AJ412">
        <v>0.79937899999999995</v>
      </c>
      <c r="AK412">
        <v>2.2664550000000001</v>
      </c>
      <c r="AL412">
        <v>1.467076</v>
      </c>
      <c r="AM412">
        <v>12.910265000000001</v>
      </c>
      <c r="AN412" s="328">
        <f>AL412*8*1.05</f>
        <v>12.323438400000001</v>
      </c>
    </row>
    <row r="413" spans="3:40" ht="13.5" customHeight="1">
      <c r="C413" s="3">
        <v>104</v>
      </c>
      <c r="D413" s="3">
        <v>105</v>
      </c>
      <c r="E413" t="s">
        <v>51</v>
      </c>
      <c r="F413" t="s">
        <v>49</v>
      </c>
      <c r="G413" t="s">
        <v>50</v>
      </c>
      <c r="H413" t="s">
        <v>53</v>
      </c>
      <c r="I413" t="s">
        <v>54</v>
      </c>
      <c r="L413" s="78" t="str" cm="1">
        <f t="array" aca="1" ref="L413" ca="1">MID(met2utc(Q413),3,12)</f>
        <v>25-219/03:54</v>
      </c>
      <c r="M413" s="78" t="str" cm="1">
        <f t="array" aca="1" ref="M413" ca="1">MID(met2utc(R413),3,12)</f>
        <v>25-221/09:57</v>
      </c>
      <c r="N413" t="s">
        <v>5573</v>
      </c>
      <c r="P413" s="32" t="s">
        <v>5646</v>
      </c>
      <c r="Q413" s="341">
        <f>R412-1</f>
        <v>616844815</v>
      </c>
      <c r="R413" s="21">
        <f>W413/$V$31+Q413</f>
        <v>617039347.06783485</v>
      </c>
      <c r="S413" s="21">
        <f>R413-Q413</f>
        <v>194532.06783485413</v>
      </c>
      <c r="T413" s="21">
        <f>S413*$V$31</f>
        <v>1343054.8000003838</v>
      </c>
      <c r="U413" s="3">
        <v>0</v>
      </c>
      <c r="V413" s="20">
        <f>T413</f>
        <v>1343054.8000003838</v>
      </c>
      <c r="W413" s="183">
        <f>X412</f>
        <v>1343054.8</v>
      </c>
      <c r="X413" s="332">
        <f>W413-V413</f>
        <v>-3.8370490074157715E-7</v>
      </c>
      <c r="Y413" s="331"/>
      <c r="Z413" s="330"/>
      <c r="AA413" s="77"/>
      <c r="AC413" s="118">
        <f>AE413+AC412</f>
        <v>12.32343840000307</v>
      </c>
      <c r="AD413" s="3">
        <f t="shared" si="121"/>
        <v>-3.0696392059326171E-12</v>
      </c>
      <c r="AE413" s="3">
        <f t="shared" si="122"/>
        <v>10.744438400003069</v>
      </c>
      <c r="AF413" s="329"/>
      <c r="AG413" s="279"/>
      <c r="AN413" s="328"/>
    </row>
    <row r="414" spans="3:40" ht="13.5" customHeight="1">
      <c r="C414" s="3">
        <v>104</v>
      </c>
      <c r="D414" s="3">
        <v>105</v>
      </c>
      <c r="E414" t="s">
        <v>51</v>
      </c>
      <c r="F414" t="s">
        <v>49</v>
      </c>
      <c r="G414" t="s">
        <v>50</v>
      </c>
      <c r="H414" t="s">
        <v>53</v>
      </c>
      <c r="I414" t="s">
        <v>54</v>
      </c>
      <c r="L414" s="78" t="str" cm="1">
        <f t="array" aca="1" ref="L414" ca="1">MID(met2utc(Q414),3,12)</f>
        <v>25-221/09:57</v>
      </c>
      <c r="M414" s="78" t="str" cm="1">
        <f t="array" aca="1" ref="M414" ca="1">MID(met2utc(R414),3,12)</f>
        <v>25-221/13:51</v>
      </c>
      <c r="N414" t="s">
        <v>5573</v>
      </c>
      <c r="O414" s="326" t="str">
        <f>AG414</f>
        <v>225/02:08</v>
      </c>
      <c r="P414" s="32" t="str">
        <f>MID(AH414,5,5)</f>
        <v>225_1</v>
      </c>
      <c r="Q414" s="21">
        <f>R413-1</f>
        <v>617039346.06783485</v>
      </c>
      <c r="R414" s="21">
        <f>W414/$V$31+Q414</f>
        <v>617053419.26584733</v>
      </c>
      <c r="S414" s="21">
        <f>R414-Q414</f>
        <v>14073.198012471199</v>
      </c>
      <c r="T414" s="21">
        <f>S414*$V$31</f>
        <v>97161.750000268163</v>
      </c>
      <c r="U414" s="3">
        <v>0</v>
      </c>
      <c r="V414" s="20">
        <f>T414</f>
        <v>97161.750000268163</v>
      </c>
      <c r="W414" s="20">
        <f>AA414*1000000/8</f>
        <v>97161.75</v>
      </c>
      <c r="X414" s="332">
        <f>W414-V414</f>
        <v>-2.6816269382834435E-7</v>
      </c>
      <c r="Y414" s="331"/>
      <c r="Z414" s="330"/>
      <c r="AA414" s="77">
        <f t="shared" ref="AA414:AA441" si="123">AN414</f>
        <v>0.77729400000000004</v>
      </c>
      <c r="AC414" s="118">
        <f>AE414+AC413</f>
        <v>13.100732400005215</v>
      </c>
      <c r="AD414" s="3">
        <f t="shared" si="121"/>
        <v>-2.1453015506267548E-12</v>
      </c>
      <c r="AE414" s="3">
        <f t="shared" si="122"/>
        <v>0.77729400000214532</v>
      </c>
      <c r="AF414" s="329" t="str">
        <f t="shared" ref="AF414:AF441" si="124">AH414</f>
        <v>TRK_225_1</v>
      </c>
      <c r="AG414" s="279" t="s">
        <v>5645</v>
      </c>
      <c r="AH414" t="s">
        <v>5644</v>
      </c>
      <c r="AI414" t="s">
        <v>5643</v>
      </c>
      <c r="AJ414">
        <v>1.2552970000000001</v>
      </c>
      <c r="AK414">
        <v>1.3478319999999999</v>
      </c>
      <c r="AL414">
        <v>9.2535000000000006E-2</v>
      </c>
      <c r="AM414">
        <v>0.81430400000000003</v>
      </c>
      <c r="AN414" s="328">
        <f t="shared" ref="AN414:AN441" si="125">AL414*8*1.05</f>
        <v>0.77729400000000004</v>
      </c>
    </row>
    <row r="415" spans="3:40" ht="13.5" customHeight="1">
      <c r="C415" s="3">
        <v>104</v>
      </c>
      <c r="D415" s="3">
        <v>105</v>
      </c>
      <c r="E415" t="s">
        <v>51</v>
      </c>
      <c r="F415" t="s">
        <v>49</v>
      </c>
      <c r="G415" t="s">
        <v>50</v>
      </c>
      <c r="H415" t="s">
        <v>53</v>
      </c>
      <c r="I415" t="s">
        <v>54</v>
      </c>
      <c r="L415" s="78" t="str" cm="1">
        <f t="array" aca="1" ref="L415" ca="1">MID(met2utc(Q415),3,12)</f>
        <v>25-221/13:51</v>
      </c>
      <c r="M415" s="78" t="str" cm="1">
        <f t="array" aca="1" ref="M415" ca="1">MID(met2utc(R415),3,12)</f>
        <v>25-223/08:41</v>
      </c>
      <c r="N415" t="s">
        <v>5573</v>
      </c>
      <c r="O415" s="326" t="str">
        <f>AG415</f>
        <v>225/11:18</v>
      </c>
      <c r="P415" s="32" t="str">
        <f>MID(AH415,5,5)</f>
        <v>225_2</v>
      </c>
      <c r="Q415" s="21">
        <f>R414-1</f>
        <v>617053418.26584733</v>
      </c>
      <c r="R415" s="21">
        <f>W415/$V$31+Q415</f>
        <v>617207598.67824745</v>
      </c>
      <c r="S415" s="21">
        <f>R415-Q415</f>
        <v>154180.41240012646</v>
      </c>
      <c r="T415" s="21">
        <f>S415*$V$31</f>
        <v>1064465.8499997063</v>
      </c>
      <c r="U415" s="360">
        <v>0</v>
      </c>
      <c r="V415" s="359">
        <f>T415</f>
        <v>1064465.8499997063</v>
      </c>
      <c r="W415" s="20">
        <f>AA415*1000000/8</f>
        <v>1064465.8499999999</v>
      </c>
      <c r="X415" s="332">
        <f>W415-V415</f>
        <v>2.935994416475296E-7</v>
      </c>
      <c r="Y415" s="331"/>
      <c r="Z415" s="330" t="s">
        <v>5642</v>
      </c>
      <c r="AA415" s="77">
        <f t="shared" si="123"/>
        <v>8.5157267999999995</v>
      </c>
      <c r="AB415">
        <f>136.337</f>
        <v>136.33699999999999</v>
      </c>
      <c r="AC415" s="118">
        <f>AE415+AC414</f>
        <v>21.616459200002865</v>
      </c>
      <c r="AD415" s="3">
        <f t="shared" si="121"/>
        <v>2.3487955331802368E-12</v>
      </c>
      <c r="AE415" s="3">
        <f t="shared" si="122"/>
        <v>8.5157267999976494</v>
      </c>
      <c r="AF415" s="329" t="str">
        <f t="shared" si="124"/>
        <v>TRK_225_2</v>
      </c>
      <c r="AG415" s="279" t="s">
        <v>5641</v>
      </c>
      <c r="AH415" t="s">
        <v>5640</v>
      </c>
      <c r="AI415" t="s">
        <v>5639</v>
      </c>
      <c r="AJ415">
        <v>0.195578</v>
      </c>
      <c r="AK415">
        <v>1.209355</v>
      </c>
      <c r="AL415">
        <v>1.0137769999999999</v>
      </c>
      <c r="AM415">
        <v>8.9212340000000001</v>
      </c>
      <c r="AN415" s="328">
        <f t="shared" si="125"/>
        <v>8.5157267999999995</v>
      </c>
    </row>
    <row r="416" spans="3:40" ht="13.5" customHeight="1">
      <c r="C416" s="3"/>
      <c r="D416" s="3"/>
      <c r="L416" s="354"/>
      <c r="M416" s="354"/>
      <c r="N416" t="s">
        <v>5632</v>
      </c>
      <c r="O416" s="326"/>
      <c r="P416" s="32"/>
      <c r="Q416" s="190"/>
      <c r="R416" s="190"/>
      <c r="S416" s="190"/>
      <c r="T416" s="190"/>
      <c r="U416" s="337"/>
      <c r="V416" s="336"/>
      <c r="W416" s="336"/>
      <c r="X416" s="358"/>
      <c r="Y416" s="331">
        <f>W416*8/1000000</f>
        <v>0</v>
      </c>
      <c r="Z416" s="357">
        <f>AA416</f>
        <v>17.080744799999998</v>
      </c>
      <c r="AA416" s="77">
        <f t="shared" si="123"/>
        <v>17.080744799999998</v>
      </c>
      <c r="AB416">
        <f>AB415/194</f>
        <v>0.70276804123711334</v>
      </c>
      <c r="AC416" s="350">
        <f>AA416</f>
        <v>17.080744799999998</v>
      </c>
      <c r="AD416" s="3">
        <f t="shared" si="121"/>
        <v>0</v>
      </c>
      <c r="AE416" s="3">
        <f t="shared" si="122"/>
        <v>0</v>
      </c>
      <c r="AF416" s="346" t="str">
        <f t="shared" si="124"/>
        <v>TRK_225_3</v>
      </c>
      <c r="AG416" s="279" t="s">
        <v>5638</v>
      </c>
      <c r="AH416" t="s">
        <v>5637</v>
      </c>
      <c r="AI416" t="s">
        <v>5636</v>
      </c>
      <c r="AJ416">
        <v>0.33697700000000003</v>
      </c>
      <c r="AK416">
        <v>2.3703989999999999</v>
      </c>
      <c r="AL416">
        <v>2.0334219999999998</v>
      </c>
      <c r="AM416">
        <v>17.894114999999999</v>
      </c>
      <c r="AN416" s="328">
        <f t="shared" si="125"/>
        <v>17.080744799999998</v>
      </c>
    </row>
    <row r="417" spans="3:41" ht="13.5" customHeight="1">
      <c r="C417" s="3"/>
      <c r="D417" s="3"/>
      <c r="L417" s="354"/>
      <c r="M417" s="354"/>
      <c r="N417" t="s">
        <v>5632</v>
      </c>
      <c r="O417" s="326"/>
      <c r="P417" s="32"/>
      <c r="Q417" s="190"/>
      <c r="R417" s="190"/>
      <c r="S417" s="190"/>
      <c r="T417" s="190"/>
      <c r="U417" s="337"/>
      <c r="V417" s="336"/>
      <c r="W417" s="336"/>
      <c r="X417" s="356"/>
      <c r="Y417" s="331"/>
      <c r="Z417" s="355">
        <f>Z416+AA417</f>
        <v>27.389569199999997</v>
      </c>
      <c r="AA417" s="77">
        <f t="shared" si="123"/>
        <v>10.308824400000001</v>
      </c>
      <c r="AC417" s="350">
        <f>AC416+AA417</f>
        <v>27.389569199999997</v>
      </c>
      <c r="AD417" s="3">
        <f t="shared" si="121"/>
        <v>0</v>
      </c>
      <c r="AE417" s="3">
        <f t="shared" si="122"/>
        <v>0</v>
      </c>
      <c r="AF417" s="346" t="str">
        <f t="shared" si="124"/>
        <v>TRK_226_1</v>
      </c>
      <c r="AG417" s="279" t="s">
        <v>5635</v>
      </c>
      <c r="AH417" t="s">
        <v>5634</v>
      </c>
      <c r="AI417" t="s">
        <v>5633</v>
      </c>
      <c r="AJ417">
        <v>6.2488000000000002E-2</v>
      </c>
      <c r="AK417">
        <v>1.2897289999999999</v>
      </c>
      <c r="AL417">
        <v>1.227241</v>
      </c>
      <c r="AM417">
        <v>10.799721999999999</v>
      </c>
      <c r="AN417" s="328">
        <f t="shared" si="125"/>
        <v>10.308824400000001</v>
      </c>
    </row>
    <row r="418" spans="3:41" ht="13.5" customHeight="1">
      <c r="C418" s="3"/>
      <c r="D418" s="3"/>
      <c r="L418" s="354"/>
      <c r="M418" s="354"/>
      <c r="N418" t="s">
        <v>5632</v>
      </c>
      <c r="O418" s="326"/>
      <c r="P418" s="32"/>
      <c r="Q418" s="190">
        <v>645951790</v>
      </c>
      <c r="R418" s="190">
        <v>645952407</v>
      </c>
      <c r="S418" s="190"/>
      <c r="T418" s="190">
        <v>4081250</v>
      </c>
      <c r="U418" s="337"/>
      <c r="V418" s="353">
        <f>T418</f>
        <v>4081250</v>
      </c>
      <c r="W418" s="353">
        <f>Z418*1000000/8</f>
        <v>4081486.4999999995</v>
      </c>
      <c r="X418" s="352">
        <f t="shared" ref="X418:X425" si="126">W418-V418</f>
        <v>236.49999999953434</v>
      </c>
      <c r="Y418" s="331">
        <f>W418*8/1000000</f>
        <v>32.651891999999997</v>
      </c>
      <c r="Z418" s="351">
        <f>Z417+AA418</f>
        <v>32.651891999999997</v>
      </c>
      <c r="AA418" s="77">
        <f t="shared" si="123"/>
        <v>5.2623228000000006</v>
      </c>
      <c r="AB418">
        <f>(Z418/194)*235</f>
        <v>39.55254958762886</v>
      </c>
      <c r="AC418" s="350">
        <f>AC417+AA418</f>
        <v>32.651891999999997</v>
      </c>
      <c r="AD418" s="3">
        <f t="shared" si="121"/>
        <v>1.8919999999962747E-3</v>
      </c>
      <c r="AE418" s="3">
        <f t="shared" si="122"/>
        <v>32.65</v>
      </c>
      <c r="AF418" s="346" t="str">
        <f t="shared" si="124"/>
        <v>TRK_227_1_</v>
      </c>
      <c r="AG418" s="279" t="s">
        <v>5631</v>
      </c>
      <c r="AH418" t="s">
        <v>5630</v>
      </c>
      <c r="AI418" t="s">
        <v>5629</v>
      </c>
      <c r="AJ418">
        <v>0.41222799999999998</v>
      </c>
      <c r="AK418">
        <v>1.0386949999999999</v>
      </c>
      <c r="AL418">
        <v>0.626467</v>
      </c>
      <c r="AM418">
        <v>5.5129089999999996</v>
      </c>
      <c r="AN418" s="328">
        <f t="shared" si="125"/>
        <v>5.2623228000000006</v>
      </c>
    </row>
    <row r="419" spans="3:41" ht="13.5" customHeight="1">
      <c r="C419" s="3">
        <v>104</v>
      </c>
      <c r="D419" s="3">
        <v>105</v>
      </c>
      <c r="E419" t="s">
        <v>51</v>
      </c>
      <c r="F419" t="s">
        <v>49</v>
      </c>
      <c r="G419" t="s">
        <v>50</v>
      </c>
      <c r="H419" t="s">
        <v>53</v>
      </c>
      <c r="I419" t="s">
        <v>54</v>
      </c>
      <c r="L419" s="78" t="str" cm="1">
        <f t="array" aca="1" ref="L419" ca="1">MID(met2utc(Q419),3,12)</f>
        <v>25-223/08:41</v>
      </c>
      <c r="M419" s="78" t="str" cm="1">
        <f t="array" aca="1" ref="M419" ca="1">MID(met2utc(R419),3,12)</f>
        <v>25-225/23:55</v>
      </c>
      <c r="N419" t="s">
        <v>5573</v>
      </c>
      <c r="O419" s="326" t="str">
        <f t="shared" ref="O419:O441" si="127">AG419</f>
        <v>228/21:48</v>
      </c>
      <c r="P419" s="32" t="str">
        <f t="shared" ref="P419:P441" si="128">MID(AH419,5,5)</f>
        <v>228_1</v>
      </c>
      <c r="Q419" s="21">
        <f>R415-1</f>
        <v>617207597.67824745</v>
      </c>
      <c r="R419" s="21">
        <f>W419/$V$31+Q419</f>
        <v>617435248.7466656</v>
      </c>
      <c r="S419" s="21">
        <f t="shared" ref="S419:S425" si="129">R419-Q419</f>
        <v>227651.06841814518</v>
      </c>
      <c r="T419" s="21">
        <f>S419*$V$31</f>
        <v>1571709.2999996636</v>
      </c>
      <c r="U419" s="3">
        <v>0</v>
      </c>
      <c r="V419" s="20">
        <f>T419</f>
        <v>1571709.2999996636</v>
      </c>
      <c r="W419" s="20">
        <f t="shared" ref="W419:W425" si="130">AA419*1000000/8</f>
        <v>1571709.3000000003</v>
      </c>
      <c r="X419" s="332">
        <f t="shared" si="126"/>
        <v>3.3667311072349548E-7</v>
      </c>
      <c r="Y419" s="331"/>
      <c r="Z419" s="330"/>
      <c r="AA419" s="77">
        <f t="shared" si="123"/>
        <v>12.573674400000002</v>
      </c>
      <c r="AB419">
        <f>Z418*0.687</f>
        <v>22.431849803999999</v>
      </c>
      <c r="AC419" s="118">
        <f>AE419+AC418</f>
        <v>45.225566399997305</v>
      </c>
      <c r="AD419" s="3">
        <f t="shared" si="121"/>
        <v>2.6933848857879639E-12</v>
      </c>
      <c r="AE419" s="3">
        <f t="shared" si="122"/>
        <v>12.573674399997309</v>
      </c>
      <c r="AF419" s="329" t="str">
        <f t="shared" si="124"/>
        <v>TRK_228_1</v>
      </c>
      <c r="AG419" s="279" t="s">
        <v>5628</v>
      </c>
      <c r="AH419" t="s">
        <v>5627</v>
      </c>
      <c r="AI419" t="s">
        <v>5626</v>
      </c>
      <c r="AJ419">
        <v>0.49110900000000002</v>
      </c>
      <c r="AK419">
        <v>1.987975</v>
      </c>
      <c r="AL419">
        <v>1.496866</v>
      </c>
      <c r="AM419">
        <v>13.172416999999999</v>
      </c>
      <c r="AN419" s="328">
        <f t="shared" si="125"/>
        <v>12.573674400000002</v>
      </c>
    </row>
    <row r="420" spans="3:41" ht="13.5" customHeight="1">
      <c r="J420" t="s">
        <v>228</v>
      </c>
      <c r="K420" t="s">
        <v>825</v>
      </c>
      <c r="L420" s="94" t="str" cm="1">
        <f t="array" aca="1" ref="L420" ca="1">MID(met2utc(Q420),3,12)</f>
        <v>26-055/17:25</v>
      </c>
      <c r="M420" s="94" t="str" cm="1">
        <f t="array" aca="1" ref="M420" ca="1">MID(met2utc(R420),3,12)</f>
        <v>26-081/05:08</v>
      </c>
      <c r="N420" t="s">
        <v>5613</v>
      </c>
      <c r="O420" s="326" t="str">
        <f t="shared" si="127"/>
        <v>229/10:58</v>
      </c>
      <c r="P420" s="32" t="str">
        <f t="shared" si="128"/>
        <v>229_1</v>
      </c>
      <c r="Q420" s="58">
        <f>R385-3</f>
        <v>634259825.14063001</v>
      </c>
      <c r="R420" s="21">
        <f t="shared" ref="R420:R425" si="131">W420/$S$2+Q420</f>
        <v>636462037.03746676</v>
      </c>
      <c r="S420" s="21">
        <f t="shared" si="129"/>
        <v>2202211.8968367577</v>
      </c>
      <c r="T420" s="21">
        <f t="shared" ref="T420:T425" si="132">S420*$S$2</f>
        <v>1113584.850000002</v>
      </c>
      <c r="U420" s="3">
        <v>0</v>
      </c>
      <c r="V420" s="20">
        <f t="shared" ref="V420:V425" si="133">T420+U420*$V$38</f>
        <v>1113584.850000002</v>
      </c>
      <c r="W420" s="20">
        <f t="shared" si="130"/>
        <v>1113584.8500000001</v>
      </c>
      <c r="X420" s="332">
        <f t="shared" si="126"/>
        <v>-1.862645149230957E-9</v>
      </c>
      <c r="Y420" s="331"/>
      <c r="Z420" s="330"/>
      <c r="AA420" s="77">
        <f t="shared" si="123"/>
        <v>8.9086788000000006</v>
      </c>
      <c r="AC420" s="129">
        <f>AE420</f>
        <v>8.9086788000000148</v>
      </c>
      <c r="AD420" s="3">
        <f t="shared" si="121"/>
        <v>-1.4901161193847656E-14</v>
      </c>
      <c r="AE420" s="3">
        <f t="shared" si="122"/>
        <v>8.9086788000000148</v>
      </c>
      <c r="AF420" s="329" t="str">
        <f t="shared" si="124"/>
        <v>TRK_229_1</v>
      </c>
      <c r="AG420" s="279" t="s">
        <v>5625</v>
      </c>
      <c r="AH420" t="s">
        <v>5624</v>
      </c>
      <c r="AI420" t="s">
        <v>5623</v>
      </c>
      <c r="AJ420">
        <v>6.9262000000000004E-2</v>
      </c>
      <c r="AK420">
        <v>1.1298189999999999</v>
      </c>
      <c r="AL420">
        <v>1.060557</v>
      </c>
      <c r="AM420">
        <v>9.3329039999999992</v>
      </c>
      <c r="AN420" s="328">
        <f t="shared" si="125"/>
        <v>8.9086788000000006</v>
      </c>
    </row>
    <row r="421" spans="3:41" ht="13.5" customHeight="1">
      <c r="J421" t="s">
        <v>228</v>
      </c>
      <c r="K421" t="s">
        <v>825</v>
      </c>
      <c r="L421" s="94" t="str" cm="1">
        <f t="array" aca="1" ref="L421" ca="1">MID(met2utc(Q421),3,12)</f>
        <v>26-081/05:08</v>
      </c>
      <c r="M421" s="94" t="str" cm="1">
        <f t="array" aca="1" ref="M421" ca="1">MID(met2utc(R421),3,12)</f>
        <v>26-106/15:00</v>
      </c>
      <c r="N421" t="s">
        <v>5613</v>
      </c>
      <c r="O421" s="326" t="str">
        <f t="shared" si="127"/>
        <v>229/21:48</v>
      </c>
      <c r="P421" s="32" t="str">
        <f t="shared" si="128"/>
        <v>229_2</v>
      </c>
      <c r="Q421" s="58">
        <f>R420-3</f>
        <v>636462034.03746676</v>
      </c>
      <c r="R421" s="21">
        <f t="shared" si="131"/>
        <v>638657557.63323176</v>
      </c>
      <c r="S421" s="21">
        <f t="shared" si="129"/>
        <v>2195523.5957649946</v>
      </c>
      <c r="T421" s="21">
        <f t="shared" si="132"/>
        <v>1110202.7999999758</v>
      </c>
      <c r="U421" s="3">
        <v>0</v>
      </c>
      <c r="V421" s="20">
        <f t="shared" si="133"/>
        <v>1110202.7999999758</v>
      </c>
      <c r="W421" s="20">
        <f t="shared" si="130"/>
        <v>1110202.8</v>
      </c>
      <c r="X421" s="332">
        <f t="shared" si="126"/>
        <v>2.4214386940002441E-8</v>
      </c>
      <c r="Y421" s="331"/>
      <c r="Z421" s="330"/>
      <c r="AA421" s="77">
        <f t="shared" si="123"/>
        <v>8.8816224000000012</v>
      </c>
      <c r="AC421" s="129">
        <f>AE421+AC420</f>
        <v>17.790301199999821</v>
      </c>
      <c r="AD421" s="3">
        <f t="shared" si="121"/>
        <v>1.9371509552001952E-13</v>
      </c>
      <c r="AE421" s="3">
        <f t="shared" si="122"/>
        <v>8.8816223999998059</v>
      </c>
      <c r="AF421" s="329" t="str">
        <f t="shared" si="124"/>
        <v>TRK_229_2</v>
      </c>
      <c r="AG421" s="279" t="s">
        <v>5622</v>
      </c>
      <c r="AH421" t="s">
        <v>5621</v>
      </c>
      <c r="AI421" t="s">
        <v>5620</v>
      </c>
      <c r="AJ421">
        <v>6.1191000000000002E-2</v>
      </c>
      <c r="AK421">
        <v>1.118527</v>
      </c>
      <c r="AL421">
        <v>1.0573360000000001</v>
      </c>
      <c r="AM421">
        <v>9.3045550000000006</v>
      </c>
      <c r="AN421" s="328">
        <f t="shared" si="125"/>
        <v>8.8816224000000012</v>
      </c>
    </row>
    <row r="422" spans="3:41" ht="13.5" customHeight="1">
      <c r="J422" t="s">
        <v>228</v>
      </c>
      <c r="K422" t="s">
        <v>825</v>
      </c>
      <c r="L422" s="94" t="str" cm="1">
        <f t="array" aca="1" ref="L422" ca="1">MID(met2utc(Q422),3,12)</f>
        <v>26-106/15:00</v>
      </c>
      <c r="M422" s="94" t="str" cm="1">
        <f t="array" aca="1" ref="M422" ca="1">MID(met2utc(R422),3,12)</f>
        <v>26-130/04:11</v>
      </c>
      <c r="N422" t="s">
        <v>5613</v>
      </c>
      <c r="O422" s="326" t="str">
        <f t="shared" si="127"/>
        <v>230/10:58</v>
      </c>
      <c r="P422" s="32" t="str">
        <f t="shared" si="128"/>
        <v>230_1</v>
      </c>
      <c r="Q422" s="58">
        <f>R421-3</f>
        <v>638657554.63323176</v>
      </c>
      <c r="R422" s="21">
        <f t="shared" si="131"/>
        <v>640692212.23324192</v>
      </c>
      <c r="S422" s="21">
        <f t="shared" si="129"/>
        <v>2034657.6000101566</v>
      </c>
      <c r="T422" s="21">
        <f t="shared" si="132"/>
        <v>1028858.2500000123</v>
      </c>
      <c r="U422" s="3">
        <v>0</v>
      </c>
      <c r="V422" s="20">
        <f t="shared" si="133"/>
        <v>1028858.2500000123</v>
      </c>
      <c r="W422" s="20">
        <f t="shared" si="130"/>
        <v>1028858.2500000001</v>
      </c>
      <c r="X422" s="332">
        <f t="shared" si="126"/>
        <v>-1.2223608791828156E-8</v>
      </c>
      <c r="Y422" s="331"/>
      <c r="Z422" s="330"/>
      <c r="AA422" s="77">
        <f t="shared" si="123"/>
        <v>8.2308660000000007</v>
      </c>
      <c r="AC422" s="129">
        <f>AE422+AC421</f>
        <v>26.021167199999919</v>
      </c>
      <c r="AD422" s="3">
        <f t="shared" si="121"/>
        <v>-9.7788870334625248E-14</v>
      </c>
      <c r="AE422" s="3">
        <f t="shared" si="122"/>
        <v>8.2308660000000984</v>
      </c>
      <c r="AF422" s="329" t="str">
        <f t="shared" si="124"/>
        <v>TRK_230_1</v>
      </c>
      <c r="AG422" s="279" t="s">
        <v>5619</v>
      </c>
      <c r="AH422" t="s">
        <v>5618</v>
      </c>
      <c r="AI422" t="s">
        <v>5617</v>
      </c>
      <c r="AJ422">
        <v>0.22567200000000001</v>
      </c>
      <c r="AK422">
        <v>1.2055370000000001</v>
      </c>
      <c r="AL422">
        <v>0.97986499999999999</v>
      </c>
      <c r="AM422">
        <v>8.6228119999999997</v>
      </c>
      <c r="AN422" s="328">
        <f t="shared" si="125"/>
        <v>8.2308660000000007</v>
      </c>
    </row>
    <row r="423" spans="3:41" ht="13.5" customHeight="1">
      <c r="J423" t="s">
        <v>228</v>
      </c>
      <c r="K423" t="s">
        <v>825</v>
      </c>
      <c r="L423" s="94" t="str" cm="1">
        <f t="array" aca="1" ref="L423" ca="1">MID(met2utc(Q423),3,12)</f>
        <v>26-130/04:11</v>
      </c>
      <c r="M423" s="94" t="str" cm="1">
        <f t="array" aca="1" ref="M423" ca="1">MID(met2utc(R423),3,12)</f>
        <v>26-152/11:31</v>
      </c>
      <c r="N423" t="s">
        <v>5613</v>
      </c>
      <c r="O423" s="326" t="str">
        <f t="shared" si="127"/>
        <v>231/10:07</v>
      </c>
      <c r="P423" s="32" t="str">
        <f t="shared" si="128"/>
        <v>231_1</v>
      </c>
      <c r="Q423" s="58">
        <f>R422-3</f>
        <v>640692209.23324192</v>
      </c>
      <c r="R423" s="21">
        <f t="shared" si="131"/>
        <v>642619403.42270744</v>
      </c>
      <c r="S423" s="21">
        <f t="shared" si="129"/>
        <v>1927194.1894655228</v>
      </c>
      <c r="T423" s="21">
        <f t="shared" si="132"/>
        <v>974517.60000001581</v>
      </c>
      <c r="U423" s="3">
        <v>0</v>
      </c>
      <c r="V423" s="20">
        <f t="shared" si="133"/>
        <v>974517.60000001581</v>
      </c>
      <c r="W423" s="20">
        <f t="shared" si="130"/>
        <v>974517.60000000009</v>
      </c>
      <c r="X423" s="332">
        <f t="shared" si="126"/>
        <v>-1.57160684466362E-8</v>
      </c>
      <c r="Y423" s="331"/>
      <c r="Z423" s="330"/>
      <c r="AA423" s="77">
        <f t="shared" si="123"/>
        <v>7.7961408000000008</v>
      </c>
      <c r="AC423" s="129">
        <f>AE423+AC422</f>
        <v>33.817308000000047</v>
      </c>
      <c r="AD423" s="3">
        <f t="shared" si="121"/>
        <v>-1.257285475730896E-13</v>
      </c>
      <c r="AE423" s="3">
        <f t="shared" si="122"/>
        <v>7.7961408000001269</v>
      </c>
      <c r="AF423" s="329" t="str">
        <f t="shared" si="124"/>
        <v>TRK_231_1_</v>
      </c>
      <c r="AG423" s="279" t="s">
        <v>5616</v>
      </c>
      <c r="AH423" t="s">
        <v>5615</v>
      </c>
      <c r="AI423" t="s">
        <v>5614</v>
      </c>
      <c r="AJ423">
        <v>0.44786999999999999</v>
      </c>
      <c r="AK423">
        <v>1.375982</v>
      </c>
      <c r="AL423">
        <v>0.92811200000000005</v>
      </c>
      <c r="AM423">
        <v>8.1673880000000008</v>
      </c>
      <c r="AN423" s="328">
        <f t="shared" si="125"/>
        <v>7.7961408000000008</v>
      </c>
      <c r="AO423">
        <f>SUM(AN412:AN423)</f>
        <v>100.65933360000001</v>
      </c>
    </row>
    <row r="424" spans="3:41" ht="13.5" customHeight="1">
      <c r="J424" t="s">
        <v>228</v>
      </c>
      <c r="K424" t="s">
        <v>825</v>
      </c>
      <c r="L424" s="94" t="str" cm="1">
        <f t="array" aca="1" ref="L424" ca="1">MID(met2utc(Q424),3,12)</f>
        <v>26-152/11:31</v>
      </c>
      <c r="M424" s="94" t="str" cm="1">
        <f t="array" aca="1" ref="M424" ca="1">MID(met2utc(R424),3,12)</f>
        <v>26-172/04:55</v>
      </c>
      <c r="N424" t="s">
        <v>5613</v>
      </c>
      <c r="O424" s="326" t="str">
        <f t="shared" si="127"/>
        <v>232/02:47</v>
      </c>
      <c r="P424" s="32" t="str">
        <f t="shared" si="128"/>
        <v>232_1</v>
      </c>
      <c r="Q424" s="58">
        <f>R423-3</f>
        <v>642619400.42270744</v>
      </c>
      <c r="R424" s="21">
        <f t="shared" si="131"/>
        <v>644323671.31563282</v>
      </c>
      <c r="S424" s="21">
        <f t="shared" si="129"/>
        <v>1704270.8929253817</v>
      </c>
      <c r="T424" s="21">
        <f t="shared" si="132"/>
        <v>861792.75000000675</v>
      </c>
      <c r="U424" s="3">
        <v>0</v>
      </c>
      <c r="V424" s="20">
        <f t="shared" si="133"/>
        <v>861792.75000000675</v>
      </c>
      <c r="W424" s="20">
        <f t="shared" si="130"/>
        <v>861792.75</v>
      </c>
      <c r="X424" s="332">
        <f t="shared" si="126"/>
        <v>-6.7520886659622192E-9</v>
      </c>
      <c r="Y424" s="331"/>
      <c r="Z424" s="330"/>
      <c r="AA424" s="77">
        <f t="shared" si="123"/>
        <v>6.894342</v>
      </c>
      <c r="AB424" s="99"/>
      <c r="AC424" s="129">
        <f>AE424+AC423</f>
        <v>40.711650000000098</v>
      </c>
      <c r="AD424" s="3">
        <f t="shared" si="121"/>
        <v>-5.4016709327697754E-14</v>
      </c>
      <c r="AE424" s="3">
        <f t="shared" si="122"/>
        <v>6.8943420000000541</v>
      </c>
      <c r="AF424" s="329" t="str">
        <f t="shared" si="124"/>
        <v>TRK_232_1</v>
      </c>
      <c r="AG424" s="279" t="s">
        <v>5612</v>
      </c>
      <c r="AH424" t="s">
        <v>5611</v>
      </c>
      <c r="AI424" t="s">
        <v>5610</v>
      </c>
      <c r="AJ424">
        <v>0.24752199999999999</v>
      </c>
      <c r="AK424">
        <v>1.0682769999999999</v>
      </c>
      <c r="AL424">
        <v>0.82075500000000001</v>
      </c>
      <c r="AM424">
        <v>7.2226429999999997</v>
      </c>
      <c r="AN424" s="269">
        <f t="shared" si="125"/>
        <v>6.894342</v>
      </c>
    </row>
    <row r="425" spans="3:41" ht="13.5" customHeight="1">
      <c r="J425" t="s">
        <v>228</v>
      </c>
      <c r="K425" t="s">
        <v>825</v>
      </c>
      <c r="L425" s="94" t="str" cm="1">
        <f t="array" aca="1" ref="L425" ca="1">MID(met2utc(Q425),3,12)</f>
        <v>26-172/04:55</v>
      </c>
      <c r="M425" s="94" t="str" cm="1">
        <f t="array" aca="1" ref="M425" ca="1">MID(met2utc(R425),3,12)</f>
        <v>26-188/18:08</v>
      </c>
      <c r="N425" t="s">
        <v>5452</v>
      </c>
      <c r="O425" s="326" t="str">
        <f t="shared" si="127"/>
        <v>232/11:17</v>
      </c>
      <c r="P425" s="32" t="str">
        <f t="shared" si="128"/>
        <v>232_2</v>
      </c>
      <c r="Q425" s="58">
        <f>R424-3</f>
        <v>644323668.31563282</v>
      </c>
      <c r="R425" s="21">
        <f t="shared" si="131"/>
        <v>645753615.04125464</v>
      </c>
      <c r="S425" s="21">
        <f t="shared" si="129"/>
        <v>1429946.7256218195</v>
      </c>
      <c r="T425" s="21">
        <f t="shared" si="132"/>
        <v>723076.20000002405</v>
      </c>
      <c r="U425" s="3">
        <v>0</v>
      </c>
      <c r="V425" s="20">
        <f t="shared" si="133"/>
        <v>723076.20000002405</v>
      </c>
      <c r="W425" s="20">
        <f t="shared" si="130"/>
        <v>723076.20000000007</v>
      </c>
      <c r="X425" s="332">
        <f t="shared" si="126"/>
        <v>-2.3981556296348572E-8</v>
      </c>
      <c r="Y425" s="331"/>
      <c r="Z425" s="330"/>
      <c r="AA425" s="77">
        <f t="shared" si="123"/>
        <v>5.7846096000000005</v>
      </c>
      <c r="AC425" s="129">
        <f>AE425+AC424</f>
        <v>46.496259600000293</v>
      </c>
      <c r="AD425" s="3">
        <f t="shared" si="121"/>
        <v>-1.9185245037078857E-13</v>
      </c>
      <c r="AE425" s="3">
        <f t="shared" si="122"/>
        <v>5.7846096000001923</v>
      </c>
      <c r="AF425" s="329" t="str">
        <f t="shared" si="124"/>
        <v>TRK_232_2</v>
      </c>
      <c r="AG425" s="279" t="s">
        <v>5609</v>
      </c>
      <c r="AH425" t="s">
        <v>5608</v>
      </c>
      <c r="AI425" t="s">
        <v>5607</v>
      </c>
      <c r="AJ425">
        <v>0.19355900000000001</v>
      </c>
      <c r="AK425">
        <v>0.88220299999999996</v>
      </c>
      <c r="AL425">
        <v>0.68864400000000003</v>
      </c>
      <c r="AM425">
        <v>6.0600639999999997</v>
      </c>
      <c r="AN425" s="269">
        <f t="shared" si="125"/>
        <v>5.7846096000000005</v>
      </c>
    </row>
    <row r="426" spans="3:41" ht="13.5" customHeight="1">
      <c r="L426" s="286"/>
      <c r="M426" s="286"/>
      <c r="O426" s="326" t="str">
        <f t="shared" si="127"/>
        <v>232/22:57</v>
      </c>
      <c r="P426" s="32" t="str">
        <f t="shared" si="128"/>
        <v>232_3</v>
      </c>
      <c r="Q426" s="337"/>
      <c r="R426" s="337"/>
      <c r="S426" s="286"/>
      <c r="T426" s="337"/>
      <c r="U426" s="286"/>
      <c r="V426" s="286"/>
      <c r="W426" s="286"/>
      <c r="X426" s="286"/>
      <c r="Y426" s="331"/>
      <c r="Z426" s="349">
        <f>AA426</f>
        <v>19.9636332</v>
      </c>
      <c r="AA426" s="77">
        <f t="shared" si="123"/>
        <v>19.9636332</v>
      </c>
      <c r="AB426">
        <f>(Z428/194)*235</f>
        <v>67.556049371134023</v>
      </c>
      <c r="AC426" s="347">
        <f>AC418+Z426</f>
        <v>52.615525199999993</v>
      </c>
      <c r="AD426" s="3">
        <f t="shared" si="121"/>
        <v>0</v>
      </c>
      <c r="AE426" s="3">
        <f t="shared" si="122"/>
        <v>0</v>
      </c>
      <c r="AF426" s="346" t="str">
        <f t="shared" si="124"/>
        <v>TRK_232_3</v>
      </c>
      <c r="AG426" s="279" t="s">
        <v>5606</v>
      </c>
      <c r="AH426" t="s">
        <v>5605</v>
      </c>
      <c r="AI426" t="s">
        <v>5604</v>
      </c>
      <c r="AJ426">
        <v>6.3396999999999995E-2</v>
      </c>
      <c r="AK426">
        <v>2.4400200000000001</v>
      </c>
      <c r="AL426">
        <v>2.3766229999999999</v>
      </c>
      <c r="AM426">
        <v>20.914285</v>
      </c>
      <c r="AN426" s="269">
        <f t="shared" si="125"/>
        <v>19.9636332</v>
      </c>
    </row>
    <row r="427" spans="3:41" ht="13.5" customHeight="1">
      <c r="L427" s="286"/>
      <c r="M427" s="286"/>
      <c r="O427" s="326" t="str">
        <f t="shared" si="127"/>
        <v>233/12:02</v>
      </c>
      <c r="P427" s="32" t="str">
        <f t="shared" si="128"/>
        <v>233_1</v>
      </c>
      <c r="Q427" s="286"/>
      <c r="R427" s="286"/>
      <c r="S427" s="286"/>
      <c r="T427" s="286"/>
      <c r="U427" s="286"/>
      <c r="V427" s="286"/>
      <c r="W427" s="286"/>
      <c r="X427" s="286"/>
      <c r="Y427" s="331"/>
      <c r="Z427" s="349">
        <f>AA427+AA426</f>
        <v>31.822946399999999</v>
      </c>
      <c r="AA427" s="77">
        <f t="shared" si="123"/>
        <v>11.859313200000001</v>
      </c>
      <c r="AB427">
        <f>Z428*0.687</f>
        <v>38.313766587600007</v>
      </c>
      <c r="AC427" s="347">
        <f>AC426+AA427</f>
        <v>64.474838399999996</v>
      </c>
      <c r="AD427" s="3">
        <f t="shared" si="121"/>
        <v>0</v>
      </c>
      <c r="AE427" s="3">
        <f t="shared" si="122"/>
        <v>0</v>
      </c>
      <c r="AF427" s="346" t="str">
        <f t="shared" si="124"/>
        <v>TRK_233_1</v>
      </c>
      <c r="AG427" s="279" t="s">
        <v>5603</v>
      </c>
      <c r="AH427" t="s">
        <v>5602</v>
      </c>
      <c r="AI427" t="s">
        <v>5601</v>
      </c>
      <c r="AJ427">
        <v>0.21144499999999999</v>
      </c>
      <c r="AK427">
        <v>1.6232679999999999</v>
      </c>
      <c r="AL427">
        <v>1.4118230000000001</v>
      </c>
      <c r="AM427">
        <v>12.424046000000001</v>
      </c>
      <c r="AN427" s="269">
        <f t="shared" si="125"/>
        <v>11.859313200000001</v>
      </c>
    </row>
    <row r="428" spans="3:41" ht="13.5" customHeight="1">
      <c r="L428" s="286"/>
      <c r="M428" s="286"/>
      <c r="O428" s="326" t="str">
        <f t="shared" si="127"/>
        <v>234/02:32</v>
      </c>
      <c r="P428" s="32" t="str">
        <f t="shared" si="128"/>
        <v>234_1</v>
      </c>
      <c r="Q428" s="337">
        <v>645952406</v>
      </c>
      <c r="R428" s="337">
        <v>645953459</v>
      </c>
      <c r="S428" s="286"/>
      <c r="T428" s="337">
        <v>6971250</v>
      </c>
      <c r="U428" s="286"/>
      <c r="V428" s="286">
        <f>T428</f>
        <v>6971250</v>
      </c>
      <c r="W428" s="286">
        <f>Z428*1000000/8</f>
        <v>6971209.3500000006</v>
      </c>
      <c r="X428" s="286">
        <f t="shared" ref="X428:X441" si="134">W428-V428</f>
        <v>-40.649999999441206</v>
      </c>
      <c r="Y428" s="331"/>
      <c r="Z428" s="335">
        <f>AA428+Z427</f>
        <v>55.769674800000004</v>
      </c>
      <c r="AA428" s="77">
        <f t="shared" si="123"/>
        <v>23.946728400000001</v>
      </c>
      <c r="AC428" s="347">
        <f>AC427+AA428</f>
        <v>88.421566799999994</v>
      </c>
      <c r="AD428" s="3">
        <f t="shared" si="121"/>
        <v>-3.2519999999552966E-4</v>
      </c>
      <c r="AE428" s="3">
        <f t="shared" si="122"/>
        <v>55.77</v>
      </c>
      <c r="AF428" s="346" t="str">
        <f t="shared" si="124"/>
        <v>TRK_234_1</v>
      </c>
      <c r="AG428" s="279" t="s">
        <v>5600</v>
      </c>
      <c r="AH428" t="s">
        <v>5599</v>
      </c>
      <c r="AI428" t="s">
        <v>5598</v>
      </c>
      <c r="AJ428">
        <v>7.4108999999999994E-2</v>
      </c>
      <c r="AK428">
        <v>2.9249100000000001</v>
      </c>
      <c r="AL428">
        <v>2.8508010000000001</v>
      </c>
      <c r="AM428">
        <v>25.087050000000001</v>
      </c>
      <c r="AN428" s="269">
        <f t="shared" si="125"/>
        <v>23.946728400000001</v>
      </c>
    </row>
    <row r="429" spans="3:41" ht="13.5" customHeight="1">
      <c r="C429" s="3">
        <v>104</v>
      </c>
      <c r="D429" s="3">
        <v>105</v>
      </c>
      <c r="E429" t="s">
        <v>51</v>
      </c>
      <c r="F429" t="s">
        <v>49</v>
      </c>
      <c r="G429" t="s">
        <v>50</v>
      </c>
      <c r="H429" t="s">
        <v>53</v>
      </c>
      <c r="I429" t="s">
        <v>54</v>
      </c>
      <c r="L429" s="78" t="str" cm="1">
        <f t="array" aca="1" ref="L429" ca="1">MID(met2utc(Q429),3,12)</f>
        <v>25-225/23:55</v>
      </c>
      <c r="M429" s="78" t="str" cm="1">
        <f t="array" aca="1" ref="M429" ca="1">MID(met2utc(R429),3,12)</f>
        <v>25-226/20:49</v>
      </c>
      <c r="N429" t="s">
        <v>5573</v>
      </c>
      <c r="O429" s="326" t="str">
        <f t="shared" si="127"/>
        <v>235/04:27</v>
      </c>
      <c r="P429" s="32" t="str">
        <f t="shared" si="128"/>
        <v>235_1</v>
      </c>
      <c r="Q429" s="21">
        <f>R419-1</f>
        <v>617435247.7466656</v>
      </c>
      <c r="R429" s="21">
        <f>W429/$V$31+Q429</f>
        <v>617510491.71536338</v>
      </c>
      <c r="S429" s="21">
        <f t="shared" ref="S429:S434" si="135">R429-Q429</f>
        <v>75243.968697786331</v>
      </c>
      <c r="T429" s="21">
        <f>S429*$V$31</f>
        <v>519486.44999975839</v>
      </c>
      <c r="U429" s="3">
        <v>0</v>
      </c>
      <c r="V429" s="20">
        <f>T429</f>
        <v>519486.44999975839</v>
      </c>
      <c r="W429" s="20">
        <f t="shared" ref="W429:W442" si="136">AA429*1000000/8</f>
        <v>519486.45000000007</v>
      </c>
      <c r="X429" s="332">
        <f t="shared" si="134"/>
        <v>2.4167820811271667E-7</v>
      </c>
      <c r="Y429" s="331"/>
      <c r="Z429" s="330"/>
      <c r="AA429" s="77">
        <f t="shared" si="123"/>
        <v>4.1558916000000004</v>
      </c>
      <c r="AC429" s="118">
        <f>AA429+AC419</f>
        <v>49.381457999997309</v>
      </c>
      <c r="AD429" s="3">
        <f t="shared" si="121"/>
        <v>1.9334256649017335E-12</v>
      </c>
      <c r="AE429" s="3">
        <f t="shared" si="122"/>
        <v>4.1558915999980668</v>
      </c>
      <c r="AF429" s="329" t="str">
        <f t="shared" si="124"/>
        <v>TRK_235_1_</v>
      </c>
      <c r="AG429" s="279" t="s">
        <v>5597</v>
      </c>
      <c r="AH429" t="s">
        <v>5596</v>
      </c>
      <c r="AI429" t="s">
        <v>5595</v>
      </c>
      <c r="AJ429">
        <v>0.43607800000000002</v>
      </c>
      <c r="AK429">
        <v>0.93082699999999996</v>
      </c>
      <c r="AL429">
        <v>0.49474899999999999</v>
      </c>
      <c r="AM429">
        <v>4.3537949999999999</v>
      </c>
      <c r="AN429" s="269">
        <f t="shared" si="125"/>
        <v>4.1558916000000004</v>
      </c>
    </row>
    <row r="430" spans="3:41" ht="13.5" customHeight="1">
      <c r="C430" s="3">
        <v>104</v>
      </c>
      <c r="D430" s="3">
        <v>105</v>
      </c>
      <c r="E430" t="s">
        <v>51</v>
      </c>
      <c r="F430" t="s">
        <v>49</v>
      </c>
      <c r="G430" s="3" t="s">
        <v>50</v>
      </c>
      <c r="H430" t="s">
        <v>53</v>
      </c>
      <c r="I430" t="s">
        <v>54</v>
      </c>
      <c r="L430" s="78" t="str" cm="1">
        <f t="array" aca="1" ref="L430" ca="1">MID(met2utc(Q430),3,12)</f>
        <v>25-226/20:49</v>
      </c>
      <c r="M430" s="78" t="str" cm="1">
        <f t="array" aca="1" ref="M430" ca="1">MID(met2utc(R430),3,12)</f>
        <v>25-227/23:14</v>
      </c>
      <c r="N430" t="s">
        <v>5573</v>
      </c>
      <c r="O430" s="326" t="str">
        <f t="shared" si="127"/>
        <v>235/12:12</v>
      </c>
      <c r="P430" s="32" t="str">
        <f t="shared" si="128"/>
        <v>235_2</v>
      </c>
      <c r="Q430" s="58">
        <f>R429-1</f>
        <v>617510490.71536338</v>
      </c>
      <c r="R430" s="21">
        <f>W430/$V$31+Q430</f>
        <v>617605586.66096675</v>
      </c>
      <c r="S430" s="21">
        <f t="shared" si="135"/>
        <v>95095.945603370667</v>
      </c>
      <c r="T430" s="21">
        <f>S430*$V$31</f>
        <v>656545.04999971564</v>
      </c>
      <c r="U430" s="3">
        <v>0</v>
      </c>
      <c r="V430" s="20">
        <f>T430</f>
        <v>656545.04999971564</v>
      </c>
      <c r="W430" s="20">
        <f t="shared" si="136"/>
        <v>656545.04999999993</v>
      </c>
      <c r="X430" s="332">
        <f t="shared" si="134"/>
        <v>2.8428621590137482E-7</v>
      </c>
      <c r="Y430" s="331"/>
      <c r="Z430" s="330"/>
      <c r="AA430" s="77">
        <f t="shared" si="123"/>
        <v>5.2523603999999997</v>
      </c>
      <c r="AC430" s="118">
        <f>AC429+AA430</f>
        <v>54.63381839999731</v>
      </c>
      <c r="AD430" s="3">
        <f t="shared" si="121"/>
        <v>2.2742897272109987E-12</v>
      </c>
      <c r="AE430" s="3">
        <f t="shared" si="122"/>
        <v>5.2523603999977251</v>
      </c>
      <c r="AF430" s="329" t="str">
        <f t="shared" si="124"/>
        <v>TRK_235_2</v>
      </c>
      <c r="AG430" s="279" t="s">
        <v>5594</v>
      </c>
      <c r="AH430" t="s">
        <v>5593</v>
      </c>
      <c r="AI430" t="s">
        <v>5592</v>
      </c>
      <c r="AJ430">
        <v>0.187865</v>
      </c>
      <c r="AK430">
        <v>0.81314600000000004</v>
      </c>
      <c r="AL430">
        <v>0.62528099999999998</v>
      </c>
      <c r="AM430">
        <v>5.5024699999999998</v>
      </c>
      <c r="AN430" s="269">
        <f t="shared" si="125"/>
        <v>5.2523603999999997</v>
      </c>
      <c r="AO430">
        <f>SUM(AN424:AN430)</f>
        <v>77.856878400000014</v>
      </c>
    </row>
    <row r="431" spans="3:41" ht="13.5" customHeight="1">
      <c r="C431" s="3">
        <v>104</v>
      </c>
      <c r="D431" s="3">
        <v>105</v>
      </c>
      <c r="E431" t="s">
        <v>51</v>
      </c>
      <c r="F431" t="s">
        <v>49</v>
      </c>
      <c r="G431" s="3" t="s">
        <v>50</v>
      </c>
      <c r="H431" t="s">
        <v>53</v>
      </c>
      <c r="I431" t="s">
        <v>54</v>
      </c>
      <c r="L431" s="78" t="str" cm="1">
        <f t="array" aca="1" ref="L431" ca="1">MID(met2utc(Q431),3,12)</f>
        <v>25-227/23:14</v>
      </c>
      <c r="M431" s="78" t="str" cm="1">
        <f t="array" aca="1" ref="M431" ca="1">MID(met2utc(R431),3,12)</f>
        <v>25-230/07:06</v>
      </c>
      <c r="N431" t="s">
        <v>5573</v>
      </c>
      <c r="O431" s="326" t="str">
        <f t="shared" si="127"/>
        <v>235/21:07</v>
      </c>
      <c r="P431" s="32" t="str">
        <f t="shared" si="128"/>
        <v>235_3</v>
      </c>
      <c r="Q431" s="58">
        <f>R430-1</f>
        <v>617605585.66096675</v>
      </c>
      <c r="R431" s="21">
        <f>W431/$V$31+Q431</f>
        <v>617806707.60669088</v>
      </c>
      <c r="S431" s="21">
        <f t="shared" si="135"/>
        <v>201121.94572412968</v>
      </c>
      <c r="T431" s="21">
        <f>S431*$V$31</f>
        <v>1388551.5000001057</v>
      </c>
      <c r="U431" s="3">
        <v>0</v>
      </c>
      <c r="V431" s="20">
        <f>T431</f>
        <v>1388551.5000001057</v>
      </c>
      <c r="W431" s="20">
        <f t="shared" si="136"/>
        <v>1388551.5000000002</v>
      </c>
      <c r="X431" s="332">
        <f t="shared" si="134"/>
        <v>-1.0547228157520294E-7</v>
      </c>
      <c r="Y431" s="331"/>
      <c r="Z431" s="330"/>
      <c r="AA431" s="77">
        <f t="shared" si="123"/>
        <v>11.108412000000001</v>
      </c>
      <c r="AC431" s="118">
        <f>AC430+AA431</f>
        <v>65.742230399997311</v>
      </c>
      <c r="AD431" s="3">
        <f t="shared" si="121"/>
        <v>-8.4377825260162355E-13</v>
      </c>
      <c r="AE431" s="3">
        <f t="shared" si="122"/>
        <v>11.108412000000845</v>
      </c>
      <c r="AF431" s="329" t="str">
        <f t="shared" si="124"/>
        <v>TRK_235_3</v>
      </c>
      <c r="AG431" s="279" t="s">
        <v>5591</v>
      </c>
      <c r="AH431" t="s">
        <v>5590</v>
      </c>
      <c r="AI431" t="s">
        <v>5589</v>
      </c>
      <c r="AJ431">
        <v>0.19467000000000001</v>
      </c>
      <c r="AK431">
        <v>1.5170999999999999</v>
      </c>
      <c r="AL431">
        <v>1.32243</v>
      </c>
      <c r="AM431">
        <v>11.637388</v>
      </c>
      <c r="AN431" s="328">
        <f t="shared" si="125"/>
        <v>11.108412000000001</v>
      </c>
    </row>
    <row r="432" spans="3:41" ht="13.5" customHeight="1">
      <c r="C432" s="3">
        <v>104</v>
      </c>
      <c r="D432" s="3">
        <v>105</v>
      </c>
      <c r="E432" t="s">
        <v>51</v>
      </c>
      <c r="F432" t="s">
        <v>49</v>
      </c>
      <c r="G432" s="3" t="s">
        <v>50</v>
      </c>
      <c r="H432" t="s">
        <v>53</v>
      </c>
      <c r="I432" t="s">
        <v>54</v>
      </c>
      <c r="L432" s="78" t="str" cm="1">
        <f t="array" aca="1" ref="L432" ca="1">MID(met2utc(Q432),3,12)</f>
        <v>25-230/07:06</v>
      </c>
      <c r="M432" s="78" t="str" cm="1">
        <f t="array" aca="1" ref="M432" ca="1">MID(met2utc(R432),3,12)</f>
        <v>25-231/17:06</v>
      </c>
      <c r="N432" t="s">
        <v>5573</v>
      </c>
      <c r="O432" s="326" t="str">
        <f t="shared" si="127"/>
        <v>236/11:17</v>
      </c>
      <c r="P432" s="32" t="str">
        <f t="shared" si="128"/>
        <v>236_1</v>
      </c>
      <c r="Q432" s="58">
        <f>R431-1</f>
        <v>617806706.60669088</v>
      </c>
      <c r="R432" s="28">
        <f>W432/$V$31+Q432</f>
        <v>617929087.23394144</v>
      </c>
      <c r="S432" s="21">
        <f t="shared" si="135"/>
        <v>122380.62725055218</v>
      </c>
      <c r="T432" s="21">
        <f>S432*$V$31</f>
        <v>844919.24999968021</v>
      </c>
      <c r="U432" s="3">
        <v>0</v>
      </c>
      <c r="V432" s="20">
        <f>T432</f>
        <v>844919.24999968021</v>
      </c>
      <c r="W432" s="20">
        <f t="shared" si="136"/>
        <v>844919.25</v>
      </c>
      <c r="X432" s="332">
        <f t="shared" si="134"/>
        <v>3.1979288905858994E-7</v>
      </c>
      <c r="Y432" s="331"/>
      <c r="Z432" s="330"/>
      <c r="AA432" s="77">
        <f t="shared" si="123"/>
        <v>6.7593540000000001</v>
      </c>
      <c r="AC432" s="118">
        <f>AC431+AA432</f>
        <v>72.501584399997313</v>
      </c>
      <c r="AD432" s="3">
        <f t="shared" si="121"/>
        <v>2.5583431124687194E-12</v>
      </c>
      <c r="AE432" s="3">
        <f t="shared" si="122"/>
        <v>6.7593539999974412</v>
      </c>
      <c r="AF432" s="329" t="str">
        <f t="shared" si="124"/>
        <v>TRK_236_1</v>
      </c>
      <c r="AG432" s="279" t="s">
        <v>5588</v>
      </c>
      <c r="AH432" t="s">
        <v>5587</v>
      </c>
      <c r="AI432" t="s">
        <v>5586</v>
      </c>
      <c r="AJ432">
        <v>0.22892599999999999</v>
      </c>
      <c r="AK432">
        <v>1.0336110000000001</v>
      </c>
      <c r="AL432">
        <v>0.80468499999999998</v>
      </c>
      <c r="AM432">
        <v>7.0812299999999997</v>
      </c>
      <c r="AN432" s="328">
        <f t="shared" si="125"/>
        <v>6.7593540000000001</v>
      </c>
    </row>
    <row r="433" spans="3:41" ht="13.5" customHeight="1">
      <c r="J433" t="s">
        <v>228</v>
      </c>
      <c r="K433" t="s">
        <v>825</v>
      </c>
      <c r="L433" s="94" t="str" cm="1">
        <f t="array" aca="1" ref="L433" ca="1">MID(met2utc(Q433),3,12)</f>
        <v>26-188/18:08</v>
      </c>
      <c r="M433" s="94" t="str" cm="1">
        <f t="array" aca="1" ref="M433" ca="1">MID(met2utc(R433),3,12)</f>
        <v>26-211/00:47</v>
      </c>
      <c r="N433" t="s">
        <v>5533</v>
      </c>
      <c r="O433" s="326" t="str">
        <f t="shared" si="127"/>
        <v>237/00:31</v>
      </c>
      <c r="P433" s="32" t="str">
        <f t="shared" si="128"/>
        <v>237_1</v>
      </c>
      <c r="Q433" s="58">
        <f>R425-3</f>
        <v>645753612.04125464</v>
      </c>
      <c r="R433" s="21">
        <f>W433/$S$2+Q433</f>
        <v>647678380.91695058</v>
      </c>
      <c r="S433" s="21">
        <f t="shared" si="135"/>
        <v>1924768.8756959438</v>
      </c>
      <c r="T433" s="21">
        <f>S433*$S$2</f>
        <v>973291.20000000729</v>
      </c>
      <c r="U433" s="3">
        <v>0</v>
      </c>
      <c r="V433" s="20">
        <f>T433+U433*$V$34</f>
        <v>973291.20000000729</v>
      </c>
      <c r="W433" s="20">
        <f t="shared" si="136"/>
        <v>973291.20000000007</v>
      </c>
      <c r="X433" s="332">
        <f t="shared" si="134"/>
        <v>-7.2177499532699585E-9</v>
      </c>
      <c r="Y433" s="331"/>
      <c r="Z433" s="330"/>
      <c r="AA433" s="77">
        <f t="shared" si="123"/>
        <v>7.7863296000000002</v>
      </c>
      <c r="AC433" s="129">
        <f>AC425+AE433</f>
        <v>54.282589200000352</v>
      </c>
      <c r="AD433" s="3">
        <f t="shared" si="121"/>
        <v>-5.774199962615967E-14</v>
      </c>
      <c r="AE433" s="3">
        <f t="shared" si="122"/>
        <v>7.7863296000000579</v>
      </c>
      <c r="AF433" s="329" t="str">
        <f t="shared" si="124"/>
        <v>TRK_237_1</v>
      </c>
      <c r="AG433" s="279" t="s">
        <v>5585</v>
      </c>
      <c r="AH433" t="s">
        <v>5584</v>
      </c>
      <c r="AI433" t="s">
        <v>5583</v>
      </c>
      <c r="AJ433">
        <v>0.22267700000000001</v>
      </c>
      <c r="AK433">
        <v>1.149621</v>
      </c>
      <c r="AL433">
        <v>0.92694399999999999</v>
      </c>
      <c r="AM433">
        <v>8.1571119999999997</v>
      </c>
      <c r="AN433" s="328">
        <f t="shared" si="125"/>
        <v>7.7863296000000002</v>
      </c>
    </row>
    <row r="434" spans="3:41" ht="13.5" customHeight="1">
      <c r="J434" t="s">
        <v>228</v>
      </c>
      <c r="K434" t="s">
        <v>825</v>
      </c>
      <c r="L434" s="94" t="str" cm="1">
        <f t="array" aca="1" ref="L434" ca="1">MID(met2utc(Q434),3,12)</f>
        <v>26-211/00:47</v>
      </c>
      <c r="M434" s="94" t="str" cm="1">
        <f t="array" aca="1" ref="M434" ca="1">MID(met2utc(R434),3,12)</f>
        <v>26-218/23:58</v>
      </c>
      <c r="N434" t="s">
        <v>5533</v>
      </c>
      <c r="O434" s="326" t="str">
        <f t="shared" si="127"/>
        <v>237/13:01</v>
      </c>
      <c r="P434" s="32" t="str">
        <f t="shared" si="128"/>
        <v>237_2</v>
      </c>
      <c r="Q434" s="58">
        <f>R433-3</f>
        <v>647678377.91695058</v>
      </c>
      <c r="R434" s="21">
        <f>W434/$S$2+Q434</f>
        <v>648366612.61074555</v>
      </c>
      <c r="S434" s="21">
        <f t="shared" si="135"/>
        <v>688234.69379496574</v>
      </c>
      <c r="T434" s="21">
        <f>S434*$S$2</f>
        <v>348017.25000002369</v>
      </c>
      <c r="U434" s="3">
        <v>0</v>
      </c>
      <c r="V434" s="20">
        <f>T434+U434*$V$34</f>
        <v>348017.25000002369</v>
      </c>
      <c r="W434" s="20">
        <f t="shared" si="136"/>
        <v>348017.25</v>
      </c>
      <c r="X434" s="332">
        <f t="shared" si="134"/>
        <v>-2.3690517991781235E-8</v>
      </c>
      <c r="Y434" s="331"/>
      <c r="Z434" s="330"/>
      <c r="AA434" s="77">
        <f t="shared" si="123"/>
        <v>2.784138</v>
      </c>
      <c r="AC434" s="129">
        <f>AE434+AC433</f>
        <v>57.066727200000543</v>
      </c>
      <c r="AD434" s="3">
        <f t="shared" si="121"/>
        <v>-1.8952414393424989E-13</v>
      </c>
      <c r="AE434" s="3">
        <f t="shared" si="122"/>
        <v>2.7841380000001896</v>
      </c>
      <c r="AF434" s="329" t="str">
        <f t="shared" si="124"/>
        <v>TRK_237_2</v>
      </c>
      <c r="AG434" s="279" t="s">
        <v>5582</v>
      </c>
      <c r="AH434" t="s">
        <v>5581</v>
      </c>
      <c r="AI434" t="s">
        <v>5580</v>
      </c>
      <c r="AJ434">
        <v>0.220665</v>
      </c>
      <c r="AK434">
        <v>0.55210999999999999</v>
      </c>
      <c r="AL434">
        <v>0.33144499999999999</v>
      </c>
      <c r="AM434">
        <v>2.9167139999999998</v>
      </c>
      <c r="AN434" s="328">
        <f t="shared" si="125"/>
        <v>2.784138</v>
      </c>
    </row>
    <row r="435" spans="3:41" ht="13.5" customHeight="1">
      <c r="L435" s="348"/>
      <c r="M435" s="348"/>
      <c r="O435" s="326" t="str">
        <f t="shared" si="127"/>
        <v>237/21:31</v>
      </c>
      <c r="P435" s="32" t="str">
        <f t="shared" si="128"/>
        <v>237_3</v>
      </c>
      <c r="Q435" s="339">
        <v>645953458</v>
      </c>
      <c r="R435" s="286">
        <v>645953885</v>
      </c>
      <c r="S435" s="190"/>
      <c r="T435" s="190">
        <v>2821250</v>
      </c>
      <c r="U435" s="337"/>
      <c r="V435" s="336">
        <f>T435</f>
        <v>2821250</v>
      </c>
      <c r="W435" s="286">
        <f t="shared" si="136"/>
        <v>2821305.9000000004</v>
      </c>
      <c r="X435" s="286">
        <f t="shared" si="134"/>
        <v>55.900000000372529</v>
      </c>
      <c r="Y435" s="331"/>
      <c r="Z435" s="335">
        <f>AA435</f>
        <v>22.570447200000004</v>
      </c>
      <c r="AA435" s="77">
        <f t="shared" si="123"/>
        <v>22.570447200000004</v>
      </c>
      <c r="AB435">
        <f>(Z435/194)*235</f>
        <v>27.340490164948459</v>
      </c>
      <c r="AC435" s="347">
        <f>AC428+AA435</f>
        <v>110.992014</v>
      </c>
      <c r="AD435" s="3">
        <f t="shared" si="121"/>
        <v>4.4720000000298023E-4</v>
      </c>
      <c r="AE435" s="3">
        <f t="shared" si="122"/>
        <v>22.57</v>
      </c>
      <c r="AF435" s="346" t="str">
        <f t="shared" si="124"/>
        <v>TRK_237_3</v>
      </c>
      <c r="AG435" s="279" t="s">
        <v>5579</v>
      </c>
      <c r="AH435" t="s">
        <v>5578</v>
      </c>
      <c r="AI435" t="s">
        <v>5577</v>
      </c>
      <c r="AJ435">
        <v>0.19519500000000001</v>
      </c>
      <c r="AK435">
        <v>2.8821530000000002</v>
      </c>
      <c r="AL435">
        <v>2.6869580000000002</v>
      </c>
      <c r="AM435">
        <v>23.645235</v>
      </c>
      <c r="AN435" s="328">
        <f t="shared" si="125"/>
        <v>22.570447200000004</v>
      </c>
    </row>
    <row r="436" spans="3:41" ht="13.5" customHeight="1">
      <c r="J436" t="s">
        <v>228</v>
      </c>
      <c r="K436" t="s">
        <v>825</v>
      </c>
      <c r="L436" s="94" t="str" cm="1">
        <f t="array" aca="1" ref="L436" ca="1">MID(met2utc(Q436),3,12)</f>
        <v>26-218/23:58</v>
      </c>
      <c r="M436" s="94" t="str" cm="1">
        <f t="array" aca="1" ref="M436" ca="1">MID(met2utc(R436),3,12)</f>
        <v>26-230/18:29</v>
      </c>
      <c r="N436" t="s">
        <v>5533</v>
      </c>
      <c r="O436" s="326" t="str">
        <f t="shared" si="127"/>
        <v>238/12:21</v>
      </c>
      <c r="P436" s="32" t="str">
        <f t="shared" si="128"/>
        <v>238_1</v>
      </c>
      <c r="Q436" s="58">
        <f>R434-3</f>
        <v>648366609.61074555</v>
      </c>
      <c r="R436" s="21">
        <f>W436/$S$2+Q436</f>
        <v>649383686.11997747</v>
      </c>
      <c r="S436" s="21">
        <f t="shared" ref="S436:S441" si="137">R436-Q436</f>
        <v>1017076.509231925</v>
      </c>
      <c r="T436" s="21">
        <f>S436*$S$2</f>
        <v>514301.54999998835</v>
      </c>
      <c r="U436" s="3">
        <v>0</v>
      </c>
      <c r="V436" s="20">
        <f>T436+U436*$V$38</f>
        <v>514301.54999998835</v>
      </c>
      <c r="W436" s="20">
        <f t="shared" si="136"/>
        <v>514301.55</v>
      </c>
      <c r="X436" s="332">
        <f t="shared" si="134"/>
        <v>1.1641532182693481E-8</v>
      </c>
      <c r="Y436" s="331"/>
      <c r="Z436" s="330"/>
      <c r="AA436" s="77">
        <f t="shared" si="123"/>
        <v>4.1144124</v>
      </c>
      <c r="AB436" s="99">
        <f>Z435*0.687</f>
        <v>15.505897226400004</v>
      </c>
      <c r="AC436" s="129">
        <f>AC434+AE436</f>
        <v>61.181139600000449</v>
      </c>
      <c r="AD436" s="3">
        <f t="shared" si="121"/>
        <v>9.3132257461547856E-14</v>
      </c>
      <c r="AE436" s="3">
        <f t="shared" si="122"/>
        <v>4.1144123999999067</v>
      </c>
      <c r="AF436" s="329" t="str">
        <f t="shared" si="124"/>
        <v>TRK_238_1</v>
      </c>
      <c r="AG436" s="279" t="s">
        <v>5576</v>
      </c>
      <c r="AH436" t="s">
        <v>5575</v>
      </c>
      <c r="AI436" t="s">
        <v>5574</v>
      </c>
      <c r="AJ436">
        <v>0.21891099999999999</v>
      </c>
      <c r="AK436">
        <v>0.70872199999999996</v>
      </c>
      <c r="AL436">
        <v>0.489811</v>
      </c>
      <c r="AM436">
        <v>4.3103360000000004</v>
      </c>
      <c r="AN436" s="328">
        <f t="shared" si="125"/>
        <v>4.1144124</v>
      </c>
    </row>
    <row r="437" spans="3:41" ht="13.5" customHeight="1">
      <c r="C437" s="3">
        <v>104</v>
      </c>
      <c r="D437" s="3">
        <v>105</v>
      </c>
      <c r="E437" t="s">
        <v>51</v>
      </c>
      <c r="F437" t="s">
        <v>49</v>
      </c>
      <c r="G437" s="3" t="s">
        <v>50</v>
      </c>
      <c r="H437" t="s">
        <v>53</v>
      </c>
      <c r="I437" t="s">
        <v>54</v>
      </c>
      <c r="L437" s="78" t="str" cm="1">
        <f t="array" aca="1" ref="L437" ca="1">MID(met2utc(Q437),3,12)</f>
        <v>25-231/17:06</v>
      </c>
      <c r="M437" s="78" t="str" cm="1">
        <f t="array" aca="1" ref="M437" ca="1">MID(met2utc(R437),3,12)</f>
        <v>25-234/20:09</v>
      </c>
      <c r="N437" t="s">
        <v>5573</v>
      </c>
      <c r="O437" s="326" t="str">
        <f t="shared" si="127"/>
        <v>239/21:26</v>
      </c>
      <c r="P437" s="32" t="str">
        <f t="shared" si="128"/>
        <v>239_1</v>
      </c>
      <c r="Q437" s="58">
        <f>R432-1</f>
        <v>617929086.23394144</v>
      </c>
      <c r="R437" s="345">
        <f>W437/$V$31+Q437</f>
        <v>618199294.06914234</v>
      </c>
      <c r="S437" s="21">
        <f t="shared" si="137"/>
        <v>270207.8352009058</v>
      </c>
      <c r="T437" s="21">
        <f>S437*$V$31</f>
        <v>1865522.4000002535</v>
      </c>
      <c r="U437" s="3">
        <v>0</v>
      </c>
      <c r="V437" s="20">
        <f>T437+U437*$V$34</f>
        <v>1865522.4000002535</v>
      </c>
      <c r="W437" s="20">
        <f t="shared" si="136"/>
        <v>1865522.4000000001</v>
      </c>
      <c r="X437" s="332">
        <f t="shared" si="134"/>
        <v>-2.5331974029541016E-7</v>
      </c>
      <c r="Y437" s="331"/>
      <c r="Z437" s="330"/>
      <c r="AA437" s="77">
        <f t="shared" si="123"/>
        <v>14.924179200000001</v>
      </c>
      <c r="AC437" s="118">
        <f>AE437+AC432</f>
        <v>87.425763599999343</v>
      </c>
      <c r="AD437" s="3">
        <f t="shared" si="121"/>
        <v>-2.0265579223632812E-12</v>
      </c>
      <c r="AE437" s="3">
        <f t="shared" si="122"/>
        <v>14.924179200002028</v>
      </c>
      <c r="AF437" s="329" t="str">
        <f t="shared" si="124"/>
        <v>TRK_239_1_</v>
      </c>
      <c r="AG437" s="279" t="s">
        <v>5572</v>
      </c>
      <c r="AH437" t="s">
        <v>5571</v>
      </c>
      <c r="AI437" t="s">
        <v>5570</v>
      </c>
      <c r="AJ437">
        <v>0.52125299999999997</v>
      </c>
      <c r="AK437">
        <v>2.2979409999999998</v>
      </c>
      <c r="AL437">
        <v>1.776688</v>
      </c>
      <c r="AM437">
        <v>15.634855</v>
      </c>
      <c r="AN437" s="328">
        <f t="shared" si="125"/>
        <v>14.924179200000001</v>
      </c>
    </row>
    <row r="438" spans="3:41" ht="13.5" customHeight="1">
      <c r="C438" s="3">
        <v>103</v>
      </c>
      <c r="D438" s="3">
        <v>109</v>
      </c>
      <c r="E438" t="s">
        <v>51</v>
      </c>
      <c r="F438" t="s">
        <v>49</v>
      </c>
      <c r="G438" s="3" t="s">
        <v>50</v>
      </c>
      <c r="H438" t="s">
        <v>53</v>
      </c>
      <c r="I438" t="s">
        <v>54</v>
      </c>
      <c r="L438" s="78" t="str" cm="1">
        <f t="array" aca="1" ref="L438" ca="1">MID(met2utc(Q438),3,12)</f>
        <v>26-219/18:07</v>
      </c>
      <c r="M438" s="78" t="str" cm="1">
        <f t="array" aca="1" ref="M438" ca="1">MID(met2utc(R438),3,12)</f>
        <v>26-222/04:44</v>
      </c>
      <c r="N438" t="s">
        <v>5569</v>
      </c>
      <c r="O438" s="326" t="str">
        <f t="shared" si="127"/>
        <v>240/09:21</v>
      </c>
      <c r="P438" s="32" t="str">
        <f t="shared" si="128"/>
        <v>240_1</v>
      </c>
      <c r="Q438" s="58">
        <f>R380-1</f>
        <v>648431948.04522061</v>
      </c>
      <c r="R438" s="21">
        <f>W438/$V$35+Q438</f>
        <v>648642990.40925944</v>
      </c>
      <c r="S438" s="21">
        <f t="shared" si="137"/>
        <v>211042.36403882504</v>
      </c>
      <c r="T438" s="21">
        <f>S438*$V$35</f>
        <v>1112427.7500002065</v>
      </c>
      <c r="U438" s="3">
        <v>0</v>
      </c>
      <c r="V438" s="20">
        <f>T438+U438*$V$34</f>
        <v>1112427.7500002065</v>
      </c>
      <c r="W438" s="20">
        <f t="shared" si="136"/>
        <v>1112427.7500000002</v>
      </c>
      <c r="X438" s="332">
        <f t="shared" si="134"/>
        <v>-2.0628795027732849E-7</v>
      </c>
      <c r="Y438" s="331"/>
      <c r="Z438" s="330"/>
      <c r="AA438" s="77">
        <f t="shared" si="123"/>
        <v>8.8994220000000013</v>
      </c>
      <c r="AC438" s="118">
        <f>AC437+AA438</f>
        <v>96.325185599999344</v>
      </c>
      <c r="AD438" s="3">
        <f t="shared" si="121"/>
        <v>-1.6503036022186279E-12</v>
      </c>
      <c r="AE438" s="3">
        <f t="shared" si="122"/>
        <v>8.8994220000016515</v>
      </c>
      <c r="AF438" s="329" t="str">
        <f t="shared" si="124"/>
        <v>TRK_240_1</v>
      </c>
      <c r="AG438" s="279" t="s">
        <v>5568</v>
      </c>
      <c r="AH438" t="s">
        <v>5567</v>
      </c>
      <c r="AI438" t="s">
        <v>5566</v>
      </c>
      <c r="AJ438">
        <v>0.20555799999999999</v>
      </c>
      <c r="AK438">
        <v>1.2650129999999999</v>
      </c>
      <c r="AL438">
        <v>1.059455</v>
      </c>
      <c r="AM438">
        <v>9.3232040000000005</v>
      </c>
      <c r="AN438" s="328">
        <f t="shared" si="125"/>
        <v>8.8994220000000013</v>
      </c>
    </row>
    <row r="439" spans="3:41" ht="13.5" customHeight="1">
      <c r="C439" s="3">
        <v>103</v>
      </c>
      <c r="D439" s="3">
        <v>109</v>
      </c>
      <c r="E439" t="s">
        <v>51</v>
      </c>
      <c r="F439" t="s">
        <v>49</v>
      </c>
      <c r="G439" s="3" t="s">
        <v>50</v>
      </c>
      <c r="H439" t="s">
        <v>53</v>
      </c>
      <c r="I439" t="s">
        <v>54</v>
      </c>
      <c r="L439" s="78" t="str" cm="1">
        <f t="array" aca="1" ref="L439" ca="1">MID(met2utc(Q439),3,12)</f>
        <v>26-222/04:44</v>
      </c>
      <c r="M439" s="78" t="str" cm="1">
        <f t="array" aca="1" ref="M439" ca="1">MID(met2utc(R439),3,12)</f>
        <v>26-227/19:05</v>
      </c>
      <c r="N439" t="s">
        <v>5559</v>
      </c>
      <c r="O439" s="326" t="str">
        <f t="shared" si="127"/>
        <v>241/02:26</v>
      </c>
      <c r="P439" s="32" t="str">
        <f t="shared" si="128"/>
        <v>241_1</v>
      </c>
      <c r="Q439" s="58">
        <f>R438-1</f>
        <v>648642989.40925944</v>
      </c>
      <c r="R439" s="21">
        <f>W439/$V$35+Q439</f>
        <v>649126649.13417506</v>
      </c>
      <c r="S439" s="21">
        <f t="shared" si="137"/>
        <v>483659.72491562366</v>
      </c>
      <c r="T439" s="21">
        <f>S439*$V$35</f>
        <v>2549424.1499996874</v>
      </c>
      <c r="U439" s="3">
        <v>0</v>
      </c>
      <c r="V439" s="20">
        <f>T439+U439*$V$34</f>
        <v>2549424.1499996874</v>
      </c>
      <c r="W439" s="20">
        <f t="shared" si="136"/>
        <v>2549424.15</v>
      </c>
      <c r="X439" s="332">
        <f t="shared" si="134"/>
        <v>3.1245872378349304E-7</v>
      </c>
      <c r="Y439" s="331"/>
      <c r="Z439" s="330"/>
      <c r="AA439" s="77">
        <f t="shared" si="123"/>
        <v>20.395393200000001</v>
      </c>
      <c r="AC439" s="118">
        <f>AC438+AA439</f>
        <v>116.72057879999934</v>
      </c>
      <c r="AD439" s="3">
        <f t="shared" si="121"/>
        <v>2.4996697902679445E-12</v>
      </c>
      <c r="AE439" s="3">
        <f t="shared" si="122"/>
        <v>20.3953931999975</v>
      </c>
      <c r="AF439" s="329" t="str">
        <f t="shared" si="124"/>
        <v>TRK_241_1</v>
      </c>
      <c r="AG439" s="279" t="s">
        <v>5565</v>
      </c>
      <c r="AH439" t="s">
        <v>5564</v>
      </c>
      <c r="AI439" t="s">
        <v>5563</v>
      </c>
      <c r="AJ439">
        <v>0.224053</v>
      </c>
      <c r="AK439">
        <v>2.6520760000000001</v>
      </c>
      <c r="AL439">
        <v>2.428023</v>
      </c>
      <c r="AM439">
        <v>21.366603999999999</v>
      </c>
      <c r="AN439" s="328">
        <f t="shared" si="125"/>
        <v>20.395393200000001</v>
      </c>
    </row>
    <row r="440" spans="3:41" ht="13.5" customHeight="1">
      <c r="C440" s="3">
        <v>103</v>
      </c>
      <c r="D440" s="3">
        <v>109</v>
      </c>
      <c r="E440" t="s">
        <v>51</v>
      </c>
      <c r="F440" t="s">
        <v>49</v>
      </c>
      <c r="G440" s="3" t="s">
        <v>50</v>
      </c>
      <c r="H440" t="s">
        <v>53</v>
      </c>
      <c r="I440" t="s">
        <v>54</v>
      </c>
      <c r="L440" s="78" t="str" cm="1">
        <f t="array" aca="1" ref="L440" ca="1">MID(met2utc(Q440),3,12)</f>
        <v>26-227/19:05</v>
      </c>
      <c r="M440" s="78" t="str" cm="1">
        <f t="array" aca="1" ref="M440" ca="1">MID(met2utc(R440),3,12)</f>
        <v>26-230/03:37</v>
      </c>
      <c r="N440" t="s">
        <v>5559</v>
      </c>
      <c r="O440" s="326" t="str">
        <f t="shared" si="127"/>
        <v>242/09:01</v>
      </c>
      <c r="P440" s="32" t="str">
        <f t="shared" si="128"/>
        <v>242_1</v>
      </c>
      <c r="Q440" s="58">
        <f>R439-1</f>
        <v>649126648.13417506</v>
      </c>
      <c r="R440" s="21">
        <f>W440/$V$35+Q440</f>
        <v>649330163.56524587</v>
      </c>
      <c r="S440" s="21">
        <f t="shared" si="137"/>
        <v>203515.4310708046</v>
      </c>
      <c r="T440" s="21">
        <f>S440*$V$35</f>
        <v>1072752.4499998854</v>
      </c>
      <c r="U440" s="3">
        <v>0</v>
      </c>
      <c r="V440" s="20">
        <f>T440+U440*$V$34</f>
        <v>1072752.4499998854</v>
      </c>
      <c r="W440" s="20">
        <f t="shared" si="136"/>
        <v>1072752.4500000002</v>
      </c>
      <c r="X440" s="332">
        <f t="shared" si="134"/>
        <v>1.1478550732135773E-7</v>
      </c>
      <c r="Y440" s="331"/>
      <c r="Z440" s="330"/>
      <c r="AA440" s="77">
        <f t="shared" si="123"/>
        <v>8.5820196000000006</v>
      </c>
      <c r="AC440" s="118">
        <f>AC439+AA440</f>
        <v>125.30259839999934</v>
      </c>
      <c r="AD440" s="3">
        <f t="shared" si="121"/>
        <v>9.1828405857086172E-13</v>
      </c>
      <c r="AE440" s="3">
        <f t="shared" si="122"/>
        <v>8.582019599999084</v>
      </c>
      <c r="AF440" s="329" t="str">
        <f t="shared" si="124"/>
        <v>TRK_242_1</v>
      </c>
      <c r="AG440" s="279" t="s">
        <v>5562</v>
      </c>
      <c r="AH440" t="s">
        <v>5561</v>
      </c>
      <c r="AI440" t="s">
        <v>5560</v>
      </c>
      <c r="AJ440">
        <v>0.31891399999999998</v>
      </c>
      <c r="AK440">
        <v>1.3405830000000001</v>
      </c>
      <c r="AL440">
        <v>1.0216689999999999</v>
      </c>
      <c r="AM440">
        <v>8.9906830000000006</v>
      </c>
      <c r="AN440" s="328">
        <f t="shared" si="125"/>
        <v>8.5820196000000006</v>
      </c>
    </row>
    <row r="441" spans="3:41" ht="13.5" customHeight="1">
      <c r="C441" s="3">
        <v>103</v>
      </c>
      <c r="D441" s="3">
        <v>109</v>
      </c>
      <c r="E441" t="s">
        <v>51</v>
      </c>
      <c r="F441" t="s">
        <v>49</v>
      </c>
      <c r="G441" s="3" t="s">
        <v>50</v>
      </c>
      <c r="H441" t="s">
        <v>53</v>
      </c>
      <c r="I441" t="s">
        <v>54</v>
      </c>
      <c r="L441" s="78" t="str" cm="1">
        <f t="array" aca="1" ref="L441" ca="1">MID(met2utc(Q441),3,12)</f>
        <v>26-230/03:37</v>
      </c>
      <c r="M441" s="78" t="str" cm="1">
        <f t="array" aca="1" ref="M441" ca="1">MID(met2utc(R441),3,12)</f>
        <v>26-233/13:54</v>
      </c>
      <c r="N441" t="s">
        <v>5559</v>
      </c>
      <c r="O441" s="326" t="str">
        <f t="shared" si="127"/>
        <v>243/00:10</v>
      </c>
      <c r="P441" s="32" t="str">
        <f t="shared" si="128"/>
        <v>243_1</v>
      </c>
      <c r="Q441" s="58">
        <f>R440-1</f>
        <v>649330162.56524587</v>
      </c>
      <c r="R441" s="21">
        <f>W441/$V$35+Q441</f>
        <v>649626379.62785125</v>
      </c>
      <c r="S441" s="21">
        <f t="shared" si="137"/>
        <v>296217.06260538101</v>
      </c>
      <c r="T441" s="21">
        <f>S441*$V$35</f>
        <v>1561393.0499999195</v>
      </c>
      <c r="U441" s="3">
        <v>0</v>
      </c>
      <c r="V441" s="20">
        <f>T441+U441*$V$34</f>
        <v>1561393.0499999195</v>
      </c>
      <c r="W441" s="20">
        <f t="shared" si="136"/>
        <v>1561393.0500000003</v>
      </c>
      <c r="X441" s="332">
        <f t="shared" si="134"/>
        <v>8.0792233347892761E-8</v>
      </c>
      <c r="Y441" s="331"/>
      <c r="Z441" s="330"/>
      <c r="AA441" s="77">
        <f t="shared" si="123"/>
        <v>12.491144400000001</v>
      </c>
      <c r="AB441">
        <f>SUM(AA431:AA441)</f>
        <v>120.4152516</v>
      </c>
      <c r="AC441" s="118">
        <f>AC440+AA441</f>
        <v>137.79374279999934</v>
      </c>
      <c r="AD441" s="3">
        <f t="shared" si="121"/>
        <v>6.4633786678314205E-13</v>
      </c>
      <c r="AE441" s="3">
        <f t="shared" si="122"/>
        <v>12.491144399999357</v>
      </c>
      <c r="AF441" s="329" t="str">
        <f t="shared" si="124"/>
        <v>TRK_243_1_</v>
      </c>
      <c r="AG441" s="279" t="s">
        <v>5558</v>
      </c>
      <c r="AH441" t="s">
        <v>5557</v>
      </c>
      <c r="AI441" t="s">
        <v>5556</v>
      </c>
      <c r="AJ441">
        <v>0.38433699999999998</v>
      </c>
      <c r="AK441">
        <v>1.871378</v>
      </c>
      <c r="AL441">
        <v>1.4870410000000001</v>
      </c>
      <c r="AM441">
        <v>13.08596</v>
      </c>
      <c r="AN441" s="328">
        <f t="shared" si="125"/>
        <v>12.491144400000001</v>
      </c>
      <c r="AO441">
        <f>SUM(AN431:AN441)</f>
        <v>120.4152516</v>
      </c>
    </row>
    <row r="442" spans="3:41" ht="13.5" customHeight="1">
      <c r="V442" s="20"/>
      <c r="W442" s="20">
        <f t="shared" si="136"/>
        <v>87306.701030927827</v>
      </c>
      <c r="AA442" s="77">
        <f>135.5/194</f>
        <v>0.69845360824742264</v>
      </c>
      <c r="AE442" s="3">
        <f t="shared" si="122"/>
        <v>0</v>
      </c>
      <c r="AN442">
        <f>SUM(AN412:AN441)</f>
        <v>298.93146359999997</v>
      </c>
    </row>
    <row r="448" spans="3:41" ht="13.5" customHeight="1" thickBot="1"/>
    <row r="449" spans="3:42" ht="13.5" customHeight="1">
      <c r="P449" s="9">
        <v>26243</v>
      </c>
      <c r="T449" s="3"/>
      <c r="V449" s="18"/>
      <c r="X449" t="s">
        <v>295</v>
      </c>
    </row>
    <row r="450" spans="3:42" ht="13.5" customHeight="1">
      <c r="P450" s="12" t="s">
        <v>122</v>
      </c>
      <c r="Q450" s="11" t="s">
        <v>5</v>
      </c>
      <c r="R450" s="12" t="s">
        <v>6</v>
      </c>
      <c r="S450" s="12" t="s">
        <v>7</v>
      </c>
      <c r="T450" s="13" t="s">
        <v>8</v>
      </c>
      <c r="U450" s="3" t="s">
        <v>22</v>
      </c>
      <c r="V450" s="13" t="s">
        <v>25</v>
      </c>
      <c r="W450" s="12" t="s">
        <v>26</v>
      </c>
      <c r="X450" s="12" t="s">
        <v>9</v>
      </c>
      <c r="Y450" t="s">
        <v>1134</v>
      </c>
      <c r="AA450" t="s">
        <v>5554</v>
      </c>
    </row>
    <row r="452" spans="3:42" ht="13.5" customHeight="1">
      <c r="J452" t="s">
        <v>228</v>
      </c>
      <c r="K452" t="s">
        <v>825</v>
      </c>
      <c r="L452" s="94" t="str" cm="1">
        <f t="array" aca="1" ref="L452" ca="1">MID(met2utc(Q452),3,12)</f>
        <v>26-230/18:29</v>
      </c>
      <c r="M452" s="94" t="str" cm="1">
        <f t="array" aca="1" ref="M452" ca="1">MID(met2utc(R452),3,12)</f>
        <v>26-233/07:32</v>
      </c>
      <c r="N452" t="s">
        <v>5533</v>
      </c>
      <c r="O452" s="326" t="str">
        <f t="shared" ref="O452:O464" si="138">AG452</f>
        <v>246T02:55</v>
      </c>
      <c r="P452" s="32" t="str">
        <f>MID(AH452,5,5)</f>
        <v>246_1</v>
      </c>
      <c r="Q452" s="58">
        <f>R436-3</f>
        <v>649383683.11997747</v>
      </c>
      <c r="R452" s="21">
        <f>W452/$S$2+Q452</f>
        <v>649603460.5686059</v>
      </c>
      <c r="S452" s="21">
        <f t="shared" ref="S452:S464" si="139">R452-Q452</f>
        <v>219777.4486284256</v>
      </c>
      <c r="T452" s="21">
        <f>S452*$S$2</f>
        <v>111134.10000001024</v>
      </c>
      <c r="U452" s="3">
        <v>0</v>
      </c>
      <c r="V452" s="20">
        <f>T452+U452*$V$38</f>
        <v>111134.10000001024</v>
      </c>
      <c r="W452" s="20">
        <f t="shared" ref="W452:W463" si="140">AA452*1000000/8</f>
        <v>111134.10000000002</v>
      </c>
      <c r="X452" s="332">
        <f t="shared" ref="X452:X464" si="141">W452-V452</f>
        <v>-1.021544449031353E-8</v>
      </c>
      <c r="Y452" s="331"/>
      <c r="Z452" s="330"/>
      <c r="AA452" s="77">
        <f t="shared" ref="AA452:AA463" si="142">AN452</f>
        <v>0.88907280000000011</v>
      </c>
      <c r="AC452" s="129">
        <f>AC444+AE452</f>
        <v>0.88907280000008193</v>
      </c>
      <c r="AD452" s="3">
        <f t="shared" ref="AD452:AD463" si="143">X452*8/1000000</f>
        <v>-8.1723555922508245E-14</v>
      </c>
      <c r="AE452" s="3">
        <f t="shared" ref="AE452:AE463" si="144">V452*8/1000000</f>
        <v>0.88907280000008193</v>
      </c>
      <c r="AF452" s="329" t="str">
        <f t="shared" ref="AF452:AF463" si="145">AH452</f>
        <v>TRK_246_1</v>
      </c>
      <c r="AG452" t="str">
        <f>MID(AP452,6,9)</f>
        <v>246T02:55</v>
      </c>
      <c r="AH452" t="s">
        <v>5553</v>
      </c>
      <c r="AI452" t="s">
        <v>5552</v>
      </c>
      <c r="AJ452">
        <v>2.3385389999999999</v>
      </c>
      <c r="AK452">
        <v>2.4443809999999999</v>
      </c>
      <c r="AL452">
        <v>0.10584200000000001</v>
      </c>
      <c r="AM452">
        <v>0.93141300000000005</v>
      </c>
      <c r="AN452" s="328">
        <f t="shared" ref="AN452:AN463" si="146">AL452*8*1.05</f>
        <v>0.88907280000000011</v>
      </c>
      <c r="AP452" s="327" t="s">
        <v>5551</v>
      </c>
    </row>
    <row r="453" spans="3:42" ht="13.5" customHeight="1">
      <c r="C453" s="3">
        <v>104</v>
      </c>
      <c r="D453" s="3">
        <v>105</v>
      </c>
      <c r="G453" s="3"/>
      <c r="I453" t="s">
        <v>54</v>
      </c>
      <c r="L453" s="78" t="str" cm="1">
        <f t="array" aca="1" ref="L453" ca="1">MID(met2utc(Q453),3,12)</f>
        <v>25-234/20:09</v>
      </c>
      <c r="M453" s="78" t="str" cm="1">
        <f t="array" aca="1" ref="M453" ca="1">MID(met2utc(R453),3,12)</f>
        <v>25-302/03:10</v>
      </c>
      <c r="N453" t="s">
        <v>5512</v>
      </c>
      <c r="O453" s="326" t="str">
        <f t="shared" si="138"/>
        <v>247T00:35</v>
      </c>
      <c r="P453" s="32" t="str">
        <f t="shared" ref="P453:P464" si="147">MID(AH453,5,5)</f>
        <v>247_1</v>
      </c>
      <c r="Q453" s="344">
        <f>$R$437-1</f>
        <v>618199293.06914234</v>
      </c>
      <c r="R453" s="21">
        <f>W453/$V$32+Q453</f>
        <v>624013322.68616366</v>
      </c>
      <c r="S453" s="21">
        <f t="shared" si="139"/>
        <v>5814029.6170213223</v>
      </c>
      <c r="T453" s="21">
        <f>S453*$V$32</f>
        <v>3202258.5000000251</v>
      </c>
      <c r="U453" s="3">
        <v>0</v>
      </c>
      <c r="V453" s="20">
        <f>T453+U453*$V$34</f>
        <v>3202258.5000000251</v>
      </c>
      <c r="W453" s="20">
        <f t="shared" si="140"/>
        <v>3202258.5</v>
      </c>
      <c r="X453" s="332">
        <f t="shared" si="141"/>
        <v>-2.514570951461792E-8</v>
      </c>
      <c r="Y453" s="331"/>
      <c r="Z453" s="330"/>
      <c r="AA453" s="77">
        <f t="shared" si="142"/>
        <v>25.618068000000001</v>
      </c>
      <c r="AC453" s="118">
        <f>AC452+AA453</f>
        <v>26.507140800000084</v>
      </c>
      <c r="AD453" s="3">
        <f t="shared" si="143"/>
        <v>-2.0116567611694335E-13</v>
      </c>
      <c r="AE453" s="3">
        <f t="shared" si="144"/>
        <v>25.6180680000002</v>
      </c>
      <c r="AF453" s="329" t="str">
        <f t="shared" si="145"/>
        <v>TRK_247_1</v>
      </c>
      <c r="AG453" t="str">
        <f>MID(AP453,6,9)</f>
        <v>247T00:35</v>
      </c>
      <c r="AH453" t="s">
        <v>5550</v>
      </c>
      <c r="AI453" t="s">
        <v>5549</v>
      </c>
      <c r="AJ453">
        <v>0.25876399999999999</v>
      </c>
      <c r="AK453">
        <v>3.3085339999999999</v>
      </c>
      <c r="AL453">
        <v>3.0497700000000001</v>
      </c>
      <c r="AM453">
        <v>26.837975</v>
      </c>
      <c r="AN453" s="328">
        <f t="shared" si="146"/>
        <v>25.618068000000001</v>
      </c>
      <c r="AP453" s="327" t="s">
        <v>5548</v>
      </c>
    </row>
    <row r="454" spans="3:42" ht="13.5" customHeight="1">
      <c r="C454" s="3">
        <v>104</v>
      </c>
      <c r="D454" s="3">
        <v>105</v>
      </c>
      <c r="G454" s="3"/>
      <c r="I454" t="s">
        <v>54</v>
      </c>
      <c r="L454" s="78" t="str" cm="1">
        <f t="array" aca="1" ref="L454" ca="1">MID(met2utc(Q454),3,12)</f>
        <v>25-302/03:10</v>
      </c>
      <c r="M454" s="78" t="str" cm="1">
        <f t="array" aca="1" ref="M454" ca="1">MID(met2utc(R454),3,12)</f>
        <v>25-341/10:22</v>
      </c>
      <c r="N454" t="s">
        <v>5512</v>
      </c>
      <c r="O454" s="326" t="str">
        <f t="shared" si="138"/>
        <v>247T20:25</v>
      </c>
      <c r="P454" s="32" t="str">
        <f t="shared" si="147"/>
        <v>247_2</v>
      </c>
      <c r="Q454" s="58">
        <f>R453-1</f>
        <v>624013321.68616366</v>
      </c>
      <c r="R454" s="21">
        <f>W454/$V$32+Q454</f>
        <v>627408864.29041898</v>
      </c>
      <c r="S454" s="21">
        <f t="shared" si="139"/>
        <v>3395542.6042553186</v>
      </c>
      <c r="T454" s="21">
        <f>S454*$V$32</f>
        <v>1870201.1999999997</v>
      </c>
      <c r="U454" s="3">
        <v>0</v>
      </c>
      <c r="V454" s="20">
        <f>T454+U454*$V$34</f>
        <v>1870201.1999999997</v>
      </c>
      <c r="W454" s="20">
        <f t="shared" si="140"/>
        <v>1870201.2000000002</v>
      </c>
      <c r="X454" s="332">
        <f t="shared" si="141"/>
        <v>0</v>
      </c>
      <c r="Y454" s="331"/>
      <c r="Z454" s="330"/>
      <c r="AA454" s="77">
        <f t="shared" si="142"/>
        <v>14.961609600000001</v>
      </c>
      <c r="AC454" s="118">
        <f>AC453+AE454</f>
        <v>41.468750400000083</v>
      </c>
      <c r="AD454" s="3">
        <f t="shared" si="143"/>
        <v>0</v>
      </c>
      <c r="AE454" s="3">
        <f t="shared" si="144"/>
        <v>14.961609599999997</v>
      </c>
      <c r="AF454" s="329" t="str">
        <f t="shared" si="145"/>
        <v>TRK_247_2_</v>
      </c>
      <c r="AG454" t="str">
        <f>MID(AP454,6,9)</f>
        <v>247T20:25</v>
      </c>
      <c r="AH454" t="s">
        <v>5547</v>
      </c>
      <c r="AI454" t="s">
        <v>5546</v>
      </c>
      <c r="AJ454">
        <v>0.38963700000000001</v>
      </c>
      <c r="AK454">
        <v>2.1707809999999998</v>
      </c>
      <c r="AL454">
        <v>1.7811440000000001</v>
      </c>
      <c r="AM454">
        <v>15.674068999999999</v>
      </c>
      <c r="AN454" s="328">
        <f t="shared" si="146"/>
        <v>14.961609600000001</v>
      </c>
      <c r="AP454" s="327" t="s">
        <v>5545</v>
      </c>
    </row>
    <row r="455" spans="3:42" ht="13.5" customHeight="1">
      <c r="C455" s="3">
        <v>104</v>
      </c>
      <c r="D455" s="3">
        <v>105</v>
      </c>
      <c r="G455" s="3"/>
      <c r="I455" t="s">
        <v>54</v>
      </c>
      <c r="L455" s="78" t="str" cm="1">
        <f t="array" aca="1" ref="L455" ca="1">MID(met2utc(Q455),3,12)</f>
        <v>25-341/10:22</v>
      </c>
      <c r="M455" s="78" t="str" cm="1">
        <f t="array" aca="1" ref="M455" ca="1">MID(met2utc(R455),3,12)</f>
        <v>25-363/22:37</v>
      </c>
      <c r="N455" t="s">
        <v>5512</v>
      </c>
      <c r="O455" s="326" t="str">
        <f t="shared" si="138"/>
        <v>248T09:30</v>
      </c>
      <c r="P455" s="32" t="str">
        <f t="shared" si="147"/>
        <v>248_1</v>
      </c>
      <c r="Q455" s="58">
        <f>R454-1</f>
        <v>627408863.29041898</v>
      </c>
      <c r="R455" s="21">
        <f>W455/$V$32+Q455</f>
        <v>629353764.73722744</v>
      </c>
      <c r="S455" s="21">
        <f t="shared" si="139"/>
        <v>1944901.4468084574</v>
      </c>
      <c r="T455" s="21">
        <f>S455*$V$32</f>
        <v>1071215.2499999707</v>
      </c>
      <c r="U455" s="3">
        <v>0</v>
      </c>
      <c r="V455" s="20">
        <f>T455+U455*$V$34</f>
        <v>1071215.2499999707</v>
      </c>
      <c r="W455" s="20">
        <f t="shared" si="140"/>
        <v>1071215.25</v>
      </c>
      <c r="X455" s="332">
        <f t="shared" si="141"/>
        <v>2.9336661100387573E-8</v>
      </c>
      <c r="Y455" s="331"/>
      <c r="Z455" s="330"/>
      <c r="AA455" s="77">
        <f t="shared" si="142"/>
        <v>8.5697220000000005</v>
      </c>
      <c r="AC455" s="118">
        <f>AC454+AE455</f>
        <v>50.038472399999847</v>
      </c>
      <c r="AD455" s="3">
        <f t="shared" si="143"/>
        <v>2.3469328880310059E-13</v>
      </c>
      <c r="AE455" s="3">
        <f t="shared" si="144"/>
        <v>8.569721999999766</v>
      </c>
      <c r="AF455" s="329" t="str">
        <f t="shared" si="145"/>
        <v>TRK_248_1</v>
      </c>
      <c r="AG455" t="str">
        <f>MID(AP455,6,9)</f>
        <v>248T09:30</v>
      </c>
      <c r="AH455" t="s">
        <v>5544</v>
      </c>
      <c r="AI455" t="s">
        <v>5543</v>
      </c>
      <c r="AJ455">
        <v>0.21471999999999999</v>
      </c>
      <c r="AK455">
        <v>1.2349250000000001</v>
      </c>
      <c r="AL455">
        <v>1.020205</v>
      </c>
      <c r="AM455">
        <v>8.9778009999999995</v>
      </c>
      <c r="AN455" s="328">
        <f t="shared" si="146"/>
        <v>8.5697220000000005</v>
      </c>
      <c r="AP455" s="327" t="s">
        <v>5542</v>
      </c>
    </row>
    <row r="456" spans="3:42" ht="13.5" customHeight="1">
      <c r="C456" s="3">
        <v>104</v>
      </c>
      <c r="D456" s="3">
        <v>105</v>
      </c>
      <c r="G456" s="3"/>
      <c r="I456" t="s">
        <v>54</v>
      </c>
      <c r="L456" s="78" t="str" cm="1">
        <f t="array" aca="1" ref="L456" ca="1">MID(met2utc(Q456),3,12)</f>
        <v>25-363/22:37</v>
      </c>
      <c r="M456" s="78" t="str" cm="1">
        <f t="array" aca="1" ref="M456" ca="1">MID(met2utc(R456),3,12)</f>
        <v>26-022/14:54</v>
      </c>
      <c r="N456" t="s">
        <v>5512</v>
      </c>
      <c r="O456" s="326" t="str">
        <f t="shared" si="138"/>
        <v>248/23:59</v>
      </c>
      <c r="P456" s="32" t="str">
        <f t="shared" si="147"/>
        <v>248_2</v>
      </c>
      <c r="Q456" s="58">
        <f>R455-1</f>
        <v>629353763.73722744</v>
      </c>
      <c r="R456" s="21">
        <f>W456/$V$32+Q456</f>
        <v>631399587.19254661</v>
      </c>
      <c r="S456" s="21">
        <f t="shared" si="139"/>
        <v>2045823.4553191662</v>
      </c>
      <c r="T456" s="21">
        <f>S456*$V$32</f>
        <v>1126801.2000000095</v>
      </c>
      <c r="U456" s="3">
        <v>0</v>
      </c>
      <c r="V456" s="20">
        <f>T456+U456*$V$34</f>
        <v>1126801.2000000095</v>
      </c>
      <c r="W456" s="20">
        <f t="shared" si="140"/>
        <v>1126801.2</v>
      </c>
      <c r="X456" s="332">
        <f t="shared" si="141"/>
        <v>-9.5460563898086548E-9</v>
      </c>
      <c r="Y456" s="331"/>
      <c r="Z456" s="330"/>
      <c r="AA456" s="77">
        <f t="shared" si="142"/>
        <v>9.0144096000000005</v>
      </c>
      <c r="AC456" s="118">
        <f>AC455+AE456</f>
        <v>59.052881999999926</v>
      </c>
      <c r="AD456" s="3">
        <f t="shared" si="143"/>
        <v>-7.6368451118469239E-14</v>
      </c>
      <c r="AE456" s="3">
        <f t="shared" si="144"/>
        <v>9.0144096000000768</v>
      </c>
      <c r="AF456" s="329" t="str">
        <f t="shared" si="145"/>
        <v>TRK_248_2</v>
      </c>
      <c r="AG456" t="s">
        <v>5541</v>
      </c>
      <c r="AH456" t="s">
        <v>5540</v>
      </c>
      <c r="AI456" t="s">
        <v>5539</v>
      </c>
      <c r="AJ456">
        <v>0.21366599999999999</v>
      </c>
      <c r="AK456">
        <v>1.28681</v>
      </c>
      <c r="AL456">
        <v>1.0731440000000001</v>
      </c>
      <c r="AM456">
        <v>9.4436699999999991</v>
      </c>
      <c r="AN456" s="328">
        <f t="shared" si="146"/>
        <v>9.0144096000000005</v>
      </c>
      <c r="AP456" s="327" t="s">
        <v>5538</v>
      </c>
    </row>
    <row r="457" spans="3:42" ht="13.5" customHeight="1">
      <c r="C457" s="3">
        <v>104</v>
      </c>
      <c r="D457" s="3">
        <v>105</v>
      </c>
      <c r="G457" s="3"/>
      <c r="I457" t="s">
        <v>54</v>
      </c>
      <c r="L457" s="78" t="str" cm="1">
        <f t="array" aca="1" ref="L457" ca="1">MID(met2utc(Q457),3,12)</f>
        <v>26-022/14:54</v>
      </c>
      <c r="M457" s="78" t="str" cm="1">
        <f t="array" aca="1" ref="M457" ca="1">MID(met2utc(R457),3,12)</f>
        <v>26-042/23:40</v>
      </c>
      <c r="N457" t="s">
        <v>5512</v>
      </c>
      <c r="O457" s="326" t="str">
        <f t="shared" si="138"/>
        <v>250/02:19</v>
      </c>
      <c r="P457" s="32" t="str">
        <f t="shared" si="147"/>
        <v>250_1</v>
      </c>
      <c r="Q457" s="58">
        <f>R456-1</f>
        <v>631399586.19254661</v>
      </c>
      <c r="R457" s="21">
        <f>W457/$V$32+Q457</f>
        <v>633159122.39680195</v>
      </c>
      <c r="S457" s="21">
        <f t="shared" si="139"/>
        <v>1759536.2042553425</v>
      </c>
      <c r="T457" s="21">
        <f>S457*$V$32</f>
        <v>969119.55000001285</v>
      </c>
      <c r="U457" s="3">
        <v>0</v>
      </c>
      <c r="V457" s="20">
        <f>T457+U457*$V$34</f>
        <v>969119.55000001285</v>
      </c>
      <c r="W457" s="20">
        <f t="shared" si="140"/>
        <v>969119.55</v>
      </c>
      <c r="X457" s="332">
        <f t="shared" si="141"/>
        <v>-1.280568540096283E-8</v>
      </c>
      <c r="Y457" s="331"/>
      <c r="Z457" s="330"/>
      <c r="AA457" s="77">
        <f t="shared" si="142"/>
        <v>7.7529564000000004</v>
      </c>
      <c r="AC457" s="118">
        <f>AC456+AE457</f>
        <v>66.805838400000027</v>
      </c>
      <c r="AD457" s="3">
        <f t="shared" si="143"/>
        <v>-1.0244548320770264E-13</v>
      </c>
      <c r="AE457" s="3">
        <f t="shared" si="144"/>
        <v>7.7529564000001026</v>
      </c>
      <c r="AF457" s="329" t="str">
        <f t="shared" si="145"/>
        <v>TRK_250_1</v>
      </c>
      <c r="AG457" t="s">
        <v>5537</v>
      </c>
      <c r="AH457" t="s">
        <v>5536</v>
      </c>
      <c r="AI457" t="s">
        <v>5535</v>
      </c>
      <c r="AJ457">
        <v>0.32174000000000003</v>
      </c>
      <c r="AK457">
        <v>1.2447109999999999</v>
      </c>
      <c r="AL457">
        <v>0.92297099999999999</v>
      </c>
      <c r="AM457">
        <v>8.1221420000000002</v>
      </c>
      <c r="AN457" s="328">
        <f t="shared" si="146"/>
        <v>7.7529564000000004</v>
      </c>
      <c r="AP457" s="327" t="s">
        <v>5534</v>
      </c>
    </row>
    <row r="458" spans="3:42" ht="13.5" customHeight="1">
      <c r="J458" t="s">
        <v>228</v>
      </c>
      <c r="K458" t="s">
        <v>825</v>
      </c>
      <c r="L458" s="94" t="str" cm="1">
        <f t="array" aca="1" ref="L458" ca="1">MID(met2utc(Q458),3,12)</f>
        <v>26-233/07:32</v>
      </c>
      <c r="M458" s="94" t="str" cm="1">
        <f t="array" aca="1" ref="M458" ca="1">MID(met2utc(R458),3,12)</f>
        <v>26-248/00:38</v>
      </c>
      <c r="N458" t="s">
        <v>5533</v>
      </c>
      <c r="O458" s="326" t="str">
        <f t="shared" si="138"/>
        <v>250/11:04</v>
      </c>
      <c r="P458" s="32" t="str">
        <f t="shared" si="147"/>
        <v>250_2</v>
      </c>
      <c r="Q458" s="58">
        <f>R452-3</f>
        <v>649603457.5686059</v>
      </c>
      <c r="R458" s="21">
        <f>W458/$S$2+Q458</f>
        <v>650874596.07753575</v>
      </c>
      <c r="S458" s="21">
        <f t="shared" si="139"/>
        <v>1271138.5089298487</v>
      </c>
      <c r="T458" s="21">
        <f>S458*$S$2</f>
        <v>642772.19999997097</v>
      </c>
      <c r="U458" s="3">
        <v>0</v>
      </c>
      <c r="V458" s="20">
        <f>T458+U458*$V$38</f>
        <v>642772.19999997097</v>
      </c>
      <c r="W458" s="20">
        <f t="shared" si="140"/>
        <v>642772.20000000007</v>
      </c>
      <c r="X458" s="332">
        <f t="shared" si="141"/>
        <v>2.9103830456733704E-8</v>
      </c>
      <c r="Y458" s="331"/>
      <c r="Z458" s="330"/>
      <c r="AA458" s="77">
        <f t="shared" si="142"/>
        <v>5.1421776000000001</v>
      </c>
      <c r="AC458" s="129">
        <f>AC450+AE458</f>
        <v>5.1421775999997674</v>
      </c>
      <c r="AD458" s="3">
        <f t="shared" si="143"/>
        <v>2.3283064365386963E-13</v>
      </c>
      <c r="AE458" s="3">
        <f t="shared" si="144"/>
        <v>5.1421775999997674</v>
      </c>
      <c r="AF458" s="329" t="str">
        <f t="shared" si="145"/>
        <v>TRK_250_2</v>
      </c>
      <c r="AG458" t="s">
        <v>5532</v>
      </c>
      <c r="AH458" t="s">
        <v>5531</v>
      </c>
      <c r="AI458" t="s">
        <v>5530</v>
      </c>
      <c r="AJ458">
        <v>0.19039600000000001</v>
      </c>
      <c r="AK458">
        <v>0.80256000000000005</v>
      </c>
      <c r="AL458">
        <v>0.61216400000000004</v>
      </c>
      <c r="AM458">
        <v>5.387041</v>
      </c>
      <c r="AN458" s="328">
        <f t="shared" si="146"/>
        <v>5.1421776000000001</v>
      </c>
      <c r="AP458" s="327" t="s">
        <v>5529</v>
      </c>
    </row>
    <row r="459" spans="3:42" ht="15.75">
      <c r="C459" s="3">
        <v>104</v>
      </c>
      <c r="D459" s="3">
        <v>105</v>
      </c>
      <c r="G459" s="3"/>
      <c r="I459" t="s">
        <v>54</v>
      </c>
      <c r="L459" s="78" t="str" cm="1">
        <f t="array" aca="1" ref="L459" ca="1">MID(met2utc(Q459),3,12)</f>
        <v>26-042/23:40</v>
      </c>
      <c r="M459" s="78" t="str" cm="1">
        <f t="array" aca="1" ref="M459" ca="1">MID(met2utc(R459),3,12)</f>
        <v>26-086/15:51</v>
      </c>
      <c r="N459" t="s">
        <v>5512</v>
      </c>
      <c r="O459" s="326" t="str">
        <f t="shared" si="138"/>
        <v>250/21:44</v>
      </c>
      <c r="P459" s="32" t="str">
        <f t="shared" si="147"/>
        <v>250_3</v>
      </c>
      <c r="Q459" s="58">
        <f>R457-1</f>
        <v>633159121.39680195</v>
      </c>
      <c r="R459" s="21">
        <f>W459/$V$32+Q459</f>
        <v>636932585.36275935</v>
      </c>
      <c r="S459" s="21">
        <f t="shared" si="139"/>
        <v>3773463.9659574032</v>
      </c>
      <c r="T459" s="21">
        <f>S459*$V$32</f>
        <v>2078353.199999976</v>
      </c>
      <c r="U459" s="3">
        <v>0</v>
      </c>
      <c r="V459" s="20">
        <f t="shared" ref="V459:V464" si="148">T459+U459*$V$34</f>
        <v>2078353.199999976</v>
      </c>
      <c r="W459" s="20">
        <f t="shared" si="140"/>
        <v>2078353.2</v>
      </c>
      <c r="X459" s="332">
        <f t="shared" si="141"/>
        <v>2.3981556296348572E-8</v>
      </c>
      <c r="Y459" s="331"/>
      <c r="Z459" s="330"/>
      <c r="AA459" s="77">
        <f t="shared" si="142"/>
        <v>16.6268256</v>
      </c>
      <c r="AC459" s="118">
        <f>AC457+AE459</f>
        <v>83.432663999999832</v>
      </c>
      <c r="AD459" s="3">
        <f t="shared" si="143"/>
        <v>1.9185245037078857E-13</v>
      </c>
      <c r="AE459" s="3">
        <f t="shared" si="144"/>
        <v>16.626825599999808</v>
      </c>
      <c r="AF459" s="329" t="str">
        <f t="shared" si="145"/>
        <v>TRK_250_3</v>
      </c>
      <c r="AG459" t="s">
        <v>5528</v>
      </c>
      <c r="AH459" t="s">
        <v>5527</v>
      </c>
      <c r="AI459" t="s">
        <v>5526</v>
      </c>
      <c r="AJ459">
        <v>0.20722699999999999</v>
      </c>
      <c r="AK459">
        <v>2.1866110000000001</v>
      </c>
      <c r="AL459">
        <v>1.979384</v>
      </c>
      <c r="AM459">
        <v>17.418583000000002</v>
      </c>
      <c r="AN459" s="328">
        <f t="shared" si="146"/>
        <v>16.6268256</v>
      </c>
      <c r="AP459" s="327" t="s">
        <v>5525</v>
      </c>
    </row>
    <row r="460" spans="3:42" ht="13.5" customHeight="1">
      <c r="C460" s="3">
        <v>104</v>
      </c>
      <c r="D460" s="3">
        <v>105</v>
      </c>
      <c r="G460" s="3"/>
      <c r="I460" t="s">
        <v>54</v>
      </c>
      <c r="L460" s="78" t="str" cm="1">
        <f t="array" aca="1" ref="L460" ca="1">MID(met2utc(Q460),3,12)</f>
        <v>26-086/15:51</v>
      </c>
      <c r="M460" s="78" t="str" cm="1">
        <f t="array" aca="1" ref="M460" ca="1">MID(met2utc(R460),3,12)</f>
        <v>26-127/01:44</v>
      </c>
      <c r="N460" t="s">
        <v>5512</v>
      </c>
      <c r="O460" s="326" t="str">
        <f t="shared" si="138"/>
        <v>251/20:34</v>
      </c>
      <c r="P460" s="32" t="str">
        <f t="shared" si="147"/>
        <v>251_1</v>
      </c>
      <c r="Q460" s="58">
        <f>R459-1</f>
        <v>636932584.36275935</v>
      </c>
      <c r="R460" s="21">
        <f>W460/$V$32+Q460</f>
        <v>640424208.66914237</v>
      </c>
      <c r="S460" s="21">
        <f t="shared" si="139"/>
        <v>3491624.3063830137</v>
      </c>
      <c r="T460" s="21">
        <f>S460*$V$32</f>
        <v>1923121.2000000193</v>
      </c>
      <c r="U460" s="3">
        <v>0</v>
      </c>
      <c r="V460" s="20">
        <f t="shared" si="148"/>
        <v>1923121.2000000193</v>
      </c>
      <c r="W460" s="20">
        <f t="shared" si="140"/>
        <v>1923121.2000000002</v>
      </c>
      <c r="X460" s="332">
        <f t="shared" si="141"/>
        <v>-1.909211277961731E-8</v>
      </c>
      <c r="Y460" s="331"/>
      <c r="Z460" s="330"/>
      <c r="AA460" s="77">
        <f t="shared" si="142"/>
        <v>15.384969600000002</v>
      </c>
      <c r="AC460" s="118">
        <f>AC459+AE460</f>
        <v>98.817633599999994</v>
      </c>
      <c r="AD460" s="3">
        <f t="shared" si="143"/>
        <v>-1.5273690223693848E-13</v>
      </c>
      <c r="AE460" s="3">
        <f t="shared" si="144"/>
        <v>15.384969600000154</v>
      </c>
      <c r="AF460" s="329" t="str">
        <f t="shared" si="145"/>
        <v>TRK_251_1_</v>
      </c>
      <c r="AG460" t="s">
        <v>5524</v>
      </c>
      <c r="AH460" t="s">
        <v>5523</v>
      </c>
      <c r="AI460" t="s">
        <v>5522</v>
      </c>
      <c r="AJ460">
        <v>0.43609599999999998</v>
      </c>
      <c r="AK460">
        <v>2.2676400000000001</v>
      </c>
      <c r="AL460">
        <v>1.8315440000000001</v>
      </c>
      <c r="AM460">
        <v>16.117588000000001</v>
      </c>
      <c r="AN460" s="328">
        <f t="shared" si="146"/>
        <v>15.384969600000002</v>
      </c>
      <c r="AP460" s="327" t="s">
        <v>5521</v>
      </c>
    </row>
    <row r="461" spans="3:42" ht="13.5" customHeight="1">
      <c r="C461" s="3">
        <v>104</v>
      </c>
      <c r="D461" s="3">
        <v>105</v>
      </c>
      <c r="G461" s="3"/>
      <c r="I461" t="s">
        <v>54</v>
      </c>
      <c r="L461" s="78" t="str" cm="1">
        <f t="array" aca="1" ref="L461" ca="1">MID(met2utc(Q461),3,12)</f>
        <v>26-127/01:44</v>
      </c>
      <c r="M461" s="78" t="str" cm="1">
        <f t="array" aca="1" ref="M461" ca="1">MID(met2utc(R461),3,12)</f>
        <v>26-146/12:29</v>
      </c>
      <c r="N461" t="s">
        <v>5512</v>
      </c>
      <c r="O461" s="326" t="str">
        <f t="shared" si="138"/>
        <v>252/09:54</v>
      </c>
      <c r="P461" s="32" t="str">
        <f t="shared" si="147"/>
        <v>252_1</v>
      </c>
      <c r="Q461" s="58">
        <f>R460-1</f>
        <v>640424207.66914237</v>
      </c>
      <c r="R461" s="21">
        <f>W461/$V$32+Q461</f>
        <v>642104455.49892962</v>
      </c>
      <c r="S461" s="21">
        <f t="shared" si="139"/>
        <v>1680247.8297872543</v>
      </c>
      <c r="T461" s="21">
        <f>S461*$V$32</f>
        <v>925449.00000001118</v>
      </c>
      <c r="U461" s="3">
        <v>0</v>
      </c>
      <c r="V461" s="20">
        <f t="shared" si="148"/>
        <v>925449.00000001118</v>
      </c>
      <c r="W461" s="20">
        <f t="shared" si="140"/>
        <v>925449.00000000012</v>
      </c>
      <c r="X461" s="332">
        <f t="shared" si="141"/>
        <v>-1.1059455573558807E-8</v>
      </c>
      <c r="Y461" s="331"/>
      <c r="Z461" s="330"/>
      <c r="AA461" s="77">
        <f t="shared" si="142"/>
        <v>7.4035920000000006</v>
      </c>
      <c r="AC461" s="118">
        <f>AC460+AE461</f>
        <v>106.22122560000008</v>
      </c>
      <c r="AD461" s="3">
        <f t="shared" si="143"/>
        <v>-8.8475644588470464E-14</v>
      </c>
      <c r="AE461" s="3">
        <f t="shared" si="144"/>
        <v>7.4035920000000894</v>
      </c>
      <c r="AF461" s="329" t="str">
        <f t="shared" si="145"/>
        <v>TRK_252_1</v>
      </c>
      <c r="AG461" t="s">
        <v>5520</v>
      </c>
      <c r="AH461" t="s">
        <v>5519</v>
      </c>
      <c r="AI461" t="s">
        <v>5518</v>
      </c>
      <c r="AJ461">
        <v>0.21474299999999999</v>
      </c>
      <c r="AK461">
        <v>1.096123</v>
      </c>
      <c r="AL461">
        <v>0.88138000000000005</v>
      </c>
      <c r="AM461">
        <v>7.7561460000000002</v>
      </c>
      <c r="AN461" s="328">
        <f t="shared" si="146"/>
        <v>7.4035920000000006</v>
      </c>
      <c r="AP461" s="327" t="s">
        <v>5517</v>
      </c>
    </row>
    <row r="462" spans="3:42" ht="13.5" customHeight="1">
      <c r="C462" s="3">
        <v>104</v>
      </c>
      <c r="D462" s="3">
        <v>105</v>
      </c>
      <c r="G462" s="3"/>
      <c r="I462" t="s">
        <v>54</v>
      </c>
      <c r="L462" s="78" t="str" cm="1">
        <f t="array" aca="1" ref="L462" ca="1">MID(met2utc(Q462),3,12)</f>
        <v>26-146/12:28</v>
      </c>
      <c r="M462" s="78" t="str" cm="1">
        <f t="array" aca="1" ref="M462" ca="1">MID(met2utc(R462),3,12)</f>
        <v>26-168/23:24</v>
      </c>
      <c r="N462" t="s">
        <v>5512</v>
      </c>
      <c r="O462" s="326" t="str">
        <f t="shared" si="138"/>
        <v>253/00:44</v>
      </c>
      <c r="P462" s="32" t="str">
        <f t="shared" si="147"/>
        <v>253_1</v>
      </c>
      <c r="Q462" s="58">
        <f>R461-1</f>
        <v>642104454.49892962</v>
      </c>
      <c r="R462" s="21">
        <f>W462/$V$32+Q462</f>
        <v>644044582.36275935</v>
      </c>
      <c r="S462" s="21">
        <f t="shared" si="139"/>
        <v>1940127.8638297319</v>
      </c>
      <c r="T462" s="21">
        <f>S462*$V$32</f>
        <v>1068586.0499999695</v>
      </c>
      <c r="U462" s="3">
        <v>0</v>
      </c>
      <c r="V462" s="20">
        <f t="shared" si="148"/>
        <v>1068586.0499999695</v>
      </c>
      <c r="W462" s="20">
        <f t="shared" si="140"/>
        <v>1068586.05</v>
      </c>
      <c r="X462" s="332">
        <f t="shared" si="141"/>
        <v>3.0500814318656921E-8</v>
      </c>
      <c r="Y462" s="331"/>
      <c r="Z462" s="330"/>
      <c r="AA462" s="77">
        <f t="shared" si="142"/>
        <v>8.5486883999999996</v>
      </c>
      <c r="AC462" s="118">
        <f>AC461+AE462</f>
        <v>114.76991399999984</v>
      </c>
      <c r="AD462" s="3">
        <f t="shared" si="143"/>
        <v>2.440065145492554E-13</v>
      </c>
      <c r="AE462" s="3">
        <f t="shared" si="144"/>
        <v>8.5486883999997563</v>
      </c>
      <c r="AF462" s="329" t="str">
        <f t="shared" si="145"/>
        <v>TRK_253_1</v>
      </c>
      <c r="AG462" t="s">
        <v>5516</v>
      </c>
      <c r="AH462" t="s">
        <v>5515</v>
      </c>
      <c r="AI462" t="s">
        <v>5514</v>
      </c>
      <c r="AJ462">
        <v>0.21449499999999999</v>
      </c>
      <c r="AK462">
        <v>1.2321960000000001</v>
      </c>
      <c r="AL462">
        <v>1.017701</v>
      </c>
      <c r="AM462">
        <v>8.9557699999999993</v>
      </c>
      <c r="AN462" s="328">
        <f t="shared" si="146"/>
        <v>8.5486883999999996</v>
      </c>
      <c r="AP462" s="327" t="s">
        <v>5513</v>
      </c>
    </row>
    <row r="463" spans="3:42" ht="13.5" customHeight="1">
      <c r="C463" s="3">
        <v>104</v>
      </c>
      <c r="D463" s="3">
        <v>105</v>
      </c>
      <c r="G463" s="3"/>
      <c r="I463" t="s">
        <v>54</v>
      </c>
      <c r="L463" s="78" t="str" cm="1">
        <f t="array" aca="1" ref="L463" ca="1">MID(met2utc(Q463),3,12)</f>
        <v>26-168/23:24</v>
      </c>
      <c r="M463" s="78" t="str" cm="1">
        <f t="array" aca="1" ref="M463" ca="1">MID(met2utc(R463),3,12)</f>
        <v>26-170/15:09</v>
      </c>
      <c r="N463" t="s">
        <v>5512</v>
      </c>
      <c r="O463" s="326" t="str">
        <f t="shared" si="138"/>
        <v>253/11:14</v>
      </c>
      <c r="P463" s="32" t="str">
        <f t="shared" si="147"/>
        <v>253_2</v>
      </c>
      <c r="Q463" s="58">
        <f>R462-1</f>
        <v>644044581.36275935</v>
      </c>
      <c r="R463" s="176">
        <f>$Q$281+1</f>
        <v>644187672.24185646</v>
      </c>
      <c r="S463" s="21">
        <f t="shared" si="139"/>
        <v>143090.87909710407</v>
      </c>
      <c r="T463" s="21">
        <f>S463*$V$32</f>
        <v>78811.773252701852</v>
      </c>
      <c r="U463" s="3">
        <v>0</v>
      </c>
      <c r="V463" s="20">
        <f t="shared" si="148"/>
        <v>78811.773252701852</v>
      </c>
      <c r="W463" s="20">
        <f t="shared" si="140"/>
        <v>528262.35</v>
      </c>
      <c r="X463" s="332">
        <f t="shared" si="141"/>
        <v>449450.57674729812</v>
      </c>
      <c r="Y463" s="331"/>
      <c r="Z463" s="330"/>
      <c r="AA463" s="77">
        <f t="shared" si="142"/>
        <v>4.2260987999999999</v>
      </c>
      <c r="AC463" s="118">
        <f>AC462+AE463</f>
        <v>115.40040818602147</v>
      </c>
      <c r="AD463" s="3">
        <f t="shared" si="143"/>
        <v>3.5956046139783848</v>
      </c>
      <c r="AE463" s="3">
        <f t="shared" si="144"/>
        <v>0.63049418602161478</v>
      </c>
      <c r="AF463" s="329" t="str">
        <f t="shared" si="145"/>
        <v>TRK_253_2</v>
      </c>
      <c r="AG463" t="s">
        <v>5511</v>
      </c>
      <c r="AH463" t="s">
        <v>5510</v>
      </c>
      <c r="AI463" t="s">
        <v>5509</v>
      </c>
      <c r="AJ463">
        <v>0.205984</v>
      </c>
      <c r="AK463">
        <v>0.70909100000000003</v>
      </c>
      <c r="AL463">
        <v>0.50310699999999997</v>
      </c>
      <c r="AM463">
        <v>4.4273449999999999</v>
      </c>
      <c r="AN463" s="328">
        <f t="shared" si="146"/>
        <v>4.2260987999999999</v>
      </c>
      <c r="AP463" s="327" t="s">
        <v>5508</v>
      </c>
    </row>
    <row r="464" spans="3:42" ht="13.5" customHeight="1">
      <c r="C464" s="3">
        <v>104</v>
      </c>
      <c r="D464" s="3">
        <v>105</v>
      </c>
      <c r="G464" s="3" t="s">
        <v>50</v>
      </c>
      <c r="L464" s="78" t="str" cm="1">
        <f t="array" aca="1" ref="L464" ca="1">MID(met2utc(Q464),3,12)</f>
        <v>25-288/14:53</v>
      </c>
      <c r="M464" s="78" t="str" cm="1">
        <f t="array" aca="1" ref="M464" ca="1">MID(met2utc(R464),3,12)</f>
        <v>25-291/10:24</v>
      </c>
      <c r="N464" s="343" t="s">
        <v>5507</v>
      </c>
      <c r="O464" s="326">
        <f t="shared" si="138"/>
        <v>0</v>
      </c>
      <c r="P464" s="32" t="str">
        <f t="shared" si="147"/>
        <v/>
      </c>
      <c r="Q464" s="58">
        <f>R479-1</f>
        <v>622845950.93747675</v>
      </c>
      <c r="R464" s="21">
        <f>W464/$V$33+Q464</f>
        <v>623088976.83395278</v>
      </c>
      <c r="S464" s="21">
        <f t="shared" si="139"/>
        <v>243025.89647603035</v>
      </c>
      <c r="T464" s="21">
        <f>S464*$V$33</f>
        <v>1227318.7500002778</v>
      </c>
      <c r="U464" s="3">
        <v>0</v>
      </c>
      <c r="V464" s="20">
        <f t="shared" si="148"/>
        <v>1227318.7500002778</v>
      </c>
      <c r="W464" s="340">
        <f>X463+Y466</f>
        <v>1227318.7500000002</v>
      </c>
      <c r="X464" s="332">
        <f t="shared" si="141"/>
        <v>-2.775341272354126E-7</v>
      </c>
      <c r="Y464" s="331"/>
      <c r="Z464" s="330"/>
      <c r="AA464" s="77"/>
      <c r="AC464" s="118"/>
      <c r="AD464" s="3"/>
      <c r="AE464" s="3"/>
      <c r="AF464" s="329"/>
      <c r="AN464" s="328"/>
      <c r="AP464" s="327"/>
    </row>
    <row r="465" spans="3:42" ht="13.5" customHeight="1">
      <c r="C465" s="3"/>
      <c r="D465" s="3"/>
      <c r="G465" s="3"/>
      <c r="L465" s="78"/>
      <c r="M465" s="78"/>
      <c r="O465" s="326"/>
      <c r="P465" s="342" t="s">
        <v>403</v>
      </c>
      <c r="Q465" s="342" t="s">
        <v>404</v>
      </c>
      <c r="R465" s="342">
        <v>611744576</v>
      </c>
      <c r="S465" s="342">
        <v>7</v>
      </c>
      <c r="T465" s="342" t="s">
        <v>27</v>
      </c>
      <c r="U465" s="342" t="s">
        <v>405</v>
      </c>
      <c r="V465" s="342" t="s">
        <v>151</v>
      </c>
      <c r="W465" s="342" t="s">
        <v>152</v>
      </c>
      <c r="X465" s="342" t="s">
        <v>406</v>
      </c>
      <c r="Y465" s="331"/>
      <c r="Z465" s="330"/>
      <c r="AA465" s="77"/>
      <c r="AC465" s="118"/>
      <c r="AD465" s="3" t="e">
        <f>X465*8/1000000</f>
        <v>#VALUE!</v>
      </c>
      <c r="AE465" s="3" t="e">
        <f>V465*8/1000000</f>
        <v>#VALUE!</v>
      </c>
      <c r="AF465" s="329"/>
      <c r="AN465" s="328"/>
      <c r="AP465" s="327"/>
    </row>
    <row r="466" spans="3:42" ht="13.5" customHeight="1">
      <c r="C466" s="3"/>
      <c r="D466" s="3"/>
      <c r="E466" t="s">
        <v>51</v>
      </c>
      <c r="F466" t="s">
        <v>49</v>
      </c>
      <c r="G466" s="3" t="s">
        <v>50</v>
      </c>
      <c r="H466" s="3" t="s">
        <v>53</v>
      </c>
      <c r="I466" s="3" t="s">
        <v>54</v>
      </c>
      <c r="L466" s="78" t="str" cm="1">
        <f t="array" aca="1" ref="L466" ca="1">MID(met2utc(Q466),3,12)</f>
        <v>25-160/03:10</v>
      </c>
      <c r="M466" s="78" t="str" cm="1">
        <f t="array" aca="1" ref="M466" ca="1">MID(met2utc(R466),3,12)</f>
        <v>25-160/03:39</v>
      </c>
      <c r="N466" t="s">
        <v>5506</v>
      </c>
      <c r="O466" s="326" t="str">
        <f>AG466</f>
        <v>253/18:53</v>
      </c>
      <c r="P466" s="32" t="str">
        <f>MID(AH466,5,5)</f>
        <v>253_3</v>
      </c>
      <c r="Q466" s="341">
        <f>R465-5</f>
        <v>611744571</v>
      </c>
      <c r="R466" s="341">
        <f>Q466+1685</f>
        <v>611746256</v>
      </c>
      <c r="S466" s="21">
        <f>R466-Q466</f>
        <v>1685</v>
      </c>
      <c r="T466" s="21">
        <f>$V$38</f>
        <v>197375</v>
      </c>
      <c r="U466" s="3">
        <v>0</v>
      </c>
      <c r="V466" s="20">
        <f>T466+U466*$V$34</f>
        <v>197375</v>
      </c>
      <c r="W466" s="340">
        <f>X463</f>
        <v>449450.57674729812</v>
      </c>
      <c r="X466" s="332">
        <f>W466-V466</f>
        <v>252075.57674729812</v>
      </c>
      <c r="Y466" s="331">
        <f>Z466-W466</f>
        <v>777868.17325270211</v>
      </c>
      <c r="Z466" s="330">
        <f>AA466*1000000/8</f>
        <v>1227318.7500000002</v>
      </c>
      <c r="AA466" s="77">
        <f>AN466</f>
        <v>9.8185500000000019</v>
      </c>
      <c r="AB466">
        <f>W466*8/1000000</f>
        <v>3.5956046139783848</v>
      </c>
      <c r="AC466" s="118">
        <f>AC463+AE466</f>
        <v>116.97940818602146</v>
      </c>
      <c r="AD466" s="3">
        <f>X466*8/1000000</f>
        <v>2.0166046139783851</v>
      </c>
      <c r="AE466" s="3">
        <f>V466*8/1000000</f>
        <v>1.579</v>
      </c>
      <c r="AF466" s="329" t="str">
        <f>AH466</f>
        <v>TRK_253_3</v>
      </c>
      <c r="AG466" t="s">
        <v>5505</v>
      </c>
      <c r="AH466" t="s">
        <v>5504</v>
      </c>
      <c r="AI466" t="s">
        <v>5503</v>
      </c>
      <c r="AJ466">
        <v>0.18677099999999999</v>
      </c>
      <c r="AK466">
        <v>1.3556459999999999</v>
      </c>
      <c r="AL466">
        <v>1.1688750000000001</v>
      </c>
      <c r="AM466">
        <v>10.286102</v>
      </c>
      <c r="AN466" s="328">
        <f>AL466*8*1.05</f>
        <v>9.8185500000000019</v>
      </c>
      <c r="AP466" s="327" t="s">
        <v>5502</v>
      </c>
    </row>
    <row r="467" spans="3:42" ht="13.5" customHeight="1">
      <c r="C467" s="3">
        <v>103</v>
      </c>
      <c r="D467" s="3">
        <v>110</v>
      </c>
      <c r="G467" s="3"/>
      <c r="I467" t="s">
        <v>54</v>
      </c>
      <c r="L467" s="78" t="str" cm="1">
        <f t="array" aca="1" ref="L467" ca="1">MID(met2utc(Q467),3,12)</f>
        <v>25-160/03:38</v>
      </c>
      <c r="M467" s="78" t="str" cm="1">
        <f t="array" aca="1" ref="M467" ca="1">MID(met2utc(R467),3,12)</f>
        <v>25-168/02:20</v>
      </c>
      <c r="N467" t="s">
        <v>5501</v>
      </c>
      <c r="O467" s="326">
        <f>AG467</f>
        <v>0</v>
      </c>
      <c r="P467" s="32" t="str">
        <f>MID(AH467,5,5)</f>
        <v/>
      </c>
      <c r="Q467" s="58">
        <f>R466-1</f>
        <v>611746255</v>
      </c>
      <c r="R467" s="21">
        <f>W467/$V$26+Q467</f>
        <v>612432758.69837558</v>
      </c>
      <c r="S467" s="21">
        <f>R467-Q467</f>
        <v>686503.6983755827</v>
      </c>
      <c r="T467" s="21">
        <f>S467*$V$26</f>
        <v>252075.57674728427</v>
      </c>
      <c r="U467" s="3">
        <v>0</v>
      </c>
      <c r="V467" s="20">
        <f>T467+U467*$V$34</f>
        <v>252075.57674728427</v>
      </c>
      <c r="W467" s="340">
        <f>X466</f>
        <v>252075.57674729812</v>
      </c>
      <c r="X467" s="332">
        <f>W467-V467</f>
        <v>1.3853423297405243E-8</v>
      </c>
      <c r="Y467" s="331"/>
      <c r="Z467" s="330"/>
      <c r="AA467" s="77"/>
      <c r="AC467" s="118"/>
      <c r="AD467" s="3">
        <f>X467*8/1000000</f>
        <v>1.1082738637924195E-13</v>
      </c>
      <c r="AE467" s="3">
        <f>V467*8/1000000</f>
        <v>2.0166046139782741</v>
      </c>
      <c r="AF467" s="329"/>
      <c r="AN467" s="328"/>
      <c r="AP467" s="327"/>
    </row>
    <row r="468" spans="3:42" ht="13.5" customHeight="1">
      <c r="C468" s="3">
        <v>103</v>
      </c>
      <c r="D468" s="3">
        <v>110</v>
      </c>
      <c r="G468" s="3"/>
      <c r="I468" t="s">
        <v>54</v>
      </c>
      <c r="L468" s="78" t="str" cm="1">
        <f t="array" aca="1" ref="L468" ca="1">MID(met2utc(Q468),3,12)</f>
        <v>25-168/02:20</v>
      </c>
      <c r="M468" s="78" t="str" cm="1">
        <f t="array" aca="1" ref="M468" ca="1">MID(met2utc(R468),3,12)</f>
        <v>25-181/02:10</v>
      </c>
      <c r="N468" t="s">
        <v>5501</v>
      </c>
      <c r="O468" s="326" t="str">
        <f>AG468</f>
        <v>255/00:23</v>
      </c>
      <c r="P468" s="32" t="str">
        <f>MID(AH468,5,5)</f>
        <v>255_1</v>
      </c>
      <c r="Q468" s="58">
        <f>R467-1</f>
        <v>612432757.69837558</v>
      </c>
      <c r="R468" s="341">
        <f>$R$166</f>
        <v>613555316</v>
      </c>
      <c r="S468" s="21">
        <f>R468-Q468</f>
        <v>1122558.3016244173</v>
      </c>
      <c r="T468" s="21">
        <f>S468*$V$26</f>
        <v>412189.37637771573</v>
      </c>
      <c r="U468" s="3">
        <v>0</v>
      </c>
      <c r="V468" s="20">
        <f>T468+U468*$V$34</f>
        <v>412189.37637771573</v>
      </c>
      <c r="W468" s="20">
        <f>AA468*1000000/8</f>
        <v>1254691.2000000002</v>
      </c>
      <c r="X468" s="332">
        <f>W468-V468</f>
        <v>842501.82362228446</v>
      </c>
      <c r="Y468" s="331"/>
      <c r="Z468" s="330"/>
      <c r="AA468" s="77">
        <f>AN468</f>
        <v>10.037529600000001</v>
      </c>
      <c r="AC468" s="118">
        <f>AC466+AE468</f>
        <v>120.27692319704319</v>
      </c>
      <c r="AD468" s="3">
        <f>X468*8/1000000</f>
        <v>6.7400145889782754</v>
      </c>
      <c r="AE468" s="3">
        <f>V468*8/1000000</f>
        <v>3.297515011021726</v>
      </c>
      <c r="AF468" s="329" t="str">
        <f>AH468</f>
        <v>TRK_255_1_</v>
      </c>
      <c r="AG468" t="s">
        <v>5500</v>
      </c>
      <c r="AH468" t="s">
        <v>5499</v>
      </c>
      <c r="AI468" t="s">
        <v>5498</v>
      </c>
      <c r="AJ468">
        <v>0.49954100000000001</v>
      </c>
      <c r="AK468">
        <v>1.694485</v>
      </c>
      <c r="AL468">
        <v>1.194944</v>
      </c>
      <c r="AM468">
        <v>10.515509</v>
      </c>
      <c r="AN468" s="328">
        <f>AL468*8*1.05</f>
        <v>10.037529600000001</v>
      </c>
      <c r="AP468" s="327" t="s">
        <v>5497</v>
      </c>
    </row>
    <row r="469" spans="3:42" ht="13.5" customHeight="1">
      <c r="C469" s="3">
        <v>104</v>
      </c>
      <c r="D469" s="3">
        <v>105</v>
      </c>
      <c r="G469" s="3"/>
      <c r="I469" t="s">
        <v>54</v>
      </c>
      <c r="L469" s="78" t="str" cm="1">
        <f t="array" aca="1" ref="L469" ca="1">MID(met2utc(Q469),3,12)</f>
        <v>26-179/03:29</v>
      </c>
      <c r="M469" s="78" t="str" cm="1">
        <f t="array" aca="1" ref="M469" ca="1">MID(met2utc(R469),3,12)</f>
        <v>26-196/20:24</v>
      </c>
      <c r="N469" s="17" t="s">
        <v>5496</v>
      </c>
      <c r="O469" s="326" t="s">
        <v>1266</v>
      </c>
      <c r="P469" s="32"/>
      <c r="Q469" s="341">
        <f>R270-5</f>
        <v>644923310</v>
      </c>
      <c r="R469" s="21">
        <f>W469/$V$23+Q469</f>
        <v>646452958.70104468</v>
      </c>
      <c r="S469" s="21">
        <f>R469-Q469</f>
        <v>1529648.7010446787</v>
      </c>
      <c r="T469" s="21">
        <f>S469*$V$23</f>
        <v>842501.82362226443</v>
      </c>
      <c r="U469" s="3">
        <v>0</v>
      </c>
      <c r="V469" s="20">
        <f>T469+U469*$V$34</f>
        <v>842501.82362226443</v>
      </c>
      <c r="W469" s="340">
        <f>X468</f>
        <v>842501.82362228446</v>
      </c>
      <c r="X469" s="332">
        <f>W469-V469</f>
        <v>2.0023435354232788E-8</v>
      </c>
      <c r="Y469" s="331"/>
      <c r="Z469" s="330"/>
      <c r="AA469" s="77"/>
      <c r="AC469" s="118"/>
      <c r="AD469" s="3"/>
      <c r="AE469" s="3"/>
      <c r="AF469" s="329"/>
      <c r="AN469" s="328"/>
      <c r="AP469" s="327"/>
    </row>
    <row r="470" spans="3:42" ht="13.5" customHeight="1">
      <c r="C470" s="3">
        <v>104</v>
      </c>
      <c r="D470" s="3">
        <v>105</v>
      </c>
      <c r="G470" s="3"/>
      <c r="I470" t="s">
        <v>54</v>
      </c>
      <c r="L470" s="78" t="str" cm="1">
        <f t="array" aca="1" ref="L470" ca="1">MID(met2utc(Q470),3,12)</f>
        <v>26-196/20:24</v>
      </c>
      <c r="M470" s="78" t="str" cm="1">
        <f t="array" aca="1" ref="M470" ca="1">MID(met2utc(R470),3,12)</f>
        <v>26-201/20:09</v>
      </c>
      <c r="N470" s="17" t="s">
        <v>5496</v>
      </c>
      <c r="O470" s="326" t="str">
        <f>AG470</f>
        <v>256/00:53</v>
      </c>
      <c r="P470" s="32" t="str">
        <f>MID(AH470,5,5)</f>
        <v>256_1</v>
      </c>
      <c r="Q470" s="58">
        <f>R469-1</f>
        <v>646452957.70104468</v>
      </c>
      <c r="R470" s="341">
        <f>$Q$378+1</f>
        <v>646884111</v>
      </c>
      <c r="S470" s="21">
        <f>R470-Q470</f>
        <v>431153.29895532131</v>
      </c>
      <c r="T470" s="21">
        <f>S470*$V$23</f>
        <v>237471.15294023557</v>
      </c>
      <c r="U470" s="3">
        <v>0</v>
      </c>
      <c r="V470" s="20">
        <f>T470+U470*$V$34</f>
        <v>237471.15294023557</v>
      </c>
      <c r="W470" s="20">
        <f>AA470*1000000/8</f>
        <v>1026811.7999999999</v>
      </c>
      <c r="X470" s="332">
        <f>W470-V470</f>
        <v>789340.64705976436</v>
      </c>
      <c r="Y470" s="331"/>
      <c r="Z470" s="330"/>
      <c r="AA470" s="77">
        <f>AN470</f>
        <v>8.2144943999999995</v>
      </c>
      <c r="AC470" s="118">
        <f>AC468+AE470</f>
        <v>122.17669242056508</v>
      </c>
      <c r="AD470" s="3">
        <f>X470*8/1000000</f>
        <v>6.3147251764781149</v>
      </c>
      <c r="AE470" s="3">
        <f>V470*8/1000000</f>
        <v>1.8997692235218846</v>
      </c>
      <c r="AF470" s="329" t="str">
        <f>AH470</f>
        <v>TRK_256_1</v>
      </c>
      <c r="AG470" t="s">
        <v>5495</v>
      </c>
      <c r="AH470" t="s">
        <v>5494</v>
      </c>
      <c r="AI470" t="s">
        <v>5493</v>
      </c>
      <c r="AJ470">
        <v>0.301508</v>
      </c>
      <c r="AK470">
        <v>1.2794239999999999</v>
      </c>
      <c r="AL470">
        <v>0.97791600000000001</v>
      </c>
      <c r="AM470">
        <v>8.605658</v>
      </c>
      <c r="AN470" s="328">
        <f>AL470*8*1.05</f>
        <v>8.2144943999999995</v>
      </c>
      <c r="AP470" s="327" t="s">
        <v>5492</v>
      </c>
    </row>
    <row r="471" spans="3:42" ht="13.5" customHeight="1">
      <c r="C471" s="3"/>
      <c r="D471" s="3"/>
      <c r="G471" s="3"/>
      <c r="L471" s="78"/>
      <c r="M471" s="78"/>
      <c r="O471" s="326"/>
      <c r="P471" s="308" t="s">
        <v>5491</v>
      </c>
      <c r="Q471" s="308">
        <v>621555962</v>
      </c>
      <c r="R471" s="308">
        <v>0</v>
      </c>
      <c r="S471" s="308" t="s">
        <v>409</v>
      </c>
      <c r="T471" s="308" t="s">
        <v>1043</v>
      </c>
      <c r="U471" s="308" t="s">
        <v>416</v>
      </c>
      <c r="V471" s="308" t="s">
        <v>417</v>
      </c>
      <c r="W471" s="20"/>
      <c r="X471" s="332"/>
      <c r="Y471" s="331"/>
      <c r="Z471" s="330"/>
      <c r="AA471" s="77"/>
      <c r="AC471" s="118"/>
      <c r="AD471" s="3"/>
      <c r="AE471" s="3"/>
      <c r="AF471" s="329"/>
      <c r="AN471" s="328"/>
      <c r="AP471" s="327"/>
    </row>
    <row r="472" spans="3:42" ht="13.5" customHeight="1">
      <c r="C472" s="3">
        <v>104</v>
      </c>
      <c r="D472" s="3">
        <v>105</v>
      </c>
      <c r="G472" s="3" t="s">
        <v>50</v>
      </c>
      <c r="L472" s="78" t="str" cm="1">
        <f t="array" aca="1" ref="L472" ca="1">MID(met2utc(Q472),3,12)</f>
        <v>25-273/16:34</v>
      </c>
      <c r="M472" s="78" t="str" cm="1">
        <f t="array" aca="1" ref="M472" ca="1">MID(met2utc(R472),3,12)</f>
        <v>25-275/11:59</v>
      </c>
      <c r="N472" t="s">
        <v>5466</v>
      </c>
      <c r="O472" s="326" t="s">
        <v>1266</v>
      </c>
      <c r="P472" s="32"/>
      <c r="Q472" s="341">
        <f>Q471-5</f>
        <v>621555957</v>
      </c>
      <c r="R472" s="21">
        <f t="shared" ref="R472:R479" si="149">W472/$V$33+Q472</f>
        <v>621712257.2426033</v>
      </c>
      <c r="S472" s="21">
        <f t="shared" ref="S472:S479" si="150">R472-Q472</f>
        <v>156300.242603302</v>
      </c>
      <c r="T472" s="21">
        <f t="shared" ref="T472:T479" si="151">S472*$V$33</f>
        <v>789340.64705958194</v>
      </c>
      <c r="U472" s="3">
        <v>0</v>
      </c>
      <c r="V472" s="20">
        <f t="shared" ref="V472:V479" si="152">T472+U472*$V$34</f>
        <v>789340.64705958194</v>
      </c>
      <c r="W472" s="340">
        <f>X470</f>
        <v>789340.64705976436</v>
      </c>
      <c r="X472" s="332">
        <f t="shared" ref="X472:X483" si="153">W472-V472</f>
        <v>1.8242280930280685E-7</v>
      </c>
      <c r="Y472" s="331"/>
      <c r="Z472" s="330"/>
      <c r="AA472" s="77"/>
      <c r="AC472" s="118"/>
      <c r="AD472" s="3"/>
      <c r="AE472" s="3"/>
      <c r="AF472" s="329"/>
      <c r="AN472" s="328"/>
      <c r="AP472" s="327"/>
    </row>
    <row r="473" spans="3:42" ht="13.5" customHeight="1">
      <c r="C473" s="3">
        <v>104</v>
      </c>
      <c r="D473" s="3">
        <v>105</v>
      </c>
      <c r="G473" s="3" t="s">
        <v>50</v>
      </c>
      <c r="L473" s="78" t="str" cm="1">
        <f t="array" aca="1" ref="L473" ca="1">MID(met2utc(Q473),3,12)</f>
        <v>25-275/11:59</v>
      </c>
      <c r="M473" s="78" t="str" cm="1">
        <f t="array" aca="1" ref="M473" ca="1">MID(met2utc(R473),3,12)</f>
        <v>25-277/01:06</v>
      </c>
      <c r="N473" t="s">
        <v>5466</v>
      </c>
      <c r="O473" s="326" t="str">
        <f t="shared" ref="O473:O480" si="154">AG473</f>
        <v>256/10:08</v>
      </c>
      <c r="P473" s="32" t="str">
        <f t="shared" ref="P473:P480" si="155">MID(AH473,5,5)</f>
        <v>256_2</v>
      </c>
      <c r="Q473" s="58">
        <f t="shared" ref="Q473:Q479" si="156">R472-1</f>
        <v>621712256.2426033</v>
      </c>
      <c r="R473" s="21">
        <f t="shared" si="149"/>
        <v>621845908.99839675</v>
      </c>
      <c r="S473" s="21">
        <f t="shared" si="150"/>
        <v>133652.75579345226</v>
      </c>
      <c r="T473" s="21">
        <f t="shared" si="151"/>
        <v>674967.30000002671</v>
      </c>
      <c r="U473" s="3">
        <v>0</v>
      </c>
      <c r="V473" s="20">
        <f t="shared" si="152"/>
        <v>674967.30000002671</v>
      </c>
      <c r="W473" s="20">
        <f t="shared" ref="W473:W480" si="157">AA473*1000000/8</f>
        <v>674967.3</v>
      </c>
      <c r="X473" s="332">
        <f t="shared" si="153"/>
        <v>-2.6659108698368073E-8</v>
      </c>
      <c r="Y473" s="331"/>
      <c r="Z473" s="330"/>
      <c r="AA473" s="77">
        <f t="shared" ref="AA473:AA480" si="158">AN473</f>
        <v>5.3997384000000004</v>
      </c>
      <c r="AC473" s="118">
        <f>AC470+AE473</f>
        <v>127.57643082056529</v>
      </c>
      <c r="AD473" s="3">
        <f t="shared" ref="AD473:AD480" si="159">X473*8/1000000</f>
        <v>-2.1327286958694459E-13</v>
      </c>
      <c r="AE473" s="3">
        <f t="shared" ref="AE473:AE480" si="160">V473*8/1000000</f>
        <v>5.3997384000002135</v>
      </c>
      <c r="AF473" s="329" t="str">
        <f t="shared" ref="AF473:AF480" si="161">AH473</f>
        <v>TRK_256_2</v>
      </c>
      <c r="AG473" t="s">
        <v>5490</v>
      </c>
      <c r="AH473" t="s">
        <v>5489</v>
      </c>
      <c r="AI473" t="s">
        <v>5488</v>
      </c>
      <c r="AJ473">
        <v>0.30713200000000002</v>
      </c>
      <c r="AK473">
        <v>0.94995799999999997</v>
      </c>
      <c r="AL473">
        <v>0.64282600000000001</v>
      </c>
      <c r="AM473">
        <v>5.6568680000000002</v>
      </c>
      <c r="AN473" s="328">
        <f t="shared" ref="AN473:AN480" si="162">AL473*8*1.05</f>
        <v>5.3997384000000004</v>
      </c>
      <c r="AP473" s="327" t="s">
        <v>5487</v>
      </c>
    </row>
    <row r="474" spans="3:42" ht="13.5" customHeight="1">
      <c r="C474" s="3">
        <v>104</v>
      </c>
      <c r="D474" s="3">
        <v>105</v>
      </c>
      <c r="G474" s="3" t="s">
        <v>50</v>
      </c>
      <c r="L474" s="78" t="str" cm="1">
        <f t="array" aca="1" ref="L474" ca="1">MID(met2utc(Q474),3,12)</f>
        <v>25-277/01:06</v>
      </c>
      <c r="M474" s="78" t="str" cm="1">
        <f t="array" aca="1" ref="M474" ca="1">MID(met2utc(R474),3,12)</f>
        <v>25-278/12:58</v>
      </c>
      <c r="N474" t="s">
        <v>5466</v>
      </c>
      <c r="O474" s="326" t="str">
        <f t="shared" si="154"/>
        <v>256/18:43</v>
      </c>
      <c r="P474" s="32" t="str">
        <f t="shared" si="155"/>
        <v>256_3</v>
      </c>
      <c r="Q474" s="58">
        <f t="shared" si="156"/>
        <v>621845907.99839675</v>
      </c>
      <c r="R474" s="21">
        <f t="shared" si="149"/>
        <v>621975048.59676933</v>
      </c>
      <c r="S474" s="21">
        <f t="shared" si="150"/>
        <v>129140.59837257862</v>
      </c>
      <c r="T474" s="21">
        <f t="shared" si="151"/>
        <v>652180.20000001788</v>
      </c>
      <c r="U474" s="3">
        <v>0</v>
      </c>
      <c r="V474" s="20">
        <f t="shared" si="152"/>
        <v>652180.20000001788</v>
      </c>
      <c r="W474" s="20">
        <f t="shared" si="157"/>
        <v>652180.19999999995</v>
      </c>
      <c r="X474" s="332">
        <f t="shared" si="153"/>
        <v>-1.7927959561347961E-8</v>
      </c>
      <c r="Y474" s="331"/>
      <c r="Z474" s="330"/>
      <c r="AA474" s="77">
        <f t="shared" si="158"/>
        <v>5.2174415999999999</v>
      </c>
      <c r="AC474" s="118">
        <f>AC473+AE474</f>
        <v>132.79387242056544</v>
      </c>
      <c r="AD474" s="3">
        <f t="shared" si="159"/>
        <v>-1.4342367649078369E-13</v>
      </c>
      <c r="AE474" s="3">
        <f t="shared" si="160"/>
        <v>5.2174416000001429</v>
      </c>
      <c r="AF474" s="329" t="str">
        <f t="shared" si="161"/>
        <v>TRK_256_3</v>
      </c>
      <c r="AG474" t="s">
        <v>5486</v>
      </c>
      <c r="AH474" t="s">
        <v>5485</v>
      </c>
      <c r="AI474" t="s">
        <v>5484</v>
      </c>
      <c r="AJ474">
        <v>0.19022</v>
      </c>
      <c r="AK474">
        <v>0.81134399999999995</v>
      </c>
      <c r="AL474">
        <v>0.62112400000000001</v>
      </c>
      <c r="AM474">
        <v>5.4658920000000002</v>
      </c>
      <c r="AN474" s="328">
        <f t="shared" si="162"/>
        <v>5.2174415999999999</v>
      </c>
      <c r="AP474" s="327" t="s">
        <v>5483</v>
      </c>
    </row>
    <row r="475" spans="3:42" ht="13.5" customHeight="1">
      <c r="C475" s="3">
        <v>104</v>
      </c>
      <c r="D475" s="3">
        <v>105</v>
      </c>
      <c r="G475" s="3" t="s">
        <v>50</v>
      </c>
      <c r="L475" s="78" t="str" cm="1">
        <f t="array" aca="1" ref="L475" ca="1">MID(met2utc(Q475),3,12)</f>
        <v>25-278/12:58</v>
      </c>
      <c r="M475" s="78" t="str" cm="1">
        <f t="array" aca="1" ref="M475" ca="1">MID(met2utc(R475),3,12)</f>
        <v>25-280/08:13</v>
      </c>
      <c r="N475" t="s">
        <v>5466</v>
      </c>
      <c r="O475" s="326" t="str">
        <f t="shared" si="154"/>
        <v>257/09:58</v>
      </c>
      <c r="P475" s="32" t="str">
        <f t="shared" si="155"/>
        <v>257_1</v>
      </c>
      <c r="Q475" s="58">
        <f t="shared" si="156"/>
        <v>621975047.59676933</v>
      </c>
      <c r="R475" s="21">
        <f t="shared" si="149"/>
        <v>622130752.37323046</v>
      </c>
      <c r="S475" s="21">
        <f t="shared" si="150"/>
        <v>155704.77646112442</v>
      </c>
      <c r="T475" s="21">
        <f t="shared" si="151"/>
        <v>786333.45000000042</v>
      </c>
      <c r="U475" s="3">
        <v>0</v>
      </c>
      <c r="V475" s="20">
        <f t="shared" si="152"/>
        <v>786333.45000000042</v>
      </c>
      <c r="W475" s="20">
        <f t="shared" si="157"/>
        <v>786333.45000000007</v>
      </c>
      <c r="X475" s="332">
        <f t="shared" si="153"/>
        <v>0</v>
      </c>
      <c r="Y475" s="331"/>
      <c r="Z475" s="330"/>
      <c r="AA475" s="77">
        <f t="shared" si="158"/>
        <v>6.2906676000000008</v>
      </c>
      <c r="AC475" s="118">
        <f>AC474+AE475</f>
        <v>139.08454002056544</v>
      </c>
      <c r="AD475" s="3">
        <f t="shared" si="159"/>
        <v>0</v>
      </c>
      <c r="AE475" s="3">
        <f t="shared" si="160"/>
        <v>6.2906676000000035</v>
      </c>
      <c r="AF475" s="329" t="str">
        <f t="shared" si="161"/>
        <v>TRK_257_1</v>
      </c>
      <c r="AG475" t="s">
        <v>5482</v>
      </c>
      <c r="AH475" t="s">
        <v>5481</v>
      </c>
      <c r="AI475" t="s">
        <v>5480</v>
      </c>
      <c r="AJ475">
        <v>0.241893</v>
      </c>
      <c r="AK475">
        <v>0.99078200000000005</v>
      </c>
      <c r="AL475">
        <v>0.74888900000000003</v>
      </c>
      <c r="AM475">
        <v>6.5902269999999996</v>
      </c>
      <c r="AN475" s="328">
        <f t="shared" si="162"/>
        <v>6.2906676000000008</v>
      </c>
      <c r="AP475" s="327" t="s">
        <v>5479</v>
      </c>
    </row>
    <row r="476" spans="3:42" ht="13.5" customHeight="1">
      <c r="C476" s="3">
        <v>104</v>
      </c>
      <c r="D476" s="3">
        <v>105</v>
      </c>
      <c r="G476" s="3" t="s">
        <v>50</v>
      </c>
      <c r="L476" s="78" t="str" cm="1">
        <f t="array" aca="1" ref="L476" ca="1">MID(met2utc(Q476),3,12)</f>
        <v>25-280/08:13</v>
      </c>
      <c r="M476" s="78" t="str" cm="1">
        <f t="array" aca="1" ref="M476" ca="1">MID(met2utc(R476),3,12)</f>
        <v>25-280/23:41</v>
      </c>
      <c r="N476" t="s">
        <v>5466</v>
      </c>
      <c r="O476" s="326" t="str">
        <f t="shared" si="154"/>
        <v>258/10:53</v>
      </c>
      <c r="P476" s="32" t="str">
        <f t="shared" si="155"/>
        <v>258_1</v>
      </c>
      <c r="Q476" s="58">
        <f t="shared" si="156"/>
        <v>622130751.37323046</v>
      </c>
      <c r="R476" s="21">
        <f t="shared" si="149"/>
        <v>622186387.38449252</v>
      </c>
      <c r="S476" s="21">
        <f t="shared" si="150"/>
        <v>55636.011262059212</v>
      </c>
      <c r="T476" s="21">
        <f t="shared" si="151"/>
        <v>280970.55000015872</v>
      </c>
      <c r="U476" s="3">
        <v>0</v>
      </c>
      <c r="V476" s="20">
        <f t="shared" si="152"/>
        <v>280970.55000015872</v>
      </c>
      <c r="W476" s="20">
        <f t="shared" si="157"/>
        <v>280970.55000000005</v>
      </c>
      <c r="X476" s="332">
        <f t="shared" si="153"/>
        <v>-1.5867408365011215E-7</v>
      </c>
      <c r="Y476" s="331"/>
      <c r="Z476" s="330"/>
      <c r="AA476" s="77">
        <f t="shared" si="158"/>
        <v>2.2477644000000003</v>
      </c>
      <c r="AC476" s="118">
        <f>AC475+AE476</f>
        <v>141.33230442056671</v>
      </c>
      <c r="AD476" s="3">
        <f t="shared" si="159"/>
        <v>-1.2693926692008973E-12</v>
      </c>
      <c r="AE476" s="3">
        <f t="shared" si="160"/>
        <v>2.24776440000127</v>
      </c>
      <c r="AF476" s="329" t="str">
        <f t="shared" si="161"/>
        <v>TRK_258_1_</v>
      </c>
      <c r="AG476" t="s">
        <v>5478</v>
      </c>
      <c r="AH476" t="s">
        <v>5477</v>
      </c>
      <c r="AI476" t="s">
        <v>5476</v>
      </c>
      <c r="AJ476">
        <v>0.45894099999999999</v>
      </c>
      <c r="AK476">
        <v>0.72653199999999996</v>
      </c>
      <c r="AL476">
        <v>0.26759100000000002</v>
      </c>
      <c r="AM476">
        <v>2.3547989999999999</v>
      </c>
      <c r="AN476" s="328">
        <f t="shared" si="162"/>
        <v>2.2477644000000003</v>
      </c>
      <c r="AP476" s="327" t="s">
        <v>5475</v>
      </c>
    </row>
    <row r="477" spans="3:42" ht="13.5" customHeight="1">
      <c r="C477" s="3">
        <v>104</v>
      </c>
      <c r="D477" s="3">
        <v>105</v>
      </c>
      <c r="G477" s="3" t="s">
        <v>50</v>
      </c>
      <c r="L477" s="78" t="str" cm="1">
        <f t="array" aca="1" ref="L477" ca="1">MID(met2utc(Q477),3,12)</f>
        <v>25-280/23:41</v>
      </c>
      <c r="M477" s="78" t="str" cm="1">
        <f t="array" aca="1" ref="M477" ca="1">MID(met2utc(R477),3,12)</f>
        <v>25-285/03:37</v>
      </c>
      <c r="N477" t="s">
        <v>5466</v>
      </c>
      <c r="O477" s="326" t="str">
        <f t="shared" si="154"/>
        <v>258/20:07</v>
      </c>
      <c r="P477" s="32" t="str">
        <f t="shared" si="155"/>
        <v>258_2</v>
      </c>
      <c r="Q477" s="58">
        <f t="shared" si="156"/>
        <v>622186386.38449252</v>
      </c>
      <c r="R477" s="21">
        <f t="shared" si="149"/>
        <v>622546157.85690987</v>
      </c>
      <c r="S477" s="21">
        <f t="shared" si="150"/>
        <v>359771.47241735458</v>
      </c>
      <c r="T477" s="21">
        <f t="shared" si="151"/>
        <v>1816902.150000206</v>
      </c>
      <c r="U477" s="3">
        <v>0</v>
      </c>
      <c r="V477" s="20">
        <f t="shared" si="152"/>
        <v>1816902.150000206</v>
      </c>
      <c r="W477" s="20">
        <f t="shared" si="157"/>
        <v>1816902.15</v>
      </c>
      <c r="X477" s="332">
        <f t="shared" si="153"/>
        <v>-2.0605511963367462E-7</v>
      </c>
      <c r="Y477" s="331"/>
      <c r="Z477" s="330"/>
      <c r="AA477" s="77">
        <f t="shared" si="158"/>
        <v>14.5352172</v>
      </c>
      <c r="AC477" s="118">
        <f>AC476+AE477</f>
        <v>155.86752162056837</v>
      </c>
      <c r="AD477" s="3">
        <f t="shared" si="159"/>
        <v>-1.6484409570693971E-12</v>
      </c>
      <c r="AE477" s="3">
        <f t="shared" si="160"/>
        <v>14.535217200001648</v>
      </c>
      <c r="AF477" s="329" t="str">
        <f t="shared" si="161"/>
        <v>TRK_258_2</v>
      </c>
      <c r="AG477" t="s">
        <v>5474</v>
      </c>
      <c r="AH477" t="s">
        <v>5473</v>
      </c>
      <c r="AI477" t="s">
        <v>5472</v>
      </c>
      <c r="AJ477">
        <v>0.198909</v>
      </c>
      <c r="AK477">
        <v>1.929292</v>
      </c>
      <c r="AL477">
        <v>1.730383</v>
      </c>
      <c r="AM477">
        <v>15.227372000000001</v>
      </c>
      <c r="AN477" s="328">
        <f t="shared" si="162"/>
        <v>14.5352172</v>
      </c>
      <c r="AP477" s="327" t="s">
        <v>5471</v>
      </c>
    </row>
    <row r="478" spans="3:42" ht="13.5" customHeight="1">
      <c r="C478" s="3">
        <v>104</v>
      </c>
      <c r="D478" s="3">
        <v>105</v>
      </c>
      <c r="G478" s="3" t="s">
        <v>50</v>
      </c>
      <c r="L478" s="78" t="str" cm="1">
        <f t="array" aca="1" ref="L478" ca="1">MID(met2utc(Q478),3,12)</f>
        <v>25-285/03:37</v>
      </c>
      <c r="M478" s="78" t="str" cm="1">
        <f t="array" aca="1" ref="M478" ca="1">MID(met2utc(R478),3,12)</f>
        <v>25-286/01:17</v>
      </c>
      <c r="N478" t="s">
        <v>5466</v>
      </c>
      <c r="O478" s="326" t="str">
        <f t="shared" si="154"/>
        <v>259/10:52</v>
      </c>
      <c r="P478" s="32" t="str">
        <f t="shared" si="155"/>
        <v>259_1</v>
      </c>
      <c r="Q478" s="58">
        <f t="shared" si="156"/>
        <v>622546156.85690987</v>
      </c>
      <c r="R478" s="21">
        <f t="shared" si="149"/>
        <v>622624152.39417672</v>
      </c>
      <c r="S478" s="21">
        <f t="shared" si="150"/>
        <v>77995.537266850471</v>
      </c>
      <c r="T478" s="21">
        <f t="shared" si="151"/>
        <v>393889.65000029287</v>
      </c>
      <c r="U478" s="3">
        <v>0</v>
      </c>
      <c r="V478" s="20">
        <f t="shared" si="152"/>
        <v>393889.65000029287</v>
      </c>
      <c r="W478" s="20">
        <f t="shared" si="157"/>
        <v>393889.65</v>
      </c>
      <c r="X478" s="332">
        <f t="shared" si="153"/>
        <v>-2.9284274205565453E-7</v>
      </c>
      <c r="Y478" s="331"/>
      <c r="Z478" s="330"/>
      <c r="AA478" s="77">
        <f t="shared" si="158"/>
        <v>3.1511172000000003</v>
      </c>
      <c r="AC478" s="118">
        <f>AC476+AE478</f>
        <v>144.48342162056906</v>
      </c>
      <c r="AD478" s="3">
        <f t="shared" si="159"/>
        <v>-2.3427419364452362E-12</v>
      </c>
      <c r="AE478" s="3">
        <f t="shared" si="160"/>
        <v>3.1511172000023429</v>
      </c>
      <c r="AF478" s="329" t="str">
        <f t="shared" si="161"/>
        <v>TRK_259_1</v>
      </c>
      <c r="AG478" t="s">
        <v>5470</v>
      </c>
      <c r="AH478" t="s">
        <v>5469</v>
      </c>
      <c r="AI478" t="s">
        <v>5468</v>
      </c>
      <c r="AJ478">
        <v>0.22928699999999999</v>
      </c>
      <c r="AK478">
        <v>0.60441999999999996</v>
      </c>
      <c r="AL478">
        <v>0.37513299999999999</v>
      </c>
      <c r="AM478">
        <v>3.3011680000000001</v>
      </c>
      <c r="AN478" s="328">
        <f t="shared" si="162"/>
        <v>3.1511172000000003</v>
      </c>
      <c r="AP478" s="327" t="s">
        <v>5467</v>
      </c>
    </row>
    <row r="479" spans="3:42" ht="13.5" customHeight="1">
      <c r="C479" s="3">
        <v>104</v>
      </c>
      <c r="D479" s="3">
        <v>105</v>
      </c>
      <c r="G479" s="3" t="s">
        <v>50</v>
      </c>
      <c r="L479" s="78" t="str" cm="1">
        <f t="array" aca="1" ref="L479" ca="1">MID(met2utc(Q479),3,12)</f>
        <v>25-286/01:17</v>
      </c>
      <c r="M479" s="78" t="str" cm="1">
        <f t="array" aca="1" ref="M479" ca="1">MID(met2utc(R479),3,12)</f>
        <v>25-288/14:53</v>
      </c>
      <c r="N479" t="s">
        <v>5466</v>
      </c>
      <c r="O479" s="326" t="str">
        <f t="shared" si="154"/>
        <v>261/00:32</v>
      </c>
      <c r="P479" s="32" t="str">
        <f t="shared" si="155"/>
        <v>261_1</v>
      </c>
      <c r="Q479" s="58">
        <f t="shared" si="156"/>
        <v>622624151.39417672</v>
      </c>
      <c r="R479" s="21">
        <f t="shared" si="149"/>
        <v>622845951.93747675</v>
      </c>
      <c r="S479" s="21">
        <f t="shared" si="150"/>
        <v>221800.54330003262</v>
      </c>
      <c r="T479" s="21">
        <f t="shared" si="151"/>
        <v>1120127.4000000556</v>
      </c>
      <c r="U479" s="3">
        <v>0</v>
      </c>
      <c r="V479" s="20">
        <f t="shared" si="152"/>
        <v>1120127.4000000556</v>
      </c>
      <c r="W479" s="20">
        <f t="shared" si="157"/>
        <v>1120127.4000000001</v>
      </c>
      <c r="X479" s="332">
        <f t="shared" si="153"/>
        <v>-5.5413693189620972E-8</v>
      </c>
      <c r="Y479" s="331"/>
      <c r="Z479" s="330"/>
      <c r="AA479" s="77">
        <f t="shared" si="158"/>
        <v>8.9610192000000009</v>
      </c>
      <c r="AC479" s="118">
        <f>AC477+AE479</f>
        <v>164.8285408205688</v>
      </c>
      <c r="AD479" s="3">
        <f t="shared" si="159"/>
        <v>-4.433095455169678E-13</v>
      </c>
      <c r="AE479" s="3">
        <f t="shared" si="160"/>
        <v>8.9610192000004449</v>
      </c>
      <c r="AF479" s="329" t="str">
        <f t="shared" si="161"/>
        <v>TRK_261_1_</v>
      </c>
      <c r="AG479" t="s">
        <v>5465</v>
      </c>
      <c r="AH479" t="s">
        <v>5464</v>
      </c>
      <c r="AI479" t="s">
        <v>5463</v>
      </c>
      <c r="AJ479">
        <v>0.53908</v>
      </c>
      <c r="AK479">
        <v>1.6058680000000001</v>
      </c>
      <c r="AL479">
        <v>1.0667880000000001</v>
      </c>
      <c r="AM479">
        <v>9.3877330000000008</v>
      </c>
      <c r="AN479" s="328">
        <f t="shared" si="162"/>
        <v>8.9610192000000009</v>
      </c>
      <c r="AP479" s="327" t="s">
        <v>5462</v>
      </c>
    </row>
    <row r="480" spans="3:42" ht="13.5" customHeight="1">
      <c r="N480" s="286" t="s">
        <v>5457</v>
      </c>
      <c r="O480" s="326" t="str">
        <f t="shared" si="154"/>
        <v>261/23:22</v>
      </c>
      <c r="P480" s="32" t="str">
        <f t="shared" si="155"/>
        <v>261_3</v>
      </c>
      <c r="Q480" s="339">
        <f>R435-1</f>
        <v>645953884</v>
      </c>
      <c r="R480" s="338">
        <f>Z487</f>
        <v>645954474.13390243</v>
      </c>
      <c r="S480" s="190"/>
      <c r="T480" s="190"/>
      <c r="U480" s="337"/>
      <c r="V480" s="336">
        <f>V487</f>
        <v>2347763.7749999999</v>
      </c>
      <c r="W480" s="20">
        <f t="shared" si="157"/>
        <v>4695527.55</v>
      </c>
      <c r="X480" s="332">
        <f t="shared" si="153"/>
        <v>2347763.7749999999</v>
      </c>
      <c r="Y480" s="331"/>
      <c r="Z480" s="335">
        <f>AE480</f>
        <v>18.782110199999998</v>
      </c>
      <c r="AA480" s="77">
        <f t="shared" si="158"/>
        <v>37.564220399999996</v>
      </c>
      <c r="AC480" s="118">
        <f>AC479+AE480</f>
        <v>183.61065102056881</v>
      </c>
      <c r="AD480" s="3">
        <f t="shared" si="159"/>
        <v>18.782110199999998</v>
      </c>
      <c r="AE480" s="3">
        <f t="shared" si="160"/>
        <v>18.782110199999998</v>
      </c>
      <c r="AF480" s="329" t="str">
        <f t="shared" si="161"/>
        <v>TRK_261_3</v>
      </c>
      <c r="AG480" t="s">
        <v>5461</v>
      </c>
      <c r="AH480" t="s">
        <v>5460</v>
      </c>
      <c r="AI480" t="s">
        <v>5459</v>
      </c>
      <c r="AJ480">
        <v>0.29404599999999997</v>
      </c>
      <c r="AK480">
        <v>4.7659770000000004</v>
      </c>
      <c r="AL480">
        <v>4.4719309999999997</v>
      </c>
      <c r="AM480">
        <v>39.352995</v>
      </c>
      <c r="AN480" s="328">
        <f t="shared" si="162"/>
        <v>37.564220399999996</v>
      </c>
      <c r="AP480" s="327" t="s">
        <v>5458</v>
      </c>
    </row>
    <row r="481" spans="10:42" ht="13.5" customHeight="1">
      <c r="N481" s="286" t="s">
        <v>5457</v>
      </c>
      <c r="O481" s="326"/>
      <c r="P481" s="32"/>
      <c r="Q481" s="339">
        <f>Q488</f>
        <v>645954473.13390243</v>
      </c>
      <c r="R481" s="338">
        <f>Z488</f>
        <v>645955063.86945069</v>
      </c>
      <c r="S481" s="190"/>
      <c r="T481" s="190"/>
      <c r="U481" s="337"/>
      <c r="V481" s="336">
        <f>V488</f>
        <v>2347763.7749999999</v>
      </c>
      <c r="W481" s="340">
        <f>X480</f>
        <v>2347763.7749999999</v>
      </c>
      <c r="X481" s="332">
        <f t="shared" si="153"/>
        <v>0</v>
      </c>
      <c r="Y481" s="331"/>
      <c r="Z481" s="335"/>
      <c r="AA481" s="77"/>
      <c r="AC481" s="118"/>
      <c r="AD481" s="3"/>
      <c r="AE481" s="3"/>
      <c r="AF481" s="329"/>
      <c r="AN481" s="328"/>
      <c r="AP481" s="327"/>
    </row>
    <row r="482" spans="10:42" ht="13.5" customHeight="1">
      <c r="N482" s="286" t="s">
        <v>5457</v>
      </c>
      <c r="O482" s="326" t="str">
        <f>AG482</f>
        <v>263/08:07</v>
      </c>
      <c r="P482" s="32" t="str">
        <f>MID(AH482,5,5)</f>
        <v>263_1</v>
      </c>
      <c r="Q482" s="339">
        <f>Q489</f>
        <v>645955062.86945069</v>
      </c>
      <c r="R482" s="338">
        <f>Z489</f>
        <v>645955295.29034281</v>
      </c>
      <c r="S482" s="190"/>
      <c r="T482" s="190"/>
      <c r="U482" s="337"/>
      <c r="V482" s="336">
        <f>V489</f>
        <v>921356.1</v>
      </c>
      <c r="W482" s="20">
        <f>AA482*1000000/8</f>
        <v>921356.1</v>
      </c>
      <c r="X482" s="332">
        <f t="shared" si="153"/>
        <v>0</v>
      </c>
      <c r="Y482" s="331"/>
      <c r="Z482" s="335">
        <f>AA482</f>
        <v>7.3708488000000001</v>
      </c>
      <c r="AA482" s="77">
        <f>AN482</f>
        <v>7.3708488000000001</v>
      </c>
      <c r="AC482" s="118">
        <f>AC480+AE482</f>
        <v>190.98149982056881</v>
      </c>
      <c r="AD482" s="3">
        <f>X482*8/1000000</f>
        <v>0</v>
      </c>
      <c r="AE482" s="3">
        <f>V482*8/1000000</f>
        <v>7.3708488000000001</v>
      </c>
      <c r="AF482" s="329" t="str">
        <f>AH482</f>
        <v>TRK_263_1</v>
      </c>
      <c r="AG482" t="s">
        <v>5456</v>
      </c>
      <c r="AH482" t="s">
        <v>5455</v>
      </c>
      <c r="AI482" t="s">
        <v>5454</v>
      </c>
      <c r="AJ482">
        <v>0.28040999999999999</v>
      </c>
      <c r="AK482">
        <v>1.1578919999999999</v>
      </c>
      <c r="AL482">
        <v>0.87748199999999998</v>
      </c>
      <c r="AM482">
        <v>7.7218369999999998</v>
      </c>
      <c r="AN482" s="328">
        <f>AL482*8*1.05</f>
        <v>7.3708488000000001</v>
      </c>
      <c r="AP482" s="327" t="s">
        <v>5453</v>
      </c>
    </row>
    <row r="483" spans="10:42" ht="13.5" customHeight="1">
      <c r="J483" t="s">
        <v>228</v>
      </c>
      <c r="K483" t="s">
        <v>825</v>
      </c>
      <c r="L483" s="94" t="str" cm="1">
        <f t="array" aca="1" ref="L483" ca="1">MID(met2utc(Q483),3,12)</f>
        <v>26-248/00:37</v>
      </c>
      <c r="M483" s="94" t="str" cm="1">
        <f t="array" aca="1" ref="M483" ca="1">MID(met2utc(R483),3,12)</f>
        <v>26-263/15:51</v>
      </c>
      <c r="N483" t="s">
        <v>5452</v>
      </c>
      <c r="O483" s="326" t="str">
        <f>AG483</f>
        <v>263/18:11</v>
      </c>
      <c r="P483" s="32" t="str">
        <f>MID(AH483,5,5)</f>
        <v>263_2</v>
      </c>
      <c r="Q483" s="58">
        <f>R458-3</f>
        <v>650874593.07753575</v>
      </c>
      <c r="R483" s="334">
        <v>652225386</v>
      </c>
      <c r="S483" s="333">
        <f>R483-Q483</f>
        <v>1350792.9224642515</v>
      </c>
      <c r="T483" s="333">
        <f>S483*$S$2</f>
        <v>683050.7709562704</v>
      </c>
      <c r="U483" s="3">
        <v>0</v>
      </c>
      <c r="V483" s="20">
        <f>T483+U483*$V$38</f>
        <v>683050.7709562704</v>
      </c>
      <c r="W483" s="20">
        <f>AA483*1000000/8</f>
        <v>703327.8</v>
      </c>
      <c r="X483" s="332">
        <f t="shared" si="153"/>
        <v>20277.02904372965</v>
      </c>
      <c r="Y483" s="331"/>
      <c r="Z483" s="330"/>
      <c r="AA483" s="77">
        <f>AN483</f>
        <v>5.6266224000000005</v>
      </c>
      <c r="AC483" s="129">
        <f>AE483+AC458</f>
        <v>10.60658376764993</v>
      </c>
      <c r="AD483" s="3">
        <f>X483*8/1000000</f>
        <v>0.1622162323498372</v>
      </c>
      <c r="AE483" s="3">
        <f>V483*8/1000000</f>
        <v>5.4644061676501634</v>
      </c>
      <c r="AF483" s="329" t="str">
        <f>AH483</f>
        <v>TRK_263_2</v>
      </c>
      <c r="AG483" t="s">
        <v>5451</v>
      </c>
      <c r="AH483" t="s">
        <v>5450</v>
      </c>
      <c r="AI483" t="s">
        <v>5449</v>
      </c>
      <c r="AJ483">
        <v>0.195407</v>
      </c>
      <c r="AK483">
        <v>0.86524299999999998</v>
      </c>
      <c r="AL483">
        <v>0.66983599999999999</v>
      </c>
      <c r="AM483">
        <v>5.8945550000000004</v>
      </c>
      <c r="AN483" s="328">
        <f>AL483*8*1.05</f>
        <v>5.6266224000000005</v>
      </c>
      <c r="AP483" s="327" t="s">
        <v>5448</v>
      </c>
    </row>
    <row r="484" spans="10:42" ht="13.5" customHeight="1">
      <c r="O484" s="326"/>
      <c r="AM484">
        <f>SUM(AM452:AM483)</f>
        <v>260.41025799999994</v>
      </c>
    </row>
    <row r="485" spans="10:42" ht="13.5" customHeight="1">
      <c r="O485" s="326"/>
      <c r="Q485" t="s">
        <v>5447</v>
      </c>
      <c r="W485" t="s">
        <v>5446</v>
      </c>
      <c r="AD485" t="s">
        <v>5445</v>
      </c>
      <c r="AE485" t="s">
        <v>5444</v>
      </c>
      <c r="AF485" t="s">
        <v>5443</v>
      </c>
      <c r="AG485" t="s">
        <v>5442</v>
      </c>
      <c r="AJ485" s="3"/>
    </row>
    <row r="486" spans="10:42" ht="13.5" customHeight="1">
      <c r="Q486" t="s">
        <v>5441</v>
      </c>
      <c r="R486" t="s">
        <v>5440</v>
      </c>
      <c r="S486" t="s">
        <v>5439</v>
      </c>
      <c r="U486" t="s">
        <v>5438</v>
      </c>
      <c r="V486" t="s">
        <v>5437</v>
      </c>
      <c r="W486" t="s">
        <v>5436</v>
      </c>
      <c r="X486" t="s">
        <v>5435</v>
      </c>
      <c r="Y486" t="s">
        <v>5434</v>
      </c>
      <c r="Z486" t="s">
        <v>6</v>
      </c>
    </row>
    <row r="487" spans="10:42" ht="13.5" customHeight="1">
      <c r="P487" t="s">
        <v>5433</v>
      </c>
      <c r="Q487" s="307">
        <v>645953884</v>
      </c>
      <c r="R487">
        <v>645955455</v>
      </c>
      <c r="S487">
        <f>R487-Q487</f>
        <v>1571</v>
      </c>
      <c r="U487" s="324">
        <f>AA480/2</f>
        <v>18.782110199999998</v>
      </c>
      <c r="V487" s="5">
        <f>U487*1000000/8</f>
        <v>2347763.7749999999</v>
      </c>
      <c r="W487">
        <f>50*1000000/8</f>
        <v>6250000</v>
      </c>
      <c r="X487">
        <f>V487/W487</f>
        <v>0.37564220399999998</v>
      </c>
      <c r="Y487">
        <f>X487*S487</f>
        <v>590.13390248399992</v>
      </c>
      <c r="Z487" s="325">
        <f>Q487+Y487</f>
        <v>645954474.13390243</v>
      </c>
    </row>
    <row r="488" spans="10:42" ht="13.5" customHeight="1">
      <c r="Q488" s="307">
        <f>Z487-1</f>
        <v>645954473.13390243</v>
      </c>
      <c r="R488">
        <v>645955455</v>
      </c>
      <c r="S488" s="5">
        <f>R488-Q488</f>
        <v>981.86609756946564</v>
      </c>
      <c r="U488" s="324">
        <f>U487</f>
        <v>18.782110199999998</v>
      </c>
      <c r="V488" s="5">
        <f>U488*1000000/8</f>
        <v>2347763.7749999999</v>
      </c>
      <c r="W488">
        <f>W487-V487</f>
        <v>3902236.2250000001</v>
      </c>
      <c r="X488">
        <f>V488/W488</f>
        <v>0.60164573327438675</v>
      </c>
      <c r="Y488">
        <f>X488*S488</f>
        <v>590.73554824944176</v>
      </c>
      <c r="Z488" s="307">
        <f>Q488+Y488</f>
        <v>645955063.86945069</v>
      </c>
    </row>
    <row r="489" spans="10:42" ht="13.5" customHeight="1">
      <c r="P489" t="s">
        <v>5432</v>
      </c>
      <c r="Q489" s="307">
        <f>Z488-1</f>
        <v>645955062.86945069</v>
      </c>
      <c r="R489">
        <v>645955455</v>
      </c>
      <c r="S489" s="5">
        <f>R489-Q489</f>
        <v>392.13054931163788</v>
      </c>
      <c r="U489" s="324">
        <f>AA482</f>
        <v>7.3708488000000001</v>
      </c>
      <c r="V489" s="5">
        <f>U489*1000000/8</f>
        <v>921356.1</v>
      </c>
      <c r="W489">
        <f>W488-V488</f>
        <v>1554472.4500000002</v>
      </c>
      <c r="X489">
        <f>V489/W489</f>
        <v>0.59271304550942661</v>
      </c>
      <c r="Y489">
        <f>X489*S489</f>
        <v>232.42089211978526</v>
      </c>
      <c r="Z489" s="307">
        <f>Q489+Y489</f>
        <v>645955295.29034281</v>
      </c>
    </row>
    <row r="490" spans="10:42" ht="13.5" customHeight="1">
      <c r="Q490" s="5">
        <f>Z489-1</f>
        <v>645955294.29034281</v>
      </c>
      <c r="R490">
        <v>645955455</v>
      </c>
      <c r="S490" s="5">
        <f>R490-Q490</f>
        <v>160.70965719223022</v>
      </c>
      <c r="U490" s="324">
        <f>50-U487-U488-U489</f>
        <v>5.0649308000000035</v>
      </c>
      <c r="V490" s="5">
        <f>U490*1000000/8</f>
        <v>633116.35000000044</v>
      </c>
      <c r="W490">
        <f>W489-V489</f>
        <v>633116.35000000021</v>
      </c>
      <c r="X490">
        <f>V490/W490</f>
        <v>1.0000000000000004</v>
      </c>
      <c r="Y490">
        <f>X490*S490</f>
        <v>160.70965719223031</v>
      </c>
      <c r="Z490" s="5">
        <f>Q490+Y490</f>
        <v>645955455</v>
      </c>
    </row>
  </sheetData>
  <conditionalFormatting sqref="C1:K1048576">
    <cfRule type="expression" dxfId="43" priority="2" stopIfTrue="1">
      <formula>_xlfn.TEXTJOIN("",FALSE,$E1:$K1)="HSK3DT1DT2DT3DT4SDT1HSK4"</formula>
    </cfRule>
    <cfRule type="expression" dxfId="42" priority="10" stopIfTrue="1">
      <formula>AND(_xlfn.TEXTJOIN("",FALSE,$E1:$I1) &lt;&gt;"",_xlfn.TEXTJOIN("",FALSE,$J1:$K1) &lt;&gt; "")</formula>
    </cfRule>
  </conditionalFormatting>
  <conditionalFormatting sqref="E1:K1048576">
    <cfRule type="expression" dxfId="41" priority="11" stopIfTrue="1">
      <formula>NOT(OR(EXACT(E1,""),EXACT(E1,E$1)))</formula>
    </cfRule>
  </conditionalFormatting>
  <conditionalFormatting sqref="O1:P1048576 E1:K1048576">
    <cfRule type="expression" dxfId="40" priority="8" stopIfTrue="1">
      <formula>AND(_xlfn.XOR(_xlfn.TEXTJOIN("",TRUE,$E1:$I1)&lt;&gt;"",_xlfn.TEXTJOIN("",TRUE,$J1:$K1)&lt;&gt;""),$O1="",$P1="")</formula>
    </cfRule>
  </conditionalFormatting>
  <conditionalFormatting sqref="X9">
    <cfRule type="expression" dxfId="39" priority="1" stopIfTrue="1">
      <formula>AND(_xlfn.XOR(_xlfn.TEXTJOIN("",TRUE,$E9:$I9)&lt;&gt;"",_xlfn.TEXTJOIN("",TRUE,$J9:$K9)&lt;&gt;""),$O9="",$P9="")</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print="0" autoFill="0" autoPict="0" macro="[0]!ExportToSASF" altText="Write SASF">
                <anchor moveWithCells="1">
                  <from>
                    <xdr:col>0</xdr:col>
                    <xdr:colOff>0</xdr:colOff>
                    <xdr:row>0</xdr:row>
                    <xdr:rowOff>0</xdr:rowOff>
                  </from>
                  <to>
                    <xdr:col>0</xdr:col>
                    <xdr:colOff>1704975</xdr:colOff>
                    <xdr:row>1</xdr:row>
                    <xdr:rowOff>180975</xdr:rowOff>
                  </to>
                </anchor>
              </controlPr>
            </control>
          </mc:Choice>
        </mc:AlternateContent>
        <mc:AlternateContent xmlns:mc="http://schemas.openxmlformats.org/markup-compatibility/2006">
          <mc:Choice Requires="x14">
            <control shapeId="90269" r:id="rId5" name="Button 157">
              <controlPr defaultSize="0" print="0" autoFill="0" autoPict="0" macro="[0]!tl_update_from_pbws" altText="Write SASF">
                <anchor moveWithCells="1">
                  <from>
                    <xdr:col>0</xdr:col>
                    <xdr:colOff>0</xdr:colOff>
                    <xdr:row>2</xdr:row>
                    <xdr:rowOff>9525</xdr:rowOff>
                  </from>
                  <to>
                    <xdr:col>0</xdr:col>
                    <xdr:colOff>1704975</xdr:colOff>
                    <xdr:row>3</xdr:row>
                    <xdr:rowOff>180975</xdr:rowOff>
                  </to>
                </anchor>
              </controlPr>
            </control>
          </mc:Choice>
        </mc:AlternateContent>
        <mc:AlternateContent xmlns:mc="http://schemas.openxmlformats.org/markup-compatibility/2006">
          <mc:Choice Requires="x14">
            <control shapeId="90270" r:id="rId6" name="Button 158">
              <controlPr defaultSize="0" print="0" autoFill="0" autoPict="0" macro="[0]!TriggerFormMacro">
                <anchor moveWithCells="1" sizeWithCells="1">
                  <from>
                    <xdr:col>0</xdr:col>
                    <xdr:colOff>47625</xdr:colOff>
                    <xdr:row>4</xdr:row>
                    <xdr:rowOff>28575</xdr:rowOff>
                  </from>
                  <to>
                    <xdr:col>0</xdr:col>
                    <xdr:colOff>1695450</xdr:colOff>
                    <xdr:row>5</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F3F6B1-D516-4FFB-96A9-224F41B2807F}">
  <dimension ref="A1:BB336"/>
  <sheetViews>
    <sheetView tabSelected="1" workbookViewId="0">
      <selection activeCell="J180" sqref="J180"/>
    </sheetView>
  </sheetViews>
  <sheetFormatPr defaultRowHeight="15"/>
  <cols>
    <col min="1" max="2" width="11.5703125" bestFit="1" customWidth="1"/>
    <col min="3" max="3" width="10" bestFit="1" customWidth="1"/>
    <col min="4" max="4" width="12.42578125" bestFit="1" customWidth="1"/>
    <col min="5" max="5" width="14.140625" bestFit="1" customWidth="1"/>
    <col min="6" max="6" width="12.28515625" bestFit="1" customWidth="1"/>
    <col min="7" max="7" width="11.42578125" bestFit="1" customWidth="1"/>
    <col min="8" max="14" width="3.7109375" bestFit="1" customWidth="1"/>
    <col min="15" max="15" width="13.7109375" bestFit="1" customWidth="1"/>
    <col min="16" max="17" width="9.140625" bestFit="1" customWidth="1"/>
    <col min="18" max="21" width="7.7109375" bestFit="1" customWidth="1"/>
    <col min="22" max="28" width="6.7109375" bestFit="1" customWidth="1"/>
    <col min="29" max="31" width="6.7109375" customWidth="1"/>
    <col min="32" max="33" width="6.7109375" bestFit="1" customWidth="1"/>
    <col min="34" max="36" width="16.42578125" bestFit="1" customWidth="1"/>
    <col min="38" max="38" width="27.140625" customWidth="1"/>
    <col min="39" max="54" width="3.42578125" style="3" customWidth="1"/>
  </cols>
  <sheetData>
    <row r="1" spans="1:54" ht="49.5">
      <c r="A1" t="s">
        <v>5911</v>
      </c>
      <c r="B1" t="s">
        <v>5912</v>
      </c>
      <c r="C1" t="s">
        <v>5282</v>
      </c>
      <c r="D1" t="s">
        <v>5348</v>
      </c>
      <c r="E1" t="s">
        <v>5909</v>
      </c>
      <c r="F1" t="s">
        <v>5913</v>
      </c>
      <c r="G1" t="s">
        <v>5914</v>
      </c>
      <c r="H1" s="559" t="s">
        <v>6271</v>
      </c>
      <c r="I1" s="559" t="s">
        <v>6273</v>
      </c>
      <c r="J1" s="559" t="s">
        <v>6272</v>
      </c>
      <c r="K1" s="559" t="s">
        <v>6275</v>
      </c>
      <c r="L1" s="559" t="s">
        <v>6274</v>
      </c>
      <c r="M1" s="559" t="s">
        <v>6280</v>
      </c>
      <c r="N1" s="559" t="s">
        <v>6281</v>
      </c>
      <c r="Q1" s="3"/>
      <c r="R1" s="3"/>
      <c r="S1" s="3"/>
      <c r="T1" s="3"/>
      <c r="U1" s="3"/>
      <c r="V1" s="3"/>
      <c r="W1" s="3"/>
      <c r="X1" s="3"/>
      <c r="Y1" s="3"/>
      <c r="Z1" s="3"/>
      <c r="AA1" s="3"/>
      <c r="AB1" s="3"/>
      <c r="AC1" s="3"/>
      <c r="AD1" s="3"/>
      <c r="AE1" s="3"/>
      <c r="AF1" s="3"/>
      <c r="AM1"/>
      <c r="AN1"/>
      <c r="AO1"/>
      <c r="AP1"/>
      <c r="AQ1"/>
      <c r="AR1"/>
      <c r="AS1"/>
      <c r="AT1"/>
      <c r="AU1"/>
      <c r="AV1"/>
      <c r="AW1"/>
      <c r="AX1"/>
      <c r="AY1"/>
      <c r="AZ1"/>
      <c r="BA1"/>
      <c r="BB1"/>
    </row>
    <row r="2" spans="1:54">
      <c r="A2" t="s">
        <v>5915</v>
      </c>
      <c r="B2" t="s">
        <v>5916</v>
      </c>
      <c r="C2">
        <v>457591922</v>
      </c>
      <c r="D2" t="s">
        <v>5910</v>
      </c>
      <c r="E2" t="s">
        <v>6276</v>
      </c>
      <c r="F2">
        <v>443711570</v>
      </c>
      <c r="G2">
        <v>443797673</v>
      </c>
      <c r="H2">
        <v>1</v>
      </c>
      <c r="I2">
        <v>1</v>
      </c>
      <c r="J2">
        <v>0</v>
      </c>
      <c r="K2">
        <v>0</v>
      </c>
      <c r="L2">
        <v>0</v>
      </c>
      <c r="M2">
        <v>0</v>
      </c>
      <c r="N2">
        <v>0</v>
      </c>
      <c r="Q2" s="3"/>
      <c r="R2" s="3"/>
      <c r="S2" s="3"/>
      <c r="T2" s="3"/>
      <c r="U2" s="3"/>
      <c r="V2" s="3"/>
      <c r="W2" s="3"/>
      <c r="X2" s="3"/>
      <c r="Y2" s="3"/>
      <c r="Z2" s="3"/>
      <c r="AA2" s="3"/>
      <c r="AB2" s="3"/>
      <c r="AC2" s="3"/>
      <c r="AD2" s="3"/>
      <c r="AE2" s="3"/>
      <c r="AF2" s="3"/>
      <c r="AM2"/>
      <c r="AN2"/>
      <c r="AO2"/>
      <c r="AP2"/>
      <c r="AQ2"/>
      <c r="AR2"/>
      <c r="AS2"/>
      <c r="AT2"/>
      <c r="AU2"/>
      <c r="AV2"/>
      <c r="AW2"/>
      <c r="AX2"/>
      <c r="AY2"/>
      <c r="AZ2"/>
      <c r="BA2"/>
      <c r="BB2"/>
    </row>
    <row r="3" spans="1:54">
      <c r="A3" t="s">
        <v>5917</v>
      </c>
      <c r="B3" t="s">
        <v>5918</v>
      </c>
      <c r="C3">
        <v>457591927</v>
      </c>
      <c r="D3" t="s">
        <v>5910</v>
      </c>
      <c r="E3" t="s">
        <v>6276</v>
      </c>
      <c r="F3">
        <v>443797670</v>
      </c>
      <c r="G3">
        <v>443948273</v>
      </c>
      <c r="H3">
        <v>1</v>
      </c>
      <c r="I3">
        <v>1</v>
      </c>
      <c r="J3">
        <v>0</v>
      </c>
      <c r="K3">
        <v>0</v>
      </c>
      <c r="L3">
        <v>0</v>
      </c>
      <c r="M3">
        <v>0</v>
      </c>
      <c r="N3">
        <v>0</v>
      </c>
      <c r="Q3" s="3"/>
      <c r="R3" s="3"/>
      <c r="S3" s="3"/>
      <c r="T3" s="3"/>
      <c r="U3" s="3"/>
      <c r="V3" s="3"/>
      <c r="W3" s="3"/>
      <c r="X3" s="3"/>
      <c r="Y3" s="3"/>
      <c r="Z3" s="3"/>
      <c r="AA3" s="3"/>
      <c r="AB3" s="3"/>
      <c r="AC3" s="3"/>
      <c r="AD3" s="3"/>
      <c r="AE3" s="3"/>
      <c r="AF3" s="3"/>
      <c r="AM3"/>
      <c r="AN3"/>
      <c r="AO3"/>
      <c r="AP3"/>
      <c r="AQ3"/>
      <c r="AR3"/>
      <c r="AS3"/>
      <c r="AT3"/>
      <c r="AU3"/>
      <c r="AV3"/>
      <c r="AW3"/>
      <c r="AX3"/>
      <c r="AY3"/>
      <c r="AZ3"/>
      <c r="BA3"/>
      <c r="BB3"/>
    </row>
    <row r="4" spans="1:54">
      <c r="A4" t="s">
        <v>5919</v>
      </c>
      <c r="B4" t="s">
        <v>5920</v>
      </c>
      <c r="C4">
        <v>457591932</v>
      </c>
      <c r="D4" t="s">
        <v>5910</v>
      </c>
      <c r="E4" t="s">
        <v>6277</v>
      </c>
      <c r="F4">
        <v>443948267</v>
      </c>
      <c r="G4">
        <v>444034670</v>
      </c>
      <c r="H4">
        <v>0</v>
      </c>
      <c r="I4">
        <v>0</v>
      </c>
      <c r="J4">
        <v>1</v>
      </c>
      <c r="K4">
        <v>1</v>
      </c>
      <c r="L4">
        <v>1</v>
      </c>
      <c r="M4">
        <v>0</v>
      </c>
      <c r="N4">
        <v>0</v>
      </c>
      <c r="Q4" s="3"/>
      <c r="R4" s="3"/>
      <c r="S4" s="3"/>
      <c r="T4" s="3"/>
      <c r="U4" s="3"/>
      <c r="V4" s="3"/>
      <c r="W4" s="3"/>
      <c r="X4" s="3"/>
      <c r="Y4" s="3"/>
      <c r="Z4" s="3"/>
      <c r="AA4" s="3"/>
      <c r="AB4" s="3"/>
      <c r="AC4" s="3"/>
      <c r="AD4" s="3"/>
      <c r="AE4" s="3"/>
      <c r="AF4" s="3"/>
      <c r="AM4"/>
      <c r="AN4"/>
      <c r="AO4"/>
      <c r="AP4"/>
      <c r="AQ4"/>
      <c r="AR4"/>
      <c r="AS4"/>
      <c r="AT4"/>
      <c r="AU4"/>
      <c r="AV4"/>
      <c r="AW4"/>
      <c r="AX4"/>
      <c r="AY4"/>
      <c r="AZ4"/>
      <c r="BA4"/>
      <c r="BB4"/>
    </row>
    <row r="5" spans="1:54">
      <c r="A5" t="s">
        <v>5921</v>
      </c>
      <c r="B5" t="s">
        <v>5922</v>
      </c>
      <c r="C5">
        <v>457591937</v>
      </c>
      <c r="D5" t="s">
        <v>5910</v>
      </c>
      <c r="E5" t="s">
        <v>6276</v>
      </c>
      <c r="F5">
        <v>443948270</v>
      </c>
      <c r="G5">
        <v>444034673</v>
      </c>
      <c r="H5">
        <v>1</v>
      </c>
      <c r="I5">
        <v>1</v>
      </c>
      <c r="J5">
        <v>0</v>
      </c>
      <c r="K5">
        <v>0</v>
      </c>
      <c r="L5">
        <v>0</v>
      </c>
      <c r="M5">
        <v>0</v>
      </c>
      <c r="N5">
        <v>0</v>
      </c>
      <c r="Q5" s="3"/>
      <c r="R5" s="3"/>
      <c r="S5" s="3"/>
      <c r="T5" s="3"/>
      <c r="U5" s="3"/>
      <c r="V5" s="3"/>
      <c r="W5" s="3"/>
      <c r="X5" s="3"/>
      <c r="Y5" s="3"/>
      <c r="Z5" s="3"/>
      <c r="AA5" s="3"/>
      <c r="AB5" s="3"/>
      <c r="AC5" s="3"/>
      <c r="AD5" s="3"/>
      <c r="AE5" s="3"/>
      <c r="AF5" s="3"/>
      <c r="AM5"/>
      <c r="AN5"/>
      <c r="AO5"/>
      <c r="AP5"/>
      <c r="AQ5"/>
      <c r="AR5"/>
      <c r="AS5"/>
      <c r="AT5"/>
      <c r="AU5"/>
      <c r="AV5"/>
      <c r="AW5"/>
      <c r="AX5"/>
      <c r="AY5"/>
      <c r="AZ5"/>
      <c r="BA5"/>
      <c r="BB5"/>
    </row>
    <row r="6" spans="1:54">
      <c r="A6" t="s">
        <v>5923</v>
      </c>
      <c r="B6" t="s">
        <v>5924</v>
      </c>
      <c r="C6">
        <v>457591942</v>
      </c>
      <c r="D6" t="s">
        <v>5910</v>
      </c>
      <c r="E6" t="s">
        <v>6277</v>
      </c>
      <c r="F6">
        <v>444034667</v>
      </c>
      <c r="G6">
        <v>444144170</v>
      </c>
      <c r="H6">
        <v>0</v>
      </c>
      <c r="I6">
        <v>0</v>
      </c>
      <c r="J6">
        <v>1</v>
      </c>
      <c r="K6">
        <v>1</v>
      </c>
      <c r="L6">
        <v>1</v>
      </c>
      <c r="M6">
        <v>0</v>
      </c>
      <c r="N6">
        <v>0</v>
      </c>
      <c r="Q6" s="3"/>
      <c r="R6" s="3"/>
      <c r="S6" s="3"/>
      <c r="T6" s="3"/>
      <c r="U6" s="3"/>
      <c r="V6" s="3"/>
      <c r="W6" s="3"/>
      <c r="X6" s="3"/>
      <c r="Y6" s="3"/>
      <c r="Z6" s="3"/>
      <c r="AA6" s="3"/>
      <c r="AB6" s="3"/>
      <c r="AC6" s="3"/>
      <c r="AD6" s="3"/>
      <c r="AE6" s="3"/>
      <c r="AF6" s="3"/>
      <c r="AM6"/>
      <c r="AN6"/>
      <c r="AO6"/>
      <c r="AP6"/>
      <c r="AQ6"/>
      <c r="AR6"/>
      <c r="AS6"/>
      <c r="AT6"/>
      <c r="AU6"/>
      <c r="AV6"/>
      <c r="AW6"/>
      <c r="AX6"/>
      <c r="AY6"/>
      <c r="AZ6"/>
      <c r="BA6"/>
      <c r="BB6"/>
    </row>
    <row r="7" spans="1:54">
      <c r="A7" t="s">
        <v>5925</v>
      </c>
      <c r="B7" t="s">
        <v>5926</v>
      </c>
      <c r="C7">
        <v>457643522</v>
      </c>
      <c r="D7" t="s">
        <v>5910</v>
      </c>
      <c r="E7" t="s">
        <v>6276</v>
      </c>
      <c r="F7">
        <v>444034670</v>
      </c>
      <c r="G7">
        <v>444144173</v>
      </c>
      <c r="H7">
        <v>1</v>
      </c>
      <c r="I7">
        <v>1</v>
      </c>
      <c r="J7">
        <v>0</v>
      </c>
      <c r="K7">
        <v>0</v>
      </c>
      <c r="L7">
        <v>0</v>
      </c>
      <c r="M7">
        <v>0</v>
      </c>
      <c r="N7">
        <v>0</v>
      </c>
      <c r="Q7" s="3"/>
      <c r="R7" s="3"/>
      <c r="S7" s="3"/>
      <c r="T7" s="3"/>
      <c r="U7" s="3"/>
      <c r="V7" s="3"/>
      <c r="W7" s="3"/>
      <c r="X7" s="3"/>
      <c r="Y7" s="3"/>
      <c r="Z7" s="3"/>
      <c r="AA7" s="3"/>
      <c r="AB7" s="3"/>
      <c r="AC7" s="3"/>
      <c r="AD7" s="3"/>
      <c r="AE7" s="3"/>
      <c r="AF7" s="3"/>
      <c r="AM7"/>
      <c r="AN7"/>
      <c r="AO7"/>
      <c r="AP7"/>
      <c r="AQ7"/>
      <c r="AR7"/>
      <c r="AS7"/>
      <c r="AT7"/>
      <c r="AU7"/>
      <c r="AV7"/>
      <c r="AW7"/>
      <c r="AX7"/>
      <c r="AY7"/>
      <c r="AZ7"/>
      <c r="BA7"/>
      <c r="BB7"/>
    </row>
    <row r="8" spans="1:54">
      <c r="A8" t="s">
        <v>5927</v>
      </c>
      <c r="B8" t="s">
        <v>5928</v>
      </c>
      <c r="C8">
        <v>457643527</v>
      </c>
      <c r="D8" t="s">
        <v>5910</v>
      </c>
      <c r="E8" t="s">
        <v>6277</v>
      </c>
      <c r="F8">
        <v>444144167</v>
      </c>
      <c r="G8">
        <v>444214970</v>
      </c>
      <c r="H8">
        <v>0</v>
      </c>
      <c r="I8">
        <v>0</v>
      </c>
      <c r="J8">
        <v>1</v>
      </c>
      <c r="K8">
        <v>1</v>
      </c>
      <c r="L8">
        <v>1</v>
      </c>
      <c r="M8">
        <v>0</v>
      </c>
      <c r="N8">
        <v>0</v>
      </c>
      <c r="Q8" s="3"/>
      <c r="R8" s="3"/>
      <c r="S8" s="3"/>
      <c r="T8" s="3"/>
      <c r="U8" s="3"/>
      <c r="V8" s="3"/>
      <c r="W8" s="3"/>
      <c r="X8" s="3"/>
      <c r="Y8" s="3"/>
      <c r="Z8" s="3"/>
      <c r="AA8" s="3"/>
      <c r="AB8" s="3"/>
      <c r="AC8" s="3"/>
      <c r="AD8" s="3"/>
      <c r="AE8" s="3"/>
      <c r="AF8" s="3"/>
      <c r="AM8"/>
      <c r="AN8"/>
      <c r="AO8"/>
      <c r="AP8"/>
      <c r="AQ8"/>
      <c r="AR8"/>
      <c r="AS8"/>
      <c r="AT8"/>
      <c r="AU8"/>
      <c r="AV8"/>
      <c r="AW8"/>
      <c r="AX8"/>
      <c r="AY8"/>
      <c r="AZ8"/>
      <c r="BA8"/>
      <c r="BB8"/>
    </row>
    <row r="9" spans="1:54">
      <c r="A9" t="s">
        <v>5929</v>
      </c>
      <c r="B9" t="s">
        <v>5930</v>
      </c>
      <c r="C9">
        <v>457643532</v>
      </c>
      <c r="D9" t="s">
        <v>5910</v>
      </c>
      <c r="E9" t="s">
        <v>6276</v>
      </c>
      <c r="F9">
        <v>444144170</v>
      </c>
      <c r="G9">
        <v>444214973</v>
      </c>
      <c r="H9">
        <v>1</v>
      </c>
      <c r="I9">
        <v>1</v>
      </c>
      <c r="J9">
        <v>0</v>
      </c>
      <c r="K9">
        <v>0</v>
      </c>
      <c r="L9">
        <v>0</v>
      </c>
      <c r="M9">
        <v>0</v>
      </c>
      <c r="N9">
        <v>0</v>
      </c>
      <c r="Q9" s="3"/>
      <c r="R9" s="3"/>
      <c r="S9" s="3"/>
      <c r="T9" s="3"/>
      <c r="U9" s="3"/>
      <c r="V9" s="3"/>
      <c r="W9" s="3"/>
      <c r="X9" s="3"/>
      <c r="Y9" s="3"/>
      <c r="Z9" s="3"/>
      <c r="AA9" s="3"/>
      <c r="AB9" s="3"/>
      <c r="AC9" s="3"/>
      <c r="AD9" s="3"/>
      <c r="AE9" s="3"/>
      <c r="AF9" s="3"/>
      <c r="AM9"/>
      <c r="AN9"/>
      <c r="AO9"/>
      <c r="AP9"/>
      <c r="AQ9"/>
      <c r="AR9"/>
      <c r="AS9"/>
      <c r="AT9"/>
      <c r="AU9"/>
      <c r="AV9"/>
      <c r="AW9"/>
      <c r="AX9"/>
      <c r="AY9"/>
      <c r="AZ9"/>
      <c r="BA9"/>
      <c r="BB9"/>
    </row>
    <row r="10" spans="1:54">
      <c r="A10" t="s">
        <v>5931</v>
      </c>
      <c r="B10" t="s">
        <v>5932</v>
      </c>
      <c r="C10">
        <v>457643537</v>
      </c>
      <c r="D10" t="s">
        <v>5910</v>
      </c>
      <c r="E10" t="s">
        <v>6277</v>
      </c>
      <c r="F10">
        <v>444214967</v>
      </c>
      <c r="G10">
        <v>444418070</v>
      </c>
      <c r="H10">
        <v>0</v>
      </c>
      <c r="I10">
        <v>0</v>
      </c>
      <c r="J10">
        <v>1</v>
      </c>
      <c r="K10">
        <v>1</v>
      </c>
      <c r="L10">
        <v>1</v>
      </c>
      <c r="M10">
        <v>0</v>
      </c>
      <c r="N10">
        <v>0</v>
      </c>
      <c r="Q10" s="3"/>
      <c r="R10" s="3"/>
      <c r="S10" s="3"/>
      <c r="T10" s="3"/>
      <c r="U10" s="3"/>
      <c r="V10" s="3"/>
      <c r="W10" s="3"/>
      <c r="X10" s="3"/>
      <c r="Y10" s="3"/>
      <c r="Z10" s="3"/>
      <c r="AA10" s="3"/>
      <c r="AB10" s="3"/>
      <c r="AC10" s="3"/>
      <c r="AD10" s="3"/>
      <c r="AE10" s="3"/>
      <c r="AF10" s="3"/>
      <c r="AM10"/>
      <c r="AN10"/>
      <c r="AO10"/>
      <c r="AP10"/>
      <c r="AQ10"/>
      <c r="AR10"/>
      <c r="AS10"/>
      <c r="AT10"/>
      <c r="AU10"/>
      <c r="AV10"/>
      <c r="AW10"/>
      <c r="AX10"/>
      <c r="AY10"/>
      <c r="AZ10"/>
      <c r="BA10"/>
      <c r="BB10"/>
    </row>
    <row r="11" spans="1:54">
      <c r="A11" t="s">
        <v>5933</v>
      </c>
      <c r="B11" t="s">
        <v>5934</v>
      </c>
      <c r="C11">
        <v>457643542</v>
      </c>
      <c r="D11" t="s">
        <v>5910</v>
      </c>
      <c r="E11" t="s">
        <v>6276</v>
      </c>
      <c r="F11">
        <v>444214970</v>
      </c>
      <c r="G11">
        <v>444418073</v>
      </c>
      <c r="H11">
        <v>1</v>
      </c>
      <c r="I11">
        <v>1</v>
      </c>
      <c r="J11">
        <v>0</v>
      </c>
      <c r="K11">
        <v>0</v>
      </c>
      <c r="L11">
        <v>0</v>
      </c>
      <c r="M11">
        <v>0</v>
      </c>
      <c r="N11">
        <v>0</v>
      </c>
      <c r="Q11" s="3"/>
      <c r="R11" s="3"/>
      <c r="S11" s="3"/>
      <c r="T11" s="3"/>
      <c r="U11" s="3"/>
      <c r="V11" s="3"/>
      <c r="W11" s="3"/>
      <c r="X11" s="3"/>
      <c r="Y11" s="3"/>
      <c r="Z11" s="3"/>
      <c r="AA11" s="3"/>
      <c r="AB11" s="3"/>
      <c r="AC11" s="3"/>
      <c r="AD11" s="3"/>
      <c r="AE11" s="3"/>
      <c r="AF11" s="3"/>
      <c r="AM11"/>
      <c r="AN11"/>
      <c r="AO11"/>
      <c r="AP11"/>
      <c r="AQ11"/>
      <c r="AR11"/>
      <c r="AS11"/>
      <c r="AT11"/>
      <c r="AU11"/>
      <c r="AV11"/>
      <c r="AW11"/>
      <c r="AX11"/>
      <c r="AY11"/>
      <c r="AZ11"/>
      <c r="BA11"/>
      <c r="BB11"/>
    </row>
    <row r="12" spans="1:54">
      <c r="A12" t="s">
        <v>5935</v>
      </c>
      <c r="B12" t="s">
        <v>5936</v>
      </c>
      <c r="C12">
        <v>457729622</v>
      </c>
      <c r="D12" t="s">
        <v>5910</v>
      </c>
      <c r="E12" t="s">
        <v>6277</v>
      </c>
      <c r="F12">
        <v>444418067</v>
      </c>
      <c r="G12">
        <v>444547370</v>
      </c>
      <c r="H12">
        <v>0</v>
      </c>
      <c r="I12">
        <v>0</v>
      </c>
      <c r="J12">
        <v>1</v>
      </c>
      <c r="K12">
        <v>1</v>
      </c>
      <c r="L12">
        <v>1</v>
      </c>
      <c r="M12">
        <v>0</v>
      </c>
      <c r="N12">
        <v>0</v>
      </c>
      <c r="Q12" s="3"/>
      <c r="R12" s="3"/>
      <c r="S12" s="3"/>
      <c r="T12" s="3"/>
      <c r="U12" s="3"/>
      <c r="V12" s="3"/>
      <c r="W12" s="3"/>
      <c r="X12" s="3"/>
      <c r="Y12" s="3"/>
      <c r="Z12" s="3"/>
      <c r="AA12" s="3"/>
      <c r="AB12" s="3"/>
      <c r="AC12" s="3"/>
      <c r="AD12" s="3"/>
      <c r="AE12" s="3"/>
      <c r="AF12" s="3"/>
      <c r="AM12"/>
      <c r="AN12"/>
      <c r="AO12"/>
      <c r="AP12"/>
      <c r="AQ12"/>
      <c r="AR12"/>
      <c r="AS12"/>
      <c r="AT12"/>
      <c r="AU12"/>
      <c r="AV12"/>
      <c r="AW12"/>
      <c r="AX12"/>
      <c r="AY12"/>
      <c r="AZ12"/>
      <c r="BA12"/>
      <c r="BB12"/>
    </row>
    <row r="13" spans="1:54">
      <c r="A13" t="s">
        <v>5937</v>
      </c>
      <c r="B13" t="s">
        <v>5938</v>
      </c>
      <c r="C13">
        <v>457729627</v>
      </c>
      <c r="D13" t="s">
        <v>5910</v>
      </c>
      <c r="E13" t="s">
        <v>6276</v>
      </c>
      <c r="F13">
        <v>444418070</v>
      </c>
      <c r="G13">
        <v>444547373</v>
      </c>
      <c r="H13">
        <v>1</v>
      </c>
      <c r="I13">
        <v>1</v>
      </c>
      <c r="J13">
        <v>0</v>
      </c>
      <c r="K13">
        <v>0</v>
      </c>
      <c r="L13">
        <v>0</v>
      </c>
      <c r="M13">
        <v>0</v>
      </c>
      <c r="N13">
        <v>0</v>
      </c>
      <c r="Q13" s="3"/>
      <c r="R13" s="3"/>
      <c r="S13" s="3"/>
      <c r="T13" s="3"/>
      <c r="U13" s="3"/>
      <c r="V13" s="3"/>
      <c r="W13" s="3"/>
      <c r="X13" s="3"/>
      <c r="Y13" s="3"/>
      <c r="Z13" s="3"/>
      <c r="AA13" s="3"/>
      <c r="AB13" s="3"/>
      <c r="AC13" s="3"/>
      <c r="AD13" s="3"/>
      <c r="AE13" s="3"/>
      <c r="AF13" s="3"/>
      <c r="AM13"/>
      <c r="AN13"/>
      <c r="AO13"/>
      <c r="AP13"/>
      <c r="AQ13"/>
      <c r="AR13"/>
      <c r="AS13"/>
      <c r="AT13"/>
      <c r="AU13"/>
      <c r="AV13"/>
      <c r="AW13"/>
      <c r="AX13"/>
      <c r="AY13"/>
      <c r="AZ13"/>
      <c r="BA13"/>
      <c r="BB13"/>
    </row>
    <row r="14" spans="1:54">
      <c r="A14" t="s">
        <v>5939</v>
      </c>
      <c r="B14" t="s">
        <v>5940</v>
      </c>
      <c r="C14">
        <v>457729632</v>
      </c>
      <c r="D14" t="s">
        <v>5910</v>
      </c>
      <c r="E14" t="s">
        <v>6277</v>
      </c>
      <c r="F14">
        <v>444547367</v>
      </c>
      <c r="G14">
        <v>444659270</v>
      </c>
      <c r="H14">
        <v>0</v>
      </c>
      <c r="I14">
        <v>0</v>
      </c>
      <c r="J14">
        <v>1</v>
      </c>
      <c r="K14">
        <v>1</v>
      </c>
      <c r="L14">
        <v>1</v>
      </c>
      <c r="M14">
        <v>0</v>
      </c>
      <c r="N14">
        <v>0</v>
      </c>
      <c r="Q14" s="3"/>
      <c r="R14" s="3"/>
      <c r="S14" s="3"/>
      <c r="T14" s="3"/>
      <c r="U14" s="3"/>
      <c r="V14" s="3"/>
      <c r="W14" s="3"/>
      <c r="X14" s="3"/>
      <c r="Y14" s="3"/>
      <c r="Z14" s="3"/>
      <c r="AA14" s="3"/>
      <c r="AB14" s="3"/>
      <c r="AC14" s="3"/>
      <c r="AD14" s="3"/>
      <c r="AE14" s="3"/>
      <c r="AF14" s="3"/>
      <c r="AM14"/>
      <c r="AN14"/>
      <c r="AO14"/>
      <c r="AP14"/>
      <c r="AQ14"/>
      <c r="AR14"/>
      <c r="AS14"/>
      <c r="AT14"/>
      <c r="AU14"/>
      <c r="AV14"/>
      <c r="AW14"/>
      <c r="AX14"/>
      <c r="AY14"/>
      <c r="AZ14"/>
      <c r="BA14"/>
      <c r="BB14"/>
    </row>
    <row r="15" spans="1:54">
      <c r="A15" t="s">
        <v>5941</v>
      </c>
      <c r="B15" t="s">
        <v>5942</v>
      </c>
      <c r="C15">
        <v>457729637</v>
      </c>
      <c r="D15" t="s">
        <v>5910</v>
      </c>
      <c r="E15" t="s">
        <v>6276</v>
      </c>
      <c r="F15">
        <v>444547370</v>
      </c>
      <c r="G15">
        <v>444659273</v>
      </c>
      <c r="H15">
        <v>1</v>
      </c>
      <c r="I15">
        <v>1</v>
      </c>
      <c r="J15">
        <v>0</v>
      </c>
      <c r="K15">
        <v>0</v>
      </c>
      <c r="L15">
        <v>0</v>
      </c>
      <c r="M15">
        <v>0</v>
      </c>
      <c r="N15">
        <v>0</v>
      </c>
      <c r="Q15" s="3"/>
      <c r="R15" s="3"/>
      <c r="S15" s="3"/>
      <c r="T15" s="3"/>
      <c r="U15" s="3"/>
      <c r="V15" s="3"/>
      <c r="W15" s="3"/>
      <c r="X15" s="3"/>
      <c r="Y15" s="3"/>
      <c r="Z15" s="3"/>
      <c r="AA15" s="3"/>
      <c r="AB15" s="3"/>
      <c r="AC15" s="3"/>
      <c r="AD15" s="3"/>
      <c r="AE15" s="3"/>
      <c r="AF15" s="3"/>
      <c r="AM15"/>
      <c r="AN15"/>
      <c r="AO15"/>
      <c r="AP15"/>
      <c r="AQ15"/>
      <c r="AR15"/>
      <c r="AS15"/>
      <c r="AT15"/>
      <c r="AU15"/>
      <c r="AV15"/>
      <c r="AW15"/>
      <c r="AX15"/>
      <c r="AY15"/>
      <c r="AZ15"/>
      <c r="BA15"/>
      <c r="BB15"/>
    </row>
    <row r="16" spans="1:54">
      <c r="A16" t="s">
        <v>5943</v>
      </c>
      <c r="B16" t="s">
        <v>5944</v>
      </c>
      <c r="C16">
        <v>457729642</v>
      </c>
      <c r="D16" t="s">
        <v>5910</v>
      </c>
      <c r="E16" t="s">
        <v>6277</v>
      </c>
      <c r="F16">
        <v>444659267</v>
      </c>
      <c r="G16">
        <v>444719870</v>
      </c>
      <c r="H16">
        <v>0</v>
      </c>
      <c r="I16">
        <v>0</v>
      </c>
      <c r="J16">
        <v>1</v>
      </c>
      <c r="K16">
        <v>1</v>
      </c>
      <c r="L16">
        <v>1</v>
      </c>
      <c r="M16">
        <v>0</v>
      </c>
      <c r="N16">
        <v>0</v>
      </c>
      <c r="Q16" s="3"/>
      <c r="R16" s="3"/>
      <c r="S16" s="3"/>
      <c r="T16" s="3"/>
      <c r="U16" s="3"/>
      <c r="V16" s="3"/>
      <c r="W16" s="3"/>
      <c r="X16" s="3"/>
      <c r="Y16" s="3"/>
      <c r="Z16" s="3"/>
      <c r="AA16" s="3"/>
      <c r="AB16" s="3"/>
      <c r="AC16" s="3"/>
      <c r="AD16" s="3"/>
      <c r="AE16" s="3"/>
      <c r="AF16" s="3"/>
      <c r="AM16"/>
      <c r="AN16"/>
      <c r="AO16"/>
      <c r="AP16"/>
      <c r="AQ16"/>
      <c r="AR16"/>
      <c r="AS16"/>
      <c r="AT16"/>
      <c r="AU16"/>
      <c r="AV16"/>
      <c r="AW16"/>
      <c r="AX16"/>
      <c r="AY16"/>
      <c r="AZ16"/>
      <c r="BA16"/>
      <c r="BB16"/>
    </row>
    <row r="17" spans="1:54">
      <c r="A17" t="s">
        <v>5945</v>
      </c>
      <c r="B17" t="s">
        <v>5946</v>
      </c>
      <c r="C17">
        <v>457729647</v>
      </c>
      <c r="D17" t="s">
        <v>5910</v>
      </c>
      <c r="E17" t="s">
        <v>6276</v>
      </c>
      <c r="F17">
        <v>444659270</v>
      </c>
      <c r="G17">
        <v>444719873</v>
      </c>
      <c r="H17">
        <v>1</v>
      </c>
      <c r="I17">
        <v>1</v>
      </c>
      <c r="J17">
        <v>0</v>
      </c>
      <c r="K17">
        <v>0</v>
      </c>
      <c r="L17">
        <v>0</v>
      </c>
      <c r="M17">
        <v>0</v>
      </c>
      <c r="N17">
        <v>0</v>
      </c>
      <c r="Q17" s="3"/>
      <c r="R17" s="3"/>
      <c r="S17" s="3"/>
      <c r="T17" s="3"/>
      <c r="U17" s="3"/>
      <c r="V17" s="3"/>
      <c r="W17" s="3"/>
      <c r="X17" s="3"/>
      <c r="Y17" s="3"/>
      <c r="Z17" s="3"/>
      <c r="AA17" s="3"/>
      <c r="AB17" s="3"/>
      <c r="AC17" s="3"/>
      <c r="AD17" s="3"/>
      <c r="AE17" s="3"/>
      <c r="AF17" s="3"/>
      <c r="AM17"/>
      <c r="AN17"/>
      <c r="AO17"/>
      <c r="AP17"/>
      <c r="AQ17"/>
      <c r="AR17"/>
      <c r="AS17"/>
      <c r="AT17"/>
      <c r="AU17"/>
      <c r="AV17"/>
      <c r="AW17"/>
      <c r="AX17"/>
      <c r="AY17"/>
      <c r="AZ17"/>
      <c r="BA17"/>
      <c r="BB17"/>
    </row>
    <row r="18" spans="1:54">
      <c r="A18" t="s">
        <v>5947</v>
      </c>
      <c r="B18" t="s">
        <v>5948</v>
      </c>
      <c r="C18">
        <v>457729652</v>
      </c>
      <c r="D18" t="s">
        <v>5910</v>
      </c>
      <c r="E18" t="s">
        <v>6277</v>
      </c>
      <c r="F18">
        <v>444719867</v>
      </c>
      <c r="G18">
        <v>444810170</v>
      </c>
      <c r="H18">
        <v>0</v>
      </c>
      <c r="I18">
        <v>0</v>
      </c>
      <c r="J18">
        <v>1</v>
      </c>
      <c r="K18">
        <v>1</v>
      </c>
      <c r="L18">
        <v>1</v>
      </c>
      <c r="M18">
        <v>0</v>
      </c>
      <c r="N18">
        <v>0</v>
      </c>
      <c r="Q18" s="3"/>
      <c r="R18" s="3"/>
      <c r="S18" s="3"/>
      <c r="T18" s="3"/>
      <c r="U18" s="3"/>
      <c r="V18" s="3"/>
      <c r="W18" s="3"/>
      <c r="X18" s="3"/>
      <c r="Y18" s="3"/>
      <c r="Z18" s="3"/>
      <c r="AA18" s="3"/>
      <c r="AB18" s="3"/>
      <c r="AC18" s="3"/>
      <c r="AD18" s="3"/>
      <c r="AE18" s="3"/>
      <c r="AF18" s="3"/>
      <c r="AM18"/>
      <c r="AN18"/>
      <c r="AO18"/>
      <c r="AP18"/>
      <c r="AQ18"/>
      <c r="AR18"/>
      <c r="AS18"/>
      <c r="AT18"/>
      <c r="AU18"/>
      <c r="AV18"/>
      <c r="AW18"/>
      <c r="AX18"/>
      <c r="AY18"/>
      <c r="AZ18"/>
      <c r="BA18"/>
      <c r="BB18"/>
    </row>
    <row r="19" spans="1:54">
      <c r="A19" t="s">
        <v>5949</v>
      </c>
      <c r="B19" t="s">
        <v>5950</v>
      </c>
      <c r="C19">
        <v>457849322</v>
      </c>
      <c r="D19" t="s">
        <v>5910</v>
      </c>
      <c r="E19" t="s">
        <v>6276</v>
      </c>
      <c r="F19">
        <v>444719870</v>
      </c>
      <c r="G19">
        <v>444810173</v>
      </c>
      <c r="H19">
        <v>1</v>
      </c>
      <c r="I19">
        <v>1</v>
      </c>
      <c r="J19">
        <v>0</v>
      </c>
      <c r="K19">
        <v>0</v>
      </c>
      <c r="L19">
        <v>0</v>
      </c>
      <c r="M19">
        <v>0</v>
      </c>
      <c r="N19">
        <v>0</v>
      </c>
      <c r="Q19" s="3"/>
      <c r="R19" s="3"/>
      <c r="S19" s="3"/>
      <c r="T19" s="3"/>
      <c r="U19" s="3"/>
      <c r="V19" s="3"/>
      <c r="W19" s="3"/>
      <c r="X19" s="3"/>
      <c r="Y19" s="3"/>
      <c r="Z19" s="3"/>
      <c r="AA19" s="3"/>
      <c r="AB19" s="3"/>
      <c r="AC19" s="3"/>
      <c r="AD19" s="3"/>
      <c r="AE19" s="3"/>
      <c r="AF19" s="3"/>
      <c r="AM19"/>
      <c r="AN19"/>
      <c r="AO19"/>
      <c r="AP19"/>
      <c r="AQ19"/>
      <c r="AR19"/>
      <c r="AS19"/>
      <c r="AT19"/>
      <c r="AU19"/>
      <c r="AV19"/>
      <c r="AW19"/>
      <c r="AX19"/>
      <c r="AY19"/>
      <c r="AZ19"/>
      <c r="BA19"/>
      <c r="BB19"/>
    </row>
    <row r="20" spans="1:54">
      <c r="A20" t="s">
        <v>5951</v>
      </c>
      <c r="B20" t="s">
        <v>5952</v>
      </c>
      <c r="C20">
        <v>457849327</v>
      </c>
      <c r="D20" t="s">
        <v>5910</v>
      </c>
      <c r="E20" t="s">
        <v>6277</v>
      </c>
      <c r="F20">
        <v>444810167</v>
      </c>
      <c r="G20">
        <v>444896270</v>
      </c>
      <c r="H20">
        <v>0</v>
      </c>
      <c r="I20">
        <v>0</v>
      </c>
      <c r="J20">
        <v>1</v>
      </c>
      <c r="K20">
        <v>1</v>
      </c>
      <c r="L20">
        <v>1</v>
      </c>
      <c r="M20">
        <v>0</v>
      </c>
      <c r="N20">
        <v>0</v>
      </c>
      <c r="Q20" s="3"/>
      <c r="R20" s="3"/>
      <c r="S20" s="3"/>
      <c r="T20" s="3"/>
      <c r="U20" s="3"/>
      <c r="V20" s="3"/>
      <c r="W20" s="3"/>
      <c r="X20" s="3"/>
      <c r="Y20" s="3"/>
      <c r="Z20" s="3"/>
      <c r="AA20" s="3"/>
      <c r="AB20" s="3"/>
      <c r="AC20" s="3"/>
      <c r="AD20" s="3"/>
      <c r="AE20" s="3"/>
      <c r="AF20" s="3"/>
      <c r="AM20"/>
      <c r="AN20"/>
      <c r="AO20"/>
      <c r="AP20"/>
      <c r="AQ20"/>
      <c r="AR20"/>
      <c r="AS20"/>
      <c r="AT20"/>
      <c r="AU20"/>
      <c r="AV20"/>
      <c r="AW20"/>
      <c r="AX20"/>
      <c r="AY20"/>
      <c r="AZ20"/>
      <c r="BA20"/>
      <c r="BB20"/>
    </row>
    <row r="21" spans="1:54">
      <c r="A21" t="s">
        <v>5953</v>
      </c>
      <c r="B21" t="s">
        <v>5954</v>
      </c>
      <c r="C21">
        <v>457849332</v>
      </c>
      <c r="D21" t="s">
        <v>5910</v>
      </c>
      <c r="E21" t="s">
        <v>6276</v>
      </c>
      <c r="F21">
        <v>444810170</v>
      </c>
      <c r="G21">
        <v>444896273</v>
      </c>
      <c r="H21">
        <v>1</v>
      </c>
      <c r="I21">
        <v>1</v>
      </c>
      <c r="J21">
        <v>0</v>
      </c>
      <c r="K21">
        <v>0</v>
      </c>
      <c r="L21">
        <v>0</v>
      </c>
      <c r="M21">
        <v>0</v>
      </c>
      <c r="N21">
        <v>0</v>
      </c>
      <c r="Q21" s="3"/>
      <c r="R21" s="3"/>
      <c r="S21" s="3"/>
      <c r="T21" s="3"/>
      <c r="U21" s="3"/>
      <c r="V21" s="3"/>
      <c r="W21" s="3"/>
      <c r="X21" s="3"/>
      <c r="Y21" s="3"/>
      <c r="Z21" s="3"/>
      <c r="AA21" s="3"/>
      <c r="AB21" s="3"/>
      <c r="AC21" s="3"/>
      <c r="AD21" s="3"/>
      <c r="AE21" s="3"/>
      <c r="AF21" s="3"/>
      <c r="AM21"/>
      <c r="AN21"/>
      <c r="AO21"/>
      <c r="AP21"/>
      <c r="AQ21"/>
      <c r="AR21"/>
      <c r="AS21"/>
      <c r="AT21"/>
      <c r="AU21"/>
      <c r="AV21"/>
      <c r="AW21"/>
      <c r="AX21"/>
      <c r="AY21"/>
      <c r="AZ21"/>
      <c r="BA21"/>
      <c r="BB21"/>
    </row>
    <row r="22" spans="1:54">
      <c r="A22" t="s">
        <v>5955</v>
      </c>
      <c r="B22" t="s">
        <v>5956</v>
      </c>
      <c r="C22">
        <v>457849337</v>
      </c>
      <c r="D22" t="s">
        <v>5910</v>
      </c>
      <c r="E22" t="s">
        <v>6277</v>
      </c>
      <c r="F22">
        <v>444896267</v>
      </c>
      <c r="G22">
        <v>444978170</v>
      </c>
      <c r="H22">
        <v>0</v>
      </c>
      <c r="I22">
        <v>0</v>
      </c>
      <c r="J22">
        <v>1</v>
      </c>
      <c r="K22">
        <v>1</v>
      </c>
      <c r="L22">
        <v>1</v>
      </c>
      <c r="M22">
        <v>0</v>
      </c>
      <c r="N22">
        <v>0</v>
      </c>
      <c r="Q22" s="3"/>
      <c r="R22" s="3"/>
      <c r="S22" s="3"/>
      <c r="T22" s="3"/>
      <c r="U22" s="3"/>
      <c r="V22" s="3"/>
      <c r="W22" s="3"/>
      <c r="X22" s="3"/>
      <c r="Y22" s="3"/>
      <c r="Z22" s="3"/>
      <c r="AA22" s="3"/>
      <c r="AB22" s="3"/>
      <c r="AC22" s="3"/>
      <c r="AD22" s="3"/>
      <c r="AE22" s="3"/>
      <c r="AF22" s="3"/>
      <c r="AM22"/>
      <c r="AN22"/>
      <c r="AO22"/>
      <c r="AP22"/>
      <c r="AQ22"/>
      <c r="AR22"/>
      <c r="AS22"/>
      <c r="AT22"/>
      <c r="AU22"/>
      <c r="AV22"/>
      <c r="AW22"/>
      <c r="AX22"/>
      <c r="AY22"/>
      <c r="AZ22"/>
      <c r="BA22"/>
      <c r="BB22"/>
    </row>
    <row r="23" spans="1:54">
      <c r="A23" t="s">
        <v>5957</v>
      </c>
      <c r="B23" t="s">
        <v>5958</v>
      </c>
      <c r="C23">
        <v>457849342</v>
      </c>
      <c r="D23" t="s">
        <v>5910</v>
      </c>
      <c r="E23" t="s">
        <v>6276</v>
      </c>
      <c r="F23">
        <v>444896270</v>
      </c>
      <c r="G23">
        <v>444978173</v>
      </c>
      <c r="H23">
        <v>1</v>
      </c>
      <c r="I23">
        <v>1</v>
      </c>
      <c r="J23">
        <v>0</v>
      </c>
      <c r="K23">
        <v>0</v>
      </c>
      <c r="L23">
        <v>0</v>
      </c>
      <c r="M23">
        <v>0</v>
      </c>
      <c r="N23">
        <v>0</v>
      </c>
      <c r="Q23" s="3"/>
      <c r="R23" s="3"/>
      <c r="S23" s="3"/>
      <c r="T23" s="3"/>
      <c r="U23" s="3"/>
      <c r="V23" s="3"/>
      <c r="W23" s="3"/>
      <c r="X23" s="3"/>
      <c r="Y23" s="3"/>
      <c r="Z23" s="3"/>
      <c r="AA23" s="3"/>
      <c r="AB23" s="3"/>
      <c r="AC23" s="3"/>
      <c r="AD23" s="3"/>
      <c r="AE23" s="3"/>
      <c r="AF23" s="3"/>
      <c r="AM23"/>
      <c r="AN23"/>
      <c r="AO23"/>
      <c r="AP23"/>
      <c r="AQ23"/>
      <c r="AR23"/>
      <c r="AS23"/>
      <c r="AT23"/>
      <c r="AU23"/>
      <c r="AV23"/>
      <c r="AW23"/>
      <c r="AX23"/>
      <c r="AY23"/>
      <c r="AZ23"/>
      <c r="BA23"/>
      <c r="BB23"/>
    </row>
    <row r="24" spans="1:54">
      <c r="A24" t="s">
        <v>5959</v>
      </c>
      <c r="B24" t="s">
        <v>5960</v>
      </c>
      <c r="C24">
        <v>457849347</v>
      </c>
      <c r="D24" t="s">
        <v>5910</v>
      </c>
      <c r="E24" t="s">
        <v>6277</v>
      </c>
      <c r="F24">
        <v>444978167</v>
      </c>
      <c r="G24">
        <v>445064270</v>
      </c>
      <c r="H24">
        <v>0</v>
      </c>
      <c r="I24">
        <v>0</v>
      </c>
      <c r="J24">
        <v>1</v>
      </c>
      <c r="K24">
        <v>1</v>
      </c>
      <c r="L24">
        <v>1</v>
      </c>
      <c r="M24">
        <v>0</v>
      </c>
      <c r="N24">
        <v>0</v>
      </c>
      <c r="Q24" s="3"/>
      <c r="R24" s="3"/>
      <c r="S24" s="3"/>
      <c r="T24" s="3"/>
      <c r="U24" s="3"/>
      <c r="V24" s="3"/>
      <c r="W24" s="3"/>
      <c r="X24" s="3"/>
      <c r="Y24" s="3"/>
      <c r="Z24" s="3"/>
      <c r="AA24" s="3"/>
      <c r="AB24" s="3"/>
      <c r="AC24" s="3"/>
      <c r="AD24" s="3"/>
      <c r="AE24" s="3"/>
      <c r="AF24" s="3"/>
      <c r="AM24"/>
      <c r="AN24"/>
      <c r="AO24"/>
      <c r="AP24"/>
      <c r="AQ24"/>
      <c r="AR24"/>
      <c r="AS24"/>
      <c r="AT24"/>
      <c r="AU24"/>
      <c r="AV24"/>
      <c r="AW24"/>
      <c r="AX24"/>
      <c r="AY24"/>
      <c r="AZ24"/>
      <c r="BA24"/>
      <c r="BB24"/>
    </row>
    <row r="25" spans="1:54">
      <c r="A25" t="s">
        <v>5961</v>
      </c>
      <c r="B25" t="s">
        <v>5962</v>
      </c>
      <c r="C25">
        <v>457849352</v>
      </c>
      <c r="D25" t="s">
        <v>5910</v>
      </c>
      <c r="E25" t="s">
        <v>6276</v>
      </c>
      <c r="F25">
        <v>444978170</v>
      </c>
      <c r="G25">
        <v>445064273</v>
      </c>
      <c r="H25">
        <v>1</v>
      </c>
      <c r="I25">
        <v>1</v>
      </c>
      <c r="J25">
        <v>0</v>
      </c>
      <c r="K25">
        <v>0</v>
      </c>
      <c r="L25">
        <v>0</v>
      </c>
      <c r="M25">
        <v>0</v>
      </c>
      <c r="N25">
        <v>0</v>
      </c>
      <c r="Q25" s="3"/>
      <c r="R25" s="3"/>
      <c r="S25" s="3"/>
      <c r="T25" s="3"/>
      <c r="U25" s="3"/>
      <c r="V25" s="3"/>
      <c r="W25" s="3"/>
      <c r="X25" s="3"/>
      <c r="Y25" s="3"/>
      <c r="Z25" s="3"/>
      <c r="AA25" s="3"/>
      <c r="AB25" s="3"/>
      <c r="AC25" s="3"/>
      <c r="AD25" s="3"/>
      <c r="AE25" s="3"/>
      <c r="AF25" s="3"/>
      <c r="AM25"/>
      <c r="AN25"/>
      <c r="AO25"/>
      <c r="AP25"/>
      <c r="AQ25"/>
      <c r="AR25"/>
      <c r="AS25"/>
      <c r="AT25"/>
      <c r="AU25"/>
      <c r="AV25"/>
      <c r="AW25"/>
      <c r="AX25"/>
      <c r="AY25"/>
      <c r="AZ25"/>
      <c r="BA25"/>
      <c r="BB25"/>
    </row>
    <row r="26" spans="1:54">
      <c r="A26" t="s">
        <v>5963</v>
      </c>
      <c r="B26" t="s">
        <v>5964</v>
      </c>
      <c r="C26">
        <v>457901822</v>
      </c>
      <c r="D26" t="s">
        <v>5910</v>
      </c>
      <c r="E26" t="s">
        <v>6277</v>
      </c>
      <c r="F26">
        <v>445064267</v>
      </c>
      <c r="G26">
        <v>445150370</v>
      </c>
      <c r="H26">
        <v>0</v>
      </c>
      <c r="I26">
        <v>0</v>
      </c>
      <c r="J26">
        <v>1</v>
      </c>
      <c r="K26">
        <v>1</v>
      </c>
      <c r="L26">
        <v>1</v>
      </c>
      <c r="M26">
        <v>0</v>
      </c>
      <c r="N26">
        <v>0</v>
      </c>
      <c r="Q26" s="3"/>
      <c r="R26" s="3"/>
      <c r="S26" s="3"/>
      <c r="T26" s="3"/>
      <c r="U26" s="3"/>
      <c r="V26" s="3"/>
      <c r="W26" s="3"/>
      <c r="X26" s="3"/>
      <c r="Y26" s="3"/>
      <c r="Z26" s="3"/>
      <c r="AA26" s="3"/>
      <c r="AB26" s="3"/>
      <c r="AC26" s="3"/>
      <c r="AD26" s="3"/>
      <c r="AE26" s="3"/>
      <c r="AF26" s="3"/>
      <c r="AM26"/>
      <c r="AN26"/>
      <c r="AO26"/>
      <c r="AP26"/>
      <c r="AQ26"/>
      <c r="AR26"/>
      <c r="AS26"/>
      <c r="AT26"/>
      <c r="AU26"/>
      <c r="AV26"/>
      <c r="AW26"/>
      <c r="AX26"/>
      <c r="AY26"/>
      <c r="AZ26"/>
      <c r="BA26"/>
      <c r="BB26"/>
    </row>
    <row r="27" spans="1:54">
      <c r="A27" t="s">
        <v>5965</v>
      </c>
      <c r="B27" t="s">
        <v>5966</v>
      </c>
      <c r="C27">
        <v>457901827</v>
      </c>
      <c r="D27" t="s">
        <v>5910</v>
      </c>
      <c r="E27" t="s">
        <v>6276</v>
      </c>
      <c r="F27">
        <v>445064270</v>
      </c>
      <c r="G27">
        <v>445150373</v>
      </c>
      <c r="H27">
        <v>1</v>
      </c>
      <c r="I27">
        <v>1</v>
      </c>
      <c r="J27">
        <v>0</v>
      </c>
      <c r="K27">
        <v>0</v>
      </c>
      <c r="L27">
        <v>0</v>
      </c>
      <c r="M27">
        <v>0</v>
      </c>
      <c r="N27">
        <v>0</v>
      </c>
      <c r="Q27" s="3"/>
      <c r="R27" s="3"/>
      <c r="S27" s="3"/>
      <c r="T27" s="3"/>
      <c r="U27" s="3"/>
      <c r="V27" s="3"/>
      <c r="W27" s="3"/>
      <c r="X27" s="3"/>
      <c r="Y27" s="3"/>
      <c r="Z27" s="3"/>
      <c r="AA27" s="3"/>
      <c r="AB27" s="3"/>
      <c r="AC27" s="3"/>
      <c r="AD27" s="3"/>
      <c r="AE27" s="3"/>
      <c r="AF27" s="3"/>
      <c r="AM27"/>
      <c r="AN27"/>
      <c r="AO27"/>
      <c r="AP27"/>
      <c r="AQ27"/>
      <c r="AR27"/>
      <c r="AS27"/>
      <c r="AT27"/>
      <c r="AU27"/>
      <c r="AV27"/>
      <c r="AW27"/>
      <c r="AX27"/>
      <c r="AY27"/>
      <c r="AZ27"/>
      <c r="BA27"/>
      <c r="BB27"/>
    </row>
    <row r="28" spans="1:54">
      <c r="A28" t="s">
        <v>5967</v>
      </c>
      <c r="B28" t="s">
        <v>5968</v>
      </c>
      <c r="C28">
        <v>457901832</v>
      </c>
      <c r="D28" t="s">
        <v>5910</v>
      </c>
      <c r="E28" t="s">
        <v>6277</v>
      </c>
      <c r="F28">
        <v>445150367</v>
      </c>
      <c r="G28">
        <v>445236770</v>
      </c>
      <c r="H28">
        <v>0</v>
      </c>
      <c r="I28">
        <v>0</v>
      </c>
      <c r="J28">
        <v>1</v>
      </c>
      <c r="K28">
        <v>1</v>
      </c>
      <c r="L28">
        <v>1</v>
      </c>
      <c r="M28">
        <v>0</v>
      </c>
      <c r="N28">
        <v>0</v>
      </c>
      <c r="Q28" s="3"/>
      <c r="R28" s="3"/>
      <c r="S28" s="3"/>
      <c r="T28" s="3"/>
      <c r="U28" s="3"/>
      <c r="V28" s="3"/>
      <c r="W28" s="3"/>
      <c r="X28" s="3"/>
      <c r="Y28" s="3"/>
      <c r="Z28" s="3"/>
      <c r="AA28" s="3"/>
      <c r="AB28" s="3"/>
      <c r="AC28" s="3"/>
      <c r="AD28" s="3"/>
      <c r="AE28" s="3"/>
      <c r="AF28" s="3"/>
      <c r="AM28"/>
      <c r="AN28"/>
      <c r="AO28"/>
      <c r="AP28"/>
      <c r="AQ28"/>
      <c r="AR28"/>
      <c r="AS28"/>
      <c r="AT28"/>
      <c r="AU28"/>
      <c r="AV28"/>
      <c r="AW28"/>
      <c r="AX28"/>
      <c r="AY28"/>
      <c r="AZ28"/>
      <c r="BA28"/>
      <c r="BB28"/>
    </row>
    <row r="29" spans="1:54">
      <c r="A29" t="s">
        <v>5969</v>
      </c>
      <c r="B29" t="s">
        <v>5970</v>
      </c>
      <c r="C29">
        <v>457901837</v>
      </c>
      <c r="D29" t="s">
        <v>5910</v>
      </c>
      <c r="E29" t="s">
        <v>6276</v>
      </c>
      <c r="F29">
        <v>445150370</v>
      </c>
      <c r="G29">
        <v>445236773</v>
      </c>
      <c r="H29">
        <v>1</v>
      </c>
      <c r="I29">
        <v>1</v>
      </c>
      <c r="J29">
        <v>0</v>
      </c>
      <c r="K29">
        <v>0</v>
      </c>
      <c r="L29">
        <v>0</v>
      </c>
      <c r="M29">
        <v>0</v>
      </c>
      <c r="N29">
        <v>0</v>
      </c>
      <c r="Q29" s="3"/>
      <c r="R29" s="3"/>
      <c r="S29" s="3"/>
      <c r="T29" s="3"/>
      <c r="U29" s="3"/>
      <c r="V29" s="3"/>
      <c r="W29" s="3"/>
      <c r="X29" s="3"/>
      <c r="Y29" s="3"/>
      <c r="Z29" s="3"/>
      <c r="AA29" s="3"/>
      <c r="AB29" s="3"/>
      <c r="AC29" s="3"/>
      <c r="AD29" s="3"/>
      <c r="AE29" s="3"/>
      <c r="AF29" s="3"/>
      <c r="AM29"/>
      <c r="AN29"/>
      <c r="AO29"/>
      <c r="AP29"/>
      <c r="AQ29"/>
      <c r="AR29"/>
      <c r="AS29"/>
      <c r="AT29"/>
      <c r="AU29"/>
      <c r="AV29"/>
      <c r="AW29"/>
      <c r="AX29"/>
      <c r="AY29"/>
      <c r="AZ29"/>
      <c r="BA29"/>
      <c r="BB29"/>
    </row>
    <row r="30" spans="1:54">
      <c r="A30" t="s">
        <v>5971</v>
      </c>
      <c r="B30" t="s">
        <v>5972</v>
      </c>
      <c r="C30">
        <v>457901842</v>
      </c>
      <c r="D30" t="s">
        <v>5910</v>
      </c>
      <c r="E30" t="s">
        <v>6277</v>
      </c>
      <c r="F30">
        <v>445236767</v>
      </c>
      <c r="G30">
        <v>445348670</v>
      </c>
      <c r="H30">
        <v>0</v>
      </c>
      <c r="I30">
        <v>0</v>
      </c>
      <c r="J30">
        <v>1</v>
      </c>
      <c r="K30">
        <v>1</v>
      </c>
      <c r="L30">
        <v>1</v>
      </c>
      <c r="M30">
        <v>0</v>
      </c>
      <c r="N30">
        <v>0</v>
      </c>
      <c r="Q30" s="3"/>
      <c r="R30" s="3"/>
      <c r="S30" s="3"/>
      <c r="T30" s="3"/>
      <c r="U30" s="3"/>
      <c r="V30" s="3"/>
      <c r="W30" s="3"/>
      <c r="X30" s="3"/>
      <c r="Y30" s="3"/>
      <c r="Z30" s="3"/>
      <c r="AA30" s="3"/>
      <c r="AB30" s="3"/>
      <c r="AC30" s="3"/>
      <c r="AD30" s="3"/>
      <c r="AE30" s="3"/>
      <c r="AF30" s="3"/>
      <c r="AM30"/>
      <c r="AN30"/>
      <c r="AO30"/>
      <c r="AP30"/>
      <c r="AQ30"/>
      <c r="AR30"/>
      <c r="AS30"/>
      <c r="AT30"/>
      <c r="AU30"/>
      <c r="AV30"/>
      <c r="AW30"/>
      <c r="AX30"/>
      <c r="AY30"/>
      <c r="AZ30"/>
      <c r="BA30"/>
      <c r="BB30"/>
    </row>
    <row r="31" spans="1:54">
      <c r="A31" t="s">
        <v>5973</v>
      </c>
      <c r="B31" t="s">
        <v>5974</v>
      </c>
      <c r="C31">
        <v>457901847</v>
      </c>
      <c r="D31" t="s">
        <v>5910</v>
      </c>
      <c r="E31" t="s">
        <v>6277</v>
      </c>
      <c r="F31">
        <v>446615327</v>
      </c>
      <c r="G31">
        <v>446646830</v>
      </c>
      <c r="H31">
        <v>0</v>
      </c>
      <c r="I31">
        <v>0</v>
      </c>
      <c r="J31">
        <v>1</v>
      </c>
      <c r="K31">
        <v>1</v>
      </c>
      <c r="L31">
        <v>1</v>
      </c>
      <c r="M31">
        <v>0</v>
      </c>
      <c r="N31">
        <v>0</v>
      </c>
      <c r="Q31" s="3"/>
      <c r="R31" s="3"/>
      <c r="S31" s="3"/>
      <c r="T31" s="3"/>
      <c r="U31" s="3"/>
      <c r="V31" s="3"/>
      <c r="W31" s="3"/>
      <c r="X31" s="3"/>
      <c r="Y31" s="3"/>
      <c r="Z31" s="3"/>
      <c r="AA31" s="3"/>
      <c r="AB31" s="3"/>
      <c r="AC31" s="3"/>
      <c r="AD31" s="3"/>
      <c r="AE31" s="3"/>
      <c r="AF31" s="3"/>
      <c r="AM31"/>
      <c r="AN31"/>
      <c r="AO31"/>
      <c r="AP31"/>
      <c r="AQ31"/>
      <c r="AR31"/>
      <c r="AS31"/>
      <c r="AT31"/>
      <c r="AU31"/>
      <c r="AV31"/>
      <c r="AW31"/>
      <c r="AX31"/>
      <c r="AY31"/>
      <c r="AZ31"/>
      <c r="BA31"/>
      <c r="BB31"/>
    </row>
    <row r="32" spans="1:54">
      <c r="A32" t="s">
        <v>5975</v>
      </c>
      <c r="B32" t="s">
        <v>5976</v>
      </c>
      <c r="C32">
        <v>457901852</v>
      </c>
      <c r="D32" t="s">
        <v>5910</v>
      </c>
      <c r="E32" t="s">
        <v>6277</v>
      </c>
      <c r="F32">
        <v>447222587</v>
      </c>
      <c r="G32">
        <v>447240598</v>
      </c>
      <c r="H32">
        <v>0</v>
      </c>
      <c r="I32">
        <v>0</v>
      </c>
      <c r="J32">
        <v>1</v>
      </c>
      <c r="K32">
        <v>1</v>
      </c>
      <c r="L32">
        <v>1</v>
      </c>
      <c r="M32">
        <v>0</v>
      </c>
      <c r="N32">
        <v>0</v>
      </c>
      <c r="Q32" s="3"/>
      <c r="R32" s="3"/>
      <c r="S32" s="3"/>
      <c r="T32" s="3"/>
      <c r="U32" s="3"/>
      <c r="V32" s="3"/>
      <c r="W32" s="3"/>
      <c r="X32" s="3"/>
      <c r="Y32" s="3"/>
      <c r="Z32" s="3"/>
      <c r="AA32" s="3"/>
      <c r="AB32" s="3"/>
      <c r="AC32" s="3"/>
      <c r="AD32" s="3"/>
      <c r="AE32" s="3"/>
      <c r="AF32" s="3"/>
      <c r="AM32"/>
      <c r="AN32"/>
      <c r="AO32"/>
      <c r="AP32"/>
      <c r="AQ32"/>
      <c r="AR32"/>
      <c r="AS32"/>
      <c r="AT32"/>
      <c r="AU32"/>
      <c r="AV32"/>
      <c r="AW32"/>
      <c r="AX32"/>
      <c r="AY32"/>
      <c r="AZ32"/>
      <c r="BA32"/>
      <c r="BB32"/>
    </row>
    <row r="33" spans="1:54">
      <c r="A33" t="s">
        <v>5977</v>
      </c>
      <c r="B33" t="s">
        <v>5978</v>
      </c>
      <c r="C33">
        <v>458172362</v>
      </c>
      <c r="D33" t="s">
        <v>5910</v>
      </c>
      <c r="E33" t="s">
        <v>6276</v>
      </c>
      <c r="F33">
        <v>445236770</v>
      </c>
      <c r="G33">
        <v>445348673</v>
      </c>
      <c r="H33">
        <v>1</v>
      </c>
      <c r="I33">
        <v>1</v>
      </c>
      <c r="J33">
        <v>0</v>
      </c>
      <c r="K33">
        <v>0</v>
      </c>
      <c r="L33">
        <v>0</v>
      </c>
      <c r="M33">
        <v>0</v>
      </c>
      <c r="N33">
        <v>0</v>
      </c>
      <c r="Q33" s="3"/>
      <c r="R33" s="3"/>
      <c r="S33" s="3"/>
      <c r="T33" s="3"/>
      <c r="U33" s="3"/>
      <c r="V33" s="3"/>
      <c r="W33" s="3"/>
      <c r="X33" s="3"/>
      <c r="Y33" s="3"/>
      <c r="Z33" s="3"/>
      <c r="AA33" s="3"/>
      <c r="AB33" s="3"/>
      <c r="AC33" s="3"/>
      <c r="AD33" s="3"/>
      <c r="AE33" s="3"/>
      <c r="AF33" s="3"/>
      <c r="AM33"/>
      <c r="AN33"/>
      <c r="AO33"/>
      <c r="AP33"/>
      <c r="AQ33"/>
      <c r="AR33"/>
      <c r="AS33"/>
      <c r="AT33"/>
      <c r="AU33"/>
      <c r="AV33"/>
      <c r="AW33"/>
      <c r="AX33"/>
      <c r="AY33"/>
      <c r="AZ33"/>
      <c r="BA33"/>
      <c r="BB33"/>
    </row>
    <row r="34" spans="1:54">
      <c r="A34" t="s">
        <v>5979</v>
      </c>
      <c r="B34" t="s">
        <v>5980</v>
      </c>
      <c r="C34">
        <v>458172367</v>
      </c>
      <c r="D34" t="s">
        <v>5910</v>
      </c>
      <c r="E34" t="s">
        <v>6277</v>
      </c>
      <c r="F34">
        <v>445372975</v>
      </c>
      <c r="G34">
        <v>445520870</v>
      </c>
      <c r="H34">
        <v>0</v>
      </c>
      <c r="I34">
        <v>0</v>
      </c>
      <c r="J34">
        <v>1</v>
      </c>
      <c r="K34">
        <v>1</v>
      </c>
      <c r="L34">
        <v>1</v>
      </c>
      <c r="M34">
        <v>0</v>
      </c>
      <c r="N34">
        <v>0</v>
      </c>
      <c r="Q34" s="3"/>
      <c r="R34" s="3"/>
      <c r="S34" s="3"/>
      <c r="T34" s="3"/>
      <c r="U34" s="3"/>
      <c r="V34" s="3"/>
      <c r="W34" s="3"/>
      <c r="X34" s="3"/>
      <c r="Y34" s="3"/>
      <c r="Z34" s="3"/>
      <c r="AA34" s="3"/>
      <c r="AB34" s="3"/>
      <c r="AC34" s="3"/>
      <c r="AD34" s="3"/>
      <c r="AE34" s="3"/>
      <c r="AF34" s="3"/>
      <c r="AM34"/>
      <c r="AN34"/>
      <c r="AO34"/>
      <c r="AP34"/>
      <c r="AQ34"/>
      <c r="AR34"/>
      <c r="AS34"/>
      <c r="AT34"/>
      <c r="AU34"/>
      <c r="AV34"/>
      <c r="AW34"/>
      <c r="AX34"/>
      <c r="AY34"/>
      <c r="AZ34"/>
      <c r="BA34"/>
      <c r="BB34"/>
    </row>
    <row r="35" spans="1:54">
      <c r="A35" t="s">
        <v>5981</v>
      </c>
      <c r="B35" t="s">
        <v>5982</v>
      </c>
      <c r="C35">
        <v>458172372</v>
      </c>
      <c r="D35" t="s">
        <v>5910</v>
      </c>
      <c r="E35" t="s">
        <v>6276</v>
      </c>
      <c r="F35">
        <v>445372975</v>
      </c>
      <c r="G35">
        <v>445520873</v>
      </c>
      <c r="H35">
        <v>1</v>
      </c>
      <c r="I35">
        <v>1</v>
      </c>
      <c r="J35">
        <v>0</v>
      </c>
      <c r="K35">
        <v>0</v>
      </c>
      <c r="L35">
        <v>0</v>
      </c>
      <c r="M35">
        <v>0</v>
      </c>
      <c r="N35">
        <v>0</v>
      </c>
      <c r="Q35" s="3"/>
      <c r="R35" s="3"/>
      <c r="S35" s="3"/>
      <c r="T35" s="3"/>
      <c r="U35" s="3"/>
      <c r="V35" s="3"/>
      <c r="W35" s="3"/>
      <c r="X35" s="3"/>
      <c r="Y35" s="3"/>
      <c r="Z35" s="3"/>
      <c r="AA35" s="3"/>
      <c r="AB35" s="3"/>
      <c r="AC35" s="3"/>
      <c r="AD35" s="3"/>
      <c r="AE35" s="3"/>
      <c r="AF35" s="3"/>
      <c r="AM35"/>
      <c r="AN35"/>
      <c r="AO35"/>
      <c r="AP35"/>
      <c r="AQ35"/>
      <c r="AR35"/>
      <c r="AS35"/>
      <c r="AT35"/>
      <c r="AU35"/>
      <c r="AV35"/>
      <c r="AW35"/>
      <c r="AX35"/>
      <c r="AY35"/>
      <c r="AZ35"/>
      <c r="BA35"/>
      <c r="BB35"/>
    </row>
    <row r="36" spans="1:54">
      <c r="A36" t="s">
        <v>5983</v>
      </c>
      <c r="B36" t="s">
        <v>5984</v>
      </c>
      <c r="C36">
        <v>458172377</v>
      </c>
      <c r="D36" t="s">
        <v>5910</v>
      </c>
      <c r="E36" t="s">
        <v>6277</v>
      </c>
      <c r="F36">
        <v>445867615</v>
      </c>
      <c r="G36">
        <v>445954130</v>
      </c>
      <c r="H36">
        <v>0</v>
      </c>
      <c r="I36">
        <v>0</v>
      </c>
      <c r="J36">
        <v>1</v>
      </c>
      <c r="K36">
        <v>1</v>
      </c>
      <c r="L36">
        <v>1</v>
      </c>
      <c r="M36">
        <v>0</v>
      </c>
      <c r="N36">
        <v>0</v>
      </c>
      <c r="Q36" s="3"/>
      <c r="R36" s="3"/>
      <c r="S36" s="3"/>
      <c r="T36" s="3"/>
      <c r="U36" s="3"/>
      <c r="V36" s="3"/>
      <c r="W36" s="3"/>
      <c r="X36" s="3"/>
      <c r="Y36" s="3"/>
      <c r="Z36" s="3"/>
      <c r="AA36" s="3"/>
      <c r="AB36" s="3"/>
      <c r="AC36" s="3"/>
      <c r="AD36" s="3"/>
      <c r="AE36" s="3"/>
      <c r="AF36" s="3"/>
      <c r="AM36"/>
      <c r="AN36"/>
      <c r="AO36"/>
      <c r="AP36"/>
      <c r="AQ36"/>
      <c r="AR36"/>
      <c r="AS36"/>
      <c r="AT36"/>
      <c r="AU36"/>
      <c r="AV36"/>
      <c r="AW36"/>
      <c r="AX36"/>
      <c r="AY36"/>
      <c r="AZ36"/>
      <c r="BA36"/>
      <c r="BB36"/>
    </row>
    <row r="37" spans="1:54">
      <c r="A37" t="s">
        <v>5985</v>
      </c>
      <c r="B37" t="s">
        <v>5986</v>
      </c>
      <c r="C37">
        <v>458172382</v>
      </c>
      <c r="D37" t="s">
        <v>5910</v>
      </c>
      <c r="E37" t="s">
        <v>6276</v>
      </c>
      <c r="F37">
        <v>445868215</v>
      </c>
      <c r="G37">
        <v>445954133</v>
      </c>
      <c r="H37">
        <v>1</v>
      </c>
      <c r="I37">
        <v>1</v>
      </c>
      <c r="J37">
        <v>0</v>
      </c>
      <c r="K37">
        <v>0</v>
      </c>
      <c r="L37">
        <v>0</v>
      </c>
      <c r="M37">
        <v>0</v>
      </c>
      <c r="N37">
        <v>0</v>
      </c>
      <c r="Q37" s="3"/>
      <c r="R37" s="3"/>
      <c r="S37" s="3"/>
      <c r="T37" s="3"/>
      <c r="U37" s="3"/>
      <c r="V37" s="3"/>
      <c r="W37" s="3"/>
      <c r="X37" s="3"/>
      <c r="Y37" s="3"/>
      <c r="Z37" s="3"/>
      <c r="AA37" s="3"/>
      <c r="AB37" s="3"/>
      <c r="AC37" s="3"/>
      <c r="AD37" s="3"/>
      <c r="AE37" s="3"/>
      <c r="AF37" s="3"/>
      <c r="AM37"/>
      <c r="AN37"/>
      <c r="AO37"/>
      <c r="AP37"/>
      <c r="AQ37"/>
      <c r="AR37"/>
      <c r="AS37"/>
      <c r="AT37"/>
      <c r="AU37"/>
      <c r="AV37"/>
      <c r="AW37"/>
      <c r="AX37"/>
      <c r="AY37"/>
      <c r="AZ37"/>
      <c r="BA37"/>
      <c r="BB37"/>
    </row>
    <row r="38" spans="1:54">
      <c r="A38" t="s">
        <v>5987</v>
      </c>
      <c r="B38" t="s">
        <v>5988</v>
      </c>
      <c r="C38">
        <v>458172387</v>
      </c>
      <c r="D38" t="s">
        <v>5910</v>
      </c>
      <c r="E38" t="s">
        <v>6276</v>
      </c>
      <c r="F38">
        <v>445954130</v>
      </c>
      <c r="G38">
        <v>446038433</v>
      </c>
      <c r="H38">
        <v>1</v>
      </c>
      <c r="I38">
        <v>1</v>
      </c>
      <c r="J38">
        <v>0</v>
      </c>
      <c r="K38">
        <v>0</v>
      </c>
      <c r="L38">
        <v>0</v>
      </c>
      <c r="M38">
        <v>0</v>
      </c>
      <c r="N38">
        <v>0</v>
      </c>
      <c r="Q38" s="3"/>
      <c r="R38" s="3"/>
      <c r="S38" s="3"/>
      <c r="T38" s="3"/>
      <c r="U38" s="3"/>
      <c r="V38" s="3"/>
      <c r="W38" s="3"/>
      <c r="X38" s="3"/>
      <c r="Y38" s="3"/>
      <c r="Z38" s="3"/>
      <c r="AA38" s="3"/>
      <c r="AB38" s="3"/>
      <c r="AC38" s="3"/>
      <c r="AD38" s="3"/>
      <c r="AE38" s="3"/>
      <c r="AF38" s="3"/>
      <c r="AM38"/>
      <c r="AN38"/>
      <c r="AO38"/>
      <c r="AP38"/>
      <c r="AQ38"/>
      <c r="AR38"/>
      <c r="AS38"/>
      <c r="AT38"/>
      <c r="AU38"/>
      <c r="AV38"/>
      <c r="AW38"/>
      <c r="AX38"/>
      <c r="AY38"/>
      <c r="AZ38"/>
      <c r="BA38"/>
      <c r="BB38"/>
    </row>
    <row r="39" spans="1:54">
      <c r="A39" t="s">
        <v>5989</v>
      </c>
      <c r="B39" t="s">
        <v>5990</v>
      </c>
      <c r="C39">
        <v>458172392</v>
      </c>
      <c r="D39" t="s">
        <v>5910</v>
      </c>
      <c r="E39" t="s">
        <v>6277</v>
      </c>
      <c r="F39">
        <v>446038427</v>
      </c>
      <c r="G39">
        <v>446104430</v>
      </c>
      <c r="H39">
        <v>0</v>
      </c>
      <c r="I39">
        <v>0</v>
      </c>
      <c r="J39">
        <v>1</v>
      </c>
      <c r="K39">
        <v>1</v>
      </c>
      <c r="L39">
        <v>1</v>
      </c>
      <c r="M39">
        <v>0</v>
      </c>
      <c r="N39">
        <v>0</v>
      </c>
      <c r="Q39" s="3"/>
      <c r="R39" s="3"/>
      <c r="S39" s="3"/>
      <c r="T39" s="3"/>
      <c r="U39" s="3"/>
      <c r="V39" s="3"/>
      <c r="W39" s="3"/>
      <c r="X39" s="3"/>
      <c r="Y39" s="3"/>
      <c r="Z39" s="3"/>
      <c r="AA39" s="3"/>
      <c r="AB39" s="3"/>
      <c r="AC39" s="3"/>
      <c r="AD39" s="3"/>
      <c r="AE39" s="3"/>
      <c r="AF39" s="3"/>
      <c r="AM39"/>
      <c r="AN39"/>
      <c r="AO39"/>
      <c r="AP39"/>
      <c r="AQ39"/>
      <c r="AR39"/>
      <c r="AS39"/>
      <c r="AT39"/>
      <c r="AU39"/>
      <c r="AV39"/>
      <c r="AW39"/>
      <c r="AX39"/>
      <c r="AY39"/>
      <c r="AZ39"/>
      <c r="BA39"/>
      <c r="BB39"/>
    </row>
    <row r="40" spans="1:54">
      <c r="A40" t="s">
        <v>5991</v>
      </c>
      <c r="B40" t="s">
        <v>5992</v>
      </c>
      <c r="C40">
        <v>458172397</v>
      </c>
      <c r="D40" t="s">
        <v>5910</v>
      </c>
      <c r="E40" t="s">
        <v>6276</v>
      </c>
      <c r="F40">
        <v>446038430</v>
      </c>
      <c r="G40">
        <v>446104433</v>
      </c>
      <c r="H40">
        <v>1</v>
      </c>
      <c r="I40">
        <v>1</v>
      </c>
      <c r="J40">
        <v>0</v>
      </c>
      <c r="K40">
        <v>0</v>
      </c>
      <c r="L40">
        <v>0</v>
      </c>
      <c r="M40">
        <v>0</v>
      </c>
      <c r="N40">
        <v>0</v>
      </c>
      <c r="Q40" s="3"/>
      <c r="R40" s="3"/>
      <c r="S40" s="3"/>
      <c r="T40" s="3"/>
      <c r="U40" s="3"/>
      <c r="V40" s="3"/>
      <c r="W40" s="3"/>
      <c r="X40" s="3"/>
      <c r="Y40" s="3"/>
      <c r="Z40" s="3"/>
      <c r="AA40" s="3"/>
      <c r="AB40" s="3"/>
      <c r="AC40" s="3"/>
      <c r="AD40" s="3"/>
      <c r="AE40" s="3"/>
      <c r="AF40" s="3"/>
      <c r="AM40"/>
      <c r="AN40"/>
      <c r="AO40"/>
      <c r="AP40"/>
      <c r="AQ40"/>
      <c r="AR40"/>
      <c r="AS40"/>
      <c r="AT40"/>
      <c r="AU40"/>
      <c r="AV40"/>
      <c r="AW40"/>
      <c r="AX40"/>
      <c r="AY40"/>
      <c r="AZ40"/>
      <c r="BA40"/>
      <c r="BB40"/>
    </row>
    <row r="41" spans="1:54">
      <c r="A41" t="s">
        <v>5993</v>
      </c>
      <c r="B41" t="s">
        <v>5994</v>
      </c>
      <c r="C41">
        <v>458172402</v>
      </c>
      <c r="D41" t="s">
        <v>5910</v>
      </c>
      <c r="E41" t="s">
        <v>6277</v>
      </c>
      <c r="F41">
        <v>446104427</v>
      </c>
      <c r="G41">
        <v>446274230</v>
      </c>
      <c r="H41">
        <v>0</v>
      </c>
      <c r="I41">
        <v>0</v>
      </c>
      <c r="J41">
        <v>1</v>
      </c>
      <c r="K41">
        <v>1</v>
      </c>
      <c r="L41">
        <v>1</v>
      </c>
      <c r="M41">
        <v>0</v>
      </c>
      <c r="N41">
        <v>0</v>
      </c>
      <c r="Q41" s="3"/>
      <c r="R41" s="3"/>
      <c r="S41" s="3"/>
      <c r="T41" s="3"/>
      <c r="U41" s="3"/>
      <c r="V41" s="3"/>
      <c r="W41" s="3"/>
      <c r="X41" s="3"/>
      <c r="Y41" s="3"/>
      <c r="Z41" s="3"/>
      <c r="AA41" s="3"/>
      <c r="AB41" s="3"/>
      <c r="AC41" s="3"/>
      <c r="AD41" s="3"/>
      <c r="AE41" s="3"/>
      <c r="AF41" s="3"/>
      <c r="AM41"/>
      <c r="AN41"/>
      <c r="AO41"/>
      <c r="AP41"/>
      <c r="AQ41"/>
      <c r="AR41"/>
      <c r="AS41"/>
      <c r="AT41"/>
      <c r="AU41"/>
      <c r="AV41"/>
      <c r="AW41"/>
      <c r="AX41"/>
      <c r="AY41"/>
      <c r="AZ41"/>
      <c r="BA41"/>
      <c r="BB41"/>
    </row>
    <row r="42" spans="1:54">
      <c r="A42" t="s">
        <v>5995</v>
      </c>
      <c r="B42" t="s">
        <v>5996</v>
      </c>
      <c r="C42">
        <v>458172407</v>
      </c>
      <c r="D42" t="s">
        <v>5910</v>
      </c>
      <c r="E42" t="s">
        <v>6276</v>
      </c>
      <c r="F42">
        <v>446104430</v>
      </c>
      <c r="G42">
        <v>446274233</v>
      </c>
      <c r="H42">
        <v>1</v>
      </c>
      <c r="I42">
        <v>1</v>
      </c>
      <c r="J42">
        <v>0</v>
      </c>
      <c r="K42">
        <v>0</v>
      </c>
      <c r="L42">
        <v>0</v>
      </c>
      <c r="M42">
        <v>0</v>
      </c>
      <c r="N42">
        <v>0</v>
      </c>
      <c r="Q42" s="3"/>
      <c r="R42" s="3"/>
      <c r="S42" s="3"/>
      <c r="T42" s="3"/>
      <c r="U42" s="3"/>
      <c r="V42" s="3"/>
      <c r="W42" s="3"/>
      <c r="X42" s="3"/>
      <c r="Y42" s="3"/>
      <c r="Z42" s="3"/>
      <c r="AA42" s="3"/>
      <c r="AB42" s="3"/>
      <c r="AC42" s="3"/>
      <c r="AD42" s="3"/>
      <c r="AE42" s="3"/>
      <c r="AF42" s="3"/>
      <c r="AM42"/>
      <c r="AN42"/>
      <c r="AO42"/>
      <c r="AP42"/>
      <c r="AQ42"/>
      <c r="AR42"/>
      <c r="AS42"/>
      <c r="AT42"/>
      <c r="AU42"/>
      <c r="AV42"/>
      <c r="AW42"/>
      <c r="AX42"/>
      <c r="AY42"/>
      <c r="AZ42"/>
      <c r="BA42"/>
      <c r="BB42"/>
    </row>
    <row r="43" spans="1:54">
      <c r="A43" t="s">
        <v>5997</v>
      </c>
      <c r="B43" t="s">
        <v>5998</v>
      </c>
      <c r="C43">
        <v>458172412</v>
      </c>
      <c r="D43" t="s">
        <v>5910</v>
      </c>
      <c r="E43" t="s">
        <v>6277</v>
      </c>
      <c r="F43">
        <v>446360927</v>
      </c>
      <c r="G43">
        <v>446447330</v>
      </c>
      <c r="H43">
        <v>0</v>
      </c>
      <c r="I43">
        <v>0</v>
      </c>
      <c r="J43">
        <v>1</v>
      </c>
      <c r="K43">
        <v>1</v>
      </c>
      <c r="L43">
        <v>1</v>
      </c>
      <c r="M43">
        <v>0</v>
      </c>
      <c r="N43">
        <v>0</v>
      </c>
      <c r="Q43" s="3"/>
      <c r="R43" s="3"/>
      <c r="S43" s="3"/>
      <c r="T43" s="3"/>
      <c r="U43" s="3"/>
      <c r="V43" s="3"/>
      <c r="W43" s="3"/>
      <c r="X43" s="3"/>
      <c r="Y43" s="3"/>
      <c r="Z43" s="3"/>
      <c r="AA43" s="3"/>
      <c r="AB43" s="3"/>
      <c r="AC43" s="3"/>
      <c r="AD43" s="3"/>
      <c r="AE43" s="3"/>
      <c r="AF43" s="3"/>
      <c r="AM43"/>
      <c r="AN43"/>
      <c r="AO43"/>
      <c r="AP43"/>
      <c r="AQ43"/>
      <c r="AR43"/>
      <c r="AS43"/>
      <c r="AT43"/>
      <c r="AU43"/>
      <c r="AV43"/>
      <c r="AW43"/>
      <c r="AX43"/>
      <c r="AY43"/>
      <c r="AZ43"/>
      <c r="BA43"/>
      <c r="BB43"/>
    </row>
    <row r="44" spans="1:54">
      <c r="A44" t="s">
        <v>5999</v>
      </c>
      <c r="B44" t="s">
        <v>6000</v>
      </c>
      <c r="C44">
        <v>458172417</v>
      </c>
      <c r="D44" t="s">
        <v>5910</v>
      </c>
      <c r="E44" t="s">
        <v>6276</v>
      </c>
      <c r="F44">
        <v>446360930</v>
      </c>
      <c r="G44">
        <v>446447333</v>
      </c>
      <c r="H44">
        <v>1</v>
      </c>
      <c r="I44">
        <v>1</v>
      </c>
      <c r="J44">
        <v>0</v>
      </c>
      <c r="K44">
        <v>0</v>
      </c>
      <c r="L44">
        <v>0</v>
      </c>
      <c r="M44">
        <v>0</v>
      </c>
      <c r="N44">
        <v>0</v>
      </c>
      <c r="Q44" s="3"/>
      <c r="R44" s="3"/>
      <c r="S44" s="3"/>
      <c r="T44" s="3"/>
      <c r="U44" s="3"/>
      <c r="V44" s="3"/>
      <c r="W44" s="3"/>
      <c r="X44" s="3"/>
      <c r="Y44" s="3"/>
      <c r="Z44" s="3"/>
      <c r="AA44" s="3"/>
      <c r="AB44" s="3"/>
      <c r="AC44" s="3"/>
      <c r="AD44" s="3"/>
      <c r="AE44" s="3"/>
      <c r="AF44" s="3"/>
      <c r="AM44"/>
      <c r="AN44"/>
      <c r="AO44"/>
      <c r="AP44"/>
      <c r="AQ44"/>
      <c r="AR44"/>
      <c r="AS44"/>
      <c r="AT44"/>
      <c r="AU44"/>
      <c r="AV44"/>
      <c r="AW44"/>
      <c r="AX44"/>
      <c r="AY44"/>
      <c r="AZ44"/>
      <c r="BA44"/>
      <c r="BB44"/>
    </row>
    <row r="45" spans="1:54">
      <c r="A45" t="s">
        <v>6001</v>
      </c>
      <c r="B45" t="s">
        <v>6002</v>
      </c>
      <c r="C45">
        <v>458172422</v>
      </c>
      <c r="D45" t="s">
        <v>5910</v>
      </c>
      <c r="E45" t="s">
        <v>6277</v>
      </c>
      <c r="F45">
        <v>446447327</v>
      </c>
      <c r="G45">
        <v>446534330</v>
      </c>
      <c r="H45">
        <v>0</v>
      </c>
      <c r="I45">
        <v>0</v>
      </c>
      <c r="J45">
        <v>1</v>
      </c>
      <c r="K45">
        <v>1</v>
      </c>
      <c r="L45">
        <v>1</v>
      </c>
      <c r="M45">
        <v>0</v>
      </c>
      <c r="N45">
        <v>0</v>
      </c>
      <c r="Q45" s="3"/>
      <c r="R45" s="3"/>
      <c r="S45" s="3"/>
      <c r="T45" s="3"/>
      <c r="U45" s="3"/>
      <c r="V45" s="3"/>
      <c r="W45" s="3"/>
      <c r="X45" s="3"/>
      <c r="Y45" s="3"/>
      <c r="Z45" s="3"/>
      <c r="AA45" s="3"/>
      <c r="AB45" s="3"/>
      <c r="AC45" s="3"/>
      <c r="AD45" s="3"/>
      <c r="AE45" s="3"/>
      <c r="AF45" s="3"/>
      <c r="AM45"/>
      <c r="AN45"/>
      <c r="AO45"/>
      <c r="AP45"/>
      <c r="AQ45"/>
      <c r="AR45"/>
      <c r="AS45"/>
      <c r="AT45"/>
      <c r="AU45"/>
      <c r="AV45"/>
      <c r="AW45"/>
      <c r="AX45"/>
      <c r="AY45"/>
      <c r="AZ45"/>
      <c r="BA45"/>
      <c r="BB45"/>
    </row>
    <row r="46" spans="1:54">
      <c r="A46" t="s">
        <v>6003</v>
      </c>
      <c r="B46" t="s">
        <v>6004</v>
      </c>
      <c r="C46">
        <v>458172427</v>
      </c>
      <c r="D46" t="s">
        <v>5910</v>
      </c>
      <c r="E46" t="s">
        <v>6276</v>
      </c>
      <c r="F46">
        <v>447222590</v>
      </c>
      <c r="G46">
        <v>447240598</v>
      </c>
      <c r="H46">
        <v>1</v>
      </c>
      <c r="I46">
        <v>1</v>
      </c>
      <c r="J46">
        <v>0</v>
      </c>
      <c r="K46">
        <v>0</v>
      </c>
      <c r="L46">
        <v>0</v>
      </c>
      <c r="M46">
        <v>0</v>
      </c>
      <c r="N46">
        <v>0</v>
      </c>
      <c r="Q46" s="3"/>
      <c r="R46" s="3"/>
      <c r="S46" s="3"/>
      <c r="T46" s="3"/>
      <c r="U46" s="3"/>
      <c r="V46" s="3"/>
      <c r="W46" s="3"/>
      <c r="X46" s="3"/>
      <c r="Y46" s="3"/>
      <c r="Z46" s="3"/>
      <c r="AA46" s="3"/>
      <c r="AB46" s="3"/>
      <c r="AC46" s="3"/>
      <c r="AD46" s="3"/>
      <c r="AE46" s="3"/>
      <c r="AF46" s="3"/>
      <c r="AM46"/>
      <c r="AN46"/>
      <c r="AO46"/>
      <c r="AP46"/>
      <c r="AQ46"/>
      <c r="AR46"/>
      <c r="AS46"/>
      <c r="AT46"/>
      <c r="AU46"/>
      <c r="AV46"/>
      <c r="AW46"/>
      <c r="AX46"/>
      <c r="AY46"/>
      <c r="AZ46"/>
      <c r="BA46"/>
      <c r="BB46"/>
    </row>
    <row r="47" spans="1:54">
      <c r="A47" t="s">
        <v>6005</v>
      </c>
      <c r="B47" t="s">
        <v>6006</v>
      </c>
      <c r="C47">
        <v>458272262</v>
      </c>
      <c r="D47" t="s">
        <v>5910</v>
      </c>
      <c r="E47" t="s">
        <v>6276</v>
      </c>
      <c r="F47">
        <v>446447330</v>
      </c>
      <c r="G47">
        <v>446534333</v>
      </c>
      <c r="H47">
        <v>1</v>
      </c>
      <c r="I47">
        <v>1</v>
      </c>
      <c r="J47">
        <v>0</v>
      </c>
      <c r="K47">
        <v>0</v>
      </c>
      <c r="L47">
        <v>0</v>
      </c>
      <c r="M47">
        <v>0</v>
      </c>
      <c r="N47">
        <v>0</v>
      </c>
      <c r="Q47" s="3"/>
      <c r="R47" s="3"/>
      <c r="S47" s="3"/>
      <c r="T47" s="3"/>
      <c r="U47" s="3"/>
      <c r="V47" s="3"/>
      <c r="W47" s="3"/>
      <c r="X47" s="3"/>
      <c r="Y47" s="3"/>
      <c r="Z47" s="3"/>
      <c r="AA47" s="3"/>
      <c r="AB47" s="3"/>
      <c r="AC47" s="3"/>
      <c r="AD47" s="3"/>
      <c r="AE47" s="3"/>
      <c r="AF47" s="3"/>
      <c r="AM47"/>
      <c r="AN47"/>
      <c r="AO47"/>
      <c r="AP47"/>
      <c r="AQ47"/>
      <c r="AR47"/>
      <c r="AS47"/>
      <c r="AT47"/>
      <c r="AU47"/>
      <c r="AV47"/>
      <c r="AW47"/>
      <c r="AX47"/>
      <c r="AY47"/>
      <c r="AZ47"/>
      <c r="BA47"/>
      <c r="BB47"/>
    </row>
    <row r="48" spans="1:54">
      <c r="A48" t="s">
        <v>6007</v>
      </c>
      <c r="B48" t="s">
        <v>6008</v>
      </c>
      <c r="C48">
        <v>458272267</v>
      </c>
      <c r="D48" t="s">
        <v>5910</v>
      </c>
      <c r="E48" t="s">
        <v>6277</v>
      </c>
      <c r="F48">
        <v>446534327</v>
      </c>
      <c r="G48">
        <v>446615330</v>
      </c>
      <c r="H48">
        <v>0</v>
      </c>
      <c r="I48">
        <v>0</v>
      </c>
      <c r="J48">
        <v>1</v>
      </c>
      <c r="K48">
        <v>1</v>
      </c>
      <c r="L48">
        <v>1</v>
      </c>
      <c r="M48">
        <v>0</v>
      </c>
      <c r="N48">
        <v>0</v>
      </c>
      <c r="Q48" s="3"/>
      <c r="R48" s="3"/>
      <c r="S48" s="3"/>
      <c r="T48" s="3"/>
      <c r="U48" s="3"/>
      <c r="V48" s="3"/>
      <c r="W48" s="3"/>
      <c r="X48" s="3"/>
      <c r="Y48" s="3"/>
      <c r="Z48" s="3"/>
      <c r="AA48" s="3"/>
      <c r="AB48" s="3"/>
      <c r="AC48" s="3"/>
      <c r="AD48" s="3"/>
      <c r="AE48" s="3"/>
      <c r="AF48" s="3"/>
      <c r="AM48"/>
      <c r="AN48"/>
      <c r="AO48"/>
      <c r="AP48"/>
      <c r="AQ48"/>
      <c r="AR48"/>
      <c r="AS48"/>
      <c r="AT48"/>
      <c r="AU48"/>
      <c r="AV48"/>
      <c r="AW48"/>
      <c r="AX48"/>
      <c r="AY48"/>
      <c r="AZ48"/>
      <c r="BA48"/>
      <c r="BB48"/>
    </row>
    <row r="49" spans="1:54">
      <c r="A49" t="s">
        <v>6009</v>
      </c>
      <c r="B49" t="s">
        <v>6010</v>
      </c>
      <c r="C49">
        <v>458272272</v>
      </c>
      <c r="D49" t="s">
        <v>5910</v>
      </c>
      <c r="E49" t="s">
        <v>6276</v>
      </c>
      <c r="F49">
        <v>446534330</v>
      </c>
      <c r="G49">
        <v>446615333</v>
      </c>
      <c r="H49">
        <v>1</v>
      </c>
      <c r="I49">
        <v>1</v>
      </c>
      <c r="J49">
        <v>0</v>
      </c>
      <c r="K49">
        <v>0</v>
      </c>
      <c r="L49">
        <v>0</v>
      </c>
      <c r="M49">
        <v>0</v>
      </c>
      <c r="N49">
        <v>0</v>
      </c>
      <c r="Q49" s="3"/>
      <c r="R49" s="3"/>
      <c r="S49" s="3"/>
      <c r="T49" s="3"/>
      <c r="U49" s="3"/>
      <c r="V49" s="3"/>
      <c r="W49" s="3"/>
      <c r="X49" s="3"/>
      <c r="Y49" s="3"/>
      <c r="Z49" s="3"/>
      <c r="AA49" s="3"/>
      <c r="AB49" s="3"/>
      <c r="AC49" s="3"/>
      <c r="AD49" s="3"/>
      <c r="AE49" s="3"/>
      <c r="AF49" s="3"/>
      <c r="AM49"/>
      <c r="AN49"/>
      <c r="AO49"/>
      <c r="AP49"/>
      <c r="AQ49"/>
      <c r="AR49"/>
      <c r="AS49"/>
      <c r="AT49"/>
      <c r="AU49"/>
      <c r="AV49"/>
      <c r="AW49"/>
      <c r="AX49"/>
      <c r="AY49"/>
      <c r="AZ49"/>
      <c r="BA49"/>
      <c r="BB49"/>
    </row>
    <row r="50" spans="1:54">
      <c r="A50" t="s">
        <v>6011</v>
      </c>
      <c r="B50" t="s">
        <v>6012</v>
      </c>
      <c r="C50">
        <v>458272277</v>
      </c>
      <c r="D50" t="s">
        <v>5910</v>
      </c>
      <c r="E50" t="s">
        <v>6276</v>
      </c>
      <c r="F50">
        <v>446615330</v>
      </c>
      <c r="G50">
        <v>446646833</v>
      </c>
      <c r="H50">
        <v>1</v>
      </c>
      <c r="I50">
        <v>1</v>
      </c>
      <c r="J50">
        <v>0</v>
      </c>
      <c r="K50">
        <v>0</v>
      </c>
      <c r="L50">
        <v>0</v>
      </c>
      <c r="M50">
        <v>0</v>
      </c>
      <c r="N50">
        <v>0</v>
      </c>
      <c r="Q50" s="3"/>
      <c r="R50" s="3"/>
      <c r="S50" s="3"/>
      <c r="T50" s="3"/>
      <c r="U50" s="3"/>
      <c r="V50" s="3"/>
      <c r="W50" s="3"/>
      <c r="X50" s="3"/>
      <c r="Y50" s="3"/>
      <c r="Z50" s="3"/>
      <c r="AA50" s="3"/>
      <c r="AB50" s="3"/>
      <c r="AC50" s="3"/>
      <c r="AD50" s="3"/>
      <c r="AE50" s="3"/>
      <c r="AF50" s="3"/>
      <c r="AM50"/>
      <c r="AN50"/>
      <c r="AO50"/>
      <c r="AP50"/>
      <c r="AQ50"/>
      <c r="AR50"/>
      <c r="AS50"/>
      <c r="AT50"/>
      <c r="AU50"/>
      <c r="AV50"/>
      <c r="AW50"/>
      <c r="AX50"/>
      <c r="AY50"/>
      <c r="AZ50"/>
      <c r="BA50"/>
      <c r="BB50"/>
    </row>
    <row r="51" spans="1:54">
      <c r="A51" t="s">
        <v>6013</v>
      </c>
      <c r="B51" t="s">
        <v>6014</v>
      </c>
      <c r="C51">
        <v>458272282</v>
      </c>
      <c r="D51" t="s">
        <v>5910</v>
      </c>
      <c r="E51" t="s">
        <v>6277</v>
      </c>
      <c r="F51">
        <v>446646827</v>
      </c>
      <c r="G51">
        <v>446705630</v>
      </c>
      <c r="H51">
        <v>0</v>
      </c>
      <c r="I51">
        <v>0</v>
      </c>
      <c r="J51">
        <v>1</v>
      </c>
      <c r="K51">
        <v>1</v>
      </c>
      <c r="L51">
        <v>1</v>
      </c>
      <c r="M51">
        <v>0</v>
      </c>
      <c r="N51">
        <v>0</v>
      </c>
      <c r="Q51" s="3"/>
      <c r="R51" s="3"/>
      <c r="S51" s="3"/>
      <c r="T51" s="3"/>
      <c r="U51" s="3"/>
      <c r="V51" s="3"/>
      <c r="W51" s="3"/>
      <c r="X51" s="3"/>
      <c r="Y51" s="3"/>
      <c r="Z51" s="3"/>
      <c r="AA51" s="3"/>
      <c r="AB51" s="3"/>
      <c r="AC51" s="3"/>
      <c r="AD51" s="3"/>
      <c r="AE51" s="3"/>
      <c r="AF51" s="3"/>
      <c r="AM51"/>
      <c r="AN51"/>
      <c r="AO51"/>
      <c r="AP51"/>
      <c r="AQ51"/>
      <c r="AR51"/>
      <c r="AS51"/>
      <c r="AT51"/>
      <c r="AU51"/>
      <c r="AV51"/>
      <c r="AW51"/>
      <c r="AX51"/>
      <c r="AY51"/>
      <c r="AZ51"/>
      <c r="BA51"/>
      <c r="BB51"/>
    </row>
    <row r="52" spans="1:54">
      <c r="A52" t="s">
        <v>6015</v>
      </c>
      <c r="B52" t="s">
        <v>6016</v>
      </c>
      <c r="C52">
        <v>458272287</v>
      </c>
      <c r="D52" t="s">
        <v>5910</v>
      </c>
      <c r="E52" t="s">
        <v>6276</v>
      </c>
      <c r="F52">
        <v>446646830</v>
      </c>
      <c r="G52">
        <v>446705633</v>
      </c>
      <c r="H52">
        <v>1</v>
      </c>
      <c r="I52">
        <v>1</v>
      </c>
      <c r="J52">
        <v>0</v>
      </c>
      <c r="K52">
        <v>0</v>
      </c>
      <c r="L52">
        <v>0</v>
      </c>
      <c r="M52">
        <v>0</v>
      </c>
      <c r="N52">
        <v>0</v>
      </c>
      <c r="Q52" s="3"/>
      <c r="R52" s="3"/>
      <c r="S52" s="3"/>
      <c r="T52" s="3"/>
      <c r="U52" s="3"/>
      <c r="V52" s="3"/>
      <c r="W52" s="3"/>
      <c r="X52" s="3"/>
      <c r="Y52" s="3"/>
      <c r="Z52" s="3"/>
      <c r="AA52" s="3"/>
      <c r="AB52" s="3"/>
      <c r="AC52" s="3"/>
      <c r="AD52" s="3"/>
      <c r="AE52" s="3"/>
      <c r="AF52" s="3"/>
      <c r="AM52"/>
      <c r="AN52"/>
      <c r="AO52"/>
      <c r="AP52"/>
      <c r="AQ52"/>
      <c r="AR52"/>
      <c r="AS52"/>
      <c r="AT52"/>
      <c r="AU52"/>
      <c r="AV52"/>
      <c r="AW52"/>
      <c r="AX52"/>
      <c r="AY52"/>
      <c r="AZ52"/>
      <c r="BA52"/>
      <c r="BB52"/>
    </row>
    <row r="53" spans="1:54">
      <c r="A53" t="s">
        <v>6017</v>
      </c>
      <c r="B53" t="s">
        <v>6018</v>
      </c>
      <c r="C53">
        <v>458272292</v>
      </c>
      <c r="D53" t="s">
        <v>5910</v>
      </c>
      <c r="E53" t="s">
        <v>6277</v>
      </c>
      <c r="F53">
        <v>446705627</v>
      </c>
      <c r="G53">
        <v>446787830</v>
      </c>
      <c r="H53">
        <v>0</v>
      </c>
      <c r="I53">
        <v>0</v>
      </c>
      <c r="J53">
        <v>1</v>
      </c>
      <c r="K53">
        <v>1</v>
      </c>
      <c r="L53">
        <v>1</v>
      </c>
      <c r="M53">
        <v>0</v>
      </c>
      <c r="N53">
        <v>0</v>
      </c>
      <c r="Q53" s="3"/>
      <c r="R53" s="3"/>
      <c r="S53" s="3"/>
      <c r="T53" s="3"/>
      <c r="U53" s="3"/>
      <c r="V53" s="3"/>
      <c r="W53" s="3"/>
      <c r="X53" s="3"/>
      <c r="Y53" s="3"/>
      <c r="Z53" s="3"/>
      <c r="AA53" s="3"/>
      <c r="AB53" s="3"/>
      <c r="AC53" s="3"/>
      <c r="AD53" s="3"/>
      <c r="AE53" s="3"/>
      <c r="AF53" s="3"/>
      <c r="AM53"/>
      <c r="AN53"/>
      <c r="AO53"/>
      <c r="AP53"/>
      <c r="AQ53"/>
      <c r="AR53"/>
      <c r="AS53"/>
      <c r="AT53"/>
      <c r="AU53"/>
      <c r="AV53"/>
      <c r="AW53"/>
      <c r="AX53"/>
      <c r="AY53"/>
      <c r="AZ53"/>
      <c r="BA53"/>
      <c r="BB53"/>
    </row>
    <row r="54" spans="1:54">
      <c r="A54" t="s">
        <v>6019</v>
      </c>
      <c r="B54" t="s">
        <v>6020</v>
      </c>
      <c r="C54">
        <v>458272297</v>
      </c>
      <c r="D54" t="s">
        <v>5910</v>
      </c>
      <c r="E54" t="s">
        <v>6276</v>
      </c>
      <c r="F54">
        <v>446705630</v>
      </c>
      <c r="G54">
        <v>446787833</v>
      </c>
      <c r="H54">
        <v>1</v>
      </c>
      <c r="I54">
        <v>1</v>
      </c>
      <c r="J54">
        <v>0</v>
      </c>
      <c r="K54">
        <v>0</v>
      </c>
      <c r="L54">
        <v>0</v>
      </c>
      <c r="M54">
        <v>0</v>
      </c>
      <c r="N54">
        <v>0</v>
      </c>
      <c r="Q54" s="3"/>
      <c r="R54" s="3"/>
      <c r="S54" s="3"/>
      <c r="T54" s="3"/>
      <c r="U54" s="3"/>
      <c r="V54" s="3"/>
      <c r="W54" s="3"/>
      <c r="X54" s="3"/>
      <c r="Y54" s="3"/>
      <c r="Z54" s="3"/>
      <c r="AA54" s="3"/>
      <c r="AB54" s="3"/>
      <c r="AC54" s="3"/>
      <c r="AD54" s="3"/>
      <c r="AE54" s="3"/>
      <c r="AF54" s="3"/>
      <c r="AM54"/>
      <c r="AN54"/>
      <c r="AO54"/>
      <c r="AP54"/>
      <c r="AQ54"/>
      <c r="AR54"/>
      <c r="AS54"/>
      <c r="AT54"/>
      <c r="AU54"/>
      <c r="AV54"/>
      <c r="AW54"/>
      <c r="AX54"/>
      <c r="AY54"/>
      <c r="AZ54"/>
      <c r="BA54"/>
      <c r="BB54"/>
    </row>
    <row r="55" spans="1:54">
      <c r="A55" t="s">
        <v>6021</v>
      </c>
      <c r="B55" t="s">
        <v>6022</v>
      </c>
      <c r="C55">
        <v>458272302</v>
      </c>
      <c r="D55" t="s">
        <v>5910</v>
      </c>
      <c r="E55" t="s">
        <v>6277</v>
      </c>
      <c r="F55">
        <v>446787827</v>
      </c>
      <c r="G55">
        <v>446873930</v>
      </c>
      <c r="H55">
        <v>0</v>
      </c>
      <c r="I55">
        <v>0</v>
      </c>
      <c r="J55">
        <v>1</v>
      </c>
      <c r="K55">
        <v>1</v>
      </c>
      <c r="L55">
        <v>1</v>
      </c>
      <c r="M55">
        <v>0</v>
      </c>
      <c r="N55">
        <v>0</v>
      </c>
      <c r="Q55" s="3"/>
      <c r="R55" s="3"/>
      <c r="S55" s="3"/>
      <c r="T55" s="3"/>
      <c r="U55" s="3"/>
      <c r="V55" s="3"/>
      <c r="W55" s="3"/>
      <c r="X55" s="3"/>
      <c r="Y55" s="3"/>
      <c r="Z55" s="3"/>
      <c r="AA55" s="3"/>
      <c r="AB55" s="3"/>
      <c r="AC55" s="3"/>
      <c r="AD55" s="3"/>
      <c r="AE55" s="3"/>
      <c r="AF55" s="3"/>
      <c r="AM55"/>
      <c r="AN55"/>
      <c r="AO55"/>
      <c r="AP55"/>
      <c r="AQ55"/>
      <c r="AR55"/>
      <c r="AS55"/>
      <c r="AT55"/>
      <c r="AU55"/>
      <c r="AV55"/>
      <c r="AW55"/>
      <c r="AX55"/>
      <c r="AY55"/>
      <c r="AZ55"/>
      <c r="BA55"/>
      <c r="BB55"/>
    </row>
    <row r="56" spans="1:54">
      <c r="A56" t="s">
        <v>6023</v>
      </c>
      <c r="B56" t="s">
        <v>6024</v>
      </c>
      <c r="C56">
        <v>458272307</v>
      </c>
      <c r="D56" t="s">
        <v>5910</v>
      </c>
      <c r="E56" t="s">
        <v>6276</v>
      </c>
      <c r="F56">
        <v>446787830</v>
      </c>
      <c r="G56">
        <v>446873933</v>
      </c>
      <c r="H56">
        <v>1</v>
      </c>
      <c r="I56">
        <v>1</v>
      </c>
      <c r="J56">
        <v>0</v>
      </c>
      <c r="K56">
        <v>0</v>
      </c>
      <c r="L56">
        <v>0</v>
      </c>
      <c r="M56">
        <v>0</v>
      </c>
      <c r="N56">
        <v>0</v>
      </c>
      <c r="Q56" s="3"/>
      <c r="R56" s="3"/>
      <c r="S56" s="3"/>
      <c r="T56" s="3"/>
      <c r="U56" s="3"/>
      <c r="V56" s="3"/>
      <c r="W56" s="3"/>
      <c r="X56" s="3"/>
      <c r="Y56" s="3"/>
      <c r="Z56" s="3"/>
      <c r="AA56" s="3"/>
      <c r="AB56" s="3"/>
      <c r="AC56" s="3"/>
      <c r="AD56" s="3"/>
      <c r="AE56" s="3"/>
      <c r="AF56" s="3"/>
      <c r="AM56"/>
      <c r="AN56"/>
      <c r="AO56"/>
      <c r="AP56"/>
      <c r="AQ56"/>
      <c r="AR56"/>
      <c r="AS56"/>
      <c r="AT56"/>
      <c r="AU56"/>
      <c r="AV56"/>
      <c r="AW56"/>
      <c r="AX56"/>
      <c r="AY56"/>
      <c r="AZ56"/>
      <c r="BA56"/>
      <c r="BB56"/>
    </row>
    <row r="57" spans="1:54">
      <c r="A57" t="s">
        <v>6025</v>
      </c>
      <c r="B57" t="s">
        <v>6026</v>
      </c>
      <c r="C57">
        <v>458272312</v>
      </c>
      <c r="D57" t="s">
        <v>5910</v>
      </c>
      <c r="E57" t="s">
        <v>6277</v>
      </c>
      <c r="F57">
        <v>446873927</v>
      </c>
      <c r="G57">
        <v>446960030</v>
      </c>
      <c r="H57">
        <v>0</v>
      </c>
      <c r="I57">
        <v>0</v>
      </c>
      <c r="J57">
        <v>1</v>
      </c>
      <c r="K57">
        <v>1</v>
      </c>
      <c r="L57">
        <v>1</v>
      </c>
      <c r="M57">
        <v>0</v>
      </c>
      <c r="N57">
        <v>0</v>
      </c>
      <c r="Q57" s="3"/>
      <c r="R57" s="3"/>
      <c r="S57" s="3"/>
      <c r="T57" s="3"/>
      <c r="U57" s="3"/>
      <c r="V57" s="3"/>
      <c r="W57" s="3"/>
      <c r="X57" s="3"/>
      <c r="Y57" s="3"/>
      <c r="Z57" s="3"/>
      <c r="AA57" s="3"/>
      <c r="AB57" s="3"/>
      <c r="AC57" s="3"/>
      <c r="AD57" s="3"/>
      <c r="AE57" s="3"/>
      <c r="AF57" s="3"/>
      <c r="AM57"/>
      <c r="AN57"/>
      <c r="AO57"/>
      <c r="AP57"/>
      <c r="AQ57"/>
      <c r="AR57"/>
      <c r="AS57"/>
      <c r="AT57"/>
      <c r="AU57"/>
      <c r="AV57"/>
      <c r="AW57"/>
      <c r="AX57"/>
      <c r="AY57"/>
      <c r="AZ57"/>
      <c r="BA57"/>
      <c r="BB57"/>
    </row>
    <row r="58" spans="1:54">
      <c r="A58" t="s">
        <v>6027</v>
      </c>
      <c r="B58" t="s">
        <v>6028</v>
      </c>
      <c r="C58">
        <v>458272317</v>
      </c>
      <c r="D58" t="s">
        <v>5910</v>
      </c>
      <c r="E58" t="s">
        <v>6277</v>
      </c>
      <c r="F58">
        <v>447330587</v>
      </c>
      <c r="G58">
        <v>447390890</v>
      </c>
      <c r="H58">
        <v>0</v>
      </c>
      <c r="I58">
        <v>0</v>
      </c>
      <c r="J58">
        <v>1</v>
      </c>
      <c r="K58">
        <v>1</v>
      </c>
      <c r="L58">
        <v>1</v>
      </c>
      <c r="M58">
        <v>0</v>
      </c>
      <c r="N58">
        <v>0</v>
      </c>
      <c r="Q58" s="3"/>
      <c r="R58" s="3"/>
      <c r="S58" s="3"/>
      <c r="T58" s="3"/>
      <c r="U58" s="3"/>
      <c r="V58" s="3"/>
      <c r="W58" s="3"/>
      <c r="X58" s="3"/>
      <c r="Y58" s="3"/>
      <c r="Z58" s="3"/>
      <c r="AA58" s="3"/>
      <c r="AB58" s="3"/>
      <c r="AC58" s="3"/>
      <c r="AD58" s="3"/>
      <c r="AE58" s="3"/>
      <c r="AF58" s="3"/>
      <c r="AM58"/>
      <c r="AN58"/>
      <c r="AO58"/>
      <c r="AP58"/>
      <c r="AQ58"/>
      <c r="AR58"/>
      <c r="AS58"/>
      <c r="AT58"/>
      <c r="AU58"/>
      <c r="AV58"/>
      <c r="AW58"/>
      <c r="AX58"/>
      <c r="AY58"/>
      <c r="AZ58"/>
      <c r="BA58"/>
      <c r="BB58"/>
    </row>
    <row r="59" spans="1:54">
      <c r="A59" t="s">
        <v>6029</v>
      </c>
      <c r="B59" t="s">
        <v>6030</v>
      </c>
      <c r="C59">
        <v>458540762</v>
      </c>
      <c r="D59" t="s">
        <v>5910</v>
      </c>
      <c r="E59" t="s">
        <v>6277</v>
      </c>
      <c r="F59">
        <v>445954127</v>
      </c>
      <c r="G59">
        <v>446038430</v>
      </c>
      <c r="H59">
        <v>0</v>
      </c>
      <c r="I59">
        <v>0</v>
      </c>
      <c r="J59">
        <v>1</v>
      </c>
      <c r="K59">
        <v>1</v>
      </c>
      <c r="L59">
        <v>1</v>
      </c>
      <c r="M59">
        <v>0</v>
      </c>
      <c r="N59">
        <v>0</v>
      </c>
      <c r="Q59" s="3"/>
      <c r="R59" s="3"/>
      <c r="S59" s="3"/>
      <c r="T59" s="3"/>
      <c r="U59" s="3"/>
      <c r="V59" s="3"/>
      <c r="W59" s="3"/>
      <c r="X59" s="3"/>
      <c r="Y59" s="3"/>
      <c r="Z59" s="3"/>
      <c r="AA59" s="3"/>
      <c r="AB59" s="3"/>
      <c r="AC59" s="3"/>
      <c r="AD59" s="3"/>
      <c r="AE59" s="3"/>
      <c r="AF59" s="3"/>
      <c r="AM59"/>
      <c r="AN59"/>
      <c r="AO59"/>
      <c r="AP59"/>
      <c r="AQ59"/>
      <c r="AR59"/>
      <c r="AS59"/>
      <c r="AT59"/>
      <c r="AU59"/>
      <c r="AV59"/>
      <c r="AW59"/>
      <c r="AX59"/>
      <c r="AY59"/>
      <c r="AZ59"/>
      <c r="BA59"/>
      <c r="BB59"/>
    </row>
    <row r="60" spans="1:54">
      <c r="A60" t="s">
        <v>6031</v>
      </c>
      <c r="B60" t="s">
        <v>6032</v>
      </c>
      <c r="C60">
        <v>458540767</v>
      </c>
      <c r="D60" t="s">
        <v>5910</v>
      </c>
      <c r="E60" t="s">
        <v>6277</v>
      </c>
      <c r="F60">
        <v>446274227</v>
      </c>
      <c r="G60">
        <v>446360930</v>
      </c>
      <c r="H60">
        <v>0</v>
      </c>
      <c r="I60">
        <v>0</v>
      </c>
      <c r="J60">
        <v>1</v>
      </c>
      <c r="K60">
        <v>1</v>
      </c>
      <c r="L60">
        <v>1</v>
      </c>
      <c r="M60">
        <v>0</v>
      </c>
      <c r="N60">
        <v>0</v>
      </c>
      <c r="Q60" s="3"/>
      <c r="R60" s="3"/>
      <c r="S60" s="3"/>
      <c r="T60" s="3"/>
      <c r="U60" s="3"/>
      <c r="V60" s="3"/>
      <c r="W60" s="3"/>
      <c r="X60" s="3"/>
      <c r="Y60" s="3"/>
      <c r="Z60" s="3"/>
      <c r="AA60" s="3"/>
      <c r="AB60" s="3"/>
      <c r="AC60" s="3"/>
      <c r="AD60" s="3"/>
      <c r="AE60" s="3"/>
      <c r="AF60" s="3"/>
      <c r="AM60"/>
      <c r="AN60"/>
      <c r="AO60"/>
      <c r="AP60"/>
      <c r="AQ60"/>
      <c r="AR60"/>
      <c r="AS60"/>
      <c r="AT60"/>
      <c r="AU60"/>
      <c r="AV60"/>
      <c r="AW60"/>
      <c r="AX60"/>
      <c r="AY60"/>
      <c r="AZ60"/>
      <c r="BA60"/>
      <c r="BB60"/>
    </row>
    <row r="61" spans="1:54">
      <c r="A61" t="s">
        <v>6033</v>
      </c>
      <c r="B61" t="s">
        <v>6034</v>
      </c>
      <c r="C61">
        <v>458540772</v>
      </c>
      <c r="D61" t="s">
        <v>5910</v>
      </c>
      <c r="E61" t="s">
        <v>6276</v>
      </c>
      <c r="F61">
        <v>446873930</v>
      </c>
      <c r="G61">
        <v>446960033</v>
      </c>
      <c r="H61">
        <v>1</v>
      </c>
      <c r="I61">
        <v>1</v>
      </c>
      <c r="J61">
        <v>0</v>
      </c>
      <c r="K61">
        <v>0</v>
      </c>
      <c r="L61">
        <v>0</v>
      </c>
      <c r="M61">
        <v>0</v>
      </c>
      <c r="N61">
        <v>0</v>
      </c>
      <c r="Q61" s="3"/>
      <c r="R61" s="3"/>
      <c r="S61" s="3"/>
      <c r="T61" s="3"/>
      <c r="U61" s="3"/>
      <c r="V61" s="3"/>
      <c r="W61" s="3"/>
      <c r="X61" s="3"/>
      <c r="Y61" s="3"/>
      <c r="Z61" s="3"/>
      <c r="AA61" s="3"/>
      <c r="AB61" s="3"/>
      <c r="AC61" s="3"/>
      <c r="AD61" s="3"/>
      <c r="AE61" s="3"/>
      <c r="AF61" s="3"/>
      <c r="AM61"/>
      <c r="AN61"/>
      <c r="AO61"/>
      <c r="AP61"/>
      <c r="AQ61"/>
      <c r="AR61"/>
      <c r="AS61"/>
      <c r="AT61"/>
      <c r="AU61"/>
      <c r="AV61"/>
      <c r="AW61"/>
      <c r="AX61"/>
      <c r="AY61"/>
      <c r="AZ61"/>
      <c r="BA61"/>
      <c r="BB61"/>
    </row>
    <row r="62" spans="1:54">
      <c r="A62" t="s">
        <v>6035</v>
      </c>
      <c r="B62" t="s">
        <v>6036</v>
      </c>
      <c r="C62">
        <v>458540777</v>
      </c>
      <c r="D62" t="s">
        <v>5910</v>
      </c>
      <c r="E62" t="s">
        <v>6277</v>
      </c>
      <c r="F62">
        <v>446960027</v>
      </c>
      <c r="G62">
        <v>447050330</v>
      </c>
      <c r="H62">
        <v>0</v>
      </c>
      <c r="I62">
        <v>0</v>
      </c>
      <c r="J62">
        <v>1</v>
      </c>
      <c r="K62">
        <v>1</v>
      </c>
      <c r="L62">
        <v>1</v>
      </c>
      <c r="M62">
        <v>0</v>
      </c>
      <c r="N62">
        <v>0</v>
      </c>
      <c r="Q62" s="3"/>
      <c r="R62" s="3"/>
      <c r="S62" s="3"/>
      <c r="T62" s="3"/>
      <c r="U62" s="3"/>
      <c r="V62" s="3"/>
      <c r="W62" s="3"/>
      <c r="X62" s="3"/>
      <c r="Y62" s="3"/>
      <c r="Z62" s="3"/>
      <c r="AA62" s="3"/>
      <c r="AB62" s="3"/>
      <c r="AC62" s="3"/>
      <c r="AD62" s="3"/>
      <c r="AE62" s="3"/>
      <c r="AF62" s="3"/>
      <c r="AM62"/>
      <c r="AN62"/>
      <c r="AO62"/>
      <c r="AP62"/>
      <c r="AQ62"/>
      <c r="AR62"/>
      <c r="AS62"/>
      <c r="AT62"/>
      <c r="AU62"/>
      <c r="AV62"/>
      <c r="AW62"/>
      <c r="AX62"/>
      <c r="AY62"/>
      <c r="AZ62"/>
      <c r="BA62"/>
      <c r="BB62"/>
    </row>
    <row r="63" spans="1:54">
      <c r="A63" t="s">
        <v>6037</v>
      </c>
      <c r="B63" t="s">
        <v>6038</v>
      </c>
      <c r="C63">
        <v>458540782</v>
      </c>
      <c r="D63" t="s">
        <v>5910</v>
      </c>
      <c r="E63" t="s">
        <v>6276</v>
      </c>
      <c r="F63">
        <v>446960030</v>
      </c>
      <c r="G63">
        <v>447050333</v>
      </c>
      <c r="H63">
        <v>1</v>
      </c>
      <c r="I63">
        <v>1</v>
      </c>
      <c r="J63">
        <v>0</v>
      </c>
      <c r="K63">
        <v>0</v>
      </c>
      <c r="L63">
        <v>0</v>
      </c>
      <c r="M63">
        <v>0</v>
      </c>
      <c r="N63">
        <v>0</v>
      </c>
      <c r="Q63" s="3"/>
      <c r="R63" s="3"/>
      <c r="S63" s="3"/>
      <c r="T63" s="3"/>
      <c r="U63" s="3"/>
      <c r="V63" s="3"/>
      <c r="W63" s="3"/>
      <c r="X63" s="3"/>
      <c r="Y63" s="3"/>
      <c r="Z63" s="3"/>
      <c r="AA63" s="3"/>
      <c r="AB63" s="3"/>
      <c r="AC63" s="3"/>
      <c r="AD63" s="3"/>
      <c r="AE63" s="3"/>
      <c r="AF63" s="3"/>
      <c r="AM63"/>
      <c r="AN63"/>
      <c r="AO63"/>
      <c r="AP63"/>
      <c r="AQ63"/>
      <c r="AR63"/>
      <c r="AS63"/>
      <c r="AT63"/>
      <c r="AU63"/>
      <c r="AV63"/>
      <c r="AW63"/>
      <c r="AX63"/>
      <c r="AY63"/>
      <c r="AZ63"/>
      <c r="BA63"/>
      <c r="BB63"/>
    </row>
    <row r="64" spans="1:54">
      <c r="A64" t="s">
        <v>6039</v>
      </c>
      <c r="B64" t="s">
        <v>6040</v>
      </c>
      <c r="C64">
        <v>458540787</v>
      </c>
      <c r="D64" t="s">
        <v>5910</v>
      </c>
      <c r="E64" t="s">
        <v>6277</v>
      </c>
      <c r="F64">
        <v>447050327</v>
      </c>
      <c r="G64">
        <v>447222590</v>
      </c>
      <c r="H64">
        <v>0</v>
      </c>
      <c r="I64">
        <v>0</v>
      </c>
      <c r="J64">
        <v>1</v>
      </c>
      <c r="K64">
        <v>1</v>
      </c>
      <c r="L64">
        <v>1</v>
      </c>
      <c r="M64">
        <v>0</v>
      </c>
      <c r="N64">
        <v>0</v>
      </c>
      <c r="Q64" s="3"/>
      <c r="R64" s="3"/>
      <c r="S64" s="3"/>
      <c r="T64" s="3"/>
      <c r="U64" s="3"/>
      <c r="V64" s="3"/>
      <c r="W64" s="3"/>
      <c r="X64" s="3"/>
      <c r="Y64" s="3"/>
      <c r="Z64" s="3"/>
      <c r="AA64" s="3"/>
      <c r="AB64" s="3"/>
      <c r="AC64" s="3"/>
      <c r="AD64" s="3"/>
      <c r="AE64" s="3"/>
      <c r="AF64" s="3"/>
      <c r="AM64"/>
      <c r="AN64"/>
      <c r="AO64"/>
      <c r="AP64"/>
      <c r="AQ64"/>
      <c r="AR64"/>
      <c r="AS64"/>
      <c r="AT64"/>
      <c r="AU64"/>
      <c r="AV64"/>
      <c r="AW64"/>
      <c r="AX64"/>
      <c r="AY64"/>
      <c r="AZ64"/>
      <c r="BA64"/>
      <c r="BB64"/>
    </row>
    <row r="65" spans="1:54">
      <c r="A65" t="s">
        <v>6041</v>
      </c>
      <c r="B65" t="s">
        <v>6042</v>
      </c>
      <c r="C65">
        <v>458540792</v>
      </c>
      <c r="D65" t="s">
        <v>5910</v>
      </c>
      <c r="E65" t="s">
        <v>6276</v>
      </c>
      <c r="F65">
        <v>447050330</v>
      </c>
      <c r="G65">
        <v>447222593</v>
      </c>
      <c r="H65">
        <v>1</v>
      </c>
      <c r="I65">
        <v>1</v>
      </c>
      <c r="J65">
        <v>0</v>
      </c>
      <c r="K65">
        <v>0</v>
      </c>
      <c r="L65">
        <v>0</v>
      </c>
      <c r="M65">
        <v>0</v>
      </c>
      <c r="N65">
        <v>0</v>
      </c>
      <c r="Q65" s="3"/>
      <c r="R65" s="3"/>
      <c r="S65" s="3"/>
      <c r="T65" s="3"/>
      <c r="U65" s="3"/>
      <c r="V65" s="3"/>
      <c r="W65" s="3"/>
      <c r="X65" s="3"/>
      <c r="Y65" s="3"/>
      <c r="Z65" s="3"/>
      <c r="AA65" s="3"/>
      <c r="AB65" s="3"/>
      <c r="AC65" s="3"/>
      <c r="AD65" s="3"/>
      <c r="AE65" s="3"/>
      <c r="AF65" s="3"/>
      <c r="AM65"/>
      <c r="AN65"/>
      <c r="AO65"/>
      <c r="AP65"/>
      <c r="AQ65"/>
      <c r="AR65"/>
      <c r="AS65"/>
      <c r="AT65"/>
      <c r="AU65"/>
      <c r="AV65"/>
      <c r="AW65"/>
      <c r="AX65"/>
      <c r="AY65"/>
      <c r="AZ65"/>
      <c r="BA65"/>
      <c r="BB65"/>
    </row>
    <row r="66" spans="1:54">
      <c r="A66" t="s">
        <v>6043</v>
      </c>
      <c r="B66" t="s">
        <v>6044</v>
      </c>
      <c r="C66">
        <v>458622662</v>
      </c>
      <c r="D66" t="s">
        <v>5910</v>
      </c>
      <c r="E66" t="s">
        <v>6277</v>
      </c>
      <c r="F66">
        <v>447240595</v>
      </c>
      <c r="G66">
        <v>447330590</v>
      </c>
      <c r="H66">
        <v>0</v>
      </c>
      <c r="I66">
        <v>0</v>
      </c>
      <c r="J66">
        <v>1</v>
      </c>
      <c r="K66">
        <v>1</v>
      </c>
      <c r="L66">
        <v>1</v>
      </c>
      <c r="M66">
        <v>0</v>
      </c>
      <c r="N66">
        <v>0</v>
      </c>
      <c r="Q66" s="3"/>
      <c r="R66" s="3"/>
      <c r="S66" s="3"/>
      <c r="T66" s="3"/>
      <c r="U66" s="3"/>
      <c r="V66" s="3"/>
      <c r="W66" s="3"/>
      <c r="X66" s="3"/>
      <c r="Y66" s="3"/>
      <c r="Z66" s="3"/>
      <c r="AA66" s="3"/>
      <c r="AB66" s="3"/>
      <c r="AC66" s="3"/>
      <c r="AD66" s="3"/>
      <c r="AE66" s="3"/>
      <c r="AF66" s="3"/>
      <c r="AM66"/>
      <c r="AN66"/>
      <c r="AO66"/>
      <c r="AP66"/>
      <c r="AQ66"/>
      <c r="AR66"/>
      <c r="AS66"/>
      <c r="AT66"/>
      <c r="AU66"/>
      <c r="AV66"/>
      <c r="AW66"/>
      <c r="AX66"/>
      <c r="AY66"/>
      <c r="AZ66"/>
      <c r="BA66"/>
      <c r="BB66"/>
    </row>
    <row r="67" spans="1:54">
      <c r="A67" t="s">
        <v>6045</v>
      </c>
      <c r="B67" t="s">
        <v>6046</v>
      </c>
      <c r="C67">
        <v>458622667</v>
      </c>
      <c r="D67" t="s">
        <v>5910</v>
      </c>
      <c r="E67" t="s">
        <v>6276</v>
      </c>
      <c r="F67">
        <v>447240595</v>
      </c>
      <c r="G67">
        <v>447330593</v>
      </c>
      <c r="H67">
        <v>1</v>
      </c>
      <c r="I67">
        <v>1</v>
      </c>
      <c r="J67">
        <v>0</v>
      </c>
      <c r="K67">
        <v>0</v>
      </c>
      <c r="L67">
        <v>0</v>
      </c>
      <c r="M67">
        <v>0</v>
      </c>
      <c r="N67">
        <v>0</v>
      </c>
      <c r="Q67" s="3"/>
      <c r="R67" s="3"/>
      <c r="S67" s="3"/>
      <c r="T67" s="3"/>
      <c r="U67" s="3"/>
      <c r="V67" s="3"/>
      <c r="W67" s="3"/>
      <c r="X67" s="3"/>
      <c r="Y67" s="3"/>
      <c r="Z67" s="3"/>
      <c r="AA67" s="3"/>
      <c r="AB67" s="3"/>
      <c r="AC67" s="3"/>
      <c r="AD67" s="3"/>
      <c r="AE67" s="3"/>
      <c r="AF67" s="3"/>
      <c r="AM67"/>
      <c r="AN67"/>
      <c r="AO67"/>
      <c r="AP67"/>
      <c r="AQ67"/>
      <c r="AR67"/>
      <c r="AS67"/>
      <c r="AT67"/>
      <c r="AU67"/>
      <c r="AV67"/>
      <c r="AW67"/>
      <c r="AX67"/>
      <c r="AY67"/>
      <c r="AZ67"/>
      <c r="BA67"/>
      <c r="BB67"/>
    </row>
    <row r="68" spans="1:54">
      <c r="A68" t="s">
        <v>6047</v>
      </c>
      <c r="B68" t="s">
        <v>6048</v>
      </c>
      <c r="C68">
        <v>458622672</v>
      </c>
      <c r="D68" t="s">
        <v>5910</v>
      </c>
      <c r="E68" t="s">
        <v>6276</v>
      </c>
      <c r="F68">
        <v>447330590</v>
      </c>
      <c r="G68">
        <v>447390893</v>
      </c>
      <c r="H68">
        <v>1</v>
      </c>
      <c r="I68">
        <v>1</v>
      </c>
      <c r="J68">
        <v>0</v>
      </c>
      <c r="K68">
        <v>0</v>
      </c>
      <c r="L68">
        <v>0</v>
      </c>
      <c r="M68">
        <v>0</v>
      </c>
      <c r="N68">
        <v>0</v>
      </c>
      <c r="Q68" s="3"/>
      <c r="R68" s="3"/>
      <c r="S68" s="3"/>
      <c r="T68" s="3"/>
      <c r="U68" s="3"/>
      <c r="V68" s="3"/>
      <c r="W68" s="3"/>
      <c r="X68" s="3"/>
      <c r="Y68" s="3"/>
      <c r="Z68" s="3"/>
      <c r="AA68" s="3"/>
      <c r="AB68" s="3"/>
      <c r="AC68" s="3"/>
      <c r="AD68" s="3"/>
      <c r="AE68" s="3"/>
      <c r="AF68" s="3"/>
      <c r="AM68"/>
      <c r="AN68"/>
      <c r="AO68"/>
      <c r="AP68"/>
      <c r="AQ68"/>
      <c r="AR68"/>
      <c r="AS68"/>
      <c r="AT68"/>
      <c r="AU68"/>
      <c r="AV68"/>
      <c r="AW68"/>
      <c r="AX68"/>
      <c r="AY68"/>
      <c r="AZ68"/>
      <c r="BA68"/>
      <c r="BB68"/>
    </row>
    <row r="69" spans="1:54">
      <c r="A69" t="s">
        <v>6049</v>
      </c>
      <c r="B69" t="s">
        <v>6050</v>
      </c>
      <c r="C69">
        <v>458622677</v>
      </c>
      <c r="D69" t="s">
        <v>5910</v>
      </c>
      <c r="E69" t="s">
        <v>6277</v>
      </c>
      <c r="F69">
        <v>447390887</v>
      </c>
      <c r="G69">
        <v>447481190</v>
      </c>
      <c r="H69">
        <v>0</v>
      </c>
      <c r="I69">
        <v>0</v>
      </c>
      <c r="J69">
        <v>1</v>
      </c>
      <c r="K69">
        <v>1</v>
      </c>
      <c r="L69">
        <v>1</v>
      </c>
      <c r="M69">
        <v>0</v>
      </c>
      <c r="N69">
        <v>0</v>
      </c>
      <c r="Q69" s="3"/>
      <c r="R69" s="3"/>
      <c r="S69" s="3"/>
      <c r="T69" s="3"/>
      <c r="U69" s="3"/>
      <c r="V69" s="3"/>
      <c r="W69" s="3"/>
      <c r="X69" s="3"/>
      <c r="Y69" s="3"/>
      <c r="Z69" s="3"/>
      <c r="AA69" s="3"/>
      <c r="AB69" s="3"/>
      <c r="AC69" s="3"/>
      <c r="AD69" s="3"/>
      <c r="AE69" s="3"/>
      <c r="AF69" s="3"/>
      <c r="AM69"/>
      <c r="AN69"/>
      <c r="AO69"/>
      <c r="AP69"/>
      <c r="AQ69"/>
      <c r="AR69"/>
      <c r="AS69"/>
      <c r="AT69"/>
      <c r="AU69"/>
      <c r="AV69"/>
      <c r="AW69"/>
      <c r="AX69"/>
      <c r="AY69"/>
      <c r="AZ69"/>
      <c r="BA69"/>
      <c r="BB69"/>
    </row>
    <row r="70" spans="1:54">
      <c r="A70" t="s">
        <v>6051</v>
      </c>
      <c r="B70" t="s">
        <v>6052</v>
      </c>
      <c r="C70">
        <v>458622682</v>
      </c>
      <c r="D70" t="s">
        <v>5910</v>
      </c>
      <c r="E70" t="s">
        <v>6276</v>
      </c>
      <c r="F70">
        <v>447390890</v>
      </c>
      <c r="G70">
        <v>447481193</v>
      </c>
      <c r="H70">
        <v>1</v>
      </c>
      <c r="I70">
        <v>1</v>
      </c>
      <c r="J70">
        <v>0</v>
      </c>
      <c r="K70">
        <v>0</v>
      </c>
      <c r="L70">
        <v>0</v>
      </c>
      <c r="M70">
        <v>0</v>
      </c>
      <c r="N70">
        <v>0</v>
      </c>
      <c r="Q70" s="3"/>
      <c r="R70" s="3"/>
      <c r="S70" s="3"/>
      <c r="T70" s="3"/>
      <c r="U70" s="3"/>
      <c r="V70" s="3"/>
      <c r="W70" s="3"/>
      <c r="X70" s="3"/>
      <c r="Y70" s="3"/>
      <c r="Z70" s="3"/>
      <c r="AA70" s="3"/>
      <c r="AB70" s="3"/>
      <c r="AC70" s="3"/>
      <c r="AD70" s="3"/>
      <c r="AE70" s="3"/>
      <c r="AF70" s="3"/>
      <c r="AM70"/>
      <c r="AN70"/>
      <c r="AO70"/>
      <c r="AP70"/>
      <c r="AQ70"/>
      <c r="AR70"/>
      <c r="AS70"/>
      <c r="AT70"/>
      <c r="AU70"/>
      <c r="AV70"/>
      <c r="AW70"/>
      <c r="AX70"/>
      <c r="AY70"/>
      <c r="AZ70"/>
      <c r="BA70"/>
      <c r="BB70"/>
    </row>
    <row r="71" spans="1:54">
      <c r="A71" t="s">
        <v>6053</v>
      </c>
      <c r="B71" t="s">
        <v>6054</v>
      </c>
      <c r="C71">
        <v>458622687</v>
      </c>
      <c r="D71" t="s">
        <v>5910</v>
      </c>
      <c r="E71" t="s">
        <v>6277</v>
      </c>
      <c r="F71">
        <v>447481187</v>
      </c>
      <c r="G71">
        <v>447567590</v>
      </c>
      <c r="H71">
        <v>0</v>
      </c>
      <c r="I71">
        <v>0</v>
      </c>
      <c r="J71">
        <v>1</v>
      </c>
      <c r="K71">
        <v>1</v>
      </c>
      <c r="L71">
        <v>1</v>
      </c>
      <c r="M71">
        <v>0</v>
      </c>
      <c r="N71">
        <v>0</v>
      </c>
      <c r="Q71" s="3"/>
      <c r="R71" s="3"/>
      <c r="S71" s="3"/>
      <c r="T71" s="3"/>
      <c r="U71" s="3"/>
      <c r="V71" s="3"/>
      <c r="W71" s="3"/>
      <c r="X71" s="3"/>
      <c r="Y71" s="3"/>
      <c r="Z71" s="3"/>
      <c r="AA71" s="3"/>
      <c r="AB71" s="3"/>
      <c r="AC71" s="3"/>
      <c r="AD71" s="3"/>
      <c r="AE71" s="3"/>
      <c r="AF71" s="3"/>
      <c r="AM71"/>
      <c r="AN71"/>
      <c r="AO71"/>
      <c r="AP71"/>
      <c r="AQ71"/>
      <c r="AR71"/>
      <c r="AS71"/>
      <c r="AT71"/>
      <c r="AU71"/>
      <c r="AV71"/>
      <c r="AW71"/>
      <c r="AX71"/>
      <c r="AY71"/>
      <c r="AZ71"/>
      <c r="BA71"/>
      <c r="BB71"/>
    </row>
    <row r="72" spans="1:54">
      <c r="A72" t="s">
        <v>6055</v>
      </c>
      <c r="B72" t="s">
        <v>6056</v>
      </c>
      <c r="C72">
        <v>458622692</v>
      </c>
      <c r="D72" t="s">
        <v>5910</v>
      </c>
      <c r="E72" t="s">
        <v>6276</v>
      </c>
      <c r="F72">
        <v>447481190</v>
      </c>
      <c r="G72">
        <v>447567593</v>
      </c>
      <c r="H72">
        <v>1</v>
      </c>
      <c r="I72">
        <v>1</v>
      </c>
      <c r="J72">
        <v>0</v>
      </c>
      <c r="K72">
        <v>0</v>
      </c>
      <c r="L72">
        <v>0</v>
      </c>
      <c r="M72">
        <v>0</v>
      </c>
      <c r="N72">
        <v>0</v>
      </c>
      <c r="Q72" s="3"/>
      <c r="R72" s="3"/>
      <c r="S72" s="3"/>
      <c r="T72" s="3"/>
      <c r="U72" s="3"/>
      <c r="V72" s="3"/>
      <c r="W72" s="3"/>
      <c r="X72" s="3"/>
      <c r="Y72" s="3"/>
      <c r="Z72" s="3"/>
      <c r="AA72" s="3"/>
      <c r="AB72" s="3"/>
      <c r="AC72" s="3"/>
      <c r="AD72" s="3"/>
      <c r="AE72" s="3"/>
      <c r="AF72" s="3"/>
      <c r="AM72"/>
      <c r="AN72"/>
      <c r="AO72"/>
      <c r="AP72"/>
      <c r="AQ72"/>
      <c r="AR72"/>
      <c r="AS72"/>
      <c r="AT72"/>
      <c r="AU72"/>
      <c r="AV72"/>
      <c r="AW72"/>
      <c r="AX72"/>
      <c r="AY72"/>
      <c r="AZ72"/>
      <c r="BA72"/>
      <c r="BB72"/>
    </row>
    <row r="73" spans="1:54">
      <c r="A73" t="s">
        <v>6057</v>
      </c>
      <c r="B73" t="s">
        <v>6058</v>
      </c>
      <c r="C73">
        <v>458622697</v>
      </c>
      <c r="D73" t="s">
        <v>5910</v>
      </c>
      <c r="E73" t="s">
        <v>6277</v>
      </c>
      <c r="F73">
        <v>447567587</v>
      </c>
      <c r="G73">
        <v>447649490</v>
      </c>
      <c r="H73">
        <v>0</v>
      </c>
      <c r="I73">
        <v>0</v>
      </c>
      <c r="J73">
        <v>1</v>
      </c>
      <c r="K73">
        <v>1</v>
      </c>
      <c r="L73">
        <v>1</v>
      </c>
      <c r="M73">
        <v>0</v>
      </c>
      <c r="N73">
        <v>0</v>
      </c>
      <c r="Q73" s="3"/>
      <c r="R73" s="3"/>
      <c r="S73" s="3"/>
      <c r="T73" s="3"/>
      <c r="U73" s="3"/>
      <c r="V73" s="3"/>
      <c r="W73" s="3"/>
      <c r="X73" s="3"/>
      <c r="Y73" s="3"/>
      <c r="Z73" s="3"/>
      <c r="AA73" s="3"/>
      <c r="AB73" s="3"/>
      <c r="AC73" s="3"/>
      <c r="AD73" s="3"/>
      <c r="AE73" s="3"/>
      <c r="AF73" s="3"/>
      <c r="AM73"/>
      <c r="AN73"/>
      <c r="AO73"/>
      <c r="AP73"/>
      <c r="AQ73"/>
      <c r="AR73"/>
      <c r="AS73"/>
      <c r="AT73"/>
      <c r="AU73"/>
      <c r="AV73"/>
      <c r="AW73"/>
      <c r="AX73"/>
      <c r="AY73"/>
      <c r="AZ73"/>
      <c r="BA73"/>
      <c r="BB73"/>
    </row>
    <row r="74" spans="1:54">
      <c r="A74" t="s">
        <v>6059</v>
      </c>
      <c r="B74" t="s">
        <v>6060</v>
      </c>
      <c r="C74">
        <v>458622702</v>
      </c>
      <c r="D74" t="s">
        <v>5910</v>
      </c>
      <c r="E74" t="s">
        <v>6276</v>
      </c>
      <c r="F74">
        <v>447567590</v>
      </c>
      <c r="G74">
        <v>447649493</v>
      </c>
      <c r="H74">
        <v>1</v>
      </c>
      <c r="I74">
        <v>1</v>
      </c>
      <c r="J74">
        <v>0</v>
      </c>
      <c r="K74">
        <v>0</v>
      </c>
      <c r="L74">
        <v>0</v>
      </c>
      <c r="M74">
        <v>0</v>
      </c>
      <c r="N74">
        <v>0</v>
      </c>
      <c r="Q74" s="3"/>
      <c r="R74" s="3"/>
      <c r="S74" s="3"/>
      <c r="T74" s="3"/>
      <c r="U74" s="3"/>
      <c r="V74" s="3"/>
      <c r="W74" s="3"/>
      <c r="X74" s="3"/>
      <c r="Y74" s="3"/>
      <c r="Z74" s="3"/>
      <c r="AA74" s="3"/>
      <c r="AB74" s="3"/>
      <c r="AC74" s="3"/>
      <c r="AD74" s="3"/>
      <c r="AE74" s="3"/>
      <c r="AF74" s="3"/>
      <c r="AM74"/>
      <c r="AN74"/>
      <c r="AO74"/>
      <c r="AP74"/>
      <c r="AQ74"/>
      <c r="AR74"/>
      <c r="AS74"/>
      <c r="AT74"/>
      <c r="AU74"/>
      <c r="AV74"/>
      <c r="AW74"/>
      <c r="AX74"/>
      <c r="AY74"/>
      <c r="AZ74"/>
      <c r="BA74"/>
      <c r="BB74"/>
    </row>
    <row r="75" spans="1:54">
      <c r="A75" t="s">
        <v>6061</v>
      </c>
      <c r="B75" t="s">
        <v>6062</v>
      </c>
      <c r="C75">
        <v>458677262</v>
      </c>
      <c r="D75" t="s">
        <v>5910</v>
      </c>
      <c r="E75" t="s">
        <v>6277</v>
      </c>
      <c r="F75">
        <v>447649487</v>
      </c>
      <c r="G75">
        <v>447739790</v>
      </c>
      <c r="H75">
        <v>0</v>
      </c>
      <c r="I75">
        <v>0</v>
      </c>
      <c r="J75">
        <v>1</v>
      </c>
      <c r="K75">
        <v>1</v>
      </c>
      <c r="L75">
        <v>1</v>
      </c>
      <c r="M75">
        <v>0</v>
      </c>
      <c r="N75">
        <v>0</v>
      </c>
      <c r="Q75" s="3"/>
      <c r="R75" s="3"/>
      <c r="S75" s="3"/>
      <c r="T75" s="3"/>
      <c r="U75" s="3"/>
      <c r="V75" s="3"/>
      <c r="W75" s="3"/>
      <c r="X75" s="3"/>
      <c r="Y75" s="3"/>
      <c r="Z75" s="3"/>
      <c r="AA75" s="3"/>
      <c r="AB75" s="3"/>
      <c r="AC75" s="3"/>
      <c r="AD75" s="3"/>
      <c r="AE75" s="3"/>
      <c r="AF75" s="3"/>
      <c r="AM75"/>
      <c r="AN75"/>
      <c r="AO75"/>
      <c r="AP75"/>
      <c r="AQ75"/>
      <c r="AR75"/>
      <c r="AS75"/>
      <c r="AT75"/>
      <c r="AU75"/>
      <c r="AV75"/>
      <c r="AW75"/>
      <c r="AX75"/>
      <c r="AY75"/>
      <c r="AZ75"/>
      <c r="BA75"/>
      <c r="BB75"/>
    </row>
    <row r="76" spans="1:54">
      <c r="A76" t="s">
        <v>6063</v>
      </c>
      <c r="B76" t="s">
        <v>6064</v>
      </c>
      <c r="C76">
        <v>458677267</v>
      </c>
      <c r="D76" t="s">
        <v>5910</v>
      </c>
      <c r="E76" t="s">
        <v>6276</v>
      </c>
      <c r="F76">
        <v>447649490</v>
      </c>
      <c r="G76">
        <v>447739793</v>
      </c>
      <c r="H76">
        <v>1</v>
      </c>
      <c r="I76">
        <v>1</v>
      </c>
      <c r="J76">
        <v>0</v>
      </c>
      <c r="K76">
        <v>0</v>
      </c>
      <c r="L76">
        <v>0</v>
      </c>
      <c r="M76">
        <v>0</v>
      </c>
      <c r="N76">
        <v>0</v>
      </c>
      <c r="Q76" s="3"/>
      <c r="R76" s="3"/>
      <c r="S76" s="3"/>
      <c r="T76" s="3"/>
      <c r="U76" s="3"/>
      <c r="V76" s="3"/>
      <c r="W76" s="3"/>
      <c r="X76" s="3"/>
      <c r="Y76" s="3"/>
      <c r="Z76" s="3"/>
      <c r="AA76" s="3"/>
      <c r="AB76" s="3"/>
      <c r="AC76" s="3"/>
      <c r="AD76" s="3"/>
      <c r="AE76" s="3"/>
      <c r="AF76" s="3"/>
      <c r="AM76"/>
      <c r="AN76"/>
      <c r="AO76"/>
      <c r="AP76"/>
      <c r="AQ76"/>
      <c r="AR76"/>
      <c r="AS76"/>
      <c r="AT76"/>
      <c r="AU76"/>
      <c r="AV76"/>
      <c r="AW76"/>
      <c r="AX76"/>
      <c r="AY76"/>
      <c r="AZ76"/>
      <c r="BA76"/>
      <c r="BB76"/>
    </row>
    <row r="77" spans="1:54">
      <c r="A77" t="s">
        <v>6065</v>
      </c>
      <c r="B77" t="s">
        <v>6066</v>
      </c>
      <c r="C77">
        <v>458677272</v>
      </c>
      <c r="D77" t="s">
        <v>5910</v>
      </c>
      <c r="E77" t="s">
        <v>6277</v>
      </c>
      <c r="F77">
        <v>447739787</v>
      </c>
      <c r="G77">
        <v>447825890</v>
      </c>
      <c r="H77">
        <v>0</v>
      </c>
      <c r="I77">
        <v>0</v>
      </c>
      <c r="J77">
        <v>1</v>
      </c>
      <c r="K77">
        <v>1</v>
      </c>
      <c r="L77">
        <v>1</v>
      </c>
      <c r="M77">
        <v>0</v>
      </c>
      <c r="N77">
        <v>0</v>
      </c>
      <c r="Q77" s="3"/>
      <c r="R77" s="3"/>
      <c r="S77" s="3"/>
      <c r="T77" s="3"/>
      <c r="U77" s="3"/>
      <c r="V77" s="3"/>
      <c r="W77" s="3"/>
      <c r="X77" s="3"/>
      <c r="Y77" s="3"/>
      <c r="Z77" s="3"/>
      <c r="AA77" s="3"/>
      <c r="AB77" s="3"/>
      <c r="AC77" s="3"/>
      <c r="AD77" s="3"/>
      <c r="AE77" s="3"/>
      <c r="AF77" s="3"/>
      <c r="AM77"/>
      <c r="AN77"/>
      <c r="AO77"/>
      <c r="AP77"/>
      <c r="AQ77"/>
      <c r="AR77"/>
      <c r="AS77"/>
      <c r="AT77"/>
      <c r="AU77"/>
      <c r="AV77"/>
      <c r="AW77"/>
      <c r="AX77"/>
      <c r="AY77"/>
      <c r="AZ77"/>
      <c r="BA77"/>
      <c r="BB77"/>
    </row>
    <row r="78" spans="1:54">
      <c r="A78" t="s">
        <v>6067</v>
      </c>
      <c r="B78" t="s">
        <v>6068</v>
      </c>
      <c r="C78">
        <v>458677277</v>
      </c>
      <c r="D78" t="s">
        <v>5910</v>
      </c>
      <c r="E78" t="s">
        <v>6276</v>
      </c>
      <c r="F78">
        <v>447739790</v>
      </c>
      <c r="G78">
        <v>447825893</v>
      </c>
      <c r="H78">
        <v>1</v>
      </c>
      <c r="I78">
        <v>1</v>
      </c>
      <c r="J78">
        <v>0</v>
      </c>
      <c r="K78">
        <v>0</v>
      </c>
      <c r="L78">
        <v>0</v>
      </c>
      <c r="M78">
        <v>0</v>
      </c>
      <c r="N78">
        <v>0</v>
      </c>
      <c r="Q78" s="3"/>
      <c r="R78" s="3"/>
      <c r="S78" s="3"/>
      <c r="T78" s="3"/>
      <c r="U78" s="3"/>
      <c r="V78" s="3"/>
      <c r="W78" s="3"/>
      <c r="X78" s="3"/>
      <c r="Y78" s="3"/>
      <c r="Z78" s="3"/>
      <c r="AA78" s="3"/>
      <c r="AB78" s="3"/>
      <c r="AC78" s="3"/>
      <c r="AD78" s="3"/>
      <c r="AE78" s="3"/>
      <c r="AF78" s="3"/>
      <c r="AM78"/>
      <c r="AN78"/>
      <c r="AO78"/>
      <c r="AP78"/>
      <c r="AQ78"/>
      <c r="AR78"/>
      <c r="AS78"/>
      <c r="AT78"/>
      <c r="AU78"/>
      <c r="AV78"/>
      <c r="AW78"/>
      <c r="AX78"/>
      <c r="AY78"/>
      <c r="AZ78"/>
      <c r="BA78"/>
      <c r="BB78"/>
    </row>
    <row r="79" spans="1:54">
      <c r="A79" t="s">
        <v>6069</v>
      </c>
      <c r="B79" t="s">
        <v>6070</v>
      </c>
      <c r="C79">
        <v>458677282</v>
      </c>
      <c r="D79" t="s">
        <v>5910</v>
      </c>
      <c r="E79" t="s">
        <v>6277</v>
      </c>
      <c r="F79">
        <v>447825887</v>
      </c>
      <c r="G79">
        <v>447911990</v>
      </c>
      <c r="H79">
        <v>0</v>
      </c>
      <c r="I79">
        <v>0</v>
      </c>
      <c r="J79">
        <v>1</v>
      </c>
      <c r="K79">
        <v>1</v>
      </c>
      <c r="L79">
        <v>1</v>
      </c>
      <c r="M79">
        <v>0</v>
      </c>
      <c r="N79">
        <v>0</v>
      </c>
      <c r="Q79" s="3"/>
      <c r="R79" s="3"/>
      <c r="S79" s="3"/>
      <c r="T79" s="3"/>
      <c r="U79" s="3"/>
      <c r="V79" s="3"/>
      <c r="W79" s="3"/>
      <c r="X79" s="3"/>
      <c r="Y79" s="3"/>
      <c r="Z79" s="3"/>
      <c r="AA79" s="3"/>
      <c r="AB79" s="3"/>
      <c r="AC79" s="3"/>
      <c r="AD79" s="3"/>
      <c r="AE79" s="3"/>
      <c r="AF79" s="3"/>
      <c r="AM79"/>
      <c r="AN79"/>
      <c r="AO79"/>
      <c r="AP79"/>
      <c r="AQ79"/>
      <c r="AR79"/>
      <c r="AS79"/>
      <c r="AT79"/>
      <c r="AU79"/>
      <c r="AV79"/>
      <c r="AW79"/>
      <c r="AX79"/>
      <c r="AY79"/>
      <c r="AZ79"/>
      <c r="BA79"/>
      <c r="BB79"/>
    </row>
    <row r="80" spans="1:54">
      <c r="A80" t="s">
        <v>6071</v>
      </c>
      <c r="B80" t="s">
        <v>6072</v>
      </c>
      <c r="C80">
        <v>458795102</v>
      </c>
      <c r="D80" t="s">
        <v>5910</v>
      </c>
      <c r="E80" t="s">
        <v>6276</v>
      </c>
      <c r="F80">
        <v>447825890</v>
      </c>
      <c r="G80">
        <v>447911993</v>
      </c>
      <c r="H80">
        <v>1</v>
      </c>
      <c r="I80">
        <v>1</v>
      </c>
      <c r="J80">
        <v>0</v>
      </c>
      <c r="K80">
        <v>0</v>
      </c>
      <c r="L80">
        <v>0</v>
      </c>
      <c r="M80">
        <v>0</v>
      </c>
      <c r="N80">
        <v>0</v>
      </c>
      <c r="Q80" s="3"/>
      <c r="R80" s="3"/>
      <c r="S80" s="3"/>
      <c r="T80" s="3"/>
      <c r="U80" s="3"/>
      <c r="V80" s="3"/>
      <c r="W80" s="3"/>
      <c r="X80" s="3"/>
      <c r="Y80" s="3"/>
      <c r="Z80" s="3"/>
      <c r="AA80" s="3"/>
      <c r="AB80" s="3"/>
      <c r="AC80" s="3"/>
      <c r="AD80" s="3"/>
      <c r="AE80" s="3"/>
      <c r="AF80" s="3"/>
      <c r="AM80"/>
      <c r="AN80"/>
      <c r="AO80"/>
      <c r="AP80"/>
      <c r="AQ80"/>
      <c r="AR80"/>
      <c r="AS80"/>
      <c r="AT80"/>
      <c r="AU80"/>
      <c r="AV80"/>
      <c r="AW80"/>
      <c r="AX80"/>
      <c r="AY80"/>
      <c r="AZ80"/>
      <c r="BA80"/>
      <c r="BB80"/>
    </row>
    <row r="81" spans="1:54">
      <c r="A81" t="s">
        <v>6073</v>
      </c>
      <c r="B81" t="s">
        <v>6074</v>
      </c>
      <c r="C81">
        <v>458795107</v>
      </c>
      <c r="D81" t="s">
        <v>5910</v>
      </c>
      <c r="E81" t="s">
        <v>6277</v>
      </c>
      <c r="F81">
        <v>447911987</v>
      </c>
      <c r="G81">
        <v>448084490</v>
      </c>
      <c r="H81">
        <v>0</v>
      </c>
      <c r="I81">
        <v>0</v>
      </c>
      <c r="J81">
        <v>1</v>
      </c>
      <c r="K81">
        <v>1</v>
      </c>
      <c r="L81">
        <v>1</v>
      </c>
      <c r="M81">
        <v>0</v>
      </c>
      <c r="N81">
        <v>0</v>
      </c>
      <c r="Q81" s="3"/>
      <c r="R81" s="3"/>
      <c r="S81" s="3"/>
      <c r="T81" s="3"/>
      <c r="U81" s="3"/>
      <c r="V81" s="3"/>
      <c r="W81" s="3"/>
      <c r="X81" s="3"/>
      <c r="Y81" s="3"/>
      <c r="Z81" s="3"/>
      <c r="AA81" s="3"/>
      <c r="AB81" s="3"/>
      <c r="AC81" s="3"/>
      <c r="AD81" s="3"/>
      <c r="AE81" s="3"/>
      <c r="AF81" s="3"/>
      <c r="AM81"/>
      <c r="AN81"/>
      <c r="AO81"/>
      <c r="AP81"/>
      <c r="AQ81"/>
      <c r="AR81"/>
      <c r="AS81"/>
      <c r="AT81"/>
      <c r="AU81"/>
      <c r="AV81"/>
      <c r="AW81"/>
      <c r="AX81"/>
      <c r="AY81"/>
      <c r="AZ81"/>
      <c r="BA81"/>
      <c r="BB81"/>
    </row>
    <row r="82" spans="1:54">
      <c r="A82" t="s">
        <v>6075</v>
      </c>
      <c r="B82" t="s">
        <v>6076</v>
      </c>
      <c r="C82">
        <v>458795112</v>
      </c>
      <c r="D82" t="s">
        <v>5910</v>
      </c>
      <c r="E82" t="s">
        <v>6276</v>
      </c>
      <c r="F82">
        <v>447911990</v>
      </c>
      <c r="G82">
        <v>448084493</v>
      </c>
      <c r="H82">
        <v>1</v>
      </c>
      <c r="I82">
        <v>1</v>
      </c>
      <c r="J82">
        <v>0</v>
      </c>
      <c r="K82">
        <v>0</v>
      </c>
      <c r="L82">
        <v>0</v>
      </c>
      <c r="M82">
        <v>0</v>
      </c>
      <c r="N82">
        <v>0</v>
      </c>
      <c r="Q82" s="3"/>
      <c r="R82" s="3"/>
      <c r="S82" s="3"/>
      <c r="T82" s="3"/>
      <c r="U82" s="3"/>
      <c r="V82" s="3"/>
      <c r="W82" s="3"/>
      <c r="X82" s="3"/>
      <c r="Y82" s="3"/>
      <c r="Z82" s="3"/>
      <c r="AA82" s="3"/>
      <c r="AB82" s="3"/>
      <c r="AC82" s="3"/>
      <c r="AD82" s="3"/>
      <c r="AE82" s="3"/>
      <c r="AF82" s="3"/>
      <c r="AM82"/>
      <c r="AN82"/>
      <c r="AO82"/>
      <c r="AP82"/>
      <c r="AQ82"/>
      <c r="AR82"/>
      <c r="AS82"/>
      <c r="AT82"/>
      <c r="AU82"/>
      <c r="AV82"/>
      <c r="AW82"/>
      <c r="AX82"/>
      <c r="AY82"/>
      <c r="AZ82"/>
      <c r="BA82"/>
      <c r="BB82"/>
    </row>
    <row r="83" spans="1:54">
      <c r="A83" t="s">
        <v>6077</v>
      </c>
      <c r="B83" t="s">
        <v>6078</v>
      </c>
      <c r="C83">
        <v>458795117</v>
      </c>
      <c r="D83" t="s">
        <v>5910</v>
      </c>
      <c r="E83" t="s">
        <v>6277</v>
      </c>
      <c r="F83">
        <v>448084487</v>
      </c>
      <c r="G83">
        <v>448106090</v>
      </c>
      <c r="H83">
        <v>0</v>
      </c>
      <c r="I83">
        <v>0</v>
      </c>
      <c r="J83">
        <v>1</v>
      </c>
      <c r="K83">
        <v>1</v>
      </c>
      <c r="L83">
        <v>1</v>
      </c>
      <c r="M83">
        <v>0</v>
      </c>
      <c r="N83">
        <v>0</v>
      </c>
      <c r="Q83" s="3"/>
      <c r="R83" s="3"/>
      <c r="S83" s="3"/>
      <c r="T83" s="3"/>
      <c r="U83" s="3"/>
      <c r="V83" s="3"/>
      <c r="W83" s="3"/>
      <c r="X83" s="3"/>
      <c r="Y83" s="3"/>
      <c r="Z83" s="3"/>
      <c r="AA83" s="3"/>
      <c r="AB83" s="3"/>
      <c r="AC83" s="3"/>
      <c r="AD83" s="3"/>
      <c r="AE83" s="3"/>
      <c r="AF83" s="3"/>
      <c r="AM83"/>
      <c r="AN83"/>
      <c r="AO83"/>
      <c r="AP83"/>
      <c r="AQ83"/>
      <c r="AR83"/>
      <c r="AS83"/>
      <c r="AT83"/>
      <c r="AU83"/>
      <c r="AV83"/>
      <c r="AW83"/>
      <c r="AX83"/>
      <c r="AY83"/>
      <c r="AZ83"/>
      <c r="BA83"/>
      <c r="BB83"/>
    </row>
    <row r="84" spans="1:54">
      <c r="A84" t="s">
        <v>6079</v>
      </c>
      <c r="B84" t="s">
        <v>6080</v>
      </c>
      <c r="C84">
        <v>458795122</v>
      </c>
      <c r="D84" t="s">
        <v>5910</v>
      </c>
      <c r="E84" t="s">
        <v>6276</v>
      </c>
      <c r="F84">
        <v>448084490</v>
      </c>
      <c r="G84">
        <v>448106093</v>
      </c>
      <c r="H84">
        <v>1</v>
      </c>
      <c r="I84">
        <v>1</v>
      </c>
      <c r="J84">
        <v>0</v>
      </c>
      <c r="K84">
        <v>0</v>
      </c>
      <c r="L84">
        <v>0</v>
      </c>
      <c r="M84">
        <v>0</v>
      </c>
      <c r="N84">
        <v>0</v>
      </c>
      <c r="Q84" s="3"/>
      <c r="R84" s="3"/>
      <c r="S84" s="3"/>
      <c r="T84" s="3"/>
      <c r="U84" s="3"/>
      <c r="V84" s="3"/>
      <c r="W84" s="3"/>
      <c r="X84" s="3"/>
      <c r="Y84" s="3"/>
      <c r="Z84" s="3"/>
      <c r="AA84" s="3"/>
      <c r="AB84" s="3"/>
      <c r="AC84" s="3"/>
      <c r="AD84" s="3"/>
      <c r="AE84" s="3"/>
      <c r="AF84" s="3"/>
      <c r="AM84"/>
      <c r="AN84"/>
      <c r="AO84"/>
      <c r="AP84"/>
      <c r="AQ84"/>
      <c r="AR84"/>
      <c r="AS84"/>
      <c r="AT84"/>
      <c r="AU84"/>
      <c r="AV84"/>
      <c r="AW84"/>
      <c r="AX84"/>
      <c r="AY84"/>
      <c r="AZ84"/>
      <c r="BA84"/>
      <c r="BB84"/>
    </row>
    <row r="85" spans="1:54">
      <c r="A85" t="s">
        <v>6081</v>
      </c>
      <c r="B85" t="s">
        <v>6082</v>
      </c>
      <c r="C85">
        <v>458795127</v>
      </c>
      <c r="D85" t="s">
        <v>5910</v>
      </c>
      <c r="E85" t="s">
        <v>6277</v>
      </c>
      <c r="F85">
        <v>448106087</v>
      </c>
      <c r="G85">
        <v>448166390</v>
      </c>
      <c r="H85">
        <v>0</v>
      </c>
      <c r="I85">
        <v>0</v>
      </c>
      <c r="J85">
        <v>1</v>
      </c>
      <c r="K85">
        <v>1</v>
      </c>
      <c r="L85">
        <v>1</v>
      </c>
      <c r="M85">
        <v>0</v>
      </c>
      <c r="N85">
        <v>0</v>
      </c>
      <c r="Q85" s="3"/>
      <c r="R85" s="3"/>
      <c r="S85" s="3"/>
      <c r="T85" s="3"/>
      <c r="U85" s="3"/>
      <c r="V85" s="3"/>
      <c r="W85" s="3"/>
      <c r="X85" s="3"/>
      <c r="Y85" s="3"/>
      <c r="Z85" s="3"/>
      <c r="AA85" s="3"/>
      <c r="AB85" s="3"/>
      <c r="AC85" s="3"/>
      <c r="AD85" s="3"/>
      <c r="AE85" s="3"/>
      <c r="AF85" s="3"/>
      <c r="AM85"/>
      <c r="AN85"/>
      <c r="AO85"/>
      <c r="AP85"/>
      <c r="AQ85"/>
      <c r="AR85"/>
      <c r="AS85"/>
      <c r="AT85"/>
      <c r="AU85"/>
      <c r="AV85"/>
      <c r="AW85"/>
      <c r="AX85"/>
      <c r="AY85"/>
      <c r="AZ85"/>
      <c r="BA85"/>
      <c r="BB85"/>
    </row>
    <row r="86" spans="1:54">
      <c r="A86" t="s">
        <v>6083</v>
      </c>
      <c r="B86" t="s">
        <v>6084</v>
      </c>
      <c r="C86">
        <v>458795132</v>
      </c>
      <c r="D86" t="s">
        <v>5910</v>
      </c>
      <c r="E86" t="s">
        <v>6276</v>
      </c>
      <c r="F86">
        <v>448106090</v>
      </c>
      <c r="G86">
        <v>448166393</v>
      </c>
      <c r="H86">
        <v>1</v>
      </c>
      <c r="I86">
        <v>1</v>
      </c>
      <c r="J86">
        <v>0</v>
      </c>
      <c r="K86">
        <v>0</v>
      </c>
      <c r="L86">
        <v>0</v>
      </c>
      <c r="M86">
        <v>0</v>
      </c>
      <c r="N86">
        <v>0</v>
      </c>
      <c r="Q86" s="3"/>
      <c r="R86" s="3"/>
      <c r="S86" s="3"/>
      <c r="T86" s="3"/>
      <c r="U86" s="3"/>
      <c r="V86" s="3"/>
      <c r="W86" s="3"/>
      <c r="X86" s="3"/>
      <c r="Y86" s="3"/>
      <c r="Z86" s="3"/>
      <c r="AA86" s="3"/>
      <c r="AB86" s="3"/>
      <c r="AC86" s="3"/>
      <c r="AD86" s="3"/>
      <c r="AE86" s="3"/>
      <c r="AF86" s="3"/>
      <c r="AM86"/>
      <c r="AN86"/>
      <c r="AO86"/>
      <c r="AP86"/>
      <c r="AQ86"/>
      <c r="AR86"/>
      <c r="AS86"/>
      <c r="AT86"/>
      <c r="AU86"/>
      <c r="AV86"/>
      <c r="AW86"/>
      <c r="AX86"/>
      <c r="AY86"/>
      <c r="AZ86"/>
      <c r="BA86"/>
      <c r="BB86"/>
    </row>
    <row r="87" spans="1:54">
      <c r="A87" t="s">
        <v>6085</v>
      </c>
      <c r="B87" t="s">
        <v>6086</v>
      </c>
      <c r="C87">
        <v>458795137</v>
      </c>
      <c r="D87" t="s">
        <v>5910</v>
      </c>
      <c r="E87" t="s">
        <v>6277</v>
      </c>
      <c r="F87">
        <v>448166387</v>
      </c>
      <c r="G87">
        <v>448252490</v>
      </c>
      <c r="H87">
        <v>0</v>
      </c>
      <c r="I87">
        <v>0</v>
      </c>
      <c r="J87">
        <v>1</v>
      </c>
      <c r="K87">
        <v>1</v>
      </c>
      <c r="L87">
        <v>1</v>
      </c>
      <c r="M87">
        <v>0</v>
      </c>
      <c r="N87">
        <v>0</v>
      </c>
      <c r="Q87" s="3"/>
      <c r="R87" s="3"/>
      <c r="S87" s="3"/>
      <c r="T87" s="3"/>
      <c r="U87" s="3"/>
      <c r="V87" s="3"/>
      <c r="W87" s="3"/>
      <c r="X87" s="3"/>
      <c r="Y87" s="3"/>
      <c r="Z87" s="3"/>
      <c r="AA87" s="3"/>
      <c r="AB87" s="3"/>
      <c r="AC87" s="3"/>
      <c r="AD87" s="3"/>
      <c r="AE87" s="3"/>
      <c r="AF87" s="3"/>
      <c r="AM87"/>
      <c r="AN87"/>
      <c r="AO87"/>
      <c r="AP87"/>
      <c r="AQ87"/>
      <c r="AR87"/>
      <c r="AS87"/>
      <c r="AT87"/>
      <c r="AU87"/>
      <c r="AV87"/>
      <c r="AW87"/>
      <c r="AX87"/>
      <c r="AY87"/>
      <c r="AZ87"/>
      <c r="BA87"/>
      <c r="BB87"/>
    </row>
    <row r="88" spans="1:54">
      <c r="A88" t="s">
        <v>6087</v>
      </c>
      <c r="B88" t="s">
        <v>6088</v>
      </c>
      <c r="C88">
        <v>458795142</v>
      </c>
      <c r="D88" t="s">
        <v>5910</v>
      </c>
      <c r="E88" t="s">
        <v>6276</v>
      </c>
      <c r="F88">
        <v>448166390</v>
      </c>
      <c r="G88">
        <v>448252493</v>
      </c>
      <c r="H88">
        <v>1</v>
      </c>
      <c r="I88">
        <v>1</v>
      </c>
      <c r="J88">
        <v>0</v>
      </c>
      <c r="K88">
        <v>0</v>
      </c>
      <c r="L88">
        <v>0</v>
      </c>
      <c r="M88">
        <v>0</v>
      </c>
      <c r="N88">
        <v>0</v>
      </c>
      <c r="Q88" s="3"/>
      <c r="R88" s="3"/>
      <c r="S88" s="3"/>
      <c r="T88" s="3"/>
      <c r="U88" s="3"/>
      <c r="V88" s="3"/>
      <c r="W88" s="3"/>
      <c r="X88" s="3"/>
      <c r="Y88" s="3"/>
      <c r="Z88" s="3"/>
      <c r="AA88" s="3"/>
      <c r="AB88" s="3"/>
      <c r="AC88" s="3"/>
      <c r="AD88" s="3"/>
      <c r="AE88" s="3"/>
      <c r="AF88" s="3"/>
      <c r="AM88"/>
      <c r="AN88"/>
      <c r="AO88"/>
      <c r="AP88"/>
      <c r="AQ88"/>
      <c r="AR88"/>
      <c r="AS88"/>
      <c r="AT88"/>
      <c r="AU88"/>
      <c r="AV88"/>
      <c r="AW88"/>
      <c r="AX88"/>
      <c r="AY88"/>
      <c r="AZ88"/>
      <c r="BA88"/>
      <c r="BB88"/>
    </row>
    <row r="89" spans="1:54">
      <c r="A89" t="s">
        <v>6089</v>
      </c>
      <c r="B89" t="s">
        <v>6090</v>
      </c>
      <c r="C89">
        <v>458795147</v>
      </c>
      <c r="D89" t="s">
        <v>5910</v>
      </c>
      <c r="E89" t="s">
        <v>6277</v>
      </c>
      <c r="F89">
        <v>448252487</v>
      </c>
      <c r="G89">
        <v>448428950</v>
      </c>
      <c r="H89">
        <v>0</v>
      </c>
      <c r="I89">
        <v>0</v>
      </c>
      <c r="J89">
        <v>1</v>
      </c>
      <c r="K89">
        <v>1</v>
      </c>
      <c r="L89">
        <v>1</v>
      </c>
      <c r="M89">
        <v>0</v>
      </c>
      <c r="N89">
        <v>0</v>
      </c>
      <c r="Q89" s="3"/>
      <c r="R89" s="3"/>
      <c r="S89" s="3"/>
      <c r="T89" s="3"/>
      <c r="U89" s="3"/>
      <c r="V89" s="3"/>
      <c r="W89" s="3"/>
      <c r="X89" s="3"/>
      <c r="Y89" s="3"/>
      <c r="Z89" s="3"/>
      <c r="AA89" s="3"/>
      <c r="AB89" s="3"/>
      <c r="AC89" s="3"/>
      <c r="AD89" s="3"/>
      <c r="AE89" s="3"/>
      <c r="AF89" s="3"/>
      <c r="AM89"/>
      <c r="AN89"/>
      <c r="AO89"/>
      <c r="AP89"/>
      <c r="AQ89"/>
      <c r="AR89"/>
      <c r="AS89"/>
      <c r="AT89"/>
      <c r="AU89"/>
      <c r="AV89"/>
      <c r="AW89"/>
      <c r="AX89"/>
      <c r="AY89"/>
      <c r="AZ89"/>
      <c r="BA89"/>
      <c r="BB89"/>
    </row>
    <row r="90" spans="1:54">
      <c r="A90" t="s">
        <v>6091</v>
      </c>
      <c r="B90" t="s">
        <v>6092</v>
      </c>
      <c r="C90">
        <v>458880902</v>
      </c>
      <c r="D90" t="s">
        <v>5910</v>
      </c>
      <c r="E90" t="s">
        <v>6276</v>
      </c>
      <c r="F90">
        <v>446274230</v>
      </c>
      <c r="G90">
        <v>446360933</v>
      </c>
      <c r="H90">
        <v>1</v>
      </c>
      <c r="I90">
        <v>1</v>
      </c>
      <c r="J90">
        <v>0</v>
      </c>
      <c r="K90">
        <v>0</v>
      </c>
      <c r="L90">
        <v>0</v>
      </c>
      <c r="M90">
        <v>0</v>
      </c>
      <c r="N90">
        <v>0</v>
      </c>
      <c r="Q90" s="3"/>
      <c r="R90" s="3"/>
      <c r="S90" s="3"/>
      <c r="T90" s="3"/>
      <c r="U90" s="3"/>
      <c r="V90" s="3"/>
      <c r="W90" s="3"/>
      <c r="X90" s="3"/>
      <c r="Y90" s="3"/>
      <c r="Z90" s="3"/>
      <c r="AA90" s="3"/>
      <c r="AB90" s="3"/>
      <c r="AC90" s="3"/>
      <c r="AD90" s="3"/>
      <c r="AE90" s="3"/>
      <c r="AF90" s="3"/>
      <c r="AM90"/>
      <c r="AN90"/>
      <c r="AO90"/>
      <c r="AP90"/>
      <c r="AQ90"/>
      <c r="AR90"/>
      <c r="AS90"/>
      <c r="AT90"/>
      <c r="AU90"/>
      <c r="AV90"/>
      <c r="AW90"/>
      <c r="AX90"/>
      <c r="AY90"/>
      <c r="AZ90"/>
      <c r="BA90"/>
      <c r="BB90"/>
    </row>
    <row r="91" spans="1:54">
      <c r="A91" t="s">
        <v>6093</v>
      </c>
      <c r="B91" t="s">
        <v>6094</v>
      </c>
      <c r="C91">
        <v>458880907</v>
      </c>
      <c r="D91" t="s">
        <v>5910</v>
      </c>
      <c r="E91" t="s">
        <v>6276</v>
      </c>
      <c r="F91">
        <v>448252490</v>
      </c>
      <c r="G91">
        <v>448428953</v>
      </c>
      <c r="H91">
        <v>1</v>
      </c>
      <c r="I91">
        <v>1</v>
      </c>
      <c r="J91">
        <v>0</v>
      </c>
      <c r="K91">
        <v>0</v>
      </c>
      <c r="L91">
        <v>0</v>
      </c>
      <c r="M91">
        <v>0</v>
      </c>
      <c r="N91">
        <v>0</v>
      </c>
      <c r="Q91" s="3"/>
      <c r="R91" s="3"/>
      <c r="S91" s="3"/>
      <c r="T91" s="3"/>
      <c r="U91" s="3"/>
      <c r="V91" s="3"/>
      <c r="W91" s="3"/>
      <c r="X91" s="3"/>
      <c r="Y91" s="3"/>
      <c r="Z91" s="3"/>
      <c r="AA91" s="3"/>
      <c r="AB91" s="3"/>
      <c r="AC91" s="3"/>
      <c r="AD91" s="3"/>
      <c r="AE91" s="3"/>
      <c r="AF91" s="3"/>
      <c r="AM91"/>
      <c r="AN91"/>
      <c r="AO91"/>
      <c r="AP91"/>
      <c r="AQ91"/>
      <c r="AR91"/>
      <c r="AS91"/>
      <c r="AT91"/>
      <c r="AU91"/>
      <c r="AV91"/>
      <c r="AW91"/>
      <c r="AX91"/>
      <c r="AY91"/>
      <c r="AZ91"/>
      <c r="BA91"/>
      <c r="BB91"/>
    </row>
    <row r="92" spans="1:54">
      <c r="A92" t="s">
        <v>6095</v>
      </c>
      <c r="B92" t="s">
        <v>6096</v>
      </c>
      <c r="C92">
        <v>458940602</v>
      </c>
      <c r="D92" t="s">
        <v>5910</v>
      </c>
      <c r="E92" t="s">
        <v>6277</v>
      </c>
      <c r="F92">
        <v>448428947</v>
      </c>
      <c r="G92">
        <v>448431658</v>
      </c>
      <c r="H92">
        <v>0</v>
      </c>
      <c r="I92">
        <v>0</v>
      </c>
      <c r="J92">
        <v>1</v>
      </c>
      <c r="K92">
        <v>1</v>
      </c>
      <c r="L92">
        <v>1</v>
      </c>
      <c r="M92">
        <v>0</v>
      </c>
      <c r="N92">
        <v>0</v>
      </c>
      <c r="Q92" s="3"/>
      <c r="R92" s="3"/>
      <c r="S92" s="3"/>
      <c r="T92" s="3"/>
      <c r="U92" s="3"/>
      <c r="V92" s="3"/>
      <c r="W92" s="3"/>
      <c r="X92" s="3"/>
      <c r="Y92" s="3"/>
      <c r="Z92" s="3"/>
      <c r="AA92" s="3"/>
      <c r="AB92" s="3"/>
      <c r="AC92" s="3"/>
      <c r="AD92" s="3"/>
      <c r="AE92" s="3"/>
      <c r="AF92" s="3"/>
      <c r="AM92"/>
      <c r="AN92"/>
      <c r="AO92"/>
      <c r="AP92"/>
      <c r="AQ92"/>
      <c r="AR92"/>
      <c r="AS92"/>
      <c r="AT92"/>
      <c r="AU92"/>
      <c r="AV92"/>
      <c r="AW92"/>
      <c r="AX92"/>
      <c r="AY92"/>
      <c r="AZ92"/>
      <c r="BA92"/>
      <c r="BB92"/>
    </row>
    <row r="93" spans="1:54">
      <c r="A93" t="s">
        <v>6097</v>
      </c>
      <c r="B93" t="s">
        <v>6098</v>
      </c>
      <c r="C93">
        <v>458940607</v>
      </c>
      <c r="D93" t="s">
        <v>5910</v>
      </c>
      <c r="E93" t="s">
        <v>6276</v>
      </c>
      <c r="F93">
        <v>448428950</v>
      </c>
      <c r="G93">
        <v>448431658</v>
      </c>
      <c r="H93">
        <v>1</v>
      </c>
      <c r="I93">
        <v>1</v>
      </c>
      <c r="J93">
        <v>0</v>
      </c>
      <c r="K93">
        <v>0</v>
      </c>
      <c r="L93">
        <v>0</v>
      </c>
      <c r="M93">
        <v>0</v>
      </c>
      <c r="N93">
        <v>0</v>
      </c>
      <c r="Q93" s="3"/>
      <c r="R93" s="3"/>
      <c r="S93" s="3"/>
      <c r="T93" s="3"/>
      <c r="U93" s="3"/>
      <c r="V93" s="3"/>
      <c r="W93" s="3"/>
      <c r="X93" s="3"/>
      <c r="Y93" s="3"/>
      <c r="Z93" s="3"/>
      <c r="AA93" s="3"/>
      <c r="AB93" s="3"/>
      <c r="AC93" s="3"/>
      <c r="AD93" s="3"/>
      <c r="AE93" s="3"/>
      <c r="AF93" s="3"/>
      <c r="AM93"/>
      <c r="AN93"/>
      <c r="AO93"/>
      <c r="AP93"/>
      <c r="AQ93"/>
      <c r="AR93"/>
      <c r="AS93"/>
      <c r="AT93"/>
      <c r="AU93"/>
      <c r="AV93"/>
      <c r="AW93"/>
      <c r="AX93"/>
      <c r="AY93"/>
      <c r="AZ93"/>
      <c r="BA93"/>
      <c r="BB93"/>
    </row>
    <row r="94" spans="1:54">
      <c r="A94" t="s">
        <v>6099</v>
      </c>
      <c r="B94" t="s">
        <v>6100</v>
      </c>
      <c r="C94">
        <v>458940612</v>
      </c>
      <c r="D94" t="s">
        <v>5910</v>
      </c>
      <c r="E94" t="s">
        <v>6277</v>
      </c>
      <c r="F94">
        <v>448431655</v>
      </c>
      <c r="G94">
        <v>448450850</v>
      </c>
      <c r="H94">
        <v>0</v>
      </c>
      <c r="I94">
        <v>0</v>
      </c>
      <c r="J94">
        <v>1</v>
      </c>
      <c r="K94">
        <v>1</v>
      </c>
      <c r="L94">
        <v>1</v>
      </c>
      <c r="M94">
        <v>0</v>
      </c>
      <c r="N94">
        <v>0</v>
      </c>
      <c r="Q94" s="3"/>
      <c r="R94" s="3"/>
      <c r="S94" s="3"/>
      <c r="T94" s="3"/>
      <c r="U94" s="3"/>
      <c r="V94" s="3"/>
      <c r="W94" s="3"/>
      <c r="X94" s="3"/>
      <c r="Y94" s="3"/>
      <c r="Z94" s="3"/>
      <c r="AA94" s="3"/>
      <c r="AB94" s="3"/>
      <c r="AC94" s="3"/>
      <c r="AD94" s="3"/>
      <c r="AE94" s="3"/>
      <c r="AF94" s="3"/>
      <c r="AM94"/>
      <c r="AN94"/>
      <c r="AO94"/>
      <c r="AP94"/>
      <c r="AQ94"/>
      <c r="AR94"/>
      <c r="AS94"/>
      <c r="AT94"/>
      <c r="AU94"/>
      <c r="AV94"/>
      <c r="AW94"/>
      <c r="AX94"/>
      <c r="AY94"/>
      <c r="AZ94"/>
      <c r="BA94"/>
      <c r="BB94"/>
    </row>
    <row r="95" spans="1:54">
      <c r="A95" t="s">
        <v>6101</v>
      </c>
      <c r="B95" t="s">
        <v>6102</v>
      </c>
      <c r="C95">
        <v>458940617</v>
      </c>
      <c r="D95" t="s">
        <v>5910</v>
      </c>
      <c r="E95" t="s">
        <v>6276</v>
      </c>
      <c r="F95">
        <v>448431655</v>
      </c>
      <c r="G95">
        <v>448450853</v>
      </c>
      <c r="H95">
        <v>1</v>
      </c>
      <c r="I95">
        <v>1</v>
      </c>
      <c r="J95">
        <v>0</v>
      </c>
      <c r="K95">
        <v>0</v>
      </c>
      <c r="L95">
        <v>0</v>
      </c>
      <c r="M95">
        <v>0</v>
      </c>
      <c r="N95">
        <v>0</v>
      </c>
      <c r="Q95" s="3"/>
      <c r="R95" s="3"/>
      <c r="S95" s="3"/>
      <c r="T95" s="3"/>
      <c r="U95" s="3"/>
      <c r="V95" s="3"/>
      <c r="W95" s="3"/>
      <c r="X95" s="3"/>
      <c r="Y95" s="3"/>
      <c r="Z95" s="3"/>
      <c r="AA95" s="3"/>
      <c r="AB95" s="3"/>
      <c r="AC95" s="3"/>
      <c r="AD95" s="3"/>
      <c r="AE95" s="3"/>
      <c r="AF95" s="3"/>
      <c r="AM95"/>
      <c r="AN95"/>
      <c r="AO95"/>
      <c r="AP95"/>
      <c r="AQ95"/>
      <c r="AR95"/>
      <c r="AS95"/>
      <c r="AT95"/>
      <c r="AU95"/>
      <c r="AV95"/>
      <c r="AW95"/>
      <c r="AX95"/>
      <c r="AY95"/>
      <c r="AZ95"/>
      <c r="BA95"/>
      <c r="BB95"/>
    </row>
    <row r="96" spans="1:54">
      <c r="A96" t="s">
        <v>6103</v>
      </c>
      <c r="B96" t="s">
        <v>6104</v>
      </c>
      <c r="C96">
        <v>458940622</v>
      </c>
      <c r="D96" t="s">
        <v>5910</v>
      </c>
      <c r="E96" t="s">
        <v>6277</v>
      </c>
      <c r="F96">
        <v>448450847</v>
      </c>
      <c r="G96">
        <v>448550750</v>
      </c>
      <c r="H96">
        <v>0</v>
      </c>
      <c r="I96">
        <v>0</v>
      </c>
      <c r="J96">
        <v>1</v>
      </c>
      <c r="K96">
        <v>1</v>
      </c>
      <c r="L96">
        <v>1</v>
      </c>
      <c r="M96">
        <v>0</v>
      </c>
      <c r="N96">
        <v>0</v>
      </c>
      <c r="Q96" s="3"/>
      <c r="R96" s="3"/>
      <c r="S96" s="3"/>
      <c r="T96" s="3"/>
      <c r="U96" s="3"/>
      <c r="V96" s="3"/>
      <c r="W96" s="3"/>
      <c r="X96" s="3"/>
      <c r="Y96" s="3"/>
      <c r="Z96" s="3"/>
      <c r="AA96" s="3"/>
      <c r="AB96" s="3"/>
      <c r="AC96" s="3"/>
      <c r="AD96" s="3"/>
      <c r="AE96" s="3"/>
      <c r="AF96" s="3"/>
      <c r="AM96"/>
      <c r="AN96"/>
      <c r="AO96"/>
      <c r="AP96"/>
      <c r="AQ96"/>
      <c r="AR96"/>
      <c r="AS96"/>
      <c r="AT96"/>
      <c r="AU96"/>
      <c r="AV96"/>
      <c r="AW96"/>
      <c r="AX96"/>
      <c r="AY96"/>
      <c r="AZ96"/>
      <c r="BA96"/>
      <c r="BB96"/>
    </row>
    <row r="97" spans="1:54">
      <c r="A97" t="s">
        <v>6105</v>
      </c>
      <c r="B97" t="s">
        <v>6106</v>
      </c>
      <c r="C97">
        <v>458940627</v>
      </c>
      <c r="D97" t="s">
        <v>5910</v>
      </c>
      <c r="E97" t="s">
        <v>6276</v>
      </c>
      <c r="F97">
        <v>448450850</v>
      </c>
      <c r="G97">
        <v>448550753</v>
      </c>
      <c r="H97">
        <v>1</v>
      </c>
      <c r="I97">
        <v>1</v>
      </c>
      <c r="J97">
        <v>0</v>
      </c>
      <c r="K97">
        <v>0</v>
      </c>
      <c r="L97">
        <v>0</v>
      </c>
      <c r="M97">
        <v>0</v>
      </c>
      <c r="N97">
        <v>0</v>
      </c>
      <c r="Q97" s="3"/>
      <c r="R97" s="3"/>
      <c r="S97" s="3"/>
      <c r="T97" s="3"/>
      <c r="U97" s="3"/>
      <c r="V97" s="3"/>
      <c r="W97" s="3"/>
      <c r="X97" s="3"/>
      <c r="Y97" s="3"/>
      <c r="Z97" s="3"/>
      <c r="AA97" s="3"/>
      <c r="AB97" s="3"/>
      <c r="AC97" s="3"/>
      <c r="AD97" s="3"/>
      <c r="AE97" s="3"/>
      <c r="AF97" s="3"/>
      <c r="AM97"/>
      <c r="AN97"/>
      <c r="AO97"/>
      <c r="AP97"/>
      <c r="AQ97"/>
      <c r="AR97"/>
      <c r="AS97"/>
      <c r="AT97"/>
      <c r="AU97"/>
      <c r="AV97"/>
      <c r="AW97"/>
      <c r="AX97"/>
      <c r="AY97"/>
      <c r="AZ97"/>
      <c r="BA97"/>
      <c r="BB97"/>
    </row>
    <row r="98" spans="1:54">
      <c r="A98" t="s">
        <v>6107</v>
      </c>
      <c r="B98" t="s">
        <v>6108</v>
      </c>
      <c r="C98">
        <v>458940632</v>
      </c>
      <c r="D98" t="s">
        <v>5910</v>
      </c>
      <c r="E98" t="s">
        <v>6277</v>
      </c>
      <c r="F98">
        <v>448550747</v>
      </c>
      <c r="G98">
        <v>448601450</v>
      </c>
      <c r="H98">
        <v>0</v>
      </c>
      <c r="I98">
        <v>0</v>
      </c>
      <c r="J98">
        <v>1</v>
      </c>
      <c r="K98">
        <v>1</v>
      </c>
      <c r="L98">
        <v>1</v>
      </c>
      <c r="M98">
        <v>0</v>
      </c>
      <c r="N98">
        <v>0</v>
      </c>
      <c r="Q98" s="3"/>
      <c r="R98" s="3"/>
      <c r="S98" s="3"/>
      <c r="T98" s="3"/>
      <c r="U98" s="3"/>
      <c r="V98" s="3"/>
      <c r="W98" s="3"/>
      <c r="X98" s="3"/>
      <c r="Y98" s="3"/>
      <c r="Z98" s="3"/>
      <c r="AA98" s="3"/>
      <c r="AB98" s="3"/>
      <c r="AC98" s="3"/>
      <c r="AD98" s="3"/>
      <c r="AE98" s="3"/>
      <c r="AF98" s="3"/>
      <c r="AM98"/>
      <c r="AN98"/>
      <c r="AO98"/>
      <c r="AP98"/>
      <c r="AQ98"/>
      <c r="AR98"/>
      <c r="AS98"/>
      <c r="AT98"/>
      <c r="AU98"/>
      <c r="AV98"/>
      <c r="AW98"/>
      <c r="AX98"/>
      <c r="AY98"/>
      <c r="AZ98"/>
      <c r="BA98"/>
      <c r="BB98"/>
    </row>
    <row r="99" spans="1:54">
      <c r="A99" t="s">
        <v>6109</v>
      </c>
      <c r="B99" t="s">
        <v>6110</v>
      </c>
      <c r="C99">
        <v>458940637</v>
      </c>
      <c r="D99" t="s">
        <v>5910</v>
      </c>
      <c r="E99" t="s">
        <v>6276</v>
      </c>
      <c r="F99">
        <v>448601450</v>
      </c>
      <c r="G99">
        <v>448623053</v>
      </c>
      <c r="H99">
        <v>1</v>
      </c>
      <c r="I99">
        <v>1</v>
      </c>
      <c r="J99">
        <v>0</v>
      </c>
      <c r="K99">
        <v>0</v>
      </c>
      <c r="L99">
        <v>0</v>
      </c>
      <c r="M99">
        <v>0</v>
      </c>
      <c r="N99">
        <v>0</v>
      </c>
      <c r="Q99" s="3"/>
      <c r="R99" s="3"/>
      <c r="S99" s="3"/>
      <c r="T99" s="3"/>
      <c r="U99" s="3"/>
      <c r="V99" s="3"/>
      <c r="W99" s="3"/>
      <c r="X99" s="3"/>
      <c r="Y99" s="3"/>
      <c r="Z99" s="3"/>
      <c r="AA99" s="3"/>
      <c r="AB99" s="3"/>
      <c r="AC99" s="3"/>
      <c r="AD99" s="3"/>
      <c r="AE99" s="3"/>
      <c r="AF99" s="3"/>
      <c r="AM99"/>
      <c r="AN99"/>
      <c r="AO99"/>
      <c r="AP99"/>
      <c r="AQ99"/>
      <c r="AR99"/>
      <c r="AS99"/>
      <c r="AT99"/>
      <c r="AU99"/>
      <c r="AV99"/>
      <c r="AW99"/>
      <c r="AX99"/>
      <c r="AY99"/>
      <c r="AZ99"/>
      <c r="BA99"/>
      <c r="BB99"/>
    </row>
    <row r="100" spans="1:54">
      <c r="A100" t="s">
        <v>6111</v>
      </c>
      <c r="B100" t="s">
        <v>6112</v>
      </c>
      <c r="C100">
        <v>458940642</v>
      </c>
      <c r="D100" t="s">
        <v>5910</v>
      </c>
      <c r="E100" t="s">
        <v>6276</v>
      </c>
      <c r="F100">
        <v>448773650</v>
      </c>
      <c r="G100">
        <v>448887053</v>
      </c>
      <c r="H100">
        <v>1</v>
      </c>
      <c r="I100">
        <v>1</v>
      </c>
      <c r="J100">
        <v>0</v>
      </c>
      <c r="K100">
        <v>0</v>
      </c>
      <c r="L100">
        <v>0</v>
      </c>
      <c r="M100">
        <v>0</v>
      </c>
      <c r="N100">
        <v>0</v>
      </c>
      <c r="Q100" s="3"/>
      <c r="R100" s="3"/>
      <c r="S100" s="3"/>
      <c r="T100" s="3"/>
      <c r="U100" s="3"/>
      <c r="V100" s="3"/>
      <c r="W100" s="3"/>
      <c r="X100" s="3"/>
      <c r="Y100" s="3"/>
      <c r="Z100" s="3"/>
      <c r="AA100" s="3"/>
      <c r="AB100" s="3"/>
      <c r="AC100" s="3"/>
      <c r="AD100" s="3"/>
      <c r="AE100" s="3"/>
      <c r="AF100" s="3"/>
      <c r="AM100"/>
      <c r="AN100"/>
      <c r="AO100"/>
      <c r="AP100"/>
      <c r="AQ100"/>
      <c r="AR100"/>
      <c r="AS100"/>
      <c r="AT100"/>
      <c r="AU100"/>
      <c r="AV100"/>
      <c r="AW100"/>
      <c r="AX100"/>
      <c r="AY100"/>
      <c r="AZ100"/>
      <c r="BA100"/>
      <c r="BB100"/>
    </row>
    <row r="101" spans="1:54">
      <c r="A101" t="s">
        <v>6113</v>
      </c>
      <c r="B101" t="s">
        <v>6114</v>
      </c>
      <c r="C101">
        <v>459108002</v>
      </c>
      <c r="D101" t="s">
        <v>5910</v>
      </c>
      <c r="E101" t="s">
        <v>6276</v>
      </c>
      <c r="F101">
        <v>448550750</v>
      </c>
      <c r="G101">
        <v>448601453</v>
      </c>
      <c r="H101">
        <v>1</v>
      </c>
      <c r="I101">
        <v>1</v>
      </c>
      <c r="J101">
        <v>0</v>
      </c>
      <c r="K101">
        <v>0</v>
      </c>
      <c r="L101">
        <v>0</v>
      </c>
      <c r="M101">
        <v>0</v>
      </c>
      <c r="N101">
        <v>0</v>
      </c>
      <c r="Q101" s="3"/>
      <c r="R101" s="3"/>
      <c r="S101" s="3"/>
      <c r="T101" s="3"/>
      <c r="U101" s="3"/>
      <c r="V101" s="3"/>
      <c r="W101" s="3"/>
      <c r="X101" s="3"/>
      <c r="Y101" s="3"/>
      <c r="Z101" s="3"/>
      <c r="AA101" s="3"/>
      <c r="AB101" s="3"/>
      <c r="AC101" s="3"/>
      <c r="AD101" s="3"/>
      <c r="AE101" s="3"/>
      <c r="AF101" s="3"/>
      <c r="AM101"/>
      <c r="AN101"/>
      <c r="AO101"/>
      <c r="AP101"/>
      <c r="AQ101"/>
      <c r="AR101"/>
      <c r="AS101"/>
      <c r="AT101"/>
      <c r="AU101"/>
      <c r="AV101"/>
      <c r="AW101"/>
      <c r="AX101"/>
      <c r="AY101"/>
      <c r="AZ101"/>
      <c r="BA101"/>
      <c r="BB101"/>
    </row>
    <row r="102" spans="1:54">
      <c r="A102" t="s">
        <v>6115</v>
      </c>
      <c r="B102" t="s">
        <v>6116</v>
      </c>
      <c r="C102">
        <v>459108007</v>
      </c>
      <c r="D102" t="s">
        <v>5910</v>
      </c>
      <c r="E102" t="s">
        <v>6277</v>
      </c>
      <c r="F102">
        <v>448601447</v>
      </c>
      <c r="G102">
        <v>448623050</v>
      </c>
      <c r="H102">
        <v>0</v>
      </c>
      <c r="I102">
        <v>0</v>
      </c>
      <c r="J102">
        <v>1</v>
      </c>
      <c r="K102">
        <v>1</v>
      </c>
      <c r="L102">
        <v>1</v>
      </c>
      <c r="M102">
        <v>0</v>
      </c>
      <c r="N102">
        <v>0</v>
      </c>
      <c r="Q102" s="3"/>
      <c r="R102" s="3"/>
      <c r="S102" s="3"/>
      <c r="T102" s="3"/>
      <c r="U102" s="3"/>
      <c r="V102" s="3"/>
      <c r="W102" s="3"/>
      <c r="X102" s="3"/>
      <c r="Y102" s="3"/>
      <c r="Z102" s="3"/>
      <c r="AA102" s="3"/>
      <c r="AB102" s="3"/>
      <c r="AC102" s="3"/>
      <c r="AD102" s="3"/>
      <c r="AE102" s="3"/>
      <c r="AF102" s="3"/>
      <c r="AM102"/>
      <c r="AN102"/>
      <c r="AO102"/>
      <c r="AP102"/>
      <c r="AQ102"/>
      <c r="AR102"/>
      <c r="AS102"/>
      <c r="AT102"/>
      <c r="AU102"/>
      <c r="AV102"/>
      <c r="AW102"/>
      <c r="AX102"/>
      <c r="AY102"/>
      <c r="AZ102"/>
      <c r="BA102"/>
      <c r="BB102"/>
    </row>
    <row r="103" spans="1:54">
      <c r="A103" t="s">
        <v>6117</v>
      </c>
      <c r="B103" t="s">
        <v>6118</v>
      </c>
      <c r="C103">
        <v>459108012</v>
      </c>
      <c r="D103" t="s">
        <v>5910</v>
      </c>
      <c r="E103" t="s">
        <v>6277</v>
      </c>
      <c r="F103">
        <v>448623047</v>
      </c>
      <c r="G103">
        <v>448683350</v>
      </c>
      <c r="H103">
        <v>0</v>
      </c>
      <c r="I103">
        <v>0</v>
      </c>
      <c r="J103">
        <v>1</v>
      </c>
      <c r="K103">
        <v>1</v>
      </c>
      <c r="L103">
        <v>1</v>
      </c>
      <c r="M103">
        <v>0</v>
      </c>
      <c r="N103">
        <v>0</v>
      </c>
      <c r="Q103" s="3"/>
      <c r="R103" s="3"/>
      <c r="S103" s="3"/>
      <c r="T103" s="3"/>
      <c r="U103" s="3"/>
      <c r="V103" s="3"/>
      <c r="W103" s="3"/>
      <c r="X103" s="3"/>
      <c r="Y103" s="3"/>
      <c r="Z103" s="3"/>
      <c r="AA103" s="3"/>
      <c r="AB103" s="3"/>
      <c r="AC103" s="3"/>
      <c r="AD103" s="3"/>
      <c r="AE103" s="3"/>
      <c r="AF103" s="3"/>
      <c r="AM103"/>
      <c r="AN103"/>
      <c r="AO103"/>
      <c r="AP103"/>
      <c r="AQ103"/>
      <c r="AR103"/>
      <c r="AS103"/>
      <c r="AT103"/>
      <c r="AU103"/>
      <c r="AV103"/>
      <c r="AW103"/>
      <c r="AX103"/>
      <c r="AY103"/>
      <c r="AZ103"/>
      <c r="BA103"/>
      <c r="BB103"/>
    </row>
    <row r="104" spans="1:54">
      <c r="A104" t="s">
        <v>6119</v>
      </c>
      <c r="B104" t="s">
        <v>6120</v>
      </c>
      <c r="C104">
        <v>459108017</v>
      </c>
      <c r="D104" t="s">
        <v>5910</v>
      </c>
      <c r="E104" t="s">
        <v>6276</v>
      </c>
      <c r="F104">
        <v>448623050</v>
      </c>
      <c r="G104">
        <v>448683353</v>
      </c>
      <c r="H104">
        <v>1</v>
      </c>
      <c r="I104">
        <v>1</v>
      </c>
      <c r="J104">
        <v>0</v>
      </c>
      <c r="K104">
        <v>0</v>
      </c>
      <c r="L104">
        <v>0</v>
      </c>
      <c r="M104">
        <v>0</v>
      </c>
      <c r="N104">
        <v>0</v>
      </c>
      <c r="Q104" s="3"/>
      <c r="R104" s="3"/>
      <c r="S104" s="3"/>
      <c r="T104" s="3"/>
      <c r="U104" s="3"/>
      <c r="V104" s="3"/>
      <c r="W104" s="3"/>
      <c r="X104" s="3"/>
      <c r="Y104" s="3"/>
      <c r="Z104" s="3"/>
      <c r="AA104" s="3"/>
      <c r="AB104" s="3"/>
      <c r="AC104" s="3"/>
      <c r="AD104" s="3"/>
      <c r="AE104" s="3"/>
      <c r="AF104" s="3"/>
      <c r="AM104"/>
      <c r="AN104"/>
      <c r="AO104"/>
      <c r="AP104"/>
      <c r="AQ104"/>
      <c r="AR104"/>
      <c r="AS104"/>
      <c r="AT104"/>
      <c r="AU104"/>
      <c r="AV104"/>
      <c r="AW104"/>
      <c r="AX104"/>
      <c r="AY104"/>
      <c r="AZ104"/>
      <c r="BA104"/>
      <c r="BB104"/>
    </row>
    <row r="105" spans="1:54">
      <c r="A105" t="s">
        <v>6121</v>
      </c>
      <c r="B105" t="s">
        <v>6122</v>
      </c>
      <c r="C105">
        <v>459108022</v>
      </c>
      <c r="D105" t="s">
        <v>5910</v>
      </c>
      <c r="E105" t="s">
        <v>6277</v>
      </c>
      <c r="F105">
        <v>448683347</v>
      </c>
      <c r="G105">
        <v>448773650</v>
      </c>
      <c r="H105">
        <v>0</v>
      </c>
      <c r="I105">
        <v>0</v>
      </c>
      <c r="J105">
        <v>1</v>
      </c>
      <c r="K105">
        <v>1</v>
      </c>
      <c r="L105">
        <v>1</v>
      </c>
      <c r="M105">
        <v>0</v>
      </c>
      <c r="N105">
        <v>0</v>
      </c>
      <c r="Q105" s="3"/>
      <c r="R105" s="3"/>
      <c r="S105" s="3"/>
      <c r="T105" s="3"/>
      <c r="U105" s="3"/>
      <c r="V105" s="3"/>
      <c r="W105" s="3"/>
      <c r="X105" s="3"/>
      <c r="Y105" s="3"/>
      <c r="Z105" s="3"/>
      <c r="AA105" s="3"/>
      <c r="AB105" s="3"/>
      <c r="AC105" s="3"/>
      <c r="AD105" s="3"/>
      <c r="AE105" s="3"/>
      <c r="AF105" s="3"/>
      <c r="AM105"/>
      <c r="AN105"/>
      <c r="AO105"/>
      <c r="AP105"/>
      <c r="AQ105"/>
      <c r="AR105"/>
      <c r="AS105"/>
      <c r="AT105"/>
      <c r="AU105"/>
      <c r="AV105"/>
      <c r="AW105"/>
      <c r="AX105"/>
      <c r="AY105"/>
      <c r="AZ105"/>
      <c r="BA105"/>
      <c r="BB105"/>
    </row>
    <row r="106" spans="1:54">
      <c r="A106" t="s">
        <v>6123</v>
      </c>
      <c r="B106" t="s">
        <v>6124</v>
      </c>
      <c r="C106">
        <v>459108027</v>
      </c>
      <c r="D106" t="s">
        <v>5910</v>
      </c>
      <c r="E106" t="s">
        <v>6276</v>
      </c>
      <c r="F106">
        <v>448683350</v>
      </c>
      <c r="G106">
        <v>448773653</v>
      </c>
      <c r="H106">
        <v>1</v>
      </c>
      <c r="I106">
        <v>1</v>
      </c>
      <c r="J106">
        <v>0</v>
      </c>
      <c r="K106">
        <v>0</v>
      </c>
      <c r="L106">
        <v>0</v>
      </c>
      <c r="M106">
        <v>0</v>
      </c>
      <c r="N106">
        <v>0</v>
      </c>
      <c r="Q106" s="3"/>
      <c r="R106" s="3"/>
      <c r="S106" s="3"/>
      <c r="T106" s="3"/>
      <c r="U106" s="3"/>
      <c r="V106" s="3"/>
      <c r="W106" s="3"/>
      <c r="X106" s="3"/>
      <c r="Y106" s="3"/>
      <c r="Z106" s="3"/>
      <c r="AA106" s="3"/>
      <c r="AB106" s="3"/>
      <c r="AC106" s="3"/>
      <c r="AD106" s="3"/>
      <c r="AE106" s="3"/>
      <c r="AF106" s="3"/>
      <c r="AM106"/>
      <c r="AN106"/>
      <c r="AO106"/>
      <c r="AP106"/>
      <c r="AQ106"/>
      <c r="AR106"/>
      <c r="AS106"/>
      <c r="AT106"/>
      <c r="AU106"/>
      <c r="AV106"/>
      <c r="AW106"/>
      <c r="AX106"/>
      <c r="AY106"/>
      <c r="AZ106"/>
      <c r="BA106"/>
      <c r="BB106"/>
    </row>
    <row r="107" spans="1:54">
      <c r="A107" t="s">
        <v>6125</v>
      </c>
      <c r="B107" t="s">
        <v>6126</v>
      </c>
      <c r="C107">
        <v>459108032</v>
      </c>
      <c r="D107" t="s">
        <v>5910</v>
      </c>
      <c r="E107" t="s">
        <v>6277</v>
      </c>
      <c r="F107">
        <v>448773647</v>
      </c>
      <c r="G107">
        <v>448887050</v>
      </c>
      <c r="H107">
        <v>0</v>
      </c>
      <c r="I107">
        <v>0</v>
      </c>
      <c r="J107">
        <v>1</v>
      </c>
      <c r="K107">
        <v>1</v>
      </c>
      <c r="L107">
        <v>1</v>
      </c>
      <c r="M107">
        <v>0</v>
      </c>
      <c r="N107">
        <v>0</v>
      </c>
      <c r="Q107" s="3"/>
      <c r="R107" s="3"/>
      <c r="S107" s="3"/>
      <c r="T107" s="3"/>
      <c r="U107" s="3"/>
      <c r="V107" s="3"/>
      <c r="W107" s="3"/>
      <c r="X107" s="3"/>
      <c r="Y107" s="3"/>
      <c r="Z107" s="3"/>
      <c r="AA107" s="3"/>
      <c r="AB107" s="3"/>
      <c r="AC107" s="3"/>
      <c r="AD107" s="3"/>
      <c r="AE107" s="3"/>
      <c r="AF107" s="3"/>
      <c r="AM107"/>
      <c r="AN107"/>
      <c r="AO107"/>
      <c r="AP107"/>
      <c r="AQ107"/>
      <c r="AR107"/>
      <c r="AS107"/>
      <c r="AT107"/>
      <c r="AU107"/>
      <c r="AV107"/>
      <c r="AW107"/>
      <c r="AX107"/>
      <c r="AY107"/>
      <c r="AZ107"/>
      <c r="BA107"/>
      <c r="BB107"/>
    </row>
    <row r="108" spans="1:54">
      <c r="A108" t="s">
        <v>6127</v>
      </c>
      <c r="B108" t="s">
        <v>6128</v>
      </c>
      <c r="C108">
        <v>459108037</v>
      </c>
      <c r="D108" t="s">
        <v>5910</v>
      </c>
      <c r="E108" t="s">
        <v>6277</v>
      </c>
      <c r="F108">
        <v>448887047</v>
      </c>
      <c r="G108">
        <v>449032250</v>
      </c>
      <c r="H108">
        <v>0</v>
      </c>
      <c r="I108">
        <v>0</v>
      </c>
      <c r="J108">
        <v>1</v>
      </c>
      <c r="K108">
        <v>1</v>
      </c>
      <c r="L108">
        <v>1</v>
      </c>
      <c r="M108">
        <v>0</v>
      </c>
      <c r="N108">
        <v>0</v>
      </c>
      <c r="Q108" s="3"/>
      <c r="R108" s="3"/>
      <c r="S108" s="3"/>
      <c r="T108" s="3"/>
      <c r="U108" s="3"/>
      <c r="V108" s="3"/>
      <c r="W108" s="3"/>
      <c r="X108" s="3"/>
      <c r="Y108" s="3"/>
      <c r="Z108" s="3"/>
      <c r="AA108" s="3"/>
      <c r="AB108" s="3"/>
      <c r="AC108" s="3"/>
      <c r="AD108" s="3"/>
      <c r="AE108" s="3"/>
      <c r="AF108" s="3"/>
      <c r="AM108"/>
      <c r="AN108"/>
      <c r="AO108"/>
      <c r="AP108"/>
      <c r="AQ108"/>
      <c r="AR108"/>
      <c r="AS108"/>
      <c r="AT108"/>
      <c r="AU108"/>
      <c r="AV108"/>
      <c r="AW108"/>
      <c r="AX108"/>
      <c r="AY108"/>
      <c r="AZ108"/>
      <c r="BA108"/>
      <c r="BB108"/>
    </row>
    <row r="109" spans="1:54">
      <c r="A109" t="s">
        <v>6129</v>
      </c>
      <c r="B109" t="s">
        <v>6130</v>
      </c>
      <c r="C109">
        <v>459108042</v>
      </c>
      <c r="D109" t="s">
        <v>5910</v>
      </c>
      <c r="E109" t="s">
        <v>6276</v>
      </c>
      <c r="F109">
        <v>448887050</v>
      </c>
      <c r="G109">
        <v>449032253</v>
      </c>
      <c r="H109">
        <v>1</v>
      </c>
      <c r="I109">
        <v>1</v>
      </c>
      <c r="J109">
        <v>0</v>
      </c>
      <c r="K109">
        <v>0</v>
      </c>
      <c r="L109">
        <v>0</v>
      </c>
      <c r="M109">
        <v>0</v>
      </c>
      <c r="N109">
        <v>0</v>
      </c>
      <c r="Q109" s="3"/>
      <c r="R109" s="3"/>
      <c r="S109" s="3"/>
      <c r="T109" s="3"/>
      <c r="U109" s="3"/>
      <c r="V109" s="3"/>
      <c r="W109" s="3"/>
      <c r="X109" s="3"/>
      <c r="Y109" s="3"/>
      <c r="Z109" s="3"/>
      <c r="AA109" s="3"/>
      <c r="AB109" s="3"/>
      <c r="AC109" s="3"/>
      <c r="AD109" s="3"/>
      <c r="AE109" s="3"/>
      <c r="AF109" s="3"/>
      <c r="AM109"/>
      <c r="AN109"/>
      <c r="AO109"/>
      <c r="AP109"/>
      <c r="AQ109"/>
      <c r="AR109"/>
      <c r="AS109"/>
      <c r="AT109"/>
      <c r="AU109"/>
      <c r="AV109"/>
      <c r="AW109"/>
      <c r="AX109"/>
      <c r="AY109"/>
      <c r="AZ109"/>
      <c r="BA109"/>
      <c r="BB109"/>
    </row>
    <row r="110" spans="1:54">
      <c r="A110" t="s">
        <v>6131</v>
      </c>
      <c r="B110" t="s">
        <v>6132</v>
      </c>
      <c r="C110">
        <v>459108047</v>
      </c>
      <c r="D110" t="s">
        <v>5910</v>
      </c>
      <c r="E110" t="s">
        <v>6277</v>
      </c>
      <c r="F110">
        <v>449032247</v>
      </c>
      <c r="G110">
        <v>449141450</v>
      </c>
      <c r="H110">
        <v>0</v>
      </c>
      <c r="I110">
        <v>0</v>
      </c>
      <c r="J110">
        <v>1</v>
      </c>
      <c r="K110">
        <v>1</v>
      </c>
      <c r="L110">
        <v>1</v>
      </c>
      <c r="M110">
        <v>0</v>
      </c>
      <c r="N110">
        <v>0</v>
      </c>
      <c r="Q110" s="3"/>
      <c r="R110" s="3"/>
      <c r="S110" s="3"/>
      <c r="T110" s="3"/>
      <c r="U110" s="3"/>
      <c r="V110" s="3"/>
      <c r="W110" s="3"/>
      <c r="X110" s="3"/>
      <c r="Y110" s="3"/>
      <c r="Z110" s="3"/>
      <c r="AA110" s="3"/>
      <c r="AB110" s="3"/>
      <c r="AC110" s="3"/>
      <c r="AD110" s="3"/>
      <c r="AE110" s="3"/>
      <c r="AF110" s="3"/>
      <c r="AM110"/>
      <c r="AN110"/>
      <c r="AO110"/>
      <c r="AP110"/>
      <c r="AQ110"/>
      <c r="AR110"/>
      <c r="AS110"/>
      <c r="AT110"/>
      <c r="AU110"/>
      <c r="AV110"/>
      <c r="AW110"/>
      <c r="AX110"/>
      <c r="AY110"/>
      <c r="AZ110"/>
      <c r="BA110"/>
      <c r="BB110"/>
    </row>
    <row r="111" spans="1:54">
      <c r="A111" t="s">
        <v>6133</v>
      </c>
      <c r="B111" t="s">
        <v>6134</v>
      </c>
      <c r="C111">
        <v>459108052</v>
      </c>
      <c r="D111" t="s">
        <v>5910</v>
      </c>
      <c r="E111" t="s">
        <v>6276</v>
      </c>
      <c r="F111">
        <v>449032250</v>
      </c>
      <c r="G111">
        <v>449141453</v>
      </c>
      <c r="H111">
        <v>1</v>
      </c>
      <c r="I111">
        <v>1</v>
      </c>
      <c r="J111">
        <v>0</v>
      </c>
      <c r="K111">
        <v>0</v>
      </c>
      <c r="L111">
        <v>0</v>
      </c>
      <c r="M111">
        <v>0</v>
      </c>
      <c r="N111">
        <v>0</v>
      </c>
      <c r="Q111" s="3"/>
      <c r="R111" s="3"/>
      <c r="S111" s="3"/>
      <c r="T111" s="3"/>
      <c r="U111" s="3"/>
      <c r="V111" s="3"/>
      <c r="W111" s="3"/>
      <c r="X111" s="3"/>
      <c r="Y111" s="3"/>
      <c r="Z111" s="3"/>
      <c r="AA111" s="3"/>
      <c r="AB111" s="3"/>
      <c r="AC111" s="3"/>
      <c r="AD111" s="3"/>
      <c r="AE111" s="3"/>
      <c r="AF111" s="3"/>
      <c r="AM111"/>
      <c r="AN111"/>
      <c r="AO111"/>
      <c r="AP111"/>
      <c r="AQ111"/>
      <c r="AR111"/>
      <c r="AS111"/>
      <c r="AT111"/>
      <c r="AU111"/>
      <c r="AV111"/>
      <c r="AW111"/>
      <c r="AX111"/>
      <c r="AY111"/>
      <c r="AZ111"/>
      <c r="BA111"/>
      <c r="BB111"/>
    </row>
    <row r="112" spans="1:54">
      <c r="A112" t="s">
        <v>6135</v>
      </c>
      <c r="B112" t="s">
        <v>6136</v>
      </c>
      <c r="C112">
        <v>459108057</v>
      </c>
      <c r="D112" t="s">
        <v>5910</v>
      </c>
      <c r="E112" t="s">
        <v>6277</v>
      </c>
      <c r="F112">
        <v>449141447</v>
      </c>
      <c r="G112">
        <v>449216750</v>
      </c>
      <c r="H112">
        <v>0</v>
      </c>
      <c r="I112">
        <v>0</v>
      </c>
      <c r="J112">
        <v>1</v>
      </c>
      <c r="K112">
        <v>1</v>
      </c>
      <c r="L112">
        <v>1</v>
      </c>
      <c r="M112">
        <v>0</v>
      </c>
      <c r="N112">
        <v>0</v>
      </c>
      <c r="Q112" s="3"/>
      <c r="R112" s="3"/>
      <c r="S112" s="3"/>
      <c r="T112" s="3"/>
      <c r="U112" s="3"/>
      <c r="V112" s="3"/>
      <c r="W112" s="3"/>
      <c r="X112" s="3"/>
      <c r="Y112" s="3"/>
      <c r="Z112" s="3"/>
      <c r="AA112" s="3"/>
      <c r="AB112" s="3"/>
      <c r="AC112" s="3"/>
      <c r="AD112" s="3"/>
      <c r="AE112" s="3"/>
      <c r="AF112" s="3"/>
      <c r="AM112"/>
      <c r="AN112"/>
      <c r="AO112"/>
      <c r="AP112"/>
      <c r="AQ112"/>
      <c r="AR112"/>
      <c r="AS112"/>
      <c r="AT112"/>
      <c r="AU112"/>
      <c r="AV112"/>
      <c r="AW112"/>
      <c r="AX112"/>
      <c r="AY112"/>
      <c r="AZ112"/>
      <c r="BA112"/>
      <c r="BB112"/>
    </row>
    <row r="113" spans="1:54">
      <c r="A113" t="s">
        <v>6137</v>
      </c>
      <c r="B113" t="s">
        <v>6138</v>
      </c>
      <c r="C113">
        <v>459108062</v>
      </c>
      <c r="D113" t="s">
        <v>5910</v>
      </c>
      <c r="E113" t="s">
        <v>6276</v>
      </c>
      <c r="F113">
        <v>449141450</v>
      </c>
      <c r="G113">
        <v>449216753</v>
      </c>
      <c r="H113">
        <v>1</v>
      </c>
      <c r="I113">
        <v>1</v>
      </c>
      <c r="J113">
        <v>0</v>
      </c>
      <c r="K113">
        <v>0</v>
      </c>
      <c r="L113">
        <v>0</v>
      </c>
      <c r="M113">
        <v>0</v>
      </c>
      <c r="N113">
        <v>0</v>
      </c>
      <c r="Q113" s="3"/>
      <c r="R113" s="3"/>
      <c r="S113" s="3"/>
      <c r="T113" s="3"/>
      <c r="U113" s="3"/>
      <c r="V113" s="3"/>
      <c r="W113" s="3"/>
      <c r="X113" s="3"/>
      <c r="Y113" s="3"/>
      <c r="Z113" s="3"/>
      <c r="AA113" s="3"/>
      <c r="AB113" s="3"/>
      <c r="AC113" s="3"/>
      <c r="AD113" s="3"/>
      <c r="AE113" s="3"/>
      <c r="AF113" s="3"/>
      <c r="AM113"/>
      <c r="AN113"/>
      <c r="AO113"/>
      <c r="AP113"/>
      <c r="AQ113"/>
      <c r="AR113"/>
      <c r="AS113"/>
      <c r="AT113"/>
      <c r="AU113"/>
      <c r="AV113"/>
      <c r="AW113"/>
      <c r="AX113"/>
      <c r="AY113"/>
      <c r="AZ113"/>
      <c r="BA113"/>
      <c r="BB113"/>
    </row>
    <row r="114" spans="1:54">
      <c r="A114" t="s">
        <v>6139</v>
      </c>
      <c r="B114" t="s">
        <v>6140</v>
      </c>
      <c r="C114">
        <v>459108067</v>
      </c>
      <c r="D114" t="s">
        <v>5910</v>
      </c>
      <c r="E114" t="s">
        <v>6277</v>
      </c>
      <c r="F114">
        <v>449216747</v>
      </c>
      <c r="G114">
        <v>449231750</v>
      </c>
      <c r="H114">
        <v>0</v>
      </c>
      <c r="I114">
        <v>0</v>
      </c>
      <c r="J114">
        <v>1</v>
      </c>
      <c r="K114">
        <v>1</v>
      </c>
      <c r="L114">
        <v>1</v>
      </c>
      <c r="M114">
        <v>0</v>
      </c>
      <c r="N114">
        <v>0</v>
      </c>
      <c r="Q114" s="3"/>
      <c r="R114" s="3"/>
      <c r="S114" s="3"/>
      <c r="T114" s="3"/>
      <c r="U114" s="3"/>
      <c r="V114" s="3"/>
      <c r="W114" s="3"/>
      <c r="X114" s="3"/>
      <c r="Y114" s="3"/>
      <c r="Z114" s="3"/>
      <c r="AA114" s="3"/>
      <c r="AB114" s="3"/>
      <c r="AC114" s="3"/>
      <c r="AD114" s="3"/>
      <c r="AE114" s="3"/>
      <c r="AF114" s="3"/>
      <c r="AM114"/>
      <c r="AN114"/>
      <c r="AO114"/>
      <c r="AP114"/>
      <c r="AQ114"/>
      <c r="AR114"/>
      <c r="AS114"/>
      <c r="AT114"/>
      <c r="AU114"/>
      <c r="AV114"/>
      <c r="AW114"/>
      <c r="AX114"/>
      <c r="AY114"/>
      <c r="AZ114"/>
      <c r="BA114"/>
      <c r="BB114"/>
    </row>
    <row r="115" spans="1:54">
      <c r="A115" t="s">
        <v>6141</v>
      </c>
      <c r="B115" t="s">
        <v>6142</v>
      </c>
      <c r="C115">
        <v>459108072</v>
      </c>
      <c r="D115" t="s">
        <v>5910</v>
      </c>
      <c r="E115" t="s">
        <v>6276</v>
      </c>
      <c r="F115">
        <v>449216750</v>
      </c>
      <c r="G115">
        <v>449231753</v>
      </c>
      <c r="H115">
        <v>1</v>
      </c>
      <c r="I115">
        <v>1</v>
      </c>
      <c r="J115">
        <v>0</v>
      </c>
      <c r="K115">
        <v>0</v>
      </c>
      <c r="L115">
        <v>0</v>
      </c>
      <c r="M115">
        <v>0</v>
      </c>
      <c r="N115">
        <v>0</v>
      </c>
      <c r="Q115" s="3"/>
      <c r="R115" s="3"/>
      <c r="S115" s="3"/>
      <c r="T115" s="3"/>
      <c r="U115" s="3"/>
      <c r="V115" s="3"/>
      <c r="W115" s="3"/>
      <c r="X115" s="3"/>
      <c r="Y115" s="3"/>
      <c r="Z115" s="3"/>
      <c r="AA115" s="3"/>
      <c r="AB115" s="3"/>
      <c r="AC115" s="3"/>
      <c r="AD115" s="3"/>
      <c r="AE115" s="3"/>
      <c r="AF115" s="3"/>
      <c r="AM115"/>
      <c r="AN115"/>
      <c r="AO115"/>
      <c r="AP115"/>
      <c r="AQ115"/>
      <c r="AR115"/>
      <c r="AS115"/>
      <c r="AT115"/>
      <c r="AU115"/>
      <c r="AV115"/>
      <c r="AW115"/>
      <c r="AX115"/>
      <c r="AY115"/>
      <c r="AZ115"/>
      <c r="BA115"/>
      <c r="BB115"/>
    </row>
    <row r="116" spans="1:54">
      <c r="A116" t="s">
        <v>6143</v>
      </c>
      <c r="B116" t="s">
        <v>6144</v>
      </c>
      <c r="C116">
        <v>459108077</v>
      </c>
      <c r="D116" t="s">
        <v>5910</v>
      </c>
      <c r="E116" t="s">
        <v>6277</v>
      </c>
      <c r="F116">
        <v>449231747</v>
      </c>
      <c r="G116">
        <v>449376950</v>
      </c>
      <c r="H116">
        <v>0</v>
      </c>
      <c r="I116">
        <v>0</v>
      </c>
      <c r="J116">
        <v>1</v>
      </c>
      <c r="K116">
        <v>1</v>
      </c>
      <c r="L116">
        <v>1</v>
      </c>
      <c r="M116">
        <v>0</v>
      </c>
      <c r="N116">
        <v>0</v>
      </c>
      <c r="Q116" s="3"/>
      <c r="R116" s="3"/>
      <c r="S116" s="3"/>
      <c r="T116" s="3"/>
      <c r="U116" s="3"/>
      <c r="V116" s="3"/>
      <c r="W116" s="3"/>
      <c r="X116" s="3"/>
      <c r="Y116" s="3"/>
      <c r="Z116" s="3"/>
      <c r="AA116" s="3"/>
      <c r="AB116" s="3"/>
      <c r="AC116" s="3"/>
      <c r="AD116" s="3"/>
      <c r="AE116" s="3"/>
      <c r="AF116" s="3"/>
      <c r="AM116"/>
      <c r="AN116"/>
      <c r="AO116"/>
      <c r="AP116"/>
      <c r="AQ116"/>
      <c r="AR116"/>
      <c r="AS116"/>
      <c r="AT116"/>
      <c r="AU116"/>
      <c r="AV116"/>
      <c r="AW116"/>
      <c r="AX116"/>
      <c r="AY116"/>
      <c r="AZ116"/>
      <c r="BA116"/>
      <c r="BB116"/>
    </row>
    <row r="117" spans="1:54">
      <c r="A117" t="s">
        <v>6145</v>
      </c>
      <c r="B117" t="s">
        <v>6146</v>
      </c>
      <c r="C117">
        <v>459108082</v>
      </c>
      <c r="D117" t="s">
        <v>5910</v>
      </c>
      <c r="E117" t="s">
        <v>6276</v>
      </c>
      <c r="F117">
        <v>449231750</v>
      </c>
      <c r="G117">
        <v>449376953</v>
      </c>
      <c r="H117">
        <v>1</v>
      </c>
      <c r="I117">
        <v>1</v>
      </c>
      <c r="J117">
        <v>0</v>
      </c>
      <c r="K117">
        <v>0</v>
      </c>
      <c r="L117">
        <v>0</v>
      </c>
      <c r="M117">
        <v>0</v>
      </c>
      <c r="N117">
        <v>0</v>
      </c>
      <c r="Q117" s="3"/>
      <c r="R117" s="3"/>
      <c r="S117" s="3"/>
      <c r="T117" s="3"/>
      <c r="U117" s="3"/>
      <c r="V117" s="3"/>
      <c r="W117" s="3"/>
      <c r="X117" s="3"/>
      <c r="Y117" s="3"/>
      <c r="Z117" s="3"/>
      <c r="AA117" s="3"/>
      <c r="AB117" s="3"/>
      <c r="AC117" s="3"/>
      <c r="AD117" s="3"/>
      <c r="AE117" s="3"/>
      <c r="AF117" s="3"/>
      <c r="AM117"/>
      <c r="AN117"/>
      <c r="AO117"/>
      <c r="AP117"/>
      <c r="AQ117"/>
      <c r="AR117"/>
      <c r="AS117"/>
      <c r="AT117"/>
      <c r="AU117"/>
      <c r="AV117"/>
      <c r="AW117"/>
      <c r="AX117"/>
      <c r="AY117"/>
      <c r="AZ117"/>
      <c r="BA117"/>
      <c r="BB117"/>
    </row>
    <row r="118" spans="1:54">
      <c r="A118" t="s">
        <v>6147</v>
      </c>
      <c r="B118" t="s">
        <v>6148</v>
      </c>
      <c r="C118">
        <v>459108087</v>
      </c>
      <c r="D118" t="s">
        <v>5910</v>
      </c>
      <c r="E118" t="s">
        <v>6277</v>
      </c>
      <c r="F118">
        <v>449376947</v>
      </c>
      <c r="G118">
        <v>449463110</v>
      </c>
      <c r="H118">
        <v>0</v>
      </c>
      <c r="I118">
        <v>0</v>
      </c>
      <c r="J118">
        <v>1</v>
      </c>
      <c r="K118">
        <v>1</v>
      </c>
      <c r="L118">
        <v>1</v>
      </c>
      <c r="M118">
        <v>0</v>
      </c>
      <c r="N118">
        <v>0</v>
      </c>
      <c r="Q118" s="3"/>
      <c r="R118" s="3"/>
      <c r="S118" s="3"/>
      <c r="T118" s="3"/>
      <c r="U118" s="3"/>
      <c r="V118" s="3"/>
      <c r="W118" s="3"/>
      <c r="X118" s="3"/>
      <c r="Y118" s="3"/>
      <c r="Z118" s="3"/>
      <c r="AA118" s="3"/>
      <c r="AB118" s="3"/>
      <c r="AC118" s="3"/>
      <c r="AD118" s="3"/>
      <c r="AE118" s="3"/>
      <c r="AF118" s="3"/>
      <c r="AM118"/>
      <c r="AN118"/>
      <c r="AO118"/>
      <c r="AP118"/>
      <c r="AQ118"/>
      <c r="AR118"/>
      <c r="AS118"/>
      <c r="AT118"/>
      <c r="AU118"/>
      <c r="AV118"/>
      <c r="AW118"/>
      <c r="AX118"/>
      <c r="AY118"/>
      <c r="AZ118"/>
      <c r="BA118"/>
      <c r="BB118"/>
    </row>
    <row r="119" spans="1:54">
      <c r="A119" t="s">
        <v>6149</v>
      </c>
      <c r="B119" t="s">
        <v>6150</v>
      </c>
      <c r="C119">
        <v>459108092</v>
      </c>
      <c r="D119" t="s">
        <v>5910</v>
      </c>
      <c r="E119" t="s">
        <v>6276</v>
      </c>
      <c r="F119">
        <v>449376950</v>
      </c>
      <c r="G119">
        <v>449463113</v>
      </c>
      <c r="H119">
        <v>1</v>
      </c>
      <c r="I119">
        <v>1</v>
      </c>
      <c r="J119">
        <v>0</v>
      </c>
      <c r="K119">
        <v>0</v>
      </c>
      <c r="L119">
        <v>0</v>
      </c>
      <c r="M119">
        <v>0</v>
      </c>
      <c r="N119">
        <v>0</v>
      </c>
      <c r="Q119" s="3"/>
      <c r="R119" s="3"/>
      <c r="S119" s="3"/>
      <c r="T119" s="3"/>
      <c r="U119" s="3"/>
      <c r="V119" s="3"/>
      <c r="W119" s="3"/>
      <c r="X119" s="3"/>
      <c r="Y119" s="3"/>
      <c r="Z119" s="3"/>
      <c r="AA119" s="3"/>
      <c r="AB119" s="3"/>
      <c r="AC119" s="3"/>
      <c r="AD119" s="3"/>
      <c r="AE119" s="3"/>
      <c r="AF119" s="3"/>
      <c r="AM119"/>
      <c r="AN119"/>
      <c r="AO119"/>
      <c r="AP119"/>
      <c r="AQ119"/>
      <c r="AR119"/>
      <c r="AS119"/>
      <c r="AT119"/>
      <c r="AU119"/>
      <c r="AV119"/>
      <c r="AW119"/>
      <c r="AX119"/>
      <c r="AY119"/>
      <c r="AZ119"/>
      <c r="BA119"/>
      <c r="BB119"/>
    </row>
    <row r="120" spans="1:54">
      <c r="A120" t="s">
        <v>6151</v>
      </c>
      <c r="B120" t="s">
        <v>6152</v>
      </c>
      <c r="C120">
        <v>459108097</v>
      </c>
      <c r="D120" t="s">
        <v>5910</v>
      </c>
      <c r="E120" t="s">
        <v>6276</v>
      </c>
      <c r="F120">
        <v>449463110</v>
      </c>
      <c r="G120">
        <v>449549213</v>
      </c>
      <c r="H120">
        <v>1</v>
      </c>
      <c r="I120">
        <v>1</v>
      </c>
      <c r="J120">
        <v>0</v>
      </c>
      <c r="K120">
        <v>0</v>
      </c>
      <c r="L120">
        <v>0</v>
      </c>
      <c r="M120">
        <v>0</v>
      </c>
      <c r="N120">
        <v>0</v>
      </c>
      <c r="Q120" s="3"/>
      <c r="R120" s="3"/>
      <c r="S120" s="3"/>
      <c r="T120" s="3"/>
      <c r="U120" s="3"/>
      <c r="V120" s="3"/>
      <c r="W120" s="3"/>
      <c r="X120" s="3"/>
      <c r="Y120" s="3"/>
      <c r="Z120" s="3"/>
      <c r="AA120" s="3"/>
      <c r="AB120" s="3"/>
      <c r="AC120" s="3"/>
      <c r="AD120" s="3"/>
      <c r="AE120" s="3"/>
      <c r="AF120" s="3"/>
      <c r="AM120"/>
      <c r="AN120"/>
      <c r="AO120"/>
      <c r="AP120"/>
      <c r="AQ120"/>
      <c r="AR120"/>
      <c r="AS120"/>
      <c r="AT120"/>
      <c r="AU120"/>
      <c r="AV120"/>
      <c r="AW120"/>
      <c r="AX120"/>
      <c r="AY120"/>
      <c r="AZ120"/>
      <c r="BA120"/>
      <c r="BB120"/>
    </row>
    <row r="121" spans="1:54">
      <c r="A121" t="s">
        <v>6153</v>
      </c>
      <c r="B121" t="s">
        <v>6154</v>
      </c>
      <c r="C121">
        <v>459108102</v>
      </c>
      <c r="D121" t="s">
        <v>5910</v>
      </c>
      <c r="E121" t="s">
        <v>6277</v>
      </c>
      <c r="F121">
        <v>449549207</v>
      </c>
      <c r="G121">
        <v>449717510</v>
      </c>
      <c r="H121">
        <v>0</v>
      </c>
      <c r="I121">
        <v>0</v>
      </c>
      <c r="J121">
        <v>1</v>
      </c>
      <c r="K121">
        <v>1</v>
      </c>
      <c r="L121">
        <v>1</v>
      </c>
      <c r="M121">
        <v>0</v>
      </c>
      <c r="N121">
        <v>0</v>
      </c>
      <c r="Q121" s="3"/>
      <c r="R121" s="3"/>
      <c r="S121" s="3"/>
      <c r="T121" s="3"/>
      <c r="U121" s="3"/>
      <c r="V121" s="3"/>
      <c r="W121" s="3"/>
      <c r="X121" s="3"/>
      <c r="Y121" s="3"/>
      <c r="Z121" s="3"/>
      <c r="AA121" s="3"/>
      <c r="AB121" s="3"/>
      <c r="AC121" s="3"/>
      <c r="AD121" s="3"/>
      <c r="AE121" s="3"/>
      <c r="AF121" s="3"/>
      <c r="AM121"/>
      <c r="AN121"/>
      <c r="AO121"/>
      <c r="AP121"/>
      <c r="AQ121"/>
      <c r="AR121"/>
      <c r="AS121"/>
      <c r="AT121"/>
      <c r="AU121"/>
      <c r="AV121"/>
      <c r="AW121"/>
      <c r="AX121"/>
      <c r="AY121"/>
      <c r="AZ121"/>
      <c r="BA121"/>
      <c r="BB121"/>
    </row>
    <row r="122" spans="1:54">
      <c r="A122" t="s">
        <v>6155</v>
      </c>
      <c r="B122" t="s">
        <v>6156</v>
      </c>
      <c r="C122">
        <v>459219902</v>
      </c>
      <c r="D122" t="s">
        <v>5910</v>
      </c>
      <c r="E122" t="s">
        <v>6277</v>
      </c>
      <c r="F122">
        <v>449463107</v>
      </c>
      <c r="G122">
        <v>449549210</v>
      </c>
      <c r="H122">
        <v>0</v>
      </c>
      <c r="I122">
        <v>0</v>
      </c>
      <c r="J122">
        <v>1</v>
      </c>
      <c r="K122">
        <v>1</v>
      </c>
      <c r="L122">
        <v>1</v>
      </c>
      <c r="M122">
        <v>0</v>
      </c>
      <c r="N122">
        <v>0</v>
      </c>
      <c r="Q122" s="3"/>
      <c r="R122" s="3"/>
      <c r="S122" s="3"/>
      <c r="T122" s="3"/>
      <c r="U122" s="3"/>
      <c r="V122" s="3"/>
      <c r="W122" s="3"/>
      <c r="X122" s="3"/>
      <c r="Y122" s="3"/>
      <c r="Z122" s="3"/>
      <c r="AA122" s="3"/>
      <c r="AB122" s="3"/>
      <c r="AC122" s="3"/>
      <c r="AD122" s="3"/>
      <c r="AE122" s="3"/>
      <c r="AF122" s="3"/>
      <c r="AM122"/>
      <c r="AN122"/>
      <c r="AO122"/>
      <c r="AP122"/>
      <c r="AQ122"/>
      <c r="AR122"/>
      <c r="AS122"/>
      <c r="AT122"/>
      <c r="AU122"/>
      <c r="AV122"/>
      <c r="AW122"/>
      <c r="AX122"/>
      <c r="AY122"/>
      <c r="AZ122"/>
      <c r="BA122"/>
      <c r="BB122"/>
    </row>
    <row r="123" spans="1:54">
      <c r="A123" t="s">
        <v>6157</v>
      </c>
      <c r="B123" t="s">
        <v>6158</v>
      </c>
      <c r="C123">
        <v>459219907</v>
      </c>
      <c r="D123" t="s">
        <v>5910</v>
      </c>
      <c r="E123" t="s">
        <v>6276</v>
      </c>
      <c r="F123">
        <v>449549210</v>
      </c>
      <c r="G123">
        <v>449717513</v>
      </c>
      <c r="H123">
        <v>1</v>
      </c>
      <c r="I123">
        <v>1</v>
      </c>
      <c r="J123">
        <v>0</v>
      </c>
      <c r="K123">
        <v>0</v>
      </c>
      <c r="L123">
        <v>0</v>
      </c>
      <c r="M123">
        <v>0</v>
      </c>
      <c r="N123">
        <v>0</v>
      </c>
      <c r="Q123" s="3"/>
      <c r="R123" s="3"/>
      <c r="S123" s="3"/>
      <c r="T123" s="3"/>
      <c r="U123" s="3"/>
      <c r="V123" s="3"/>
      <c r="W123" s="3"/>
      <c r="X123" s="3"/>
      <c r="Y123" s="3"/>
      <c r="Z123" s="3"/>
      <c r="AA123" s="3"/>
      <c r="AB123" s="3"/>
      <c r="AC123" s="3"/>
      <c r="AD123" s="3"/>
      <c r="AE123" s="3"/>
      <c r="AF123" s="3"/>
      <c r="AM123"/>
      <c r="AN123"/>
      <c r="AO123"/>
      <c r="AP123"/>
      <c r="AQ123"/>
      <c r="AR123"/>
      <c r="AS123"/>
      <c r="AT123"/>
      <c r="AU123"/>
      <c r="AV123"/>
      <c r="AW123"/>
      <c r="AX123"/>
      <c r="AY123"/>
      <c r="AZ123"/>
      <c r="BA123"/>
      <c r="BB123"/>
    </row>
    <row r="124" spans="1:54">
      <c r="A124" t="s">
        <v>6159</v>
      </c>
      <c r="B124" t="s">
        <v>6160</v>
      </c>
      <c r="C124">
        <v>459219912</v>
      </c>
      <c r="D124" t="s">
        <v>5910</v>
      </c>
      <c r="E124" t="s">
        <v>6277</v>
      </c>
      <c r="F124">
        <v>449819515</v>
      </c>
      <c r="G124">
        <v>450001910</v>
      </c>
      <c r="H124">
        <v>0</v>
      </c>
      <c r="I124">
        <v>0</v>
      </c>
      <c r="J124">
        <v>1</v>
      </c>
      <c r="K124">
        <v>1</v>
      </c>
      <c r="L124">
        <v>1</v>
      </c>
      <c r="M124">
        <v>0</v>
      </c>
      <c r="N124">
        <v>0</v>
      </c>
      <c r="Q124" s="3"/>
      <c r="R124" s="3"/>
      <c r="S124" s="3"/>
      <c r="T124" s="3"/>
      <c r="U124" s="3"/>
      <c r="V124" s="3"/>
      <c r="W124" s="3"/>
      <c r="X124" s="3"/>
      <c r="Y124" s="3"/>
      <c r="Z124" s="3"/>
      <c r="AA124" s="3"/>
      <c r="AB124" s="3"/>
      <c r="AC124" s="3"/>
      <c r="AD124" s="3"/>
      <c r="AE124" s="3"/>
      <c r="AF124" s="3"/>
      <c r="AM124"/>
      <c r="AN124"/>
      <c r="AO124"/>
      <c r="AP124"/>
      <c r="AQ124"/>
      <c r="AR124"/>
      <c r="AS124"/>
      <c r="AT124"/>
      <c r="AU124"/>
      <c r="AV124"/>
      <c r="AW124"/>
      <c r="AX124"/>
      <c r="AY124"/>
      <c r="AZ124"/>
      <c r="BA124"/>
      <c r="BB124"/>
    </row>
    <row r="125" spans="1:54">
      <c r="A125" t="s">
        <v>6161</v>
      </c>
      <c r="B125" t="s">
        <v>6162</v>
      </c>
      <c r="C125">
        <v>459219917</v>
      </c>
      <c r="D125" t="s">
        <v>5910</v>
      </c>
      <c r="E125" t="s">
        <v>6276</v>
      </c>
      <c r="F125">
        <v>450580010</v>
      </c>
      <c r="G125">
        <v>450844673</v>
      </c>
      <c r="H125">
        <v>1</v>
      </c>
      <c r="I125">
        <v>1</v>
      </c>
      <c r="J125">
        <v>0</v>
      </c>
      <c r="K125">
        <v>0</v>
      </c>
      <c r="L125">
        <v>0</v>
      </c>
      <c r="M125">
        <v>0</v>
      </c>
      <c r="N125">
        <v>0</v>
      </c>
      <c r="Q125" s="3"/>
      <c r="R125" s="3"/>
      <c r="S125" s="3"/>
      <c r="T125" s="3"/>
      <c r="U125" s="3"/>
      <c r="V125" s="3"/>
      <c r="W125" s="3"/>
      <c r="X125" s="3"/>
      <c r="Y125" s="3"/>
      <c r="Z125" s="3"/>
      <c r="AA125" s="3"/>
      <c r="AB125" s="3"/>
      <c r="AC125" s="3"/>
      <c r="AD125" s="3"/>
      <c r="AE125" s="3"/>
      <c r="AF125" s="3"/>
      <c r="AM125"/>
      <c r="AN125"/>
      <c r="AO125"/>
      <c r="AP125"/>
      <c r="AQ125"/>
      <c r="AR125"/>
      <c r="AS125"/>
      <c r="AT125"/>
      <c r="AU125"/>
      <c r="AV125"/>
      <c r="AW125"/>
      <c r="AX125"/>
      <c r="AY125"/>
      <c r="AZ125"/>
      <c r="BA125"/>
      <c r="BB125"/>
    </row>
    <row r="126" spans="1:54">
      <c r="A126" t="s">
        <v>6163</v>
      </c>
      <c r="B126" t="s">
        <v>6164</v>
      </c>
      <c r="C126">
        <v>459306242</v>
      </c>
      <c r="D126" t="s">
        <v>5910</v>
      </c>
      <c r="E126" t="s">
        <v>6277</v>
      </c>
      <c r="F126">
        <v>450001907</v>
      </c>
      <c r="G126">
        <v>450406910</v>
      </c>
      <c r="H126">
        <v>0</v>
      </c>
      <c r="I126">
        <v>0</v>
      </c>
      <c r="J126">
        <v>1</v>
      </c>
      <c r="K126">
        <v>1</v>
      </c>
      <c r="L126">
        <v>1</v>
      </c>
      <c r="M126">
        <v>0</v>
      </c>
      <c r="N126">
        <v>0</v>
      </c>
      <c r="Q126" s="3"/>
      <c r="R126" s="3"/>
      <c r="S126" s="3"/>
      <c r="T126" s="3"/>
      <c r="U126" s="3"/>
      <c r="V126" s="3"/>
      <c r="W126" s="3"/>
      <c r="X126" s="3"/>
      <c r="Y126" s="3"/>
      <c r="Z126" s="3"/>
      <c r="AA126" s="3"/>
      <c r="AB126" s="3"/>
      <c r="AC126" s="3"/>
      <c r="AD126" s="3"/>
      <c r="AE126" s="3"/>
      <c r="AF126" s="3"/>
      <c r="AM126"/>
      <c r="AN126"/>
      <c r="AO126"/>
      <c r="AP126"/>
      <c r="AQ126"/>
      <c r="AR126"/>
      <c r="AS126"/>
      <c r="AT126"/>
      <c r="AU126"/>
      <c r="AV126"/>
      <c r="AW126"/>
      <c r="AX126"/>
      <c r="AY126"/>
      <c r="AZ126"/>
      <c r="BA126"/>
      <c r="BB126"/>
    </row>
    <row r="127" spans="1:54">
      <c r="A127" t="s">
        <v>6165</v>
      </c>
      <c r="B127" t="s">
        <v>6166</v>
      </c>
      <c r="C127">
        <v>465587162</v>
      </c>
      <c r="D127" t="s">
        <v>5910</v>
      </c>
      <c r="E127" t="s">
        <v>6277</v>
      </c>
      <c r="F127">
        <v>465349247</v>
      </c>
      <c r="G127">
        <v>465356758</v>
      </c>
      <c r="H127">
        <v>0</v>
      </c>
      <c r="I127">
        <v>0</v>
      </c>
      <c r="J127">
        <v>1</v>
      </c>
      <c r="K127">
        <v>1</v>
      </c>
      <c r="L127">
        <v>1</v>
      </c>
      <c r="M127">
        <v>0</v>
      </c>
      <c r="N127">
        <v>0</v>
      </c>
      <c r="Q127" s="3"/>
      <c r="R127" s="3"/>
      <c r="S127" s="3"/>
      <c r="T127" s="3"/>
      <c r="U127" s="3"/>
      <c r="V127" s="3"/>
      <c r="W127" s="3"/>
      <c r="X127" s="3"/>
      <c r="Y127" s="3"/>
      <c r="Z127" s="3"/>
      <c r="AA127" s="3"/>
      <c r="AB127" s="3"/>
      <c r="AC127" s="3"/>
      <c r="AD127" s="3"/>
      <c r="AE127" s="3"/>
      <c r="AF127" s="3"/>
      <c r="AM127"/>
      <c r="AN127"/>
      <c r="AO127"/>
      <c r="AP127"/>
      <c r="AQ127"/>
      <c r="AR127"/>
      <c r="AS127"/>
      <c r="AT127"/>
      <c r="AU127"/>
      <c r="AV127"/>
      <c r="AW127"/>
      <c r="AX127"/>
      <c r="AY127"/>
      <c r="AZ127"/>
      <c r="BA127"/>
      <c r="BB127"/>
    </row>
    <row r="128" spans="1:54">
      <c r="A128" t="s">
        <v>6167</v>
      </c>
      <c r="B128" t="s">
        <v>6168</v>
      </c>
      <c r="C128">
        <v>465587167</v>
      </c>
      <c r="D128" t="s">
        <v>5910</v>
      </c>
      <c r="E128" t="s">
        <v>6276</v>
      </c>
      <c r="F128">
        <v>465349250</v>
      </c>
      <c r="G128">
        <v>465356758</v>
      </c>
      <c r="H128">
        <v>1</v>
      </c>
      <c r="I128">
        <v>1</v>
      </c>
      <c r="J128">
        <v>0</v>
      </c>
      <c r="K128">
        <v>0</v>
      </c>
      <c r="L128">
        <v>0</v>
      </c>
      <c r="M128">
        <v>0</v>
      </c>
      <c r="N128">
        <v>0</v>
      </c>
      <c r="Q128" s="3"/>
      <c r="R128" s="3"/>
      <c r="S128" s="3"/>
      <c r="T128" s="3"/>
      <c r="U128" s="3"/>
      <c r="V128" s="3"/>
      <c r="W128" s="3"/>
      <c r="X128" s="3"/>
      <c r="Y128" s="3"/>
      <c r="Z128" s="3"/>
      <c r="AA128" s="3"/>
      <c r="AB128" s="3"/>
      <c r="AC128" s="3"/>
      <c r="AD128" s="3"/>
      <c r="AE128" s="3"/>
      <c r="AF128" s="3"/>
      <c r="AM128"/>
      <c r="AN128"/>
      <c r="AO128"/>
      <c r="AP128"/>
      <c r="AQ128"/>
      <c r="AR128"/>
      <c r="AS128"/>
      <c r="AT128"/>
      <c r="AU128"/>
      <c r="AV128"/>
      <c r="AW128"/>
      <c r="AX128"/>
      <c r="AY128"/>
      <c r="AZ128"/>
      <c r="BA128"/>
      <c r="BB128"/>
    </row>
    <row r="129" spans="1:54">
      <c r="A129" t="s">
        <v>6169</v>
      </c>
      <c r="B129" t="s">
        <v>6170</v>
      </c>
      <c r="C129">
        <v>466430947</v>
      </c>
      <c r="D129" t="s">
        <v>5910</v>
      </c>
      <c r="E129" t="s">
        <v>6276</v>
      </c>
      <c r="F129">
        <v>465356755</v>
      </c>
      <c r="G129">
        <v>465410153</v>
      </c>
      <c r="H129">
        <v>1</v>
      </c>
      <c r="I129">
        <v>1</v>
      </c>
      <c r="J129">
        <v>0</v>
      </c>
      <c r="K129">
        <v>0</v>
      </c>
      <c r="L129">
        <v>0</v>
      </c>
      <c r="M129">
        <v>0</v>
      </c>
      <c r="N129">
        <v>0</v>
      </c>
      <c r="Q129" s="3"/>
      <c r="R129" s="3"/>
      <c r="S129" s="3"/>
      <c r="T129" s="3"/>
      <c r="U129" s="3"/>
      <c r="V129" s="3"/>
      <c r="W129" s="3"/>
      <c r="X129" s="3"/>
      <c r="Y129" s="3"/>
      <c r="Z129" s="3"/>
      <c r="AA129" s="3"/>
      <c r="AB129" s="3"/>
      <c r="AC129" s="3"/>
      <c r="AD129" s="3"/>
      <c r="AE129" s="3"/>
      <c r="AF129" s="3"/>
      <c r="AM129"/>
      <c r="AN129"/>
      <c r="AO129"/>
      <c r="AP129"/>
      <c r="AQ129"/>
      <c r="AR129"/>
      <c r="AS129"/>
      <c r="AT129"/>
      <c r="AU129"/>
      <c r="AV129"/>
      <c r="AW129"/>
      <c r="AX129"/>
      <c r="AY129"/>
      <c r="AZ129"/>
      <c r="BA129"/>
      <c r="BB129"/>
    </row>
    <row r="130" spans="1:54">
      <c r="A130" t="s">
        <v>6171</v>
      </c>
      <c r="B130" t="s">
        <v>6172</v>
      </c>
      <c r="C130">
        <v>466430952</v>
      </c>
      <c r="D130" t="s">
        <v>5910</v>
      </c>
      <c r="E130" t="s">
        <v>6277</v>
      </c>
      <c r="F130">
        <v>465356755</v>
      </c>
      <c r="G130">
        <v>465410150</v>
      </c>
      <c r="H130">
        <v>0</v>
      </c>
      <c r="I130">
        <v>0</v>
      </c>
      <c r="J130">
        <v>1</v>
      </c>
      <c r="K130">
        <v>1</v>
      </c>
      <c r="L130">
        <v>1</v>
      </c>
      <c r="M130">
        <v>0</v>
      </c>
      <c r="N130">
        <v>0</v>
      </c>
      <c r="Q130" s="3"/>
      <c r="R130" s="3"/>
      <c r="S130" s="3"/>
      <c r="T130" s="3"/>
      <c r="U130" s="3"/>
      <c r="V130" s="3"/>
      <c r="W130" s="3"/>
      <c r="X130" s="3"/>
      <c r="Y130" s="3"/>
      <c r="Z130" s="3"/>
      <c r="AA130" s="3"/>
      <c r="AB130" s="3"/>
      <c r="AC130" s="3"/>
      <c r="AD130" s="3"/>
      <c r="AE130" s="3"/>
      <c r="AF130" s="3"/>
      <c r="AM130"/>
      <c r="AN130"/>
      <c r="AO130"/>
      <c r="AP130"/>
      <c r="AQ130"/>
      <c r="AR130"/>
      <c r="AS130"/>
      <c r="AT130"/>
      <c r="AU130"/>
      <c r="AV130"/>
      <c r="AW130"/>
      <c r="AX130"/>
      <c r="AY130"/>
      <c r="AZ130"/>
      <c r="BA130"/>
      <c r="BB130"/>
    </row>
    <row r="131" spans="1:54">
      <c r="A131" t="s">
        <v>6173</v>
      </c>
      <c r="B131" t="s">
        <v>6174</v>
      </c>
      <c r="C131">
        <v>466430957</v>
      </c>
      <c r="D131" t="s">
        <v>5910</v>
      </c>
      <c r="E131" t="s">
        <v>6277</v>
      </c>
      <c r="F131">
        <v>465410147</v>
      </c>
      <c r="G131">
        <v>465492050</v>
      </c>
      <c r="H131">
        <v>0</v>
      </c>
      <c r="I131">
        <v>0</v>
      </c>
      <c r="J131">
        <v>1</v>
      </c>
      <c r="K131">
        <v>1</v>
      </c>
      <c r="L131">
        <v>1</v>
      </c>
      <c r="M131">
        <v>0</v>
      </c>
      <c r="N131">
        <v>0</v>
      </c>
      <c r="Q131" s="3"/>
      <c r="R131" s="3"/>
      <c r="S131" s="3"/>
      <c r="T131" s="3"/>
      <c r="U131" s="3"/>
      <c r="V131" s="3"/>
      <c r="W131" s="3"/>
      <c r="X131" s="3"/>
      <c r="Y131" s="3"/>
      <c r="Z131" s="3"/>
      <c r="AA131" s="3"/>
      <c r="AB131" s="3"/>
      <c r="AC131" s="3"/>
      <c r="AD131" s="3"/>
      <c r="AE131" s="3"/>
      <c r="AF131" s="3"/>
      <c r="AM131"/>
      <c r="AN131"/>
      <c r="AO131"/>
      <c r="AP131"/>
      <c r="AQ131"/>
      <c r="AR131"/>
      <c r="AS131"/>
      <c r="AT131"/>
      <c r="AU131"/>
      <c r="AV131"/>
      <c r="AW131"/>
      <c r="AX131"/>
      <c r="AY131"/>
      <c r="AZ131"/>
      <c r="BA131"/>
      <c r="BB131"/>
    </row>
    <row r="132" spans="1:54">
      <c r="A132" t="s">
        <v>6175</v>
      </c>
      <c r="B132" t="s">
        <v>6176</v>
      </c>
      <c r="C132">
        <v>466430962</v>
      </c>
      <c r="D132" t="s">
        <v>5910</v>
      </c>
      <c r="E132" t="s">
        <v>6276</v>
      </c>
      <c r="F132">
        <v>465410150</v>
      </c>
      <c r="G132">
        <v>465492053</v>
      </c>
      <c r="H132">
        <v>1</v>
      </c>
      <c r="I132">
        <v>1</v>
      </c>
      <c r="J132">
        <v>0</v>
      </c>
      <c r="K132">
        <v>0</v>
      </c>
      <c r="L132">
        <v>0</v>
      </c>
      <c r="M132">
        <v>0</v>
      </c>
      <c r="N132">
        <v>0</v>
      </c>
      <c r="Q132" s="3"/>
      <c r="R132" s="3"/>
      <c r="S132" s="3"/>
      <c r="T132" s="3"/>
      <c r="U132" s="3"/>
      <c r="V132" s="3"/>
      <c r="W132" s="3"/>
      <c r="X132" s="3"/>
      <c r="Y132" s="3"/>
      <c r="Z132" s="3"/>
      <c r="AA132" s="3"/>
      <c r="AB132" s="3"/>
      <c r="AC132" s="3"/>
      <c r="AD132" s="3"/>
      <c r="AE132" s="3"/>
      <c r="AF132" s="3"/>
      <c r="AM132"/>
      <c r="AN132"/>
      <c r="AO132"/>
      <c r="AP132"/>
      <c r="AQ132"/>
      <c r="AR132"/>
      <c r="AS132"/>
      <c r="AT132"/>
      <c r="AU132"/>
      <c r="AV132"/>
      <c r="AW132"/>
      <c r="AX132"/>
      <c r="AY132"/>
      <c r="AZ132"/>
      <c r="BA132"/>
      <c r="BB132"/>
    </row>
    <row r="133" spans="1:54">
      <c r="A133" t="s">
        <v>6177</v>
      </c>
      <c r="B133" t="s">
        <v>6178</v>
      </c>
      <c r="C133">
        <v>466521542</v>
      </c>
      <c r="D133" t="s">
        <v>5910</v>
      </c>
      <c r="E133" t="s">
        <v>6277</v>
      </c>
      <c r="F133">
        <v>465492047</v>
      </c>
      <c r="G133">
        <v>465588050</v>
      </c>
      <c r="H133">
        <v>0</v>
      </c>
      <c r="I133">
        <v>0</v>
      </c>
      <c r="J133">
        <v>1</v>
      </c>
      <c r="K133">
        <v>1</v>
      </c>
      <c r="L133">
        <v>1</v>
      </c>
      <c r="M133">
        <v>0</v>
      </c>
      <c r="N133">
        <v>0</v>
      </c>
      <c r="Q133" s="3"/>
      <c r="R133" s="3"/>
      <c r="S133" s="3"/>
      <c r="T133" s="3"/>
      <c r="U133" s="3"/>
      <c r="V133" s="3"/>
      <c r="W133" s="3"/>
      <c r="X133" s="3"/>
      <c r="Y133" s="3"/>
      <c r="Z133" s="3"/>
      <c r="AA133" s="3"/>
      <c r="AB133" s="3"/>
      <c r="AC133" s="3"/>
      <c r="AD133" s="3"/>
      <c r="AE133" s="3"/>
      <c r="AF133" s="3"/>
      <c r="AM133"/>
      <c r="AN133"/>
      <c r="AO133"/>
      <c r="AP133"/>
      <c r="AQ133"/>
      <c r="AR133"/>
      <c r="AS133"/>
      <c r="AT133"/>
      <c r="AU133"/>
      <c r="AV133"/>
      <c r="AW133"/>
      <c r="AX133"/>
      <c r="AY133"/>
      <c r="AZ133"/>
      <c r="BA133"/>
      <c r="BB133"/>
    </row>
    <row r="134" spans="1:54">
      <c r="A134" t="s">
        <v>6179</v>
      </c>
      <c r="B134" t="s">
        <v>6180</v>
      </c>
      <c r="C134">
        <v>466521547</v>
      </c>
      <c r="D134" t="s">
        <v>5910</v>
      </c>
      <c r="E134" t="s">
        <v>6276</v>
      </c>
      <c r="F134">
        <v>465492050</v>
      </c>
      <c r="G134">
        <v>465588053</v>
      </c>
      <c r="H134">
        <v>1</v>
      </c>
      <c r="I134">
        <v>1</v>
      </c>
      <c r="J134">
        <v>0</v>
      </c>
      <c r="K134">
        <v>0</v>
      </c>
      <c r="L134">
        <v>0</v>
      </c>
      <c r="M134">
        <v>0</v>
      </c>
      <c r="N134">
        <v>0</v>
      </c>
      <c r="Q134" s="3"/>
      <c r="R134" s="3"/>
      <c r="S134" s="3"/>
      <c r="T134" s="3"/>
      <c r="U134" s="3"/>
      <c r="V134" s="3"/>
      <c r="W134" s="3"/>
      <c r="X134" s="3"/>
      <c r="Y134" s="3"/>
      <c r="Z134" s="3"/>
      <c r="AA134" s="3"/>
      <c r="AB134" s="3"/>
      <c r="AC134" s="3"/>
      <c r="AD134" s="3"/>
      <c r="AE134" s="3"/>
      <c r="AF134" s="3"/>
      <c r="AM134"/>
      <c r="AN134"/>
      <c r="AO134"/>
      <c r="AP134"/>
      <c r="AQ134"/>
      <c r="AR134"/>
      <c r="AS134"/>
      <c r="AT134"/>
      <c r="AU134"/>
      <c r="AV134"/>
      <c r="AW134"/>
      <c r="AX134"/>
      <c r="AY134"/>
      <c r="AZ134"/>
      <c r="BA134"/>
      <c r="BB134"/>
    </row>
    <row r="135" spans="1:54">
      <c r="A135" t="s">
        <v>6181</v>
      </c>
      <c r="B135" t="s">
        <v>6182</v>
      </c>
      <c r="C135">
        <v>466521552</v>
      </c>
      <c r="D135" t="s">
        <v>5910</v>
      </c>
      <c r="E135" t="s">
        <v>6277</v>
      </c>
      <c r="F135">
        <v>465588047</v>
      </c>
      <c r="G135">
        <v>465619250</v>
      </c>
      <c r="H135">
        <v>0</v>
      </c>
      <c r="I135">
        <v>0</v>
      </c>
      <c r="J135">
        <v>1</v>
      </c>
      <c r="K135">
        <v>1</v>
      </c>
      <c r="L135">
        <v>1</v>
      </c>
      <c r="M135">
        <v>0</v>
      </c>
      <c r="N135">
        <v>0</v>
      </c>
      <c r="Q135" s="3"/>
      <c r="R135" s="3"/>
      <c r="S135" s="3"/>
      <c r="T135" s="3"/>
      <c r="U135" s="3"/>
      <c r="V135" s="3"/>
      <c r="W135" s="3"/>
      <c r="X135" s="3"/>
      <c r="Y135" s="3"/>
      <c r="Z135" s="3"/>
      <c r="AA135" s="3"/>
      <c r="AB135" s="3"/>
      <c r="AC135" s="3"/>
      <c r="AD135" s="3"/>
      <c r="AE135" s="3"/>
      <c r="AF135" s="3"/>
      <c r="AM135"/>
      <c r="AN135"/>
      <c r="AO135"/>
      <c r="AP135"/>
      <c r="AQ135"/>
      <c r="AR135"/>
      <c r="AS135"/>
      <c r="AT135"/>
      <c r="AU135"/>
      <c r="AV135"/>
      <c r="AW135"/>
      <c r="AX135"/>
      <c r="AY135"/>
      <c r="AZ135"/>
      <c r="BA135"/>
      <c r="BB135"/>
    </row>
    <row r="136" spans="1:54">
      <c r="A136" t="s">
        <v>6183</v>
      </c>
      <c r="B136" t="s">
        <v>6184</v>
      </c>
      <c r="C136">
        <v>466521557</v>
      </c>
      <c r="D136" t="s">
        <v>5910</v>
      </c>
      <c r="E136" t="s">
        <v>6276</v>
      </c>
      <c r="F136">
        <v>465588050</v>
      </c>
      <c r="G136">
        <v>465619253</v>
      </c>
      <c r="H136">
        <v>1</v>
      </c>
      <c r="I136">
        <v>1</v>
      </c>
      <c r="J136">
        <v>0</v>
      </c>
      <c r="K136">
        <v>0</v>
      </c>
      <c r="L136">
        <v>0</v>
      </c>
      <c r="M136">
        <v>0</v>
      </c>
      <c r="N136">
        <v>0</v>
      </c>
      <c r="Q136" s="3"/>
      <c r="R136" s="3"/>
      <c r="S136" s="3"/>
      <c r="T136" s="3"/>
      <c r="U136" s="3"/>
      <c r="V136" s="3"/>
      <c r="W136" s="3"/>
      <c r="X136" s="3"/>
      <c r="Y136" s="3"/>
      <c r="Z136" s="3"/>
      <c r="AA136" s="3"/>
      <c r="AB136" s="3"/>
      <c r="AC136" s="3"/>
      <c r="AD136" s="3"/>
      <c r="AE136" s="3"/>
      <c r="AF136" s="3"/>
      <c r="AM136"/>
      <c r="AN136"/>
      <c r="AO136"/>
      <c r="AP136"/>
      <c r="AQ136"/>
      <c r="AR136"/>
      <c r="AS136"/>
      <c r="AT136"/>
      <c r="AU136"/>
      <c r="AV136"/>
      <c r="AW136"/>
      <c r="AX136"/>
      <c r="AY136"/>
      <c r="AZ136"/>
      <c r="BA136"/>
      <c r="BB136"/>
    </row>
    <row r="137" spans="1:54">
      <c r="A137" t="s">
        <v>6185</v>
      </c>
      <c r="B137" t="s">
        <v>6186</v>
      </c>
      <c r="C137">
        <v>466521562</v>
      </c>
      <c r="D137" t="s">
        <v>5910</v>
      </c>
      <c r="E137" t="s">
        <v>6277</v>
      </c>
      <c r="F137">
        <v>465619247</v>
      </c>
      <c r="G137">
        <v>465754790</v>
      </c>
      <c r="H137">
        <v>0</v>
      </c>
      <c r="I137">
        <v>0</v>
      </c>
      <c r="J137">
        <v>1</v>
      </c>
      <c r="K137">
        <v>1</v>
      </c>
      <c r="L137">
        <v>1</v>
      </c>
      <c r="M137">
        <v>0</v>
      </c>
      <c r="N137">
        <v>0</v>
      </c>
      <c r="Q137" s="3"/>
      <c r="R137" s="3"/>
      <c r="S137" s="3"/>
      <c r="T137" s="3"/>
      <c r="U137" s="3"/>
      <c r="V137" s="3"/>
      <c r="W137" s="3"/>
      <c r="X137" s="3"/>
      <c r="Y137" s="3"/>
      <c r="Z137" s="3"/>
      <c r="AA137" s="3"/>
      <c r="AB137" s="3"/>
      <c r="AC137" s="3"/>
      <c r="AD137" s="3"/>
      <c r="AE137" s="3"/>
      <c r="AF137" s="3"/>
      <c r="AM137"/>
      <c r="AN137"/>
      <c r="AO137"/>
      <c r="AP137"/>
      <c r="AQ137"/>
      <c r="AR137"/>
      <c r="AS137"/>
      <c r="AT137"/>
      <c r="AU137"/>
      <c r="AV137"/>
      <c r="AW137"/>
      <c r="AX137"/>
      <c r="AY137"/>
      <c r="AZ137"/>
      <c r="BA137"/>
      <c r="BB137"/>
    </row>
    <row r="138" spans="1:54">
      <c r="A138" t="s">
        <v>6187</v>
      </c>
      <c r="B138" t="s">
        <v>6188</v>
      </c>
      <c r="C138">
        <v>466521567</v>
      </c>
      <c r="D138" t="s">
        <v>5910</v>
      </c>
      <c r="E138" t="s">
        <v>6276</v>
      </c>
      <c r="F138">
        <v>465619250</v>
      </c>
      <c r="G138">
        <v>465754793</v>
      </c>
      <c r="H138">
        <v>1</v>
      </c>
      <c r="I138">
        <v>1</v>
      </c>
      <c r="J138">
        <v>0</v>
      </c>
      <c r="K138">
        <v>0</v>
      </c>
      <c r="L138">
        <v>0</v>
      </c>
      <c r="M138">
        <v>0</v>
      </c>
      <c r="N138">
        <v>0</v>
      </c>
      <c r="Q138" s="3"/>
      <c r="R138" s="3"/>
      <c r="S138" s="3"/>
      <c r="T138" s="3"/>
      <c r="U138" s="3"/>
      <c r="V138" s="3"/>
      <c r="W138" s="3"/>
      <c r="X138" s="3"/>
      <c r="Y138" s="3"/>
      <c r="Z138" s="3"/>
      <c r="AA138" s="3"/>
      <c r="AB138" s="3"/>
      <c r="AC138" s="3"/>
      <c r="AD138" s="3"/>
      <c r="AE138" s="3"/>
      <c r="AF138" s="3"/>
      <c r="AM138"/>
      <c r="AN138"/>
      <c r="AO138"/>
      <c r="AP138"/>
      <c r="AQ138"/>
      <c r="AR138"/>
      <c r="AS138"/>
      <c r="AT138"/>
      <c r="AU138"/>
      <c r="AV138"/>
      <c r="AW138"/>
      <c r="AX138"/>
      <c r="AY138"/>
      <c r="AZ138"/>
      <c r="BA138"/>
      <c r="BB138"/>
    </row>
    <row r="139" spans="1:54">
      <c r="A139" t="s">
        <v>6189</v>
      </c>
      <c r="B139" t="s">
        <v>6190</v>
      </c>
      <c r="C139">
        <v>466521572</v>
      </c>
      <c r="D139" t="s">
        <v>5910</v>
      </c>
      <c r="E139" t="s">
        <v>6277</v>
      </c>
      <c r="F139">
        <v>465754787</v>
      </c>
      <c r="G139">
        <v>465828890</v>
      </c>
      <c r="H139">
        <v>0</v>
      </c>
      <c r="I139">
        <v>0</v>
      </c>
      <c r="J139">
        <v>1</v>
      </c>
      <c r="K139">
        <v>1</v>
      </c>
      <c r="L139">
        <v>1</v>
      </c>
      <c r="M139">
        <v>0</v>
      </c>
      <c r="N139">
        <v>0</v>
      </c>
      <c r="Q139" s="3"/>
      <c r="R139" s="3"/>
      <c r="S139" s="3"/>
      <c r="T139" s="3"/>
      <c r="U139" s="3"/>
      <c r="V139" s="3"/>
      <c r="W139" s="3"/>
      <c r="X139" s="3"/>
      <c r="Y139" s="3"/>
      <c r="Z139" s="3"/>
      <c r="AA139" s="3"/>
      <c r="AB139" s="3"/>
      <c r="AC139" s="3"/>
      <c r="AD139" s="3"/>
      <c r="AE139" s="3"/>
      <c r="AF139" s="3"/>
      <c r="AM139"/>
      <c r="AN139"/>
      <c r="AO139"/>
      <c r="AP139"/>
      <c r="AQ139"/>
      <c r="AR139"/>
      <c r="AS139"/>
      <c r="AT139"/>
      <c r="AU139"/>
      <c r="AV139"/>
      <c r="AW139"/>
      <c r="AX139"/>
      <c r="AY139"/>
      <c r="AZ139"/>
      <c r="BA139"/>
      <c r="BB139"/>
    </row>
    <row r="140" spans="1:54">
      <c r="A140" t="s">
        <v>6191</v>
      </c>
      <c r="B140" t="s">
        <v>6192</v>
      </c>
      <c r="C140">
        <v>466521577</v>
      </c>
      <c r="D140" t="s">
        <v>5910</v>
      </c>
      <c r="E140" t="s">
        <v>6276</v>
      </c>
      <c r="F140">
        <v>465754790</v>
      </c>
      <c r="G140">
        <v>465828893</v>
      </c>
      <c r="H140">
        <v>1</v>
      </c>
      <c r="I140">
        <v>1</v>
      </c>
      <c r="J140">
        <v>0</v>
      </c>
      <c r="K140">
        <v>0</v>
      </c>
      <c r="L140">
        <v>0</v>
      </c>
      <c r="M140">
        <v>0</v>
      </c>
      <c r="N140">
        <v>0</v>
      </c>
      <c r="Q140" s="3"/>
      <c r="R140" s="3"/>
      <c r="S140" s="3"/>
      <c r="T140" s="3"/>
      <c r="U140" s="3"/>
      <c r="V140" s="3"/>
      <c r="W140" s="3"/>
      <c r="X140" s="3"/>
      <c r="Y140" s="3"/>
      <c r="Z140" s="3"/>
      <c r="AA140" s="3"/>
      <c r="AB140" s="3"/>
      <c r="AC140" s="3"/>
      <c r="AD140" s="3"/>
      <c r="AE140" s="3"/>
      <c r="AF140" s="3"/>
      <c r="AM140"/>
      <c r="AN140"/>
      <c r="AO140"/>
      <c r="AP140"/>
      <c r="AQ140"/>
      <c r="AR140"/>
      <c r="AS140"/>
      <c r="AT140"/>
      <c r="AU140"/>
      <c r="AV140"/>
      <c r="AW140"/>
      <c r="AX140"/>
      <c r="AY140"/>
      <c r="AZ140"/>
      <c r="BA140"/>
      <c r="BB140"/>
    </row>
    <row r="141" spans="1:54">
      <c r="A141" t="s">
        <v>6193</v>
      </c>
      <c r="B141" t="s">
        <v>6194</v>
      </c>
      <c r="C141">
        <v>466556342</v>
      </c>
      <c r="D141" t="s">
        <v>5910</v>
      </c>
      <c r="E141" t="s">
        <v>6277</v>
      </c>
      <c r="F141">
        <v>465828887</v>
      </c>
      <c r="G141">
        <v>465946490</v>
      </c>
      <c r="H141">
        <v>0</v>
      </c>
      <c r="I141">
        <v>0</v>
      </c>
      <c r="J141">
        <v>1</v>
      </c>
      <c r="K141">
        <v>1</v>
      </c>
      <c r="L141">
        <v>1</v>
      </c>
      <c r="M141">
        <v>0</v>
      </c>
      <c r="N141">
        <v>0</v>
      </c>
      <c r="Q141" s="3"/>
      <c r="R141" s="3"/>
      <c r="S141" s="3"/>
      <c r="T141" s="3"/>
      <c r="U141" s="3"/>
      <c r="V141" s="3"/>
      <c r="W141" s="3"/>
      <c r="X141" s="3"/>
      <c r="Y141" s="3"/>
      <c r="Z141" s="3"/>
      <c r="AA141" s="3"/>
      <c r="AB141" s="3"/>
      <c r="AC141" s="3"/>
      <c r="AD141" s="3"/>
      <c r="AE141" s="3"/>
      <c r="AF141" s="3"/>
      <c r="AM141"/>
      <c r="AN141"/>
      <c r="AO141"/>
      <c r="AP141"/>
      <c r="AQ141"/>
      <c r="AR141"/>
      <c r="AS141"/>
      <c r="AT141"/>
      <c r="AU141"/>
      <c r="AV141"/>
      <c r="AW141"/>
      <c r="AX141"/>
      <c r="AY141"/>
      <c r="AZ141"/>
      <c r="BA141"/>
      <c r="BB141"/>
    </row>
    <row r="142" spans="1:54">
      <c r="A142" t="s">
        <v>6195</v>
      </c>
      <c r="B142" t="s">
        <v>6196</v>
      </c>
      <c r="C142">
        <v>466556347</v>
      </c>
      <c r="D142" t="s">
        <v>5910</v>
      </c>
      <c r="E142" t="s">
        <v>6276</v>
      </c>
      <c r="F142">
        <v>465828890</v>
      </c>
      <c r="G142">
        <v>465946493</v>
      </c>
      <c r="H142">
        <v>1</v>
      </c>
      <c r="I142">
        <v>1</v>
      </c>
      <c r="J142">
        <v>0</v>
      </c>
      <c r="K142">
        <v>0</v>
      </c>
      <c r="L142">
        <v>0</v>
      </c>
      <c r="M142">
        <v>0</v>
      </c>
      <c r="N142">
        <v>0</v>
      </c>
      <c r="Q142" s="3"/>
      <c r="R142" s="3"/>
      <c r="S142" s="3"/>
      <c r="T142" s="3"/>
      <c r="U142" s="3"/>
      <c r="V142" s="3"/>
      <c r="W142" s="3"/>
      <c r="X142" s="3"/>
      <c r="Y142" s="3"/>
      <c r="Z142" s="3"/>
      <c r="AA142" s="3"/>
      <c r="AB142" s="3"/>
      <c r="AC142" s="3"/>
      <c r="AD142" s="3"/>
      <c r="AE142" s="3"/>
      <c r="AF142" s="3"/>
      <c r="AM142"/>
      <c r="AN142"/>
      <c r="AO142"/>
      <c r="AP142"/>
      <c r="AQ142"/>
      <c r="AR142"/>
      <c r="AS142"/>
      <c r="AT142"/>
      <c r="AU142"/>
      <c r="AV142"/>
      <c r="AW142"/>
      <c r="AX142"/>
      <c r="AY142"/>
      <c r="AZ142"/>
      <c r="BA142"/>
      <c r="BB142"/>
    </row>
    <row r="143" spans="1:54">
      <c r="A143" t="s">
        <v>6197</v>
      </c>
      <c r="B143" t="s">
        <v>6198</v>
      </c>
      <c r="C143">
        <v>466556352</v>
      </c>
      <c r="D143" t="s">
        <v>5910</v>
      </c>
      <c r="E143" t="s">
        <v>6277</v>
      </c>
      <c r="F143">
        <v>465946487</v>
      </c>
      <c r="G143">
        <v>466032590</v>
      </c>
      <c r="H143">
        <v>0</v>
      </c>
      <c r="I143">
        <v>0</v>
      </c>
      <c r="J143">
        <v>1</v>
      </c>
      <c r="K143">
        <v>1</v>
      </c>
      <c r="L143">
        <v>1</v>
      </c>
      <c r="M143">
        <v>0</v>
      </c>
      <c r="N143">
        <v>0</v>
      </c>
      <c r="Q143" s="3"/>
      <c r="R143" s="3"/>
      <c r="S143" s="3"/>
      <c r="T143" s="3"/>
      <c r="U143" s="3"/>
      <c r="V143" s="3"/>
      <c r="W143" s="3"/>
      <c r="X143" s="3"/>
      <c r="Y143" s="3"/>
      <c r="Z143" s="3"/>
      <c r="AA143" s="3"/>
      <c r="AB143" s="3"/>
      <c r="AC143" s="3"/>
      <c r="AD143" s="3"/>
      <c r="AE143" s="3"/>
      <c r="AF143" s="3"/>
      <c r="AM143"/>
      <c r="AN143"/>
      <c r="AO143"/>
      <c r="AP143"/>
      <c r="AQ143"/>
      <c r="AR143"/>
      <c r="AS143"/>
      <c r="AT143"/>
      <c r="AU143"/>
      <c r="AV143"/>
      <c r="AW143"/>
      <c r="AX143"/>
      <c r="AY143"/>
      <c r="AZ143"/>
      <c r="BA143"/>
      <c r="BB143"/>
    </row>
    <row r="144" spans="1:54">
      <c r="A144" t="s">
        <v>6199</v>
      </c>
      <c r="B144" t="s">
        <v>6200</v>
      </c>
      <c r="C144">
        <v>466556357</v>
      </c>
      <c r="D144" t="s">
        <v>5910</v>
      </c>
      <c r="E144" t="s">
        <v>6276</v>
      </c>
      <c r="F144">
        <v>465946490</v>
      </c>
      <c r="G144">
        <v>466032593</v>
      </c>
      <c r="H144">
        <v>1</v>
      </c>
      <c r="I144">
        <v>1</v>
      </c>
      <c r="J144">
        <v>0</v>
      </c>
      <c r="K144">
        <v>0</v>
      </c>
      <c r="L144">
        <v>0</v>
      </c>
      <c r="M144">
        <v>0</v>
      </c>
      <c r="N144">
        <v>0</v>
      </c>
      <c r="Q144" s="3"/>
      <c r="R144" s="3"/>
      <c r="S144" s="3"/>
      <c r="T144" s="3"/>
      <c r="U144" s="3"/>
      <c r="V144" s="3"/>
      <c r="W144" s="3"/>
      <c r="X144" s="3"/>
      <c r="Y144" s="3"/>
      <c r="Z144" s="3"/>
      <c r="AA144" s="3"/>
      <c r="AB144" s="3"/>
      <c r="AC144" s="3"/>
      <c r="AD144" s="3"/>
      <c r="AE144" s="3"/>
      <c r="AF144" s="3"/>
      <c r="AM144"/>
      <c r="AN144"/>
      <c r="AO144"/>
      <c r="AP144"/>
      <c r="AQ144"/>
      <c r="AR144"/>
      <c r="AS144"/>
      <c r="AT144"/>
      <c r="AU144"/>
      <c r="AV144"/>
      <c r="AW144"/>
      <c r="AX144"/>
      <c r="AY144"/>
      <c r="AZ144"/>
      <c r="BA144"/>
      <c r="BB144"/>
    </row>
    <row r="145" spans="1:54">
      <c r="A145" t="s">
        <v>6201</v>
      </c>
      <c r="B145" t="s">
        <v>6202</v>
      </c>
      <c r="C145">
        <v>466556362</v>
      </c>
      <c r="D145" t="s">
        <v>5910</v>
      </c>
      <c r="E145" t="s">
        <v>6277</v>
      </c>
      <c r="F145">
        <v>466032587</v>
      </c>
      <c r="G145">
        <v>466100690</v>
      </c>
      <c r="H145">
        <v>0</v>
      </c>
      <c r="I145">
        <v>0</v>
      </c>
      <c r="J145">
        <v>1</v>
      </c>
      <c r="K145">
        <v>1</v>
      </c>
      <c r="L145">
        <v>1</v>
      </c>
      <c r="M145">
        <v>0</v>
      </c>
      <c r="N145">
        <v>0</v>
      </c>
      <c r="Q145" s="3"/>
      <c r="R145" s="3"/>
      <c r="S145" s="3"/>
      <c r="T145" s="3"/>
      <c r="U145" s="3"/>
      <c r="V145" s="3"/>
      <c r="W145" s="3"/>
      <c r="X145" s="3"/>
      <c r="Y145" s="3"/>
      <c r="Z145" s="3"/>
      <c r="AA145" s="3"/>
      <c r="AB145" s="3"/>
      <c r="AC145" s="3"/>
      <c r="AD145" s="3"/>
      <c r="AE145" s="3"/>
      <c r="AF145" s="3"/>
      <c r="AM145"/>
      <c r="AN145"/>
      <c r="AO145"/>
      <c r="AP145"/>
      <c r="AQ145"/>
      <c r="AR145"/>
      <c r="AS145"/>
      <c r="AT145"/>
      <c r="AU145"/>
      <c r="AV145"/>
      <c r="AW145"/>
      <c r="AX145"/>
      <c r="AY145"/>
      <c r="AZ145"/>
      <c r="BA145"/>
      <c r="BB145"/>
    </row>
    <row r="146" spans="1:54">
      <c r="A146" t="s">
        <v>6203</v>
      </c>
      <c r="B146" t="s">
        <v>6204</v>
      </c>
      <c r="C146">
        <v>466556367</v>
      </c>
      <c r="D146" t="s">
        <v>5910</v>
      </c>
      <c r="E146" t="s">
        <v>6276</v>
      </c>
      <c r="F146">
        <v>466032590</v>
      </c>
      <c r="G146">
        <v>466100693</v>
      </c>
      <c r="H146">
        <v>1</v>
      </c>
      <c r="I146">
        <v>1</v>
      </c>
      <c r="J146">
        <v>0</v>
      </c>
      <c r="K146">
        <v>0</v>
      </c>
      <c r="L146">
        <v>0</v>
      </c>
      <c r="M146">
        <v>0</v>
      </c>
      <c r="N146">
        <v>0</v>
      </c>
      <c r="Q146" s="3"/>
      <c r="R146" s="3"/>
      <c r="S146" s="3"/>
      <c r="T146" s="3"/>
      <c r="U146" s="3"/>
      <c r="V146" s="3"/>
      <c r="W146" s="3"/>
      <c r="X146" s="3"/>
      <c r="Y146" s="3"/>
      <c r="Z146" s="3"/>
      <c r="AA146" s="3"/>
      <c r="AB146" s="3"/>
      <c r="AC146" s="3"/>
      <c r="AD146" s="3"/>
      <c r="AE146" s="3"/>
      <c r="AF146" s="3"/>
      <c r="AM146"/>
      <c r="AN146"/>
      <c r="AO146"/>
      <c r="AP146"/>
      <c r="AQ146"/>
      <c r="AR146"/>
      <c r="AS146"/>
      <c r="AT146"/>
      <c r="AU146"/>
      <c r="AV146"/>
      <c r="AW146"/>
      <c r="AX146"/>
      <c r="AY146"/>
      <c r="AZ146"/>
      <c r="BA146"/>
      <c r="BB146"/>
    </row>
    <row r="147" spans="1:54">
      <c r="A147" t="s">
        <v>6205</v>
      </c>
      <c r="B147" t="s">
        <v>6206</v>
      </c>
      <c r="C147">
        <v>466603082</v>
      </c>
      <c r="D147" t="s">
        <v>5910</v>
      </c>
      <c r="E147" t="s">
        <v>6277</v>
      </c>
      <c r="F147">
        <v>466100687</v>
      </c>
      <c r="G147">
        <v>466379030</v>
      </c>
      <c r="H147">
        <v>0</v>
      </c>
      <c r="I147">
        <v>0</v>
      </c>
      <c r="J147">
        <v>1</v>
      </c>
      <c r="K147">
        <v>1</v>
      </c>
      <c r="L147">
        <v>1</v>
      </c>
      <c r="M147">
        <v>0</v>
      </c>
      <c r="N147">
        <v>0</v>
      </c>
      <c r="Q147" s="3"/>
      <c r="R147" s="3"/>
      <c r="S147" s="3"/>
      <c r="T147" s="3"/>
      <c r="U147" s="3"/>
      <c r="V147" s="3"/>
      <c r="W147" s="3"/>
      <c r="X147" s="3"/>
      <c r="Y147" s="3"/>
      <c r="Z147" s="3"/>
      <c r="AA147" s="3"/>
      <c r="AB147" s="3"/>
      <c r="AC147" s="3"/>
      <c r="AD147" s="3"/>
      <c r="AE147" s="3"/>
      <c r="AF147" s="3"/>
      <c r="AM147"/>
      <c r="AN147"/>
      <c r="AO147"/>
      <c r="AP147"/>
      <c r="AQ147"/>
      <c r="AR147"/>
      <c r="AS147"/>
      <c r="AT147"/>
      <c r="AU147"/>
      <c r="AV147"/>
      <c r="AW147"/>
      <c r="AX147"/>
      <c r="AY147"/>
      <c r="AZ147"/>
      <c r="BA147"/>
      <c r="BB147"/>
    </row>
    <row r="148" spans="1:54">
      <c r="A148" t="s">
        <v>6207</v>
      </c>
      <c r="B148" t="s">
        <v>6208</v>
      </c>
      <c r="C148">
        <v>466603087</v>
      </c>
      <c r="D148" t="s">
        <v>5910</v>
      </c>
      <c r="E148" t="s">
        <v>6276</v>
      </c>
      <c r="F148">
        <v>466100690</v>
      </c>
      <c r="G148">
        <v>466379033</v>
      </c>
      <c r="H148">
        <v>1</v>
      </c>
      <c r="I148">
        <v>1</v>
      </c>
      <c r="J148">
        <v>0</v>
      </c>
      <c r="K148">
        <v>0</v>
      </c>
      <c r="L148">
        <v>0</v>
      </c>
      <c r="M148">
        <v>0</v>
      </c>
      <c r="N148">
        <v>0</v>
      </c>
      <c r="Q148" s="3"/>
      <c r="R148" s="3"/>
      <c r="S148" s="3"/>
      <c r="T148" s="3"/>
      <c r="U148" s="3"/>
      <c r="V148" s="3"/>
      <c r="W148" s="3"/>
      <c r="X148" s="3"/>
      <c r="Y148" s="3"/>
      <c r="Z148" s="3"/>
      <c r="AA148" s="3"/>
      <c r="AB148" s="3"/>
      <c r="AC148" s="3"/>
      <c r="AD148" s="3"/>
      <c r="AE148" s="3"/>
      <c r="AF148" s="3"/>
      <c r="AM148"/>
      <c r="AN148"/>
      <c r="AO148"/>
      <c r="AP148"/>
      <c r="AQ148"/>
      <c r="AR148"/>
      <c r="AS148"/>
      <c r="AT148"/>
      <c r="AU148"/>
      <c r="AV148"/>
      <c r="AW148"/>
      <c r="AX148"/>
      <c r="AY148"/>
      <c r="AZ148"/>
      <c r="BA148"/>
      <c r="BB148"/>
    </row>
    <row r="149" spans="1:54">
      <c r="A149" t="s">
        <v>6209</v>
      </c>
      <c r="B149" t="s">
        <v>6210</v>
      </c>
      <c r="C149">
        <v>466603092</v>
      </c>
      <c r="D149" t="s">
        <v>5910</v>
      </c>
      <c r="E149" t="s">
        <v>6277</v>
      </c>
      <c r="F149">
        <v>466379027</v>
      </c>
      <c r="G149">
        <v>466431830</v>
      </c>
      <c r="H149">
        <v>0</v>
      </c>
      <c r="I149">
        <v>0</v>
      </c>
      <c r="J149">
        <v>1</v>
      </c>
      <c r="K149">
        <v>1</v>
      </c>
      <c r="L149">
        <v>1</v>
      </c>
      <c r="M149">
        <v>0</v>
      </c>
      <c r="N149">
        <v>0</v>
      </c>
      <c r="Q149" s="3"/>
      <c r="R149" s="3"/>
      <c r="S149" s="3"/>
      <c r="T149" s="3"/>
      <c r="U149" s="3"/>
      <c r="V149" s="3"/>
      <c r="W149" s="3"/>
      <c r="X149" s="3"/>
      <c r="Y149" s="3"/>
      <c r="Z149" s="3"/>
      <c r="AA149" s="3"/>
      <c r="AB149" s="3"/>
      <c r="AC149" s="3"/>
      <c r="AD149" s="3"/>
      <c r="AE149" s="3"/>
      <c r="AF149" s="3"/>
      <c r="AM149"/>
      <c r="AN149"/>
      <c r="AO149"/>
      <c r="AP149"/>
      <c r="AQ149"/>
      <c r="AR149"/>
      <c r="AS149"/>
      <c r="AT149"/>
      <c r="AU149"/>
      <c r="AV149"/>
      <c r="AW149"/>
      <c r="AX149"/>
      <c r="AY149"/>
      <c r="AZ149"/>
      <c r="BA149"/>
      <c r="BB149"/>
    </row>
    <row r="150" spans="1:54">
      <c r="A150" t="s">
        <v>6211</v>
      </c>
      <c r="B150" t="s">
        <v>6212</v>
      </c>
      <c r="C150">
        <v>466603097</v>
      </c>
      <c r="D150" t="s">
        <v>5910</v>
      </c>
      <c r="E150" t="s">
        <v>6276</v>
      </c>
      <c r="F150">
        <v>466379030</v>
      </c>
      <c r="G150">
        <v>466431833</v>
      </c>
      <c r="H150">
        <v>1</v>
      </c>
      <c r="I150">
        <v>1</v>
      </c>
      <c r="J150">
        <v>0</v>
      </c>
      <c r="K150">
        <v>0</v>
      </c>
      <c r="L150">
        <v>0</v>
      </c>
      <c r="M150">
        <v>0</v>
      </c>
      <c r="N150">
        <v>0</v>
      </c>
      <c r="Q150" s="3"/>
      <c r="R150" s="3"/>
      <c r="S150" s="3"/>
      <c r="T150" s="3"/>
      <c r="U150" s="3"/>
      <c r="V150" s="3"/>
      <c r="W150" s="3"/>
      <c r="X150" s="3"/>
      <c r="Y150" s="3"/>
      <c r="Z150" s="3"/>
      <c r="AA150" s="3"/>
      <c r="AB150" s="3"/>
      <c r="AC150" s="3"/>
      <c r="AD150" s="3"/>
      <c r="AE150" s="3"/>
      <c r="AF150" s="3"/>
      <c r="AM150"/>
      <c r="AN150"/>
      <c r="AO150"/>
      <c r="AP150"/>
      <c r="AQ150"/>
      <c r="AR150"/>
      <c r="AS150"/>
      <c r="AT150"/>
      <c r="AU150"/>
      <c r="AV150"/>
      <c r="AW150"/>
      <c r="AX150"/>
      <c r="AY150"/>
      <c r="AZ150"/>
      <c r="BA150"/>
      <c r="BB150"/>
    </row>
    <row r="151" spans="1:54">
      <c r="A151" t="s">
        <v>6213</v>
      </c>
      <c r="B151" t="s">
        <v>6214</v>
      </c>
      <c r="C151">
        <v>466821782</v>
      </c>
      <c r="D151" t="s">
        <v>5910</v>
      </c>
      <c r="E151" t="s">
        <v>6276</v>
      </c>
      <c r="F151">
        <v>466431830</v>
      </c>
      <c r="G151">
        <v>466522433</v>
      </c>
      <c r="H151">
        <v>1</v>
      </c>
      <c r="I151">
        <v>1</v>
      </c>
      <c r="J151">
        <v>0</v>
      </c>
      <c r="K151">
        <v>0</v>
      </c>
      <c r="L151">
        <v>0</v>
      </c>
      <c r="M151">
        <v>0</v>
      </c>
      <c r="N151">
        <v>0</v>
      </c>
      <c r="Q151" s="3"/>
      <c r="R151" s="3"/>
      <c r="S151" s="3"/>
      <c r="T151" s="3"/>
      <c r="U151" s="3"/>
      <c r="V151" s="3"/>
      <c r="W151" s="3"/>
      <c r="X151" s="3"/>
      <c r="Y151" s="3"/>
      <c r="Z151" s="3"/>
      <c r="AA151" s="3"/>
      <c r="AB151" s="3"/>
      <c r="AC151" s="3"/>
      <c r="AD151" s="3"/>
      <c r="AE151" s="3"/>
      <c r="AF151" s="3"/>
      <c r="AM151"/>
      <c r="AN151"/>
      <c r="AO151"/>
      <c r="AP151"/>
      <c r="AQ151"/>
      <c r="AR151"/>
      <c r="AS151"/>
      <c r="AT151"/>
      <c r="AU151"/>
      <c r="AV151"/>
      <c r="AW151"/>
      <c r="AX151"/>
      <c r="AY151"/>
      <c r="AZ151"/>
      <c r="BA151"/>
      <c r="BB151"/>
    </row>
    <row r="152" spans="1:54">
      <c r="A152" t="s">
        <v>6215</v>
      </c>
      <c r="B152" t="s">
        <v>6216</v>
      </c>
      <c r="C152">
        <v>466905782</v>
      </c>
      <c r="D152" t="s">
        <v>5910</v>
      </c>
      <c r="E152" t="s">
        <v>6277</v>
      </c>
      <c r="F152">
        <v>466431827</v>
      </c>
      <c r="G152">
        <v>466522430</v>
      </c>
      <c r="H152">
        <v>0</v>
      </c>
      <c r="I152">
        <v>0</v>
      </c>
      <c r="J152">
        <v>1</v>
      </c>
      <c r="K152">
        <v>1</v>
      </c>
      <c r="L152">
        <v>1</v>
      </c>
      <c r="M152">
        <v>0</v>
      </c>
      <c r="N152">
        <v>0</v>
      </c>
      <c r="Q152" s="3"/>
      <c r="R152" s="3"/>
      <c r="S152" s="3"/>
      <c r="T152" s="3"/>
      <c r="U152" s="3"/>
      <c r="V152" s="3"/>
      <c r="W152" s="3"/>
      <c r="X152" s="3"/>
      <c r="Y152" s="3"/>
      <c r="Z152" s="3"/>
      <c r="AA152" s="3"/>
      <c r="AB152" s="3"/>
      <c r="AC152" s="3"/>
      <c r="AD152" s="3"/>
      <c r="AE152" s="3"/>
      <c r="AF152" s="3"/>
      <c r="AM152"/>
      <c r="AN152"/>
      <c r="AO152"/>
      <c r="AP152"/>
      <c r="AQ152"/>
      <c r="AR152"/>
      <c r="AS152"/>
      <c r="AT152"/>
      <c r="AU152"/>
      <c r="AV152"/>
      <c r="AW152"/>
      <c r="AX152"/>
      <c r="AY152"/>
      <c r="AZ152"/>
      <c r="BA152"/>
      <c r="BB152"/>
    </row>
    <row r="153" spans="1:54">
      <c r="A153" t="s">
        <v>6217</v>
      </c>
      <c r="B153" t="s">
        <v>6218</v>
      </c>
      <c r="C153">
        <v>466905787</v>
      </c>
      <c r="D153" t="s">
        <v>5910</v>
      </c>
      <c r="E153" t="s">
        <v>6277</v>
      </c>
      <c r="F153">
        <v>466522427</v>
      </c>
      <c r="G153">
        <v>466557230</v>
      </c>
      <c r="H153">
        <v>0</v>
      </c>
      <c r="I153">
        <v>0</v>
      </c>
      <c r="J153">
        <v>1</v>
      </c>
      <c r="K153">
        <v>1</v>
      </c>
      <c r="L153">
        <v>1</v>
      </c>
      <c r="M153">
        <v>0</v>
      </c>
      <c r="N153">
        <v>0</v>
      </c>
      <c r="Q153" s="3"/>
      <c r="R153" s="3"/>
      <c r="S153" s="3"/>
      <c r="T153" s="3"/>
      <c r="U153" s="3"/>
      <c r="V153" s="3"/>
      <c r="W153" s="3"/>
      <c r="X153" s="3"/>
      <c r="Y153" s="3"/>
      <c r="Z153" s="3"/>
      <c r="AA153" s="3"/>
      <c r="AB153" s="3"/>
      <c r="AC153" s="3"/>
      <c r="AD153" s="3"/>
      <c r="AE153" s="3"/>
      <c r="AF153" s="3"/>
      <c r="AM153"/>
      <c r="AN153"/>
      <c r="AO153"/>
      <c r="AP153"/>
      <c r="AQ153"/>
      <c r="AR153"/>
      <c r="AS153"/>
      <c r="AT153"/>
      <c r="AU153"/>
      <c r="AV153"/>
      <c r="AW153"/>
      <c r="AX153"/>
      <c r="AY153"/>
      <c r="AZ153"/>
      <c r="BA153"/>
      <c r="BB153"/>
    </row>
    <row r="154" spans="1:54">
      <c r="A154" t="s">
        <v>6219</v>
      </c>
      <c r="B154" t="s">
        <v>6220</v>
      </c>
      <c r="C154">
        <v>466905792</v>
      </c>
      <c r="D154" t="s">
        <v>5910</v>
      </c>
      <c r="E154" t="s">
        <v>6276</v>
      </c>
      <c r="F154">
        <v>466522430</v>
      </c>
      <c r="G154">
        <v>466557233</v>
      </c>
      <c r="H154">
        <v>1</v>
      </c>
      <c r="I154">
        <v>1</v>
      </c>
      <c r="J154">
        <v>0</v>
      </c>
      <c r="K154">
        <v>0</v>
      </c>
      <c r="L154">
        <v>0</v>
      </c>
      <c r="M154">
        <v>0</v>
      </c>
      <c r="N154">
        <v>0</v>
      </c>
      <c r="Q154" s="3"/>
      <c r="R154" s="3"/>
      <c r="S154" s="3"/>
      <c r="T154" s="3"/>
      <c r="U154" s="3"/>
      <c r="V154" s="3"/>
      <c r="W154" s="3"/>
      <c r="X154" s="3"/>
      <c r="Y154" s="3"/>
      <c r="Z154" s="3"/>
      <c r="AA154" s="3"/>
      <c r="AB154" s="3"/>
      <c r="AC154" s="3"/>
      <c r="AD154" s="3"/>
      <c r="AE154" s="3"/>
      <c r="AF154" s="3"/>
      <c r="AM154"/>
      <c r="AN154"/>
      <c r="AO154"/>
      <c r="AP154"/>
      <c r="AQ154"/>
      <c r="AR154"/>
      <c r="AS154"/>
      <c r="AT154"/>
      <c r="AU154"/>
      <c r="AV154"/>
      <c r="AW154"/>
      <c r="AX154"/>
      <c r="AY154"/>
      <c r="AZ154"/>
      <c r="BA154"/>
      <c r="BB154"/>
    </row>
    <row r="155" spans="1:54">
      <c r="A155" t="s">
        <v>6221</v>
      </c>
      <c r="B155" t="s">
        <v>6222</v>
      </c>
      <c r="C155">
        <v>466905797</v>
      </c>
      <c r="D155" t="s">
        <v>5910</v>
      </c>
      <c r="E155" t="s">
        <v>6277</v>
      </c>
      <c r="F155">
        <v>466557227</v>
      </c>
      <c r="G155">
        <v>466603970</v>
      </c>
      <c r="H155">
        <v>0</v>
      </c>
      <c r="I155">
        <v>0</v>
      </c>
      <c r="J155">
        <v>1</v>
      </c>
      <c r="K155">
        <v>1</v>
      </c>
      <c r="L155">
        <v>1</v>
      </c>
      <c r="M155">
        <v>0</v>
      </c>
      <c r="N155">
        <v>0</v>
      </c>
      <c r="Q155" s="3"/>
      <c r="R155" s="3"/>
      <c r="S155" s="3"/>
      <c r="T155" s="3"/>
      <c r="U155" s="3"/>
      <c r="V155" s="3"/>
      <c r="W155" s="3"/>
      <c r="X155" s="3"/>
      <c r="Y155" s="3"/>
      <c r="Z155" s="3"/>
      <c r="AA155" s="3"/>
      <c r="AB155" s="3"/>
      <c r="AC155" s="3"/>
      <c r="AD155" s="3"/>
      <c r="AE155" s="3"/>
      <c r="AF155" s="3"/>
      <c r="AM155"/>
      <c r="AN155"/>
      <c r="AO155"/>
      <c r="AP155"/>
      <c r="AQ155"/>
      <c r="AR155"/>
      <c r="AS155"/>
      <c r="AT155"/>
      <c r="AU155"/>
      <c r="AV155"/>
      <c r="AW155"/>
      <c r="AX155"/>
      <c r="AY155"/>
      <c r="AZ155"/>
      <c r="BA155"/>
      <c r="BB155"/>
    </row>
    <row r="156" spans="1:54">
      <c r="A156" t="s">
        <v>6223</v>
      </c>
      <c r="B156" t="s">
        <v>6224</v>
      </c>
      <c r="C156">
        <v>466905802</v>
      </c>
      <c r="D156" t="s">
        <v>5910</v>
      </c>
      <c r="E156" t="s">
        <v>6276</v>
      </c>
      <c r="F156">
        <v>466557230</v>
      </c>
      <c r="G156">
        <v>466603973</v>
      </c>
      <c r="H156">
        <v>1</v>
      </c>
      <c r="I156">
        <v>1</v>
      </c>
      <c r="J156">
        <v>0</v>
      </c>
      <c r="K156">
        <v>0</v>
      </c>
      <c r="L156">
        <v>0</v>
      </c>
      <c r="M156">
        <v>0</v>
      </c>
      <c r="N156">
        <v>0</v>
      </c>
      <c r="Q156" s="3"/>
      <c r="R156" s="3"/>
      <c r="S156" s="3"/>
      <c r="T156" s="3"/>
      <c r="U156" s="3"/>
      <c r="V156" s="3"/>
      <c r="W156" s="3"/>
      <c r="X156" s="3"/>
      <c r="Y156" s="3"/>
      <c r="Z156" s="3"/>
      <c r="AA156" s="3"/>
      <c r="AB156" s="3"/>
      <c r="AC156" s="3"/>
      <c r="AD156" s="3"/>
      <c r="AE156" s="3"/>
      <c r="AF156" s="3"/>
      <c r="AM156"/>
      <c r="AN156"/>
      <c r="AO156"/>
      <c r="AP156"/>
      <c r="AQ156"/>
      <c r="AR156"/>
      <c r="AS156"/>
      <c r="AT156"/>
      <c r="AU156"/>
      <c r="AV156"/>
      <c r="AW156"/>
      <c r="AX156"/>
      <c r="AY156"/>
      <c r="AZ156"/>
      <c r="BA156"/>
      <c r="BB156"/>
    </row>
    <row r="157" spans="1:54">
      <c r="A157" t="s">
        <v>6225</v>
      </c>
      <c r="B157" t="s">
        <v>6226</v>
      </c>
      <c r="C157">
        <v>466967582</v>
      </c>
      <c r="D157" t="s">
        <v>5910</v>
      </c>
      <c r="E157" t="s">
        <v>6277</v>
      </c>
      <c r="F157">
        <v>466603967</v>
      </c>
      <c r="G157">
        <v>466822670</v>
      </c>
      <c r="H157">
        <v>0</v>
      </c>
      <c r="I157">
        <v>0</v>
      </c>
      <c r="J157">
        <v>1</v>
      </c>
      <c r="K157">
        <v>1</v>
      </c>
      <c r="L157">
        <v>1</v>
      </c>
      <c r="M157">
        <v>0</v>
      </c>
      <c r="N157">
        <v>0</v>
      </c>
      <c r="Q157" s="3"/>
      <c r="R157" s="3"/>
      <c r="S157" s="3"/>
      <c r="T157" s="3"/>
      <c r="U157" s="3"/>
      <c r="V157" s="3"/>
      <c r="W157" s="3"/>
      <c r="X157" s="3"/>
      <c r="Y157" s="3"/>
      <c r="Z157" s="3"/>
      <c r="AA157" s="3"/>
      <c r="AB157" s="3"/>
      <c r="AC157" s="3"/>
      <c r="AD157" s="3"/>
      <c r="AE157" s="3"/>
      <c r="AF157" s="3"/>
      <c r="AM157"/>
      <c r="AN157"/>
      <c r="AO157"/>
      <c r="AP157"/>
      <c r="AQ157"/>
      <c r="AR157"/>
      <c r="AS157"/>
      <c r="AT157"/>
      <c r="AU157"/>
      <c r="AV157"/>
      <c r="AW157"/>
      <c r="AX157"/>
      <c r="AY157"/>
      <c r="AZ157"/>
      <c r="BA157"/>
      <c r="BB157"/>
    </row>
    <row r="158" spans="1:54">
      <c r="A158" t="s">
        <v>6227</v>
      </c>
      <c r="B158" t="s">
        <v>6228</v>
      </c>
      <c r="C158">
        <v>466967587</v>
      </c>
      <c r="D158" t="s">
        <v>5910</v>
      </c>
      <c r="E158" t="s">
        <v>6276</v>
      </c>
      <c r="F158">
        <v>466603970</v>
      </c>
      <c r="G158">
        <v>466822673</v>
      </c>
      <c r="H158">
        <v>1</v>
      </c>
      <c r="I158">
        <v>1</v>
      </c>
      <c r="J158">
        <v>0</v>
      </c>
      <c r="K158">
        <v>0</v>
      </c>
      <c r="L158">
        <v>0</v>
      </c>
      <c r="M158">
        <v>0</v>
      </c>
      <c r="N158">
        <v>0</v>
      </c>
      <c r="Q158" s="3"/>
      <c r="R158" s="3"/>
      <c r="S158" s="3"/>
      <c r="T158" s="3"/>
      <c r="U158" s="3"/>
      <c r="V158" s="3"/>
      <c r="W158" s="3"/>
      <c r="X158" s="3"/>
      <c r="Y158" s="3"/>
      <c r="Z158" s="3"/>
      <c r="AA158" s="3"/>
      <c r="AB158" s="3"/>
      <c r="AC158" s="3"/>
      <c r="AD158" s="3"/>
      <c r="AE158" s="3"/>
      <c r="AF158" s="3"/>
      <c r="AM158"/>
      <c r="AN158"/>
      <c r="AO158"/>
      <c r="AP158"/>
      <c r="AQ158"/>
      <c r="AR158"/>
      <c r="AS158"/>
      <c r="AT158"/>
      <c r="AU158"/>
      <c r="AV158"/>
      <c r="AW158"/>
      <c r="AX158"/>
      <c r="AY158"/>
      <c r="AZ158"/>
      <c r="BA158"/>
      <c r="BB158"/>
    </row>
    <row r="159" spans="1:54">
      <c r="A159" t="s">
        <v>6229</v>
      </c>
      <c r="B159" t="s">
        <v>6230</v>
      </c>
      <c r="C159">
        <v>466967592</v>
      </c>
      <c r="D159" t="s">
        <v>5910</v>
      </c>
      <c r="E159" t="s">
        <v>6277</v>
      </c>
      <c r="F159">
        <v>466822667</v>
      </c>
      <c r="G159">
        <v>466906670</v>
      </c>
      <c r="H159">
        <v>0</v>
      </c>
      <c r="I159">
        <v>0</v>
      </c>
      <c r="J159">
        <v>1</v>
      </c>
      <c r="K159">
        <v>1</v>
      </c>
      <c r="L159">
        <v>1</v>
      </c>
      <c r="M159">
        <v>0</v>
      </c>
      <c r="N159">
        <v>0</v>
      </c>
      <c r="Q159" s="3"/>
      <c r="R159" s="3"/>
      <c r="S159" s="3"/>
      <c r="T159" s="3"/>
      <c r="U159" s="3"/>
      <c r="V159" s="3"/>
      <c r="W159" s="3"/>
      <c r="X159" s="3"/>
      <c r="Y159" s="3"/>
      <c r="Z159" s="3"/>
      <c r="AA159" s="3"/>
      <c r="AB159" s="3"/>
      <c r="AC159" s="3"/>
      <c r="AD159" s="3"/>
      <c r="AE159" s="3"/>
      <c r="AF159" s="3"/>
      <c r="AM159"/>
      <c r="AN159"/>
      <c r="AO159"/>
      <c r="AP159"/>
      <c r="AQ159"/>
      <c r="AR159"/>
      <c r="AS159"/>
      <c r="AT159"/>
      <c r="AU159"/>
      <c r="AV159"/>
      <c r="AW159"/>
      <c r="AX159"/>
      <c r="AY159"/>
      <c r="AZ159"/>
      <c r="BA159"/>
      <c r="BB159"/>
    </row>
    <row r="160" spans="1:54">
      <c r="A160" t="s">
        <v>6231</v>
      </c>
      <c r="B160" t="s">
        <v>6232</v>
      </c>
      <c r="C160">
        <v>466967597</v>
      </c>
      <c r="D160" t="s">
        <v>5910</v>
      </c>
      <c r="E160" t="s">
        <v>6276</v>
      </c>
      <c r="F160">
        <v>466822670</v>
      </c>
      <c r="G160">
        <v>466906673</v>
      </c>
      <c r="H160">
        <v>1</v>
      </c>
      <c r="I160">
        <v>1</v>
      </c>
      <c r="J160">
        <v>0</v>
      </c>
      <c r="K160">
        <v>0</v>
      </c>
      <c r="L160">
        <v>0</v>
      </c>
      <c r="M160">
        <v>0</v>
      </c>
      <c r="N160">
        <v>0</v>
      </c>
      <c r="Q160" s="3"/>
      <c r="R160" s="3"/>
      <c r="S160" s="3"/>
      <c r="T160" s="3"/>
      <c r="U160" s="3"/>
      <c r="V160" s="3"/>
      <c r="W160" s="3"/>
      <c r="X160" s="3"/>
      <c r="Y160" s="3"/>
      <c r="Z160" s="3"/>
      <c r="AA160" s="3"/>
      <c r="AB160" s="3"/>
      <c r="AC160" s="3"/>
      <c r="AD160" s="3"/>
      <c r="AE160" s="3"/>
      <c r="AF160" s="3"/>
      <c r="AM160"/>
      <c r="AN160"/>
      <c r="AO160"/>
      <c r="AP160"/>
      <c r="AQ160"/>
      <c r="AR160"/>
      <c r="AS160"/>
      <c r="AT160"/>
      <c r="AU160"/>
      <c r="AV160"/>
      <c r="AW160"/>
      <c r="AX160"/>
      <c r="AY160"/>
      <c r="AZ160"/>
      <c r="BA160"/>
      <c r="BB160"/>
    </row>
    <row r="161" spans="1:54">
      <c r="A161" t="s">
        <v>6233</v>
      </c>
      <c r="B161" t="s">
        <v>6234</v>
      </c>
      <c r="C161">
        <v>466967602</v>
      </c>
      <c r="D161" t="s">
        <v>5910</v>
      </c>
      <c r="E161" t="s">
        <v>6277</v>
      </c>
      <c r="F161">
        <v>466906667</v>
      </c>
      <c r="G161">
        <v>466968470</v>
      </c>
      <c r="H161">
        <v>0</v>
      </c>
      <c r="I161">
        <v>0</v>
      </c>
      <c r="J161">
        <v>1</v>
      </c>
      <c r="K161">
        <v>1</v>
      </c>
      <c r="L161">
        <v>1</v>
      </c>
      <c r="M161">
        <v>0</v>
      </c>
      <c r="N161">
        <v>0</v>
      </c>
      <c r="Q161" s="3"/>
      <c r="R161" s="3"/>
      <c r="S161" s="3"/>
      <c r="T161" s="3"/>
      <c r="U161" s="3"/>
      <c r="V161" s="3"/>
      <c r="W161" s="3"/>
      <c r="X161" s="3"/>
      <c r="Y161" s="3"/>
      <c r="Z161" s="3"/>
      <c r="AA161" s="3"/>
      <c r="AB161" s="3"/>
      <c r="AC161" s="3"/>
      <c r="AD161" s="3"/>
      <c r="AE161" s="3"/>
      <c r="AF161" s="3"/>
      <c r="AM161"/>
      <c r="AN161"/>
      <c r="AO161"/>
      <c r="AP161"/>
      <c r="AQ161"/>
      <c r="AR161"/>
      <c r="AS161"/>
      <c r="AT161"/>
      <c r="AU161"/>
      <c r="AV161"/>
      <c r="AW161"/>
      <c r="AX161"/>
      <c r="AY161"/>
      <c r="AZ161"/>
      <c r="BA161"/>
      <c r="BB161"/>
    </row>
    <row r="162" spans="1:54">
      <c r="A162" t="s">
        <v>6235</v>
      </c>
      <c r="B162" t="s">
        <v>6236</v>
      </c>
      <c r="C162">
        <v>466967607</v>
      </c>
      <c r="D162" t="s">
        <v>5910</v>
      </c>
      <c r="E162" t="s">
        <v>6276</v>
      </c>
      <c r="F162">
        <v>466906670</v>
      </c>
      <c r="G162">
        <v>466968473</v>
      </c>
      <c r="H162">
        <v>1</v>
      </c>
      <c r="I162">
        <v>1</v>
      </c>
      <c r="J162">
        <v>0</v>
      </c>
      <c r="K162">
        <v>0</v>
      </c>
      <c r="L162">
        <v>0</v>
      </c>
      <c r="M162">
        <v>0</v>
      </c>
      <c r="N162">
        <v>0</v>
      </c>
      <c r="Q162" s="3"/>
      <c r="R162" s="3"/>
      <c r="S162" s="3"/>
      <c r="T162" s="3"/>
      <c r="U162" s="3"/>
      <c r="V162" s="3"/>
      <c r="W162" s="3"/>
      <c r="X162" s="3"/>
      <c r="Y162" s="3"/>
      <c r="Z162" s="3"/>
      <c r="AA162" s="3"/>
      <c r="AB162" s="3"/>
      <c r="AC162" s="3"/>
      <c r="AD162" s="3"/>
      <c r="AE162" s="3"/>
      <c r="AF162" s="3"/>
      <c r="AM162"/>
      <c r="AN162"/>
      <c r="AO162"/>
      <c r="AP162"/>
      <c r="AQ162"/>
      <c r="AR162"/>
      <c r="AS162"/>
      <c r="AT162"/>
      <c r="AU162"/>
      <c r="AV162"/>
      <c r="AW162"/>
      <c r="AX162"/>
      <c r="AY162"/>
      <c r="AZ162"/>
      <c r="BA162"/>
      <c r="BB162"/>
    </row>
    <row r="163" spans="1:54">
      <c r="A163" t="s">
        <v>6237</v>
      </c>
      <c r="B163" t="s">
        <v>6238</v>
      </c>
      <c r="C163">
        <v>467245022</v>
      </c>
      <c r="D163" t="s">
        <v>5910</v>
      </c>
      <c r="E163" t="s">
        <v>6277</v>
      </c>
      <c r="F163">
        <v>466968467</v>
      </c>
      <c r="G163">
        <v>467245910</v>
      </c>
      <c r="H163">
        <v>0</v>
      </c>
      <c r="I163">
        <v>0</v>
      </c>
      <c r="J163">
        <v>1</v>
      </c>
      <c r="K163">
        <v>1</v>
      </c>
      <c r="L163">
        <v>1</v>
      </c>
      <c r="M163">
        <v>0</v>
      </c>
      <c r="N163">
        <v>0</v>
      </c>
      <c r="Q163" s="3"/>
      <c r="R163" s="3"/>
      <c r="S163" s="3"/>
      <c r="T163" s="3"/>
      <c r="U163" s="3"/>
      <c r="V163" s="3"/>
      <c r="W163" s="3"/>
      <c r="X163" s="3"/>
      <c r="Y163" s="3"/>
      <c r="Z163" s="3"/>
      <c r="AA163" s="3"/>
      <c r="AB163" s="3"/>
      <c r="AC163" s="3"/>
      <c r="AD163" s="3"/>
      <c r="AE163" s="3"/>
      <c r="AF163" s="3"/>
      <c r="AM163"/>
      <c r="AN163"/>
      <c r="AO163"/>
      <c r="AP163"/>
      <c r="AQ163"/>
      <c r="AR163"/>
      <c r="AS163"/>
      <c r="AT163"/>
      <c r="AU163"/>
      <c r="AV163"/>
      <c r="AW163"/>
      <c r="AX163"/>
      <c r="AY163"/>
      <c r="AZ163"/>
      <c r="BA163"/>
      <c r="BB163"/>
    </row>
    <row r="164" spans="1:54">
      <c r="A164" t="s">
        <v>6239</v>
      </c>
      <c r="B164" t="s">
        <v>6240</v>
      </c>
      <c r="C164">
        <v>467245027</v>
      </c>
      <c r="D164" t="s">
        <v>5910</v>
      </c>
      <c r="E164" t="s">
        <v>6276</v>
      </c>
      <c r="F164">
        <v>466968470</v>
      </c>
      <c r="G164">
        <v>467245913</v>
      </c>
      <c r="H164">
        <v>1</v>
      </c>
      <c r="I164">
        <v>1</v>
      </c>
      <c r="J164">
        <v>0</v>
      </c>
      <c r="K164">
        <v>0</v>
      </c>
      <c r="L164">
        <v>0</v>
      </c>
      <c r="M164">
        <v>0</v>
      </c>
      <c r="N164">
        <v>0</v>
      </c>
      <c r="Q164" s="3"/>
      <c r="R164" s="3"/>
      <c r="S164" s="3"/>
      <c r="T164" s="3"/>
      <c r="U164" s="3"/>
      <c r="V164" s="3"/>
      <c r="W164" s="3"/>
      <c r="X164" s="3"/>
      <c r="Y164" s="3"/>
      <c r="Z164" s="3"/>
      <c r="AA164" s="3"/>
      <c r="AB164" s="3"/>
      <c r="AC164" s="3"/>
      <c r="AD164" s="3"/>
      <c r="AE164" s="3"/>
      <c r="AF164" s="3"/>
      <c r="AM164"/>
      <c r="AN164"/>
      <c r="AO164"/>
      <c r="AP164"/>
      <c r="AQ164"/>
      <c r="AR164"/>
      <c r="AS164"/>
      <c r="AT164"/>
      <c r="AU164"/>
      <c r="AV164"/>
      <c r="AW164"/>
      <c r="AX164"/>
      <c r="AY164"/>
      <c r="AZ164"/>
      <c r="BA164"/>
      <c r="BB164"/>
    </row>
    <row r="165" spans="1:54">
      <c r="A165" t="s">
        <v>6241</v>
      </c>
      <c r="B165" t="s">
        <v>6242</v>
      </c>
      <c r="C165">
        <v>646251541</v>
      </c>
      <c r="D165" t="s">
        <v>5910</v>
      </c>
      <c r="E165" t="s">
        <v>6278</v>
      </c>
      <c r="F165">
        <v>644187671</v>
      </c>
      <c r="G165">
        <v>644288041</v>
      </c>
      <c r="H165">
        <v>0</v>
      </c>
      <c r="I165">
        <v>0</v>
      </c>
      <c r="J165">
        <v>1</v>
      </c>
      <c r="K165">
        <v>1</v>
      </c>
      <c r="L165">
        <v>1</v>
      </c>
      <c r="M165">
        <v>1</v>
      </c>
      <c r="N165">
        <v>1</v>
      </c>
      <c r="Q165" s="3"/>
      <c r="R165" s="3"/>
      <c r="S165" s="3"/>
      <c r="T165" s="3"/>
      <c r="U165" s="3"/>
      <c r="V165" s="3"/>
      <c r="W165" s="3"/>
      <c r="X165" s="3"/>
      <c r="Y165" s="3"/>
      <c r="Z165" s="3"/>
      <c r="AA165" s="3"/>
      <c r="AB165" s="3"/>
      <c r="AC165" s="3"/>
      <c r="AD165" s="3"/>
      <c r="AE165" s="3"/>
      <c r="AF165" s="3"/>
      <c r="AM165"/>
      <c r="AN165"/>
      <c r="AO165"/>
      <c r="AP165"/>
      <c r="AQ165"/>
      <c r="AR165"/>
      <c r="AS165"/>
      <c r="AT165"/>
      <c r="AU165"/>
      <c r="AV165"/>
      <c r="AW165"/>
      <c r="AX165"/>
      <c r="AY165"/>
      <c r="AZ165"/>
      <c r="BA165"/>
      <c r="BB165"/>
    </row>
    <row r="166" spans="1:54">
      <c r="A166" t="s">
        <v>6243</v>
      </c>
      <c r="B166" t="s">
        <v>6244</v>
      </c>
      <c r="C166">
        <v>646251546</v>
      </c>
      <c r="D166" t="s">
        <v>5910</v>
      </c>
      <c r="E166" t="s">
        <v>6279</v>
      </c>
      <c r="F166">
        <v>644923310</v>
      </c>
      <c r="G166">
        <v>644993182</v>
      </c>
      <c r="H166">
        <v>0</v>
      </c>
      <c r="I166">
        <v>0</v>
      </c>
      <c r="J166">
        <v>0</v>
      </c>
      <c r="K166">
        <v>0</v>
      </c>
      <c r="L166">
        <v>1</v>
      </c>
      <c r="M166">
        <v>0</v>
      </c>
      <c r="N166">
        <v>0</v>
      </c>
      <c r="Q166" s="3"/>
      <c r="R166" s="3"/>
      <c r="S166" s="3"/>
      <c r="T166" s="3"/>
      <c r="U166" s="3"/>
      <c r="V166" s="3"/>
      <c r="W166" s="3"/>
      <c r="X166" s="3"/>
      <c r="Y166" s="3"/>
      <c r="Z166" s="3"/>
      <c r="AA166" s="3"/>
      <c r="AB166" s="3"/>
      <c r="AC166" s="3"/>
      <c r="AD166" s="3"/>
      <c r="AE166" s="3"/>
      <c r="AF166" s="3"/>
      <c r="AM166"/>
      <c r="AN166"/>
      <c r="AO166"/>
      <c r="AP166"/>
      <c r="AQ166"/>
      <c r="AR166"/>
      <c r="AS166"/>
      <c r="AT166"/>
      <c r="AU166"/>
      <c r="AV166"/>
      <c r="AW166"/>
      <c r="AX166"/>
      <c r="AY166"/>
      <c r="AZ166"/>
      <c r="BA166"/>
      <c r="BB166"/>
    </row>
    <row r="167" spans="1:54">
      <c r="A167" t="s">
        <v>6245</v>
      </c>
      <c r="B167" t="s">
        <v>6246</v>
      </c>
      <c r="C167">
        <v>646289341</v>
      </c>
      <c r="D167" t="s">
        <v>5910</v>
      </c>
      <c r="E167" t="s">
        <v>6279</v>
      </c>
      <c r="F167">
        <v>644993181</v>
      </c>
      <c r="G167">
        <v>645404949</v>
      </c>
      <c r="H167">
        <v>0</v>
      </c>
      <c r="I167">
        <v>0</v>
      </c>
      <c r="J167">
        <v>0</v>
      </c>
      <c r="K167">
        <v>0</v>
      </c>
      <c r="L167">
        <v>1</v>
      </c>
      <c r="M167">
        <v>0</v>
      </c>
      <c r="N167">
        <v>0</v>
      </c>
      <c r="Q167" s="3"/>
      <c r="R167" s="3"/>
      <c r="S167" s="3"/>
      <c r="T167" s="3"/>
      <c r="U167" s="3"/>
      <c r="V167" s="3"/>
      <c r="W167" s="3"/>
      <c r="X167" s="3"/>
      <c r="Y167" s="3"/>
      <c r="Z167" s="3"/>
      <c r="AA167" s="3"/>
      <c r="AB167" s="3"/>
      <c r="AC167" s="3"/>
      <c r="AD167" s="3"/>
      <c r="AE167" s="3"/>
      <c r="AF167" s="3"/>
      <c r="AM167"/>
      <c r="AN167"/>
      <c r="AO167"/>
      <c r="AP167"/>
      <c r="AQ167"/>
      <c r="AR167"/>
      <c r="AS167"/>
      <c r="AT167"/>
      <c r="AU167"/>
      <c r="AV167"/>
      <c r="AW167"/>
      <c r="AX167"/>
      <c r="AY167"/>
      <c r="AZ167"/>
      <c r="BA167"/>
      <c r="BB167"/>
    </row>
    <row r="168" spans="1:54">
      <c r="A168" t="s">
        <v>6247</v>
      </c>
      <c r="B168" t="s">
        <v>6248</v>
      </c>
      <c r="C168">
        <v>646337641</v>
      </c>
      <c r="D168" t="s">
        <v>5910</v>
      </c>
      <c r="E168" t="s">
        <v>6279</v>
      </c>
      <c r="F168">
        <v>645404948</v>
      </c>
      <c r="G168">
        <v>645654144</v>
      </c>
      <c r="H168">
        <v>0</v>
      </c>
      <c r="I168">
        <v>0</v>
      </c>
      <c r="J168">
        <v>0</v>
      </c>
      <c r="K168">
        <v>0</v>
      </c>
      <c r="L168">
        <v>1</v>
      </c>
      <c r="M168">
        <v>0</v>
      </c>
      <c r="N168">
        <v>0</v>
      </c>
      <c r="Q168" s="3"/>
      <c r="R168" s="3"/>
      <c r="S168" s="3"/>
      <c r="T168" s="3"/>
      <c r="U168" s="3"/>
      <c r="V168" s="3"/>
      <c r="W168" s="3"/>
      <c r="X168" s="3"/>
      <c r="Y168" s="3"/>
      <c r="Z168" s="3"/>
      <c r="AA168" s="3"/>
      <c r="AB168" s="3"/>
      <c r="AC168" s="3"/>
      <c r="AD168" s="3"/>
      <c r="AE168" s="3"/>
      <c r="AF168" s="3"/>
      <c r="AM168"/>
      <c r="AN168"/>
      <c r="AO168"/>
      <c r="AP168"/>
      <c r="AQ168"/>
      <c r="AR168"/>
      <c r="AS168"/>
      <c r="AT168"/>
      <c r="AU168"/>
      <c r="AV168"/>
      <c r="AW168"/>
      <c r="AX168"/>
      <c r="AY168"/>
      <c r="AZ168"/>
      <c r="BA168"/>
      <c r="BB168"/>
    </row>
    <row r="169" spans="1:54">
      <c r="A169" t="s">
        <v>6249</v>
      </c>
      <c r="B169" t="s">
        <v>6250</v>
      </c>
      <c r="C169">
        <v>646381681</v>
      </c>
      <c r="D169" t="s">
        <v>5910</v>
      </c>
      <c r="E169" t="s">
        <v>6279</v>
      </c>
      <c r="F169">
        <v>645654143</v>
      </c>
      <c r="G169">
        <v>646084146</v>
      </c>
      <c r="H169">
        <v>0</v>
      </c>
      <c r="I169">
        <v>0</v>
      </c>
      <c r="J169">
        <v>0</v>
      </c>
      <c r="K169">
        <v>0</v>
      </c>
      <c r="L169">
        <v>1</v>
      </c>
      <c r="M169">
        <v>0</v>
      </c>
      <c r="N169">
        <v>0</v>
      </c>
      <c r="Q169" s="3"/>
      <c r="R169" s="3"/>
      <c r="S169" s="3"/>
      <c r="T169" s="3"/>
      <c r="U169" s="3"/>
      <c r="V169" s="3"/>
      <c r="W169" s="3"/>
      <c r="X169" s="3"/>
      <c r="Y169" s="3"/>
      <c r="Z169" s="3"/>
      <c r="AA169" s="3"/>
      <c r="AB169" s="3"/>
      <c r="AC169" s="3"/>
      <c r="AD169" s="3"/>
      <c r="AE169" s="3"/>
      <c r="AF169" s="3"/>
      <c r="AM169"/>
      <c r="AN169"/>
      <c r="AO169"/>
      <c r="AP169"/>
      <c r="AQ169"/>
      <c r="AR169"/>
      <c r="AS169"/>
      <c r="AT169"/>
      <c r="AU169"/>
      <c r="AV169"/>
      <c r="AW169"/>
      <c r="AX169"/>
      <c r="AY169"/>
      <c r="AZ169"/>
      <c r="BA169"/>
      <c r="BB169"/>
    </row>
    <row r="170" spans="1:54">
      <c r="A170" t="s">
        <v>6251</v>
      </c>
      <c r="B170" t="s">
        <v>6252</v>
      </c>
      <c r="C170">
        <v>646425781</v>
      </c>
      <c r="D170" t="s">
        <v>5910</v>
      </c>
      <c r="E170" t="s">
        <v>6276</v>
      </c>
      <c r="F170">
        <v>645155510</v>
      </c>
      <c r="G170">
        <v>645161860</v>
      </c>
      <c r="H170">
        <v>1</v>
      </c>
      <c r="I170">
        <v>1</v>
      </c>
      <c r="J170">
        <v>0</v>
      </c>
      <c r="K170">
        <v>0</v>
      </c>
      <c r="L170">
        <v>0</v>
      </c>
      <c r="M170">
        <v>0</v>
      </c>
      <c r="N170">
        <v>0</v>
      </c>
      <c r="Q170" s="3"/>
      <c r="R170" s="3"/>
      <c r="S170" s="3"/>
      <c r="T170" s="3"/>
      <c r="U170" s="3"/>
      <c r="V170" s="3"/>
      <c r="W170" s="3"/>
      <c r="X170" s="3"/>
      <c r="Y170" s="3"/>
      <c r="Z170" s="3"/>
      <c r="AA170" s="3"/>
      <c r="AB170" s="3"/>
      <c r="AC170" s="3"/>
      <c r="AD170" s="3"/>
      <c r="AE170" s="3"/>
      <c r="AF170" s="3"/>
      <c r="AM170"/>
      <c r="AN170"/>
      <c r="AO170"/>
      <c r="AP170"/>
      <c r="AQ170"/>
      <c r="AR170"/>
      <c r="AS170"/>
      <c r="AT170"/>
      <c r="AU170"/>
      <c r="AV170"/>
      <c r="AW170"/>
      <c r="AX170"/>
      <c r="AY170"/>
      <c r="AZ170"/>
      <c r="BA170"/>
      <c r="BB170"/>
    </row>
    <row r="171" spans="1:54">
      <c r="A171" t="s">
        <v>6253</v>
      </c>
      <c r="B171" t="s">
        <v>6254</v>
      </c>
      <c r="C171">
        <v>646425786</v>
      </c>
      <c r="D171" t="s">
        <v>5910</v>
      </c>
      <c r="E171" t="s">
        <v>6279</v>
      </c>
      <c r="F171">
        <v>646084145</v>
      </c>
      <c r="G171">
        <v>646173420</v>
      </c>
      <c r="H171">
        <v>0</v>
      </c>
      <c r="I171">
        <v>0</v>
      </c>
      <c r="J171">
        <v>0</v>
      </c>
      <c r="K171">
        <v>0</v>
      </c>
      <c r="L171">
        <v>1</v>
      </c>
      <c r="M171">
        <v>0</v>
      </c>
      <c r="N171">
        <v>0</v>
      </c>
      <c r="Q171" s="3"/>
      <c r="R171" s="3"/>
      <c r="S171" s="3"/>
      <c r="T171" s="3"/>
      <c r="U171" s="3"/>
      <c r="V171" s="3"/>
      <c r="W171" s="3"/>
      <c r="X171" s="3"/>
      <c r="Y171" s="3"/>
      <c r="Z171" s="3"/>
      <c r="AA171" s="3"/>
      <c r="AB171" s="3"/>
      <c r="AC171" s="3"/>
      <c r="AD171" s="3"/>
      <c r="AE171" s="3"/>
      <c r="AF171" s="3"/>
      <c r="AM171"/>
      <c r="AN171"/>
      <c r="AO171"/>
      <c r="AP171"/>
      <c r="AQ171"/>
      <c r="AR171"/>
      <c r="AS171"/>
      <c r="AT171"/>
      <c r="AU171"/>
      <c r="AV171"/>
      <c r="AW171"/>
      <c r="AX171"/>
      <c r="AY171"/>
      <c r="AZ171"/>
      <c r="BA171"/>
      <c r="BB171"/>
    </row>
    <row r="172" spans="1:54">
      <c r="A172" t="s">
        <v>6255</v>
      </c>
      <c r="B172" t="s">
        <v>6256</v>
      </c>
      <c r="C172">
        <v>646478281</v>
      </c>
      <c r="D172" t="s">
        <v>5910</v>
      </c>
      <c r="E172" t="s">
        <v>6276</v>
      </c>
      <c r="F172">
        <v>603989405</v>
      </c>
      <c r="G172">
        <v>604588098</v>
      </c>
      <c r="H172">
        <v>1</v>
      </c>
      <c r="I172">
        <v>1</v>
      </c>
      <c r="J172">
        <v>0</v>
      </c>
      <c r="K172">
        <v>0</v>
      </c>
      <c r="L172">
        <v>0</v>
      </c>
      <c r="M172">
        <v>0</v>
      </c>
      <c r="N172">
        <v>0</v>
      </c>
      <c r="Q172" s="3"/>
      <c r="R172" s="3"/>
      <c r="S172" s="3"/>
      <c r="T172" s="3"/>
      <c r="U172" s="3"/>
      <c r="V172" s="3"/>
      <c r="W172" s="3"/>
      <c r="X172" s="3"/>
      <c r="Y172" s="3"/>
      <c r="Z172" s="3"/>
      <c r="AA172" s="3"/>
      <c r="AB172" s="3"/>
      <c r="AC172" s="3"/>
      <c r="AD172" s="3"/>
      <c r="AE172" s="3"/>
      <c r="AF172" s="3"/>
      <c r="AM172"/>
      <c r="AN172"/>
      <c r="AO172"/>
      <c r="AP172"/>
      <c r="AQ172"/>
      <c r="AR172"/>
      <c r="AS172"/>
      <c r="AT172"/>
      <c r="AU172"/>
      <c r="AV172"/>
      <c r="AW172"/>
      <c r="AX172"/>
      <c r="AY172"/>
      <c r="AZ172"/>
      <c r="BA172"/>
      <c r="BB172"/>
    </row>
    <row r="173" spans="1:54">
      <c r="A173" t="s">
        <v>6257</v>
      </c>
      <c r="B173" t="s">
        <v>6258</v>
      </c>
      <c r="C173">
        <v>646519986</v>
      </c>
      <c r="D173" t="s">
        <v>5910</v>
      </c>
      <c r="E173" t="s">
        <v>6279</v>
      </c>
      <c r="F173">
        <v>629506572</v>
      </c>
      <c r="G173">
        <v>629523530</v>
      </c>
      <c r="H173">
        <v>0</v>
      </c>
      <c r="I173">
        <v>0</v>
      </c>
      <c r="J173">
        <v>0</v>
      </c>
      <c r="K173">
        <v>0</v>
      </c>
      <c r="L173">
        <v>1</v>
      </c>
      <c r="M173">
        <v>0</v>
      </c>
      <c r="N173">
        <v>0</v>
      </c>
      <c r="Q173" s="3"/>
      <c r="R173" s="3"/>
      <c r="S173" s="3"/>
      <c r="T173" s="3"/>
      <c r="U173" s="3"/>
      <c r="V173" s="3"/>
      <c r="W173" s="3"/>
      <c r="X173" s="3"/>
      <c r="Y173" s="3"/>
      <c r="Z173" s="3"/>
      <c r="AA173" s="3"/>
      <c r="AB173" s="3"/>
      <c r="AC173" s="3"/>
      <c r="AD173" s="3"/>
      <c r="AE173" s="3"/>
      <c r="AF173" s="3"/>
      <c r="AM173"/>
      <c r="AN173"/>
      <c r="AO173"/>
      <c r="AP173"/>
      <c r="AQ173"/>
      <c r="AR173"/>
      <c r="AS173"/>
      <c r="AT173"/>
      <c r="AU173"/>
      <c r="AV173"/>
      <c r="AW173"/>
      <c r="AX173"/>
      <c r="AY173"/>
      <c r="AZ173"/>
      <c r="BA173"/>
      <c r="BB173"/>
    </row>
    <row r="174" spans="1:54">
      <c r="A174" t="s">
        <v>6259</v>
      </c>
      <c r="B174" t="s">
        <v>6260</v>
      </c>
      <c r="C174">
        <v>646566481</v>
      </c>
      <c r="D174" t="s">
        <v>5910</v>
      </c>
      <c r="E174" t="s">
        <v>6279</v>
      </c>
      <c r="F174">
        <v>629523529</v>
      </c>
      <c r="G174">
        <v>630235396</v>
      </c>
      <c r="H174">
        <v>0</v>
      </c>
      <c r="I174">
        <v>0</v>
      </c>
      <c r="J174">
        <v>0</v>
      </c>
      <c r="K174">
        <v>0</v>
      </c>
      <c r="L174">
        <v>1</v>
      </c>
      <c r="M174">
        <v>0</v>
      </c>
      <c r="N174">
        <v>0</v>
      </c>
      <c r="Q174" s="3"/>
      <c r="R174" s="3"/>
      <c r="S174" s="3"/>
      <c r="T174" s="3"/>
      <c r="U174" s="3"/>
      <c r="V174" s="3"/>
      <c r="W174" s="3"/>
      <c r="X174" s="3"/>
      <c r="Y174" s="3"/>
      <c r="Z174" s="3"/>
      <c r="AA174" s="3"/>
      <c r="AB174" s="3"/>
      <c r="AC174" s="3"/>
      <c r="AD174" s="3"/>
      <c r="AE174" s="3"/>
      <c r="AF174" s="3"/>
      <c r="AM174"/>
      <c r="AN174"/>
      <c r="AO174"/>
      <c r="AP174"/>
      <c r="AQ174"/>
      <c r="AR174"/>
      <c r="AS174"/>
      <c r="AT174"/>
      <c r="AU174"/>
      <c r="AV174"/>
      <c r="AW174"/>
      <c r="AX174"/>
      <c r="AY174"/>
      <c r="AZ174"/>
      <c r="BA174"/>
      <c r="BB174"/>
    </row>
    <row r="175" spans="1:54">
      <c r="A175" t="s">
        <v>6261</v>
      </c>
      <c r="B175" t="s">
        <v>6262</v>
      </c>
      <c r="C175">
        <v>646648081</v>
      </c>
      <c r="D175" t="s">
        <v>5910</v>
      </c>
      <c r="E175" t="s">
        <v>6279</v>
      </c>
      <c r="F175">
        <v>630235395</v>
      </c>
      <c r="G175">
        <v>630695496</v>
      </c>
      <c r="H175">
        <v>0</v>
      </c>
      <c r="I175">
        <v>0</v>
      </c>
      <c r="J175">
        <v>0</v>
      </c>
      <c r="K175">
        <v>0</v>
      </c>
      <c r="L175">
        <v>1</v>
      </c>
      <c r="M175">
        <v>0</v>
      </c>
      <c r="N175">
        <v>0</v>
      </c>
      <c r="Q175" s="3"/>
      <c r="R175" s="3"/>
      <c r="S175" s="3"/>
      <c r="T175" s="3"/>
      <c r="U175" s="3"/>
      <c r="V175" s="3"/>
      <c r="W175" s="3"/>
      <c r="X175" s="3"/>
      <c r="Y175" s="3"/>
      <c r="Z175" s="3"/>
      <c r="AA175" s="3"/>
      <c r="AB175" s="3"/>
      <c r="AC175" s="3"/>
      <c r="AD175" s="3"/>
      <c r="AE175" s="3"/>
      <c r="AF175" s="3"/>
      <c r="AM175"/>
      <c r="AN175"/>
      <c r="AO175"/>
      <c r="AP175"/>
      <c r="AQ175"/>
      <c r="AR175"/>
      <c r="AS175"/>
      <c r="AT175"/>
      <c r="AU175"/>
      <c r="AV175"/>
      <c r="AW175"/>
      <c r="AX175"/>
      <c r="AY175"/>
      <c r="AZ175"/>
      <c r="BA175"/>
      <c r="BB175"/>
    </row>
    <row r="176" spans="1:54">
      <c r="A176" t="s">
        <v>6263</v>
      </c>
      <c r="B176" t="s">
        <v>6264</v>
      </c>
      <c r="C176">
        <v>646680781</v>
      </c>
      <c r="D176" t="s">
        <v>5910</v>
      </c>
      <c r="E176" t="s">
        <v>6276</v>
      </c>
      <c r="F176">
        <v>604588095</v>
      </c>
      <c r="G176">
        <v>604974376</v>
      </c>
      <c r="H176">
        <v>1</v>
      </c>
      <c r="I176">
        <v>1</v>
      </c>
      <c r="J176">
        <v>0</v>
      </c>
      <c r="K176">
        <v>0</v>
      </c>
      <c r="L176">
        <v>0</v>
      </c>
      <c r="M176">
        <v>0</v>
      </c>
      <c r="N176">
        <v>0</v>
      </c>
      <c r="Q176" s="3"/>
      <c r="R176" s="3"/>
      <c r="S176" s="3"/>
      <c r="T176" s="3"/>
      <c r="U176" s="3"/>
      <c r="V176" s="3"/>
      <c r="W176" s="3"/>
      <c r="X176" s="3"/>
      <c r="Y176" s="3"/>
      <c r="Z176" s="3"/>
      <c r="AA176" s="3"/>
      <c r="AB176" s="3"/>
      <c r="AC176" s="3"/>
      <c r="AD176" s="3"/>
      <c r="AE176" s="3"/>
      <c r="AF176" s="3"/>
      <c r="AM176"/>
      <c r="AN176"/>
      <c r="AO176"/>
      <c r="AP176"/>
      <c r="AQ176"/>
      <c r="AR176"/>
      <c r="AS176"/>
      <c r="AT176"/>
      <c r="AU176"/>
      <c r="AV176"/>
      <c r="AW176"/>
      <c r="AX176"/>
      <c r="AY176"/>
      <c r="AZ176"/>
      <c r="BA176"/>
      <c r="BB176"/>
    </row>
    <row r="177" spans="1:54">
      <c r="A177" t="s">
        <v>6265</v>
      </c>
      <c r="B177" t="s">
        <v>6266</v>
      </c>
      <c r="C177">
        <v>646774981</v>
      </c>
      <c r="D177" t="s">
        <v>5910</v>
      </c>
      <c r="E177" t="s">
        <v>6279</v>
      </c>
      <c r="F177">
        <v>630695495</v>
      </c>
      <c r="G177">
        <v>630803344</v>
      </c>
      <c r="H177">
        <v>0</v>
      </c>
      <c r="I177">
        <v>0</v>
      </c>
      <c r="J177">
        <v>0</v>
      </c>
      <c r="K177">
        <v>0</v>
      </c>
      <c r="L177">
        <v>1</v>
      </c>
      <c r="M177">
        <v>0</v>
      </c>
      <c r="N177">
        <v>0</v>
      </c>
      <c r="Q177" s="3"/>
      <c r="R177" s="3"/>
      <c r="S177" s="3"/>
      <c r="T177" s="3"/>
      <c r="U177" s="3"/>
      <c r="V177" s="3"/>
      <c r="W177" s="3"/>
      <c r="X177" s="3"/>
      <c r="Y177" s="3"/>
      <c r="Z177" s="3"/>
      <c r="AA177" s="3"/>
      <c r="AB177" s="3"/>
      <c r="AC177" s="3"/>
      <c r="AD177" s="3"/>
      <c r="AE177" s="3"/>
      <c r="AF177" s="3"/>
      <c r="AM177"/>
      <c r="AN177"/>
      <c r="AO177"/>
      <c r="AP177"/>
      <c r="AQ177"/>
      <c r="AR177"/>
      <c r="AS177"/>
      <c r="AT177"/>
      <c r="AU177"/>
      <c r="AV177"/>
      <c r="AW177"/>
      <c r="AX177"/>
      <c r="AY177"/>
      <c r="AZ177"/>
      <c r="BA177"/>
      <c r="BB177"/>
    </row>
    <row r="178" spans="1:54">
      <c r="A178" t="s">
        <v>6267</v>
      </c>
      <c r="B178" t="s">
        <v>6268</v>
      </c>
      <c r="C178">
        <v>646835581</v>
      </c>
      <c r="D178" t="s">
        <v>5910</v>
      </c>
      <c r="E178" t="s">
        <v>6276</v>
      </c>
      <c r="F178">
        <v>604974373</v>
      </c>
      <c r="G178">
        <v>605079001</v>
      </c>
      <c r="H178">
        <v>1</v>
      </c>
      <c r="I178">
        <v>1</v>
      </c>
      <c r="J178">
        <v>0</v>
      </c>
      <c r="K178">
        <v>0</v>
      </c>
      <c r="L178">
        <v>0</v>
      </c>
      <c r="M178">
        <v>0</v>
      </c>
      <c r="N178">
        <v>0</v>
      </c>
      <c r="Q178" s="3"/>
      <c r="R178" s="3"/>
      <c r="S178" s="3"/>
      <c r="T178" s="3"/>
      <c r="U178" s="3"/>
      <c r="V178" s="3"/>
      <c r="W178" s="3"/>
      <c r="X178" s="3"/>
      <c r="Y178" s="3"/>
      <c r="Z178" s="3"/>
      <c r="AA178" s="3"/>
      <c r="AB178" s="3"/>
      <c r="AC178" s="3"/>
      <c r="AD178" s="3"/>
      <c r="AE178" s="3"/>
      <c r="AF178" s="3"/>
      <c r="AM178"/>
      <c r="AN178"/>
      <c r="AO178"/>
      <c r="AP178"/>
      <c r="AQ178"/>
      <c r="AR178"/>
      <c r="AS178"/>
      <c r="AT178"/>
      <c r="AU178"/>
      <c r="AV178"/>
      <c r="AW178"/>
      <c r="AX178"/>
      <c r="AY178"/>
      <c r="AZ178"/>
      <c r="BA178"/>
      <c r="BB178"/>
    </row>
    <row r="179" spans="1:54">
      <c r="A179" t="s">
        <v>6269</v>
      </c>
      <c r="B179" t="s">
        <v>6270</v>
      </c>
      <c r="C179">
        <v>646835586</v>
      </c>
      <c r="D179" t="s">
        <v>5910</v>
      </c>
      <c r="E179" t="s">
        <v>6276</v>
      </c>
      <c r="F179">
        <v>608807390</v>
      </c>
      <c r="G179">
        <v>608982856</v>
      </c>
      <c r="H179">
        <v>1</v>
      </c>
      <c r="I179">
        <v>1</v>
      </c>
      <c r="J179">
        <v>0</v>
      </c>
      <c r="K179">
        <v>0</v>
      </c>
      <c r="L179">
        <v>0</v>
      </c>
      <c r="M179">
        <v>0</v>
      </c>
      <c r="N179">
        <v>0</v>
      </c>
      <c r="Q179" s="3"/>
      <c r="R179" s="3"/>
      <c r="S179" s="3"/>
      <c r="T179" s="3"/>
      <c r="U179" s="3"/>
      <c r="V179" s="3"/>
      <c r="W179" s="3"/>
      <c r="X179" s="3"/>
      <c r="Y179" s="3"/>
      <c r="Z179" s="3"/>
      <c r="AA179" s="3"/>
      <c r="AB179" s="3"/>
      <c r="AC179" s="3"/>
      <c r="AD179" s="3"/>
      <c r="AE179" s="3"/>
      <c r="AF179" s="3"/>
      <c r="AM179"/>
      <c r="AN179"/>
      <c r="AO179"/>
      <c r="AP179"/>
      <c r="AQ179"/>
      <c r="AR179"/>
      <c r="AS179"/>
      <c r="AT179"/>
      <c r="AU179"/>
      <c r="AV179"/>
      <c r="AW179"/>
      <c r="AX179"/>
      <c r="AY179"/>
      <c r="AZ179"/>
      <c r="BA179"/>
      <c r="BB179"/>
    </row>
    <row r="180" spans="1:54">
      <c r="A180" t="s">
        <v>6241</v>
      </c>
      <c r="B180" t="s">
        <v>6242</v>
      </c>
      <c r="C180">
        <v>646251541</v>
      </c>
      <c r="D180" t="s">
        <v>5910</v>
      </c>
      <c r="E180" t="s">
        <v>6278</v>
      </c>
      <c r="F180">
        <v>644187671</v>
      </c>
      <c r="G180">
        <v>644288041</v>
      </c>
      <c r="H180">
        <v>0</v>
      </c>
      <c r="I180">
        <v>0</v>
      </c>
      <c r="J180">
        <v>1</v>
      </c>
      <c r="K180">
        <v>1</v>
      </c>
      <c r="L180">
        <v>1</v>
      </c>
      <c r="M180">
        <v>1</v>
      </c>
      <c r="N180">
        <v>1</v>
      </c>
      <c r="Q180" s="3"/>
      <c r="R180" s="3"/>
      <c r="S180" s="3"/>
      <c r="T180" s="3"/>
      <c r="U180" s="3"/>
      <c r="V180" s="3"/>
      <c r="W180" s="3"/>
      <c r="X180" s="3"/>
      <c r="Y180" s="3"/>
      <c r="Z180" s="3"/>
      <c r="AA180" s="3"/>
      <c r="AB180" s="3"/>
      <c r="AC180" s="3"/>
      <c r="AD180" s="3"/>
      <c r="AE180" s="3"/>
      <c r="AF180" s="3"/>
      <c r="AM180"/>
      <c r="AN180"/>
      <c r="AO180"/>
      <c r="AP180"/>
      <c r="AQ180"/>
      <c r="AR180"/>
      <c r="AS180"/>
      <c r="AT180"/>
      <c r="AU180"/>
      <c r="AV180"/>
      <c r="AW180"/>
      <c r="AX180"/>
      <c r="AY180"/>
      <c r="AZ180"/>
      <c r="BA180"/>
      <c r="BB180"/>
    </row>
    <row r="181" spans="1:54">
      <c r="A181" t="s">
        <v>6243</v>
      </c>
      <c r="B181" t="s">
        <v>6244</v>
      </c>
      <c r="C181">
        <v>646251546</v>
      </c>
      <c r="D181" t="s">
        <v>5910</v>
      </c>
      <c r="E181" t="s">
        <v>6279</v>
      </c>
      <c r="F181">
        <v>644923310</v>
      </c>
      <c r="G181">
        <v>644993182</v>
      </c>
      <c r="H181">
        <v>0</v>
      </c>
      <c r="I181">
        <v>0</v>
      </c>
      <c r="J181">
        <v>0</v>
      </c>
      <c r="K181">
        <v>0</v>
      </c>
      <c r="L181">
        <v>1</v>
      </c>
      <c r="M181">
        <v>0</v>
      </c>
      <c r="N181">
        <v>0</v>
      </c>
      <c r="Q181" s="3"/>
      <c r="R181" s="3"/>
      <c r="S181" s="3"/>
      <c r="T181" s="3"/>
      <c r="U181" s="3"/>
      <c r="V181" s="3"/>
      <c r="W181" s="3"/>
      <c r="X181" s="3"/>
      <c r="Y181" s="3"/>
      <c r="Z181" s="3"/>
      <c r="AA181" s="3"/>
      <c r="AB181" s="3"/>
      <c r="AC181" s="3"/>
      <c r="AD181" s="3"/>
      <c r="AE181" s="3"/>
      <c r="AF181" s="3"/>
      <c r="AM181"/>
      <c r="AN181"/>
      <c r="AO181"/>
      <c r="AP181"/>
      <c r="AQ181"/>
      <c r="AR181"/>
      <c r="AS181"/>
      <c r="AT181"/>
      <c r="AU181"/>
      <c r="AV181"/>
      <c r="AW181"/>
      <c r="AX181"/>
      <c r="AY181"/>
      <c r="AZ181"/>
      <c r="BA181"/>
      <c r="BB181"/>
    </row>
    <row r="182" spans="1:54">
      <c r="A182" t="s">
        <v>6245</v>
      </c>
      <c r="B182" t="s">
        <v>6246</v>
      </c>
      <c r="C182">
        <v>646289341</v>
      </c>
      <c r="D182" t="s">
        <v>5910</v>
      </c>
      <c r="E182" t="s">
        <v>6279</v>
      </c>
      <c r="F182">
        <v>644993181</v>
      </c>
      <c r="G182">
        <v>645404949</v>
      </c>
      <c r="H182">
        <v>0</v>
      </c>
      <c r="I182">
        <v>0</v>
      </c>
      <c r="J182">
        <v>0</v>
      </c>
      <c r="K182">
        <v>0</v>
      </c>
      <c r="L182">
        <v>1</v>
      </c>
      <c r="M182">
        <v>0</v>
      </c>
      <c r="N182">
        <v>0</v>
      </c>
      <c r="Q182" s="3"/>
      <c r="R182" s="3"/>
      <c r="S182" s="3"/>
      <c r="T182" s="3"/>
      <c r="U182" s="3"/>
      <c r="V182" s="3"/>
      <c r="W182" s="3"/>
      <c r="X182" s="3"/>
      <c r="Y182" s="3"/>
      <c r="Z182" s="3"/>
      <c r="AA182" s="3"/>
      <c r="AB182" s="3"/>
      <c r="AC182" s="3"/>
      <c r="AD182" s="3"/>
      <c r="AE182" s="3"/>
      <c r="AF182" s="3"/>
      <c r="AM182"/>
      <c r="AN182"/>
      <c r="AO182"/>
      <c r="AP182"/>
      <c r="AQ182"/>
      <c r="AR182"/>
      <c r="AS182"/>
      <c r="AT182"/>
      <c r="AU182"/>
      <c r="AV182"/>
      <c r="AW182"/>
      <c r="AX182"/>
      <c r="AY182"/>
      <c r="AZ182"/>
      <c r="BA182"/>
      <c r="BB182"/>
    </row>
    <row r="183" spans="1:54">
      <c r="A183" t="s">
        <v>6247</v>
      </c>
      <c r="B183" t="s">
        <v>6248</v>
      </c>
      <c r="C183">
        <v>646337641</v>
      </c>
      <c r="D183" t="s">
        <v>5910</v>
      </c>
      <c r="E183" t="s">
        <v>6279</v>
      </c>
      <c r="F183">
        <v>645404948</v>
      </c>
      <c r="G183">
        <v>645654144</v>
      </c>
      <c r="H183">
        <v>0</v>
      </c>
      <c r="I183">
        <v>0</v>
      </c>
      <c r="J183">
        <v>0</v>
      </c>
      <c r="K183">
        <v>0</v>
      </c>
      <c r="L183">
        <v>1</v>
      </c>
      <c r="M183">
        <v>0</v>
      </c>
      <c r="N183">
        <v>0</v>
      </c>
      <c r="Q183" s="3"/>
      <c r="R183" s="3"/>
      <c r="S183" s="3"/>
      <c r="T183" s="3"/>
      <c r="U183" s="3"/>
      <c r="V183" s="3"/>
      <c r="W183" s="3"/>
      <c r="X183" s="3"/>
      <c r="Y183" s="3"/>
      <c r="Z183" s="3"/>
      <c r="AA183" s="3"/>
      <c r="AB183" s="3"/>
      <c r="AC183" s="3"/>
      <c r="AD183" s="3"/>
      <c r="AE183" s="3"/>
      <c r="AF183" s="3"/>
      <c r="AM183"/>
      <c r="AN183"/>
      <c r="AO183"/>
      <c r="AP183"/>
      <c r="AQ183"/>
      <c r="AR183"/>
      <c r="AS183"/>
      <c r="AT183"/>
      <c r="AU183"/>
      <c r="AV183"/>
      <c r="AW183"/>
      <c r="AX183"/>
      <c r="AY183"/>
      <c r="AZ183"/>
      <c r="BA183"/>
      <c r="BB183"/>
    </row>
    <row r="184" spans="1:54">
      <c r="A184" t="s">
        <v>6249</v>
      </c>
      <c r="B184" t="s">
        <v>6250</v>
      </c>
      <c r="C184">
        <v>646381681</v>
      </c>
      <c r="D184" t="s">
        <v>5910</v>
      </c>
      <c r="E184" t="s">
        <v>6279</v>
      </c>
      <c r="F184">
        <v>645654143</v>
      </c>
      <c r="G184">
        <v>646084146</v>
      </c>
      <c r="H184">
        <v>0</v>
      </c>
      <c r="I184">
        <v>0</v>
      </c>
      <c r="J184">
        <v>0</v>
      </c>
      <c r="K184">
        <v>0</v>
      </c>
      <c r="L184">
        <v>1</v>
      </c>
      <c r="M184">
        <v>0</v>
      </c>
      <c r="N184">
        <v>0</v>
      </c>
      <c r="Q184" s="3"/>
      <c r="R184" s="3"/>
      <c r="S184" s="3"/>
      <c r="T184" s="3"/>
      <c r="U184" s="3"/>
      <c r="V184" s="3"/>
      <c r="W184" s="3"/>
      <c r="X184" s="3"/>
      <c r="Y184" s="3"/>
      <c r="Z184" s="3"/>
      <c r="AA184" s="3"/>
      <c r="AB184" s="3"/>
      <c r="AC184" s="3"/>
      <c r="AD184" s="3"/>
      <c r="AE184" s="3"/>
      <c r="AF184" s="3"/>
      <c r="AM184"/>
      <c r="AN184"/>
      <c r="AO184"/>
      <c r="AP184"/>
      <c r="AQ184"/>
      <c r="AR184"/>
      <c r="AS184"/>
      <c r="AT184"/>
      <c r="AU184"/>
      <c r="AV184"/>
      <c r="AW184"/>
      <c r="AX184"/>
      <c r="AY184"/>
      <c r="AZ184"/>
      <c r="BA184"/>
      <c r="BB184"/>
    </row>
    <row r="185" spans="1:54">
      <c r="A185" t="s">
        <v>6251</v>
      </c>
      <c r="B185" t="s">
        <v>6252</v>
      </c>
      <c r="C185">
        <v>646425781</v>
      </c>
      <c r="D185" t="s">
        <v>5910</v>
      </c>
      <c r="E185" t="s">
        <v>6276</v>
      </c>
      <c r="F185">
        <v>645155510</v>
      </c>
      <c r="G185">
        <v>645161860</v>
      </c>
      <c r="H185">
        <v>1</v>
      </c>
      <c r="I185">
        <v>1</v>
      </c>
      <c r="J185">
        <v>0</v>
      </c>
      <c r="K185">
        <v>0</v>
      </c>
      <c r="L185">
        <v>0</v>
      </c>
      <c r="M185">
        <v>0</v>
      </c>
      <c r="N185">
        <v>0</v>
      </c>
      <c r="Q185" s="3"/>
      <c r="R185" s="3"/>
      <c r="S185" s="3"/>
      <c r="T185" s="3"/>
      <c r="U185" s="3"/>
      <c r="V185" s="3"/>
      <c r="W185" s="3"/>
      <c r="X185" s="3"/>
      <c r="Y185" s="3"/>
      <c r="Z185" s="3"/>
      <c r="AA185" s="3"/>
      <c r="AB185" s="3"/>
      <c r="AC185" s="3"/>
      <c r="AD185" s="3"/>
      <c r="AE185" s="3"/>
      <c r="AF185" s="3"/>
      <c r="AM185"/>
      <c r="AN185"/>
      <c r="AO185"/>
      <c r="AP185"/>
      <c r="AQ185"/>
      <c r="AR185"/>
      <c r="AS185"/>
      <c r="AT185"/>
      <c r="AU185"/>
      <c r="AV185"/>
      <c r="AW185"/>
      <c r="AX185"/>
      <c r="AY185"/>
      <c r="AZ185"/>
      <c r="BA185"/>
      <c r="BB185"/>
    </row>
    <row r="186" spans="1:54">
      <c r="A186" t="s">
        <v>6253</v>
      </c>
      <c r="B186" t="s">
        <v>6254</v>
      </c>
      <c r="C186">
        <v>646425786</v>
      </c>
      <c r="D186" t="s">
        <v>5910</v>
      </c>
      <c r="E186" t="s">
        <v>6279</v>
      </c>
      <c r="F186">
        <v>646084145</v>
      </c>
      <c r="G186">
        <v>646173420</v>
      </c>
      <c r="H186">
        <v>0</v>
      </c>
      <c r="I186">
        <v>0</v>
      </c>
      <c r="J186">
        <v>0</v>
      </c>
      <c r="K186">
        <v>0</v>
      </c>
      <c r="L186">
        <v>1</v>
      </c>
      <c r="M186">
        <v>0</v>
      </c>
      <c r="N186">
        <v>0</v>
      </c>
      <c r="Q186" s="3"/>
      <c r="R186" s="3"/>
      <c r="S186" s="3"/>
      <c r="T186" s="3"/>
      <c r="U186" s="3"/>
      <c r="V186" s="3"/>
      <c r="W186" s="3"/>
      <c r="X186" s="3"/>
      <c r="Y186" s="3"/>
      <c r="Z186" s="3"/>
      <c r="AA186" s="3"/>
      <c r="AB186" s="3"/>
      <c r="AC186" s="3"/>
      <c r="AD186" s="3"/>
      <c r="AE186" s="3"/>
      <c r="AF186" s="3"/>
      <c r="AM186"/>
      <c r="AN186"/>
      <c r="AO186"/>
      <c r="AP186"/>
      <c r="AQ186"/>
      <c r="AR186"/>
      <c r="AS186"/>
      <c r="AT186"/>
      <c r="AU186"/>
      <c r="AV186"/>
      <c r="AW186"/>
      <c r="AX186"/>
      <c r="AY186"/>
      <c r="AZ186"/>
      <c r="BA186"/>
      <c r="BB186"/>
    </row>
    <row r="187" spans="1:54">
      <c r="A187" t="s">
        <v>6255</v>
      </c>
      <c r="B187" t="s">
        <v>6256</v>
      </c>
      <c r="C187">
        <v>646478281</v>
      </c>
      <c r="D187" t="s">
        <v>5910</v>
      </c>
      <c r="E187" t="s">
        <v>6276</v>
      </c>
      <c r="F187">
        <v>603989405</v>
      </c>
      <c r="G187">
        <v>604588098</v>
      </c>
      <c r="H187">
        <v>1</v>
      </c>
      <c r="I187">
        <v>1</v>
      </c>
      <c r="J187">
        <v>0</v>
      </c>
      <c r="K187">
        <v>0</v>
      </c>
      <c r="L187">
        <v>0</v>
      </c>
      <c r="M187">
        <v>0</v>
      </c>
      <c r="N187">
        <v>0</v>
      </c>
      <c r="Q187" s="3"/>
      <c r="R187" s="3"/>
      <c r="S187" s="3"/>
      <c r="T187" s="3"/>
      <c r="U187" s="3"/>
      <c r="V187" s="3"/>
      <c r="W187" s="3"/>
      <c r="X187" s="3"/>
      <c r="Y187" s="3"/>
      <c r="Z187" s="3"/>
      <c r="AA187" s="3"/>
      <c r="AB187" s="3"/>
      <c r="AC187" s="3"/>
      <c r="AD187" s="3"/>
      <c r="AE187" s="3"/>
      <c r="AF187" s="3"/>
      <c r="AM187"/>
      <c r="AN187"/>
      <c r="AO187"/>
      <c r="AP187"/>
      <c r="AQ187"/>
      <c r="AR187"/>
      <c r="AS187"/>
      <c r="AT187"/>
      <c r="AU187"/>
      <c r="AV187"/>
      <c r="AW187"/>
      <c r="AX187"/>
      <c r="AY187"/>
      <c r="AZ187"/>
      <c r="BA187"/>
      <c r="BB187"/>
    </row>
    <row r="188" spans="1:54">
      <c r="A188" t="s">
        <v>6257</v>
      </c>
      <c r="B188" t="s">
        <v>6258</v>
      </c>
      <c r="C188">
        <v>646519986</v>
      </c>
      <c r="D188" t="s">
        <v>5910</v>
      </c>
      <c r="E188" t="s">
        <v>6279</v>
      </c>
      <c r="F188">
        <v>629506572</v>
      </c>
      <c r="G188">
        <v>629523530</v>
      </c>
      <c r="H188">
        <v>0</v>
      </c>
      <c r="I188">
        <v>0</v>
      </c>
      <c r="J188">
        <v>0</v>
      </c>
      <c r="K188">
        <v>0</v>
      </c>
      <c r="L188">
        <v>1</v>
      </c>
      <c r="M188">
        <v>0</v>
      </c>
      <c r="N188">
        <v>0</v>
      </c>
      <c r="Q188" s="3"/>
      <c r="R188" s="3"/>
      <c r="S188" s="3"/>
      <c r="T188" s="3"/>
      <c r="U188" s="3"/>
      <c r="V188" s="3"/>
      <c r="W188" s="3"/>
      <c r="X188" s="3"/>
      <c r="Y188" s="3"/>
      <c r="Z188" s="3"/>
      <c r="AA188" s="3"/>
      <c r="AB188" s="3"/>
      <c r="AC188" s="3"/>
      <c r="AD188" s="3"/>
      <c r="AE188" s="3"/>
      <c r="AF188" s="3"/>
      <c r="AM188"/>
      <c r="AN188"/>
      <c r="AO188"/>
      <c r="AP188"/>
      <c r="AQ188"/>
      <c r="AR188"/>
      <c r="AS188"/>
      <c r="AT188"/>
      <c r="AU188"/>
      <c r="AV188"/>
      <c r="AW188"/>
      <c r="AX188"/>
      <c r="AY188"/>
      <c r="AZ188"/>
      <c r="BA188"/>
      <c r="BB188"/>
    </row>
    <row r="189" spans="1:54">
      <c r="A189" t="s">
        <v>6259</v>
      </c>
      <c r="B189" t="s">
        <v>6260</v>
      </c>
      <c r="C189">
        <v>646566481</v>
      </c>
      <c r="D189" t="s">
        <v>5910</v>
      </c>
      <c r="E189" t="s">
        <v>6279</v>
      </c>
      <c r="F189">
        <v>629523529</v>
      </c>
      <c r="G189">
        <v>630235396</v>
      </c>
      <c r="H189">
        <v>0</v>
      </c>
      <c r="I189">
        <v>0</v>
      </c>
      <c r="J189">
        <v>0</v>
      </c>
      <c r="K189">
        <v>0</v>
      </c>
      <c r="L189">
        <v>1</v>
      </c>
      <c r="M189">
        <v>0</v>
      </c>
      <c r="N189">
        <v>0</v>
      </c>
      <c r="Q189" s="3"/>
      <c r="R189" s="3"/>
      <c r="S189" s="3"/>
      <c r="T189" s="3"/>
      <c r="U189" s="3"/>
      <c r="V189" s="3"/>
      <c r="W189" s="3"/>
      <c r="X189" s="3"/>
      <c r="Y189" s="3"/>
      <c r="Z189" s="3"/>
      <c r="AA189" s="3"/>
      <c r="AB189" s="3"/>
      <c r="AC189" s="3"/>
      <c r="AD189" s="3"/>
      <c r="AE189" s="3"/>
      <c r="AF189" s="3"/>
      <c r="AM189"/>
      <c r="AN189"/>
      <c r="AO189"/>
      <c r="AP189"/>
      <c r="AQ189"/>
      <c r="AR189"/>
      <c r="AS189"/>
      <c r="AT189"/>
      <c r="AU189"/>
      <c r="AV189"/>
      <c r="AW189"/>
      <c r="AX189"/>
      <c r="AY189"/>
      <c r="AZ189"/>
      <c r="BA189"/>
      <c r="BB189"/>
    </row>
    <row r="190" spans="1:54">
      <c r="A190" t="s">
        <v>6261</v>
      </c>
      <c r="B190" t="s">
        <v>6262</v>
      </c>
      <c r="C190">
        <v>646648081</v>
      </c>
      <c r="D190" t="s">
        <v>5910</v>
      </c>
      <c r="E190" t="s">
        <v>6279</v>
      </c>
      <c r="F190">
        <v>630235395</v>
      </c>
      <c r="G190">
        <v>630695496</v>
      </c>
      <c r="H190">
        <v>0</v>
      </c>
      <c r="I190">
        <v>0</v>
      </c>
      <c r="J190">
        <v>0</v>
      </c>
      <c r="K190">
        <v>0</v>
      </c>
      <c r="L190">
        <v>1</v>
      </c>
      <c r="M190">
        <v>0</v>
      </c>
      <c r="N190">
        <v>0</v>
      </c>
      <c r="Q190" s="3"/>
      <c r="R190" s="3"/>
      <c r="S190" s="3"/>
      <c r="T190" s="3"/>
      <c r="U190" s="3"/>
      <c r="V190" s="3"/>
      <c r="W190" s="3"/>
      <c r="X190" s="3"/>
      <c r="Y190" s="3"/>
      <c r="Z190" s="3"/>
      <c r="AA190" s="3"/>
      <c r="AB190" s="3"/>
      <c r="AC190" s="3"/>
      <c r="AD190" s="3"/>
      <c r="AE190" s="3"/>
      <c r="AF190" s="3"/>
      <c r="AM190"/>
      <c r="AN190"/>
      <c r="AO190"/>
      <c r="AP190"/>
      <c r="AQ190"/>
      <c r="AR190"/>
      <c r="AS190"/>
      <c r="AT190"/>
      <c r="AU190"/>
      <c r="AV190"/>
      <c r="AW190"/>
      <c r="AX190"/>
      <c r="AY190"/>
      <c r="AZ190"/>
      <c r="BA190"/>
      <c r="BB190"/>
    </row>
    <row r="191" spans="1:54">
      <c r="A191" t="s">
        <v>6263</v>
      </c>
      <c r="B191" t="s">
        <v>6264</v>
      </c>
      <c r="C191">
        <v>646680781</v>
      </c>
      <c r="D191" t="s">
        <v>5910</v>
      </c>
      <c r="E191" t="s">
        <v>6276</v>
      </c>
      <c r="F191">
        <v>604588095</v>
      </c>
      <c r="G191">
        <v>604974376</v>
      </c>
      <c r="H191">
        <v>1</v>
      </c>
      <c r="I191">
        <v>1</v>
      </c>
      <c r="J191">
        <v>0</v>
      </c>
      <c r="K191">
        <v>0</v>
      </c>
      <c r="L191">
        <v>0</v>
      </c>
      <c r="M191">
        <v>0</v>
      </c>
      <c r="N191">
        <v>0</v>
      </c>
      <c r="Q191" s="3"/>
      <c r="R191" s="3"/>
      <c r="S191" s="3"/>
      <c r="T191" s="3"/>
      <c r="U191" s="3"/>
      <c r="V191" s="3"/>
      <c r="W191" s="3"/>
      <c r="X191" s="3"/>
      <c r="Y191" s="3"/>
      <c r="Z191" s="3"/>
      <c r="AA191" s="3"/>
      <c r="AB191" s="3"/>
      <c r="AC191" s="3"/>
      <c r="AD191" s="3"/>
      <c r="AE191" s="3"/>
      <c r="AF191" s="3"/>
      <c r="AM191"/>
      <c r="AN191"/>
      <c r="AO191"/>
      <c r="AP191"/>
      <c r="AQ191"/>
      <c r="AR191"/>
      <c r="AS191"/>
      <c r="AT191"/>
      <c r="AU191"/>
      <c r="AV191"/>
      <c r="AW191"/>
      <c r="AX191"/>
      <c r="AY191"/>
      <c r="AZ191"/>
      <c r="BA191"/>
      <c r="BB191"/>
    </row>
    <row r="192" spans="1:54">
      <c r="A192" t="s">
        <v>6265</v>
      </c>
      <c r="B192" t="s">
        <v>6266</v>
      </c>
      <c r="C192">
        <v>646774981</v>
      </c>
      <c r="D192" t="s">
        <v>5910</v>
      </c>
      <c r="E192" t="s">
        <v>6279</v>
      </c>
      <c r="F192">
        <v>630695495</v>
      </c>
      <c r="G192">
        <v>630803344</v>
      </c>
      <c r="H192">
        <v>0</v>
      </c>
      <c r="I192">
        <v>0</v>
      </c>
      <c r="J192">
        <v>0</v>
      </c>
      <c r="K192">
        <v>0</v>
      </c>
      <c r="L192">
        <v>1</v>
      </c>
      <c r="M192">
        <v>0</v>
      </c>
      <c r="N192">
        <v>0</v>
      </c>
      <c r="Q192" s="3"/>
      <c r="R192" s="3"/>
      <c r="S192" s="3"/>
      <c r="T192" s="3"/>
      <c r="U192" s="3"/>
      <c r="V192" s="3"/>
      <c r="W192" s="3"/>
      <c r="X192" s="3"/>
      <c r="Y192" s="3"/>
      <c r="Z192" s="3"/>
      <c r="AA192" s="3"/>
      <c r="AB192" s="3"/>
      <c r="AC192" s="3"/>
      <c r="AD192" s="3"/>
      <c r="AE192" s="3"/>
      <c r="AF192" s="3"/>
      <c r="AM192"/>
      <c r="AN192"/>
      <c r="AO192"/>
      <c r="AP192"/>
      <c r="AQ192"/>
      <c r="AR192"/>
      <c r="AS192"/>
      <c r="AT192"/>
      <c r="AU192"/>
      <c r="AV192"/>
      <c r="AW192"/>
      <c r="AX192"/>
      <c r="AY192"/>
      <c r="AZ192"/>
      <c r="BA192"/>
      <c r="BB192"/>
    </row>
    <row r="193" spans="1:54">
      <c r="A193" t="s">
        <v>6267</v>
      </c>
      <c r="B193" t="s">
        <v>6268</v>
      </c>
      <c r="C193">
        <v>646835581</v>
      </c>
      <c r="D193" t="s">
        <v>5910</v>
      </c>
      <c r="E193" t="s">
        <v>6276</v>
      </c>
      <c r="F193">
        <v>604974373</v>
      </c>
      <c r="G193">
        <v>605079001</v>
      </c>
      <c r="H193">
        <v>1</v>
      </c>
      <c r="I193">
        <v>1</v>
      </c>
      <c r="J193">
        <v>0</v>
      </c>
      <c r="K193">
        <v>0</v>
      </c>
      <c r="L193">
        <v>0</v>
      </c>
      <c r="M193">
        <v>0</v>
      </c>
      <c r="N193">
        <v>0</v>
      </c>
      <c r="Q193" s="3"/>
      <c r="R193" s="3"/>
      <c r="S193" s="3"/>
      <c r="T193" s="3"/>
      <c r="U193" s="3"/>
      <c r="V193" s="3"/>
      <c r="W193" s="3"/>
      <c r="X193" s="3"/>
      <c r="Y193" s="3"/>
      <c r="Z193" s="3"/>
      <c r="AA193" s="3"/>
      <c r="AB193" s="3"/>
      <c r="AC193" s="3"/>
      <c r="AD193" s="3"/>
      <c r="AE193" s="3"/>
      <c r="AF193" s="3"/>
      <c r="AM193"/>
      <c r="AN193"/>
      <c r="AO193"/>
      <c r="AP193"/>
      <c r="AQ193"/>
      <c r="AR193"/>
      <c r="AS193"/>
      <c r="AT193"/>
      <c r="AU193"/>
      <c r="AV193"/>
      <c r="AW193"/>
      <c r="AX193"/>
      <c r="AY193"/>
      <c r="AZ193"/>
      <c r="BA193"/>
      <c r="BB193"/>
    </row>
    <row r="194" spans="1:54">
      <c r="A194" t="s">
        <v>6269</v>
      </c>
      <c r="B194" t="s">
        <v>6270</v>
      </c>
      <c r="C194">
        <v>646835586</v>
      </c>
      <c r="D194" t="s">
        <v>5910</v>
      </c>
      <c r="E194" t="s">
        <v>6276</v>
      </c>
      <c r="F194">
        <v>608807390</v>
      </c>
      <c r="G194">
        <v>608982856</v>
      </c>
      <c r="H194">
        <v>1</v>
      </c>
      <c r="I194">
        <v>1</v>
      </c>
      <c r="J194">
        <v>0</v>
      </c>
      <c r="K194">
        <v>0</v>
      </c>
      <c r="L194">
        <v>0</v>
      </c>
      <c r="M194">
        <v>0</v>
      </c>
      <c r="N194">
        <v>0</v>
      </c>
      <c r="Q194" s="3"/>
      <c r="R194" s="3"/>
      <c r="S194" s="3"/>
      <c r="T194" s="3"/>
      <c r="U194" s="3"/>
      <c r="V194" s="3"/>
      <c r="W194" s="3"/>
      <c r="X194" s="3"/>
      <c r="Y194" s="3"/>
      <c r="Z194" s="3"/>
      <c r="AA194" s="3"/>
      <c r="AB194" s="3"/>
      <c r="AC194" s="3"/>
      <c r="AD194" s="3"/>
      <c r="AE194" s="3"/>
      <c r="AF194" s="3"/>
      <c r="AM194"/>
      <c r="AN194"/>
      <c r="AO194"/>
      <c r="AP194"/>
      <c r="AQ194"/>
      <c r="AR194"/>
      <c r="AS194"/>
      <c r="AT194"/>
      <c r="AU194"/>
      <c r="AV194"/>
      <c r="AW194"/>
      <c r="AX194"/>
      <c r="AY194"/>
      <c r="AZ194"/>
      <c r="BA194"/>
      <c r="BB194"/>
    </row>
    <row r="195" spans="1:54">
      <c r="Q195" s="3"/>
      <c r="R195" s="3"/>
      <c r="S195" s="3"/>
      <c r="T195" s="3"/>
      <c r="U195" s="3"/>
      <c r="V195" s="3"/>
      <c r="W195" s="3"/>
      <c r="X195" s="3"/>
      <c r="Y195" s="3"/>
      <c r="Z195" s="3"/>
      <c r="AA195" s="3"/>
      <c r="AB195" s="3"/>
      <c r="AC195" s="3"/>
      <c r="AD195" s="3"/>
      <c r="AE195" s="3"/>
      <c r="AF195" s="3"/>
      <c r="AM195"/>
      <c r="AN195"/>
      <c r="AO195"/>
      <c r="AP195"/>
      <c r="AQ195"/>
      <c r="AR195"/>
      <c r="AS195"/>
      <c r="AT195"/>
      <c r="AU195"/>
      <c r="AV195"/>
      <c r="AW195"/>
      <c r="AX195"/>
      <c r="AY195"/>
      <c r="AZ195"/>
      <c r="BA195"/>
      <c r="BB195"/>
    </row>
    <row r="196" spans="1:54">
      <c r="Q196" s="3"/>
      <c r="R196" s="3"/>
      <c r="S196" s="3"/>
      <c r="T196" s="3"/>
      <c r="U196" s="3"/>
      <c r="V196" s="3"/>
      <c r="W196" s="3"/>
      <c r="X196" s="3"/>
      <c r="Y196" s="3"/>
      <c r="Z196" s="3"/>
      <c r="AA196" s="3"/>
      <c r="AB196" s="3"/>
      <c r="AC196" s="3"/>
      <c r="AD196" s="3"/>
      <c r="AE196" s="3"/>
      <c r="AF196" s="3"/>
      <c r="AM196"/>
      <c r="AN196"/>
      <c r="AO196"/>
      <c r="AP196"/>
      <c r="AQ196"/>
      <c r="AR196"/>
      <c r="AS196"/>
      <c r="AT196"/>
      <c r="AU196"/>
      <c r="AV196"/>
      <c r="AW196"/>
      <c r="AX196"/>
      <c r="AY196"/>
      <c r="AZ196"/>
      <c r="BA196"/>
      <c r="BB196"/>
    </row>
    <row r="197" spans="1:54">
      <c r="Q197" s="3"/>
      <c r="R197" s="3"/>
      <c r="S197" s="3"/>
      <c r="T197" s="3"/>
      <c r="U197" s="3"/>
      <c r="V197" s="3"/>
      <c r="W197" s="3"/>
      <c r="X197" s="3"/>
      <c r="Y197" s="3"/>
      <c r="Z197" s="3"/>
      <c r="AA197" s="3"/>
      <c r="AB197" s="3"/>
      <c r="AC197" s="3"/>
      <c r="AD197" s="3"/>
      <c r="AE197" s="3"/>
      <c r="AF197" s="3"/>
      <c r="AM197"/>
      <c r="AN197"/>
      <c r="AO197"/>
      <c r="AP197"/>
      <c r="AQ197"/>
      <c r="AR197"/>
      <c r="AS197"/>
      <c r="AT197"/>
      <c r="AU197"/>
      <c r="AV197"/>
      <c r="AW197"/>
      <c r="AX197"/>
      <c r="AY197"/>
      <c r="AZ197"/>
      <c r="BA197"/>
      <c r="BB197"/>
    </row>
    <row r="198" spans="1:54">
      <c r="Q198" s="3"/>
      <c r="R198" s="3"/>
      <c r="S198" s="3"/>
      <c r="T198" s="3"/>
      <c r="U198" s="3"/>
      <c r="V198" s="3"/>
      <c r="W198" s="3"/>
      <c r="X198" s="3"/>
      <c r="Y198" s="3"/>
      <c r="Z198" s="3"/>
      <c r="AA198" s="3"/>
      <c r="AB198" s="3"/>
      <c r="AC198" s="3"/>
      <c r="AD198" s="3"/>
      <c r="AE198" s="3"/>
      <c r="AF198" s="3"/>
      <c r="AM198"/>
      <c r="AN198"/>
      <c r="AO198"/>
      <c r="AP198"/>
      <c r="AQ198"/>
      <c r="AR198"/>
      <c r="AS198"/>
      <c r="AT198"/>
      <c r="AU198"/>
      <c r="AV198"/>
      <c r="AW198"/>
      <c r="AX198"/>
      <c r="AY198"/>
      <c r="AZ198"/>
      <c r="BA198"/>
      <c r="BB198"/>
    </row>
    <row r="199" spans="1:54">
      <c r="Q199" s="3"/>
      <c r="R199" s="3"/>
      <c r="S199" s="3"/>
      <c r="T199" s="3"/>
      <c r="U199" s="3"/>
      <c r="V199" s="3"/>
      <c r="W199" s="3"/>
      <c r="X199" s="3"/>
      <c r="Y199" s="3"/>
      <c r="Z199" s="3"/>
      <c r="AA199" s="3"/>
      <c r="AB199" s="3"/>
      <c r="AC199" s="3"/>
      <c r="AD199" s="3"/>
      <c r="AE199" s="3"/>
      <c r="AF199" s="3"/>
      <c r="AM199"/>
      <c r="AN199"/>
      <c r="AO199"/>
      <c r="AP199"/>
      <c r="AQ199"/>
      <c r="AR199"/>
      <c r="AS199"/>
      <c r="AT199"/>
      <c r="AU199"/>
      <c r="AV199"/>
      <c r="AW199"/>
      <c r="AX199"/>
      <c r="AY199"/>
      <c r="AZ199"/>
      <c r="BA199"/>
      <c r="BB199"/>
    </row>
    <row r="200" spans="1:54">
      <c r="Q200" s="3"/>
      <c r="R200" s="3"/>
      <c r="S200" s="3"/>
      <c r="T200" s="3"/>
      <c r="U200" s="3"/>
      <c r="V200" s="3"/>
      <c r="W200" s="3"/>
      <c r="X200" s="3"/>
      <c r="Y200" s="3"/>
      <c r="Z200" s="3"/>
      <c r="AA200" s="3"/>
      <c r="AB200" s="3"/>
      <c r="AC200" s="3"/>
      <c r="AD200" s="3"/>
      <c r="AE200" s="3"/>
      <c r="AF200" s="3"/>
      <c r="AM200"/>
      <c r="AN200"/>
      <c r="AO200"/>
      <c r="AP200"/>
      <c r="AQ200"/>
      <c r="AR200"/>
      <c r="AS200"/>
      <c r="AT200"/>
      <c r="AU200"/>
      <c r="AV200"/>
      <c r="AW200"/>
      <c r="AX200"/>
      <c r="AY200"/>
      <c r="AZ200"/>
      <c r="BA200"/>
      <c r="BB200"/>
    </row>
    <row r="201" spans="1:54">
      <c r="Q201" s="3"/>
      <c r="R201" s="3"/>
      <c r="S201" s="3"/>
      <c r="T201" s="3"/>
      <c r="U201" s="3"/>
      <c r="V201" s="3"/>
      <c r="W201" s="3"/>
      <c r="X201" s="3"/>
      <c r="Y201" s="3"/>
      <c r="Z201" s="3"/>
      <c r="AA201" s="3"/>
      <c r="AB201" s="3"/>
      <c r="AC201" s="3"/>
      <c r="AD201" s="3"/>
      <c r="AE201" s="3"/>
      <c r="AF201" s="3"/>
      <c r="AM201"/>
      <c r="AN201"/>
      <c r="AO201"/>
      <c r="AP201"/>
      <c r="AQ201"/>
      <c r="AR201"/>
      <c r="AS201"/>
      <c r="AT201"/>
      <c r="AU201"/>
      <c r="AV201"/>
      <c r="AW201"/>
      <c r="AX201"/>
      <c r="AY201"/>
      <c r="AZ201"/>
      <c r="BA201"/>
      <c r="BB201"/>
    </row>
    <row r="202" spans="1:54">
      <c r="Q202" s="3"/>
      <c r="R202" s="3"/>
      <c r="S202" s="3"/>
      <c r="T202" s="3"/>
      <c r="U202" s="3"/>
      <c r="V202" s="3"/>
      <c r="W202" s="3"/>
      <c r="X202" s="3"/>
      <c r="Y202" s="3"/>
      <c r="Z202" s="3"/>
      <c r="AA202" s="3"/>
      <c r="AB202" s="3"/>
      <c r="AC202" s="3"/>
      <c r="AD202" s="3"/>
      <c r="AE202" s="3"/>
      <c r="AF202" s="3"/>
      <c r="AM202"/>
      <c r="AN202"/>
      <c r="AO202"/>
      <c r="AP202"/>
      <c r="AQ202"/>
      <c r="AR202"/>
      <c r="AS202"/>
      <c r="AT202"/>
      <c r="AU202"/>
      <c r="AV202"/>
      <c r="AW202"/>
      <c r="AX202"/>
      <c r="AY202"/>
      <c r="AZ202"/>
      <c r="BA202"/>
      <c r="BB202"/>
    </row>
    <row r="203" spans="1:54">
      <c r="Q203" s="3"/>
      <c r="R203" s="3"/>
      <c r="S203" s="3"/>
      <c r="T203" s="3"/>
      <c r="U203" s="3"/>
      <c r="V203" s="3"/>
      <c r="W203" s="3"/>
      <c r="X203" s="3"/>
      <c r="Y203" s="3"/>
      <c r="Z203" s="3"/>
      <c r="AA203" s="3"/>
      <c r="AB203" s="3"/>
      <c r="AC203" s="3"/>
      <c r="AD203" s="3"/>
      <c r="AE203" s="3"/>
      <c r="AF203" s="3"/>
      <c r="AM203"/>
      <c r="AN203"/>
      <c r="AO203"/>
      <c r="AP203"/>
      <c r="AQ203"/>
      <c r="AR203"/>
      <c r="AS203"/>
      <c r="AT203"/>
      <c r="AU203"/>
      <c r="AV203"/>
      <c r="AW203"/>
      <c r="AX203"/>
      <c r="AY203"/>
      <c r="AZ203"/>
      <c r="BA203"/>
      <c r="BB203"/>
    </row>
    <row r="204" spans="1:54">
      <c r="Q204" s="3"/>
      <c r="R204" s="3"/>
      <c r="S204" s="3"/>
      <c r="T204" s="3"/>
      <c r="U204" s="3"/>
      <c r="V204" s="3"/>
      <c r="W204" s="3"/>
      <c r="X204" s="3"/>
      <c r="Y204" s="3"/>
      <c r="Z204" s="3"/>
      <c r="AA204" s="3"/>
      <c r="AB204" s="3"/>
      <c r="AC204" s="3"/>
      <c r="AD204" s="3"/>
      <c r="AE204" s="3"/>
      <c r="AF204" s="3"/>
      <c r="AM204"/>
      <c r="AN204"/>
      <c r="AO204"/>
      <c r="AP204"/>
      <c r="AQ204"/>
      <c r="AR204"/>
      <c r="AS204"/>
      <c r="AT204"/>
      <c r="AU204"/>
      <c r="AV204"/>
      <c r="AW204"/>
      <c r="AX204"/>
      <c r="AY204"/>
      <c r="AZ204"/>
      <c r="BA204"/>
      <c r="BB204"/>
    </row>
    <row r="205" spans="1:54">
      <c r="Q205" s="3"/>
      <c r="R205" s="3"/>
      <c r="S205" s="3"/>
      <c r="T205" s="3"/>
      <c r="U205" s="3"/>
      <c r="V205" s="3"/>
      <c r="W205" s="3"/>
      <c r="X205" s="3"/>
      <c r="Y205" s="3"/>
      <c r="Z205" s="3"/>
      <c r="AA205" s="3"/>
      <c r="AB205" s="3"/>
      <c r="AC205" s="3"/>
      <c r="AD205" s="3"/>
      <c r="AE205" s="3"/>
      <c r="AF205" s="3"/>
      <c r="AM205"/>
      <c r="AN205"/>
      <c r="AO205"/>
      <c r="AP205"/>
      <c r="AQ205"/>
      <c r="AR205"/>
      <c r="AS205"/>
      <c r="AT205"/>
      <c r="AU205"/>
      <c r="AV205"/>
      <c r="AW205"/>
      <c r="AX205"/>
      <c r="AY205"/>
      <c r="AZ205"/>
      <c r="BA205"/>
      <c r="BB205"/>
    </row>
    <row r="206" spans="1:54">
      <c r="Q206" s="3"/>
      <c r="R206" s="3"/>
      <c r="S206" s="3"/>
      <c r="T206" s="3"/>
      <c r="U206" s="3"/>
      <c r="V206" s="3"/>
      <c r="W206" s="3"/>
      <c r="X206" s="3"/>
      <c r="Y206" s="3"/>
      <c r="Z206" s="3"/>
      <c r="AA206" s="3"/>
      <c r="AB206" s="3"/>
      <c r="AC206" s="3"/>
      <c r="AD206" s="3"/>
      <c r="AE206" s="3"/>
      <c r="AF206" s="3"/>
      <c r="AM206"/>
      <c r="AN206"/>
      <c r="AO206"/>
      <c r="AP206"/>
      <c r="AQ206"/>
      <c r="AR206"/>
      <c r="AS206"/>
      <c r="AT206"/>
      <c r="AU206"/>
      <c r="AV206"/>
      <c r="AW206"/>
      <c r="AX206"/>
      <c r="AY206"/>
      <c r="AZ206"/>
      <c r="BA206"/>
      <c r="BB206"/>
    </row>
    <row r="207" spans="1:54">
      <c r="Q207" s="3"/>
      <c r="R207" s="3"/>
      <c r="S207" s="3"/>
      <c r="T207" s="3"/>
      <c r="U207" s="3"/>
      <c r="V207" s="3"/>
      <c r="W207" s="3"/>
      <c r="X207" s="3"/>
      <c r="Y207" s="3"/>
      <c r="Z207" s="3"/>
      <c r="AA207" s="3"/>
      <c r="AB207" s="3"/>
      <c r="AC207" s="3"/>
      <c r="AD207" s="3"/>
      <c r="AE207" s="3"/>
      <c r="AF207" s="3"/>
      <c r="AM207"/>
      <c r="AN207"/>
      <c r="AO207"/>
      <c r="AP207"/>
      <c r="AQ207"/>
      <c r="AR207"/>
      <c r="AS207"/>
      <c r="AT207"/>
      <c r="AU207"/>
      <c r="AV207"/>
      <c r="AW207"/>
      <c r="AX207"/>
      <c r="AY207"/>
      <c r="AZ207"/>
      <c r="BA207"/>
      <c r="BB207"/>
    </row>
    <row r="208" spans="1:54">
      <c r="Q208" s="3"/>
      <c r="R208" s="3"/>
      <c r="S208" s="3"/>
      <c r="T208" s="3"/>
      <c r="U208" s="3"/>
      <c r="V208" s="3"/>
      <c r="W208" s="3"/>
      <c r="X208" s="3"/>
      <c r="Y208" s="3"/>
      <c r="Z208" s="3"/>
      <c r="AA208" s="3"/>
      <c r="AB208" s="3"/>
      <c r="AC208" s="3"/>
      <c r="AD208" s="3"/>
      <c r="AE208" s="3"/>
      <c r="AF208" s="3"/>
      <c r="AM208"/>
      <c r="AN208"/>
      <c r="AO208"/>
      <c r="AP208"/>
      <c r="AQ208"/>
      <c r="AR208"/>
      <c r="AS208"/>
      <c r="AT208"/>
      <c r="AU208"/>
      <c r="AV208"/>
      <c r="AW208"/>
      <c r="AX208"/>
      <c r="AY208"/>
      <c r="AZ208"/>
      <c r="BA208"/>
      <c r="BB208"/>
    </row>
    <row r="209" spans="17:54">
      <c r="Q209" s="3"/>
      <c r="R209" s="3"/>
      <c r="S209" s="3"/>
      <c r="T209" s="3"/>
      <c r="U209" s="3"/>
      <c r="V209" s="3"/>
      <c r="W209" s="3"/>
      <c r="X209" s="3"/>
      <c r="Y209" s="3"/>
      <c r="Z209" s="3"/>
      <c r="AA209" s="3"/>
      <c r="AB209" s="3"/>
      <c r="AC209" s="3"/>
      <c r="AD209" s="3"/>
      <c r="AE209" s="3"/>
      <c r="AF209" s="3"/>
      <c r="AM209"/>
      <c r="AN209"/>
      <c r="AO209"/>
      <c r="AP209"/>
      <c r="AQ209"/>
      <c r="AR209"/>
      <c r="AS209"/>
      <c r="AT209"/>
      <c r="AU209"/>
      <c r="AV209"/>
      <c r="AW209"/>
      <c r="AX209"/>
      <c r="AY209"/>
      <c r="AZ209"/>
      <c r="BA209"/>
      <c r="BB209"/>
    </row>
    <row r="210" spans="17:54">
      <c r="Q210" s="3"/>
      <c r="R210" s="3"/>
      <c r="S210" s="3"/>
      <c r="T210" s="3"/>
      <c r="U210" s="3"/>
      <c r="V210" s="3"/>
      <c r="W210" s="3"/>
      <c r="X210" s="3"/>
      <c r="Y210" s="3"/>
      <c r="Z210" s="3"/>
      <c r="AA210" s="3"/>
      <c r="AB210" s="3"/>
      <c r="AC210" s="3"/>
      <c r="AD210" s="3"/>
      <c r="AE210" s="3"/>
      <c r="AF210" s="3"/>
      <c r="AM210"/>
      <c r="AN210"/>
      <c r="AO210"/>
      <c r="AP210"/>
      <c r="AQ210"/>
      <c r="AR210"/>
      <c r="AS210"/>
      <c r="AT210"/>
      <c r="AU210"/>
      <c r="AV210"/>
      <c r="AW210"/>
      <c r="AX210"/>
      <c r="AY210"/>
      <c r="AZ210"/>
      <c r="BA210"/>
      <c r="BB210"/>
    </row>
    <row r="211" spans="17:54">
      <c r="Q211" s="3"/>
      <c r="R211" s="3"/>
      <c r="S211" s="3"/>
      <c r="T211" s="3"/>
      <c r="U211" s="3"/>
      <c r="V211" s="3"/>
      <c r="W211" s="3"/>
      <c r="X211" s="3"/>
      <c r="Y211" s="3"/>
      <c r="Z211" s="3"/>
      <c r="AA211" s="3"/>
      <c r="AB211" s="3"/>
      <c r="AC211" s="3"/>
      <c r="AD211" s="3"/>
      <c r="AE211" s="3"/>
      <c r="AF211" s="3"/>
      <c r="AM211"/>
      <c r="AN211"/>
      <c r="AO211"/>
      <c r="AP211"/>
      <c r="AQ211"/>
      <c r="AR211"/>
      <c r="AS211"/>
      <c r="AT211"/>
      <c r="AU211"/>
      <c r="AV211"/>
      <c r="AW211"/>
      <c r="AX211"/>
      <c r="AY211"/>
      <c r="AZ211"/>
      <c r="BA211"/>
      <c r="BB211"/>
    </row>
    <row r="212" spans="17:54">
      <c r="Q212" s="3"/>
      <c r="R212" s="3"/>
      <c r="S212" s="3"/>
      <c r="T212" s="3"/>
      <c r="U212" s="3"/>
      <c r="V212" s="3"/>
      <c r="W212" s="3"/>
      <c r="X212" s="3"/>
      <c r="Y212" s="3"/>
      <c r="Z212" s="3"/>
      <c r="AA212" s="3"/>
      <c r="AB212" s="3"/>
      <c r="AC212" s="3"/>
      <c r="AD212" s="3"/>
      <c r="AE212" s="3"/>
      <c r="AF212" s="3"/>
      <c r="AM212"/>
      <c r="AN212"/>
      <c r="AO212"/>
      <c r="AP212"/>
      <c r="AQ212"/>
      <c r="AR212"/>
      <c r="AS212"/>
      <c r="AT212"/>
      <c r="AU212"/>
      <c r="AV212"/>
      <c r="AW212"/>
      <c r="AX212"/>
      <c r="AY212"/>
      <c r="AZ212"/>
      <c r="BA212"/>
      <c r="BB212"/>
    </row>
    <row r="213" spans="17:54">
      <c r="Q213" s="3"/>
      <c r="R213" s="3"/>
      <c r="S213" s="3"/>
      <c r="T213" s="3"/>
      <c r="U213" s="3"/>
      <c r="V213" s="3"/>
      <c r="W213" s="3"/>
      <c r="X213" s="3"/>
      <c r="Y213" s="3"/>
      <c r="Z213" s="3"/>
      <c r="AA213" s="3"/>
      <c r="AB213" s="3"/>
      <c r="AC213" s="3"/>
      <c r="AD213" s="3"/>
      <c r="AE213" s="3"/>
      <c r="AF213" s="3"/>
      <c r="AM213"/>
      <c r="AN213"/>
      <c r="AO213"/>
      <c r="AP213"/>
      <c r="AQ213"/>
      <c r="AR213"/>
      <c r="AS213"/>
      <c r="AT213"/>
      <c r="AU213"/>
      <c r="AV213"/>
      <c r="AW213"/>
      <c r="AX213"/>
      <c r="AY213"/>
      <c r="AZ213"/>
      <c r="BA213"/>
      <c r="BB213"/>
    </row>
    <row r="214" spans="17:54">
      <c r="Q214" s="3"/>
      <c r="R214" s="3"/>
      <c r="S214" s="3"/>
      <c r="T214" s="3"/>
      <c r="U214" s="3"/>
      <c r="V214" s="3"/>
      <c r="W214" s="3"/>
      <c r="X214" s="3"/>
      <c r="Y214" s="3"/>
      <c r="Z214" s="3"/>
      <c r="AA214" s="3"/>
      <c r="AB214" s="3"/>
      <c r="AC214" s="3"/>
      <c r="AD214" s="3"/>
      <c r="AE214" s="3"/>
      <c r="AF214" s="3"/>
      <c r="AM214"/>
      <c r="AN214"/>
      <c r="AO214"/>
      <c r="AP214"/>
      <c r="AQ214"/>
      <c r="AR214"/>
      <c r="AS214"/>
      <c r="AT214"/>
      <c r="AU214"/>
      <c r="AV214"/>
      <c r="AW214"/>
      <c r="AX214"/>
      <c r="AY214"/>
      <c r="AZ214"/>
      <c r="BA214"/>
      <c r="BB214"/>
    </row>
    <row r="215" spans="17:54">
      <c r="Q215" s="3"/>
      <c r="R215" s="3"/>
      <c r="S215" s="3"/>
      <c r="T215" s="3"/>
      <c r="U215" s="3"/>
      <c r="V215" s="3"/>
      <c r="W215" s="3"/>
      <c r="X215" s="3"/>
      <c r="Y215" s="3"/>
      <c r="Z215" s="3"/>
      <c r="AA215" s="3"/>
      <c r="AB215" s="3"/>
      <c r="AC215" s="3"/>
      <c r="AD215" s="3"/>
      <c r="AE215" s="3"/>
      <c r="AF215" s="3"/>
      <c r="AM215"/>
      <c r="AN215"/>
      <c r="AO215"/>
      <c r="AP215"/>
      <c r="AQ215"/>
      <c r="AR215"/>
      <c r="AS215"/>
      <c r="AT215"/>
      <c r="AU215"/>
      <c r="AV215"/>
      <c r="AW215"/>
      <c r="AX215"/>
      <c r="AY215"/>
      <c r="AZ215"/>
      <c r="BA215"/>
      <c r="BB215"/>
    </row>
    <row r="216" spans="17:54">
      <c r="Q216" s="3"/>
      <c r="R216" s="3"/>
      <c r="S216" s="3"/>
      <c r="T216" s="3"/>
      <c r="U216" s="3"/>
      <c r="V216" s="3"/>
      <c r="W216" s="3"/>
      <c r="X216" s="3"/>
      <c r="Y216" s="3"/>
      <c r="Z216" s="3"/>
      <c r="AA216" s="3"/>
      <c r="AB216" s="3"/>
      <c r="AC216" s="3"/>
      <c r="AD216" s="3"/>
      <c r="AE216" s="3"/>
      <c r="AF216" s="3"/>
      <c r="AM216"/>
      <c r="AN216"/>
      <c r="AO216"/>
      <c r="AP216"/>
      <c r="AQ216"/>
      <c r="AR216"/>
      <c r="AS216"/>
      <c r="AT216"/>
      <c r="AU216"/>
      <c r="AV216"/>
      <c r="AW216"/>
      <c r="AX216"/>
      <c r="AY216"/>
      <c r="AZ216"/>
      <c r="BA216"/>
      <c r="BB216"/>
    </row>
    <row r="217" spans="17:54">
      <c r="Q217" s="3"/>
      <c r="R217" s="3"/>
      <c r="S217" s="3"/>
      <c r="T217" s="3"/>
      <c r="U217" s="3"/>
      <c r="V217" s="3"/>
      <c r="W217" s="3"/>
      <c r="X217" s="3"/>
      <c r="Y217" s="3"/>
      <c r="Z217" s="3"/>
      <c r="AA217" s="3"/>
      <c r="AB217" s="3"/>
      <c r="AC217" s="3"/>
      <c r="AD217" s="3"/>
      <c r="AE217" s="3"/>
      <c r="AF217" s="3"/>
      <c r="AM217"/>
      <c r="AN217"/>
      <c r="AO217"/>
      <c r="AP217"/>
      <c r="AQ217"/>
      <c r="AR217"/>
      <c r="AS217"/>
      <c r="AT217"/>
      <c r="AU217"/>
      <c r="AV217"/>
      <c r="AW217"/>
      <c r="AX217"/>
      <c r="AY217"/>
      <c r="AZ217"/>
      <c r="BA217"/>
      <c r="BB217"/>
    </row>
    <row r="218" spans="17:54">
      <c r="Q218" s="3"/>
      <c r="R218" s="3"/>
      <c r="S218" s="3"/>
      <c r="T218" s="3"/>
      <c r="U218" s="3"/>
      <c r="V218" s="3"/>
      <c r="W218" s="3"/>
      <c r="X218" s="3"/>
      <c r="Y218" s="3"/>
      <c r="Z218" s="3"/>
      <c r="AA218" s="3"/>
      <c r="AB218" s="3"/>
      <c r="AC218" s="3"/>
      <c r="AD218" s="3"/>
      <c r="AE218" s="3"/>
      <c r="AF218" s="3"/>
      <c r="AM218"/>
      <c r="AN218"/>
      <c r="AO218"/>
      <c r="AP218"/>
      <c r="AQ218"/>
      <c r="AR218"/>
      <c r="AS218"/>
      <c r="AT218"/>
      <c r="AU218"/>
      <c r="AV218"/>
      <c r="AW218"/>
      <c r="AX218"/>
      <c r="AY218"/>
      <c r="AZ218"/>
      <c r="BA218"/>
      <c r="BB218"/>
    </row>
    <row r="219" spans="17:54">
      <c r="Q219" s="3"/>
      <c r="R219" s="3"/>
      <c r="S219" s="3"/>
      <c r="T219" s="3"/>
      <c r="U219" s="3"/>
      <c r="V219" s="3"/>
      <c r="W219" s="3"/>
      <c r="X219" s="3"/>
      <c r="Y219" s="3"/>
      <c r="Z219" s="3"/>
      <c r="AA219" s="3"/>
      <c r="AB219" s="3"/>
      <c r="AC219" s="3"/>
      <c r="AD219" s="3"/>
      <c r="AE219" s="3"/>
      <c r="AF219" s="3"/>
      <c r="AM219"/>
      <c r="AN219"/>
      <c r="AO219"/>
      <c r="AP219"/>
      <c r="AQ219"/>
      <c r="AR219"/>
      <c r="AS219"/>
      <c r="AT219"/>
      <c r="AU219"/>
      <c r="AV219"/>
      <c r="AW219"/>
      <c r="AX219"/>
      <c r="AY219"/>
      <c r="AZ219"/>
      <c r="BA219"/>
      <c r="BB219"/>
    </row>
    <row r="220" spans="17:54">
      <c r="Q220" s="3"/>
      <c r="R220" s="3"/>
      <c r="S220" s="3"/>
      <c r="T220" s="3"/>
      <c r="U220" s="3"/>
      <c r="V220" s="3"/>
      <c r="W220" s="3"/>
      <c r="X220" s="3"/>
      <c r="Y220" s="3"/>
      <c r="Z220" s="3"/>
      <c r="AA220" s="3"/>
      <c r="AB220" s="3"/>
      <c r="AC220" s="3"/>
      <c r="AD220" s="3"/>
      <c r="AE220" s="3"/>
      <c r="AF220" s="3"/>
      <c r="AM220"/>
      <c r="AN220"/>
      <c r="AO220"/>
      <c r="AP220"/>
      <c r="AQ220"/>
      <c r="AR220"/>
      <c r="AS220"/>
      <c r="AT220"/>
      <c r="AU220"/>
      <c r="AV220"/>
      <c r="AW220"/>
      <c r="AX220"/>
      <c r="AY220"/>
      <c r="AZ220"/>
      <c r="BA220"/>
      <c r="BB220"/>
    </row>
    <row r="221" spans="17:54">
      <c r="Q221" s="3"/>
      <c r="R221" s="3"/>
      <c r="S221" s="3"/>
      <c r="T221" s="3"/>
      <c r="U221" s="3"/>
      <c r="V221" s="3"/>
      <c r="W221" s="3"/>
      <c r="X221" s="3"/>
      <c r="Y221" s="3"/>
      <c r="Z221" s="3"/>
      <c r="AA221" s="3"/>
      <c r="AB221" s="3"/>
      <c r="AC221" s="3"/>
      <c r="AD221" s="3"/>
      <c r="AE221" s="3"/>
      <c r="AF221" s="3"/>
      <c r="AM221"/>
      <c r="AN221"/>
      <c r="AO221"/>
      <c r="AP221"/>
      <c r="AQ221"/>
      <c r="AR221"/>
      <c r="AS221"/>
      <c r="AT221"/>
      <c r="AU221"/>
      <c r="AV221"/>
      <c r="AW221"/>
      <c r="AX221"/>
      <c r="AY221"/>
      <c r="AZ221"/>
      <c r="BA221"/>
      <c r="BB221"/>
    </row>
    <row r="222" spans="17:54">
      <c r="Q222" s="3"/>
      <c r="R222" s="3"/>
      <c r="S222" s="3"/>
      <c r="T222" s="3"/>
      <c r="U222" s="3"/>
      <c r="V222" s="3"/>
      <c r="W222" s="3"/>
      <c r="X222" s="3"/>
      <c r="Y222" s="3"/>
      <c r="Z222" s="3"/>
      <c r="AA222" s="3"/>
      <c r="AB222" s="3"/>
      <c r="AC222" s="3"/>
      <c r="AD222" s="3"/>
      <c r="AE222" s="3"/>
      <c r="AF222" s="3"/>
      <c r="AM222"/>
      <c r="AN222"/>
      <c r="AO222"/>
      <c r="AP222"/>
      <c r="AQ222"/>
      <c r="AR222"/>
      <c r="AS222"/>
      <c r="AT222"/>
      <c r="AU222"/>
      <c r="AV222"/>
      <c r="AW222"/>
      <c r="AX222"/>
      <c r="AY222"/>
      <c r="AZ222"/>
      <c r="BA222"/>
      <c r="BB222"/>
    </row>
    <row r="223" spans="17:54">
      <c r="Q223" s="3"/>
      <c r="R223" s="3"/>
      <c r="S223" s="3"/>
      <c r="T223" s="3"/>
      <c r="U223" s="3"/>
      <c r="V223" s="3"/>
      <c r="W223" s="3"/>
      <c r="X223" s="3"/>
      <c r="Y223" s="3"/>
      <c r="Z223" s="3"/>
      <c r="AA223" s="3"/>
      <c r="AB223" s="3"/>
      <c r="AC223" s="3"/>
      <c r="AD223" s="3"/>
      <c r="AE223" s="3"/>
      <c r="AF223" s="3"/>
      <c r="AM223"/>
      <c r="AN223"/>
      <c r="AO223"/>
      <c r="AP223"/>
      <c r="AQ223"/>
      <c r="AR223"/>
      <c r="AS223"/>
      <c r="AT223"/>
      <c r="AU223"/>
      <c r="AV223"/>
      <c r="AW223"/>
      <c r="AX223"/>
      <c r="AY223"/>
      <c r="AZ223"/>
      <c r="BA223"/>
      <c r="BB223"/>
    </row>
    <row r="224" spans="17:54">
      <c r="Q224" s="3"/>
      <c r="R224" s="3"/>
      <c r="S224" s="3"/>
      <c r="T224" s="3"/>
      <c r="U224" s="3"/>
      <c r="V224" s="3"/>
      <c r="W224" s="3"/>
      <c r="X224" s="3"/>
      <c r="Y224" s="3"/>
      <c r="Z224" s="3"/>
      <c r="AA224" s="3"/>
      <c r="AB224" s="3"/>
      <c r="AC224" s="3"/>
      <c r="AD224" s="3"/>
      <c r="AE224" s="3"/>
      <c r="AF224" s="3"/>
      <c r="AM224"/>
      <c r="AN224"/>
      <c r="AO224"/>
      <c r="AP224"/>
      <c r="AQ224"/>
      <c r="AR224"/>
      <c r="AS224"/>
      <c r="AT224"/>
      <c r="AU224"/>
      <c r="AV224"/>
      <c r="AW224"/>
      <c r="AX224"/>
      <c r="AY224"/>
      <c r="AZ224"/>
      <c r="BA224"/>
      <c r="BB224"/>
    </row>
    <row r="225" spans="17:54">
      <c r="Q225" s="3"/>
      <c r="R225" s="3"/>
      <c r="S225" s="3"/>
      <c r="T225" s="3"/>
      <c r="U225" s="3"/>
      <c r="V225" s="3"/>
      <c r="W225" s="3"/>
      <c r="X225" s="3"/>
      <c r="Y225" s="3"/>
      <c r="Z225" s="3"/>
      <c r="AA225" s="3"/>
      <c r="AB225" s="3"/>
      <c r="AC225" s="3"/>
      <c r="AD225" s="3"/>
      <c r="AE225" s="3"/>
      <c r="AF225" s="3"/>
      <c r="AM225"/>
      <c r="AN225"/>
      <c r="AO225"/>
      <c r="AP225"/>
      <c r="AQ225"/>
      <c r="AR225"/>
      <c r="AS225"/>
      <c r="AT225"/>
      <c r="AU225"/>
      <c r="AV225"/>
      <c r="AW225"/>
      <c r="AX225"/>
      <c r="AY225"/>
      <c r="AZ225"/>
      <c r="BA225"/>
      <c r="BB225"/>
    </row>
    <row r="226" spans="17:54">
      <c r="Q226" s="3"/>
      <c r="R226" s="3"/>
      <c r="S226" s="3"/>
      <c r="T226" s="3"/>
      <c r="U226" s="3"/>
      <c r="V226" s="3"/>
      <c r="W226" s="3"/>
      <c r="X226" s="3"/>
      <c r="Y226" s="3"/>
      <c r="Z226" s="3"/>
      <c r="AA226" s="3"/>
      <c r="AB226" s="3"/>
      <c r="AC226" s="3"/>
      <c r="AD226" s="3"/>
      <c r="AE226" s="3"/>
      <c r="AF226" s="3"/>
      <c r="AM226"/>
      <c r="AN226"/>
      <c r="AO226"/>
      <c r="AP226"/>
      <c r="AQ226"/>
      <c r="AR226"/>
      <c r="AS226"/>
      <c r="AT226"/>
      <c r="AU226"/>
      <c r="AV226"/>
      <c r="AW226"/>
      <c r="AX226"/>
      <c r="AY226"/>
      <c r="AZ226"/>
      <c r="BA226"/>
      <c r="BB226"/>
    </row>
    <row r="227" spans="17:54">
      <c r="Q227" s="3"/>
      <c r="R227" s="3"/>
      <c r="S227" s="3"/>
      <c r="T227" s="3"/>
      <c r="U227" s="3"/>
      <c r="V227" s="3"/>
      <c r="W227" s="3"/>
      <c r="X227" s="3"/>
      <c r="Y227" s="3"/>
      <c r="Z227" s="3"/>
      <c r="AA227" s="3"/>
      <c r="AB227" s="3"/>
      <c r="AC227" s="3"/>
      <c r="AD227" s="3"/>
      <c r="AE227" s="3"/>
      <c r="AF227" s="3"/>
      <c r="AM227"/>
      <c r="AN227"/>
      <c r="AO227"/>
      <c r="AP227"/>
      <c r="AQ227"/>
      <c r="AR227"/>
      <c r="AS227"/>
      <c r="AT227"/>
      <c r="AU227"/>
      <c r="AV227"/>
      <c r="AW227"/>
      <c r="AX227"/>
      <c r="AY227"/>
      <c r="AZ227"/>
      <c r="BA227"/>
      <c r="BB227"/>
    </row>
    <row r="228" spans="17:54">
      <c r="Q228" s="3"/>
      <c r="R228" s="3"/>
      <c r="S228" s="3"/>
      <c r="T228" s="3"/>
      <c r="U228" s="3"/>
      <c r="V228" s="3"/>
      <c r="W228" s="3"/>
      <c r="X228" s="3"/>
      <c r="Y228" s="3"/>
      <c r="Z228" s="3"/>
      <c r="AA228" s="3"/>
      <c r="AB228" s="3"/>
      <c r="AC228" s="3"/>
      <c r="AD228" s="3"/>
      <c r="AE228" s="3"/>
      <c r="AF228" s="3"/>
      <c r="AM228"/>
      <c r="AN228"/>
      <c r="AO228"/>
      <c r="AP228"/>
      <c r="AQ228"/>
      <c r="AR228"/>
      <c r="AS228"/>
      <c r="AT228"/>
      <c r="AU228"/>
      <c r="AV228"/>
      <c r="AW228"/>
      <c r="AX228"/>
      <c r="AY228"/>
      <c r="AZ228"/>
      <c r="BA228"/>
      <c r="BB228"/>
    </row>
    <row r="229" spans="17:54">
      <c r="Q229" s="3"/>
      <c r="R229" s="3"/>
      <c r="S229" s="3"/>
      <c r="T229" s="3"/>
      <c r="U229" s="3"/>
      <c r="V229" s="3"/>
      <c r="W229" s="3"/>
      <c r="X229" s="3"/>
      <c r="Y229" s="3"/>
      <c r="Z229" s="3"/>
      <c r="AA229" s="3"/>
      <c r="AB229" s="3"/>
      <c r="AC229" s="3"/>
      <c r="AD229" s="3"/>
      <c r="AE229" s="3"/>
      <c r="AF229" s="3"/>
      <c r="AM229"/>
      <c r="AN229"/>
      <c r="AO229"/>
      <c r="AP229"/>
      <c r="AQ229"/>
      <c r="AR229"/>
      <c r="AS229"/>
      <c r="AT229"/>
      <c r="AU229"/>
      <c r="AV229"/>
      <c r="AW229"/>
      <c r="AX229"/>
      <c r="AY229"/>
      <c r="AZ229"/>
      <c r="BA229"/>
      <c r="BB229"/>
    </row>
    <row r="230" spans="17:54">
      <c r="Q230" s="3"/>
      <c r="R230" s="3"/>
      <c r="S230" s="3"/>
      <c r="T230" s="3"/>
      <c r="U230" s="3"/>
      <c r="V230" s="3"/>
      <c r="W230" s="3"/>
      <c r="X230" s="3"/>
      <c r="Y230" s="3"/>
      <c r="Z230" s="3"/>
      <c r="AA230" s="3"/>
      <c r="AB230" s="3"/>
      <c r="AC230" s="3"/>
      <c r="AD230" s="3"/>
      <c r="AE230" s="3"/>
      <c r="AF230" s="3"/>
      <c r="AM230"/>
      <c r="AN230"/>
      <c r="AO230"/>
      <c r="AP230"/>
      <c r="AQ230"/>
      <c r="AR230"/>
      <c r="AS230"/>
      <c r="AT230"/>
      <c r="AU230"/>
      <c r="AV230"/>
      <c r="AW230"/>
      <c r="AX230"/>
      <c r="AY230"/>
      <c r="AZ230"/>
      <c r="BA230"/>
      <c r="BB230"/>
    </row>
    <row r="231" spans="17:54">
      <c r="Q231" s="3"/>
      <c r="R231" s="3"/>
      <c r="S231" s="3"/>
      <c r="T231" s="3"/>
      <c r="U231" s="3"/>
      <c r="V231" s="3"/>
      <c r="W231" s="3"/>
      <c r="X231" s="3"/>
      <c r="Y231" s="3"/>
      <c r="Z231" s="3"/>
      <c r="AA231" s="3"/>
      <c r="AB231" s="3"/>
      <c r="AC231" s="3"/>
      <c r="AD231" s="3"/>
      <c r="AE231" s="3"/>
      <c r="AF231" s="3"/>
      <c r="AM231"/>
      <c r="AN231"/>
      <c r="AO231"/>
      <c r="AP231"/>
      <c r="AQ231"/>
      <c r="AR231"/>
      <c r="AS231"/>
      <c r="AT231"/>
      <c r="AU231"/>
      <c r="AV231"/>
      <c r="AW231"/>
      <c r="AX231"/>
      <c r="AY231"/>
      <c r="AZ231"/>
      <c r="BA231"/>
      <c r="BB231"/>
    </row>
    <row r="232" spans="17:54">
      <c r="Q232" s="3"/>
      <c r="R232" s="3"/>
      <c r="S232" s="3"/>
      <c r="T232" s="3"/>
      <c r="U232" s="3"/>
      <c r="V232" s="3"/>
      <c r="W232" s="3"/>
      <c r="X232" s="3"/>
      <c r="Y232" s="3"/>
      <c r="Z232" s="3"/>
      <c r="AA232" s="3"/>
      <c r="AB232" s="3"/>
      <c r="AC232" s="3"/>
      <c r="AD232" s="3"/>
      <c r="AE232" s="3"/>
      <c r="AF232" s="3"/>
      <c r="AM232"/>
      <c r="AN232"/>
      <c r="AO232"/>
      <c r="AP232"/>
      <c r="AQ232"/>
      <c r="AR232"/>
      <c r="AS232"/>
      <c r="AT232"/>
      <c r="AU232"/>
      <c r="AV232"/>
      <c r="AW232"/>
      <c r="AX232"/>
      <c r="AY232"/>
      <c r="AZ232"/>
      <c r="BA232"/>
      <c r="BB232"/>
    </row>
    <row r="233" spans="17:54">
      <c r="Q233" s="3"/>
      <c r="R233" s="3"/>
      <c r="S233" s="3"/>
      <c r="T233" s="3"/>
      <c r="U233" s="3"/>
      <c r="V233" s="3"/>
      <c r="W233" s="3"/>
      <c r="X233" s="3"/>
      <c r="Y233" s="3"/>
      <c r="Z233" s="3"/>
      <c r="AA233" s="3"/>
      <c r="AB233" s="3"/>
      <c r="AC233" s="3"/>
      <c r="AD233" s="3"/>
      <c r="AE233" s="3"/>
      <c r="AF233" s="3"/>
      <c r="AM233"/>
      <c r="AN233"/>
      <c r="AO233"/>
      <c r="AP233"/>
      <c r="AQ233"/>
      <c r="AR233"/>
      <c r="AS233"/>
      <c r="AT233"/>
      <c r="AU233"/>
      <c r="AV233"/>
      <c r="AW233"/>
      <c r="AX233"/>
      <c r="AY233"/>
      <c r="AZ233"/>
      <c r="BA233"/>
      <c r="BB233"/>
    </row>
    <row r="234" spans="17:54">
      <c r="Q234" s="3"/>
      <c r="R234" s="3"/>
      <c r="S234" s="3"/>
      <c r="T234" s="3"/>
      <c r="U234" s="3"/>
      <c r="V234" s="3"/>
      <c r="W234" s="3"/>
      <c r="X234" s="3"/>
      <c r="Y234" s="3"/>
      <c r="Z234" s="3"/>
      <c r="AA234" s="3"/>
      <c r="AB234" s="3"/>
      <c r="AC234" s="3"/>
      <c r="AD234" s="3"/>
      <c r="AE234" s="3"/>
      <c r="AF234" s="3"/>
      <c r="AM234"/>
      <c r="AN234"/>
      <c r="AO234"/>
      <c r="AP234"/>
      <c r="AQ234"/>
      <c r="AR234"/>
      <c r="AS234"/>
      <c r="AT234"/>
      <c r="AU234"/>
      <c r="AV234"/>
      <c r="AW234"/>
      <c r="AX234"/>
      <c r="AY234"/>
      <c r="AZ234"/>
      <c r="BA234"/>
      <c r="BB234"/>
    </row>
    <row r="235" spans="17:54">
      <c r="Q235" s="3"/>
      <c r="R235" s="3"/>
      <c r="S235" s="3"/>
      <c r="T235" s="3"/>
      <c r="U235" s="3"/>
      <c r="V235" s="3"/>
      <c r="W235" s="3"/>
      <c r="X235" s="3"/>
      <c r="Y235" s="3"/>
      <c r="Z235" s="3"/>
      <c r="AA235" s="3"/>
      <c r="AB235" s="3"/>
      <c r="AC235" s="3"/>
      <c r="AD235" s="3"/>
      <c r="AE235" s="3"/>
      <c r="AF235" s="3"/>
      <c r="AM235"/>
      <c r="AN235"/>
      <c r="AO235"/>
      <c r="AP235"/>
      <c r="AQ235"/>
      <c r="AR235"/>
      <c r="AS235"/>
      <c r="AT235"/>
      <c r="AU235"/>
      <c r="AV235"/>
      <c r="AW235"/>
      <c r="AX235"/>
      <c r="AY235"/>
      <c r="AZ235"/>
      <c r="BA235"/>
      <c r="BB235"/>
    </row>
    <row r="236" spans="17:54">
      <c r="Q236" s="3"/>
      <c r="R236" s="3"/>
      <c r="S236" s="3"/>
      <c r="T236" s="3"/>
      <c r="U236" s="3"/>
      <c r="V236" s="3"/>
      <c r="W236" s="3"/>
      <c r="X236" s="3"/>
      <c r="Y236" s="3"/>
      <c r="Z236" s="3"/>
      <c r="AA236" s="3"/>
      <c r="AB236" s="3"/>
      <c r="AC236" s="3"/>
      <c r="AD236" s="3"/>
      <c r="AE236" s="3"/>
      <c r="AF236" s="3"/>
      <c r="AM236"/>
      <c r="AN236"/>
      <c r="AO236"/>
      <c r="AP236"/>
      <c r="AQ236"/>
      <c r="AR236"/>
      <c r="AS236"/>
      <c r="AT236"/>
      <c r="AU236"/>
      <c r="AV236"/>
      <c r="AW236"/>
      <c r="AX236"/>
      <c r="AY236"/>
      <c r="AZ236"/>
      <c r="BA236"/>
      <c r="BB236"/>
    </row>
    <row r="237" spans="17:54">
      <c r="Q237" s="3"/>
      <c r="R237" s="3"/>
      <c r="S237" s="3"/>
      <c r="T237" s="3"/>
      <c r="U237" s="3"/>
      <c r="V237" s="3"/>
      <c r="W237" s="3"/>
      <c r="X237" s="3"/>
      <c r="Y237" s="3"/>
      <c r="Z237" s="3"/>
      <c r="AA237" s="3"/>
      <c r="AB237" s="3"/>
      <c r="AC237" s="3"/>
      <c r="AD237" s="3"/>
      <c r="AE237" s="3"/>
      <c r="AF237" s="3"/>
      <c r="AM237"/>
      <c r="AN237"/>
      <c r="AO237"/>
      <c r="AP237"/>
      <c r="AQ237"/>
      <c r="AR237"/>
      <c r="AS237"/>
      <c r="AT237"/>
      <c r="AU237"/>
      <c r="AV237"/>
      <c r="AW237"/>
      <c r="AX237"/>
      <c r="AY237"/>
      <c r="AZ237"/>
      <c r="BA237"/>
      <c r="BB237"/>
    </row>
    <row r="238" spans="17:54">
      <c r="Q238" s="3"/>
      <c r="R238" s="3"/>
      <c r="S238" s="3"/>
      <c r="T238" s="3"/>
      <c r="U238" s="3"/>
      <c r="V238" s="3"/>
      <c r="W238" s="3"/>
      <c r="X238" s="3"/>
      <c r="Y238" s="3"/>
      <c r="Z238" s="3"/>
      <c r="AA238" s="3"/>
      <c r="AB238" s="3"/>
      <c r="AC238" s="3"/>
      <c r="AD238" s="3"/>
      <c r="AE238" s="3"/>
      <c r="AF238" s="3"/>
      <c r="AM238"/>
      <c r="AN238"/>
      <c r="AO238"/>
      <c r="AP238"/>
      <c r="AQ238"/>
      <c r="AR238"/>
      <c r="AS238"/>
      <c r="AT238"/>
      <c r="AU238"/>
      <c r="AV238"/>
      <c r="AW238"/>
      <c r="AX238"/>
      <c r="AY238"/>
      <c r="AZ238"/>
      <c r="BA238"/>
      <c r="BB238"/>
    </row>
    <row r="239" spans="17:54">
      <c r="Q239" s="3"/>
      <c r="R239" s="3"/>
      <c r="S239" s="3"/>
      <c r="T239" s="3"/>
      <c r="U239" s="3"/>
      <c r="V239" s="3"/>
      <c r="W239" s="3"/>
      <c r="X239" s="3"/>
      <c r="Y239" s="3"/>
      <c r="Z239" s="3"/>
      <c r="AA239" s="3"/>
      <c r="AB239" s="3"/>
      <c r="AC239" s="3"/>
      <c r="AD239" s="3"/>
      <c r="AE239" s="3"/>
      <c r="AF239" s="3"/>
      <c r="AM239"/>
      <c r="AN239"/>
      <c r="AO239"/>
      <c r="AP239"/>
      <c r="AQ239"/>
      <c r="AR239"/>
      <c r="AS239"/>
      <c r="AT239"/>
      <c r="AU239"/>
      <c r="AV239"/>
      <c r="AW239"/>
      <c r="AX239"/>
      <c r="AY239"/>
      <c r="AZ239"/>
      <c r="BA239"/>
      <c r="BB239"/>
    </row>
    <row r="240" spans="17:54">
      <c r="Q240" s="3"/>
      <c r="R240" s="3"/>
      <c r="S240" s="3"/>
      <c r="T240" s="3"/>
      <c r="U240" s="3"/>
      <c r="V240" s="3"/>
      <c r="W240" s="3"/>
      <c r="X240" s="3"/>
      <c r="Y240" s="3"/>
      <c r="Z240" s="3"/>
      <c r="AA240" s="3"/>
      <c r="AB240" s="3"/>
      <c r="AC240" s="3"/>
      <c r="AD240" s="3"/>
      <c r="AE240" s="3"/>
      <c r="AF240" s="3"/>
      <c r="AM240"/>
      <c r="AN240"/>
      <c r="AO240"/>
      <c r="AP240"/>
      <c r="AQ240"/>
      <c r="AR240"/>
      <c r="AS240"/>
      <c r="AT240"/>
      <c r="AU240"/>
      <c r="AV240"/>
      <c r="AW240"/>
      <c r="AX240"/>
      <c r="AY240"/>
      <c r="AZ240"/>
      <c r="BA240"/>
      <c r="BB240"/>
    </row>
    <row r="241" spans="17:54">
      <c r="Q241" s="3"/>
      <c r="R241" s="3"/>
      <c r="S241" s="3"/>
      <c r="T241" s="3"/>
      <c r="U241" s="3"/>
      <c r="V241" s="3"/>
      <c r="W241" s="3"/>
      <c r="X241" s="3"/>
      <c r="Y241" s="3"/>
      <c r="Z241" s="3"/>
      <c r="AA241" s="3"/>
      <c r="AB241" s="3"/>
      <c r="AC241" s="3"/>
      <c r="AD241" s="3"/>
      <c r="AE241" s="3"/>
      <c r="AF241" s="3"/>
      <c r="AM241"/>
      <c r="AN241"/>
      <c r="AO241"/>
      <c r="AP241"/>
      <c r="AQ241"/>
      <c r="AR241"/>
      <c r="AS241"/>
      <c r="AT241"/>
      <c r="AU241"/>
      <c r="AV241"/>
      <c r="AW241"/>
      <c r="AX241"/>
      <c r="AY241"/>
      <c r="AZ241"/>
      <c r="BA241"/>
      <c r="BB241"/>
    </row>
    <row r="242" spans="17:54">
      <c r="Q242" s="3"/>
      <c r="R242" s="3"/>
      <c r="S242" s="3"/>
      <c r="T242" s="3"/>
      <c r="U242" s="3"/>
      <c r="V242" s="3"/>
      <c r="W242" s="3"/>
      <c r="X242" s="3"/>
      <c r="Y242" s="3"/>
      <c r="Z242" s="3"/>
      <c r="AA242" s="3"/>
      <c r="AB242" s="3"/>
      <c r="AC242" s="3"/>
      <c r="AD242" s="3"/>
      <c r="AE242" s="3"/>
      <c r="AF242" s="3"/>
      <c r="AM242"/>
      <c r="AN242"/>
      <c r="AO242"/>
      <c r="AP242"/>
      <c r="AQ242"/>
      <c r="AR242"/>
      <c r="AS242"/>
      <c r="AT242"/>
      <c r="AU242"/>
      <c r="AV242"/>
      <c r="AW242"/>
      <c r="AX242"/>
      <c r="AY242"/>
      <c r="AZ242"/>
      <c r="BA242"/>
      <c r="BB242"/>
    </row>
    <row r="243" spans="17:54">
      <c r="Q243" s="3"/>
      <c r="R243" s="3"/>
      <c r="S243" s="3"/>
      <c r="T243" s="3"/>
      <c r="U243" s="3"/>
      <c r="V243" s="3"/>
      <c r="W243" s="3"/>
      <c r="X243" s="3"/>
      <c r="Y243" s="3"/>
      <c r="Z243" s="3"/>
      <c r="AA243" s="3"/>
      <c r="AB243" s="3"/>
      <c r="AC243" s="3"/>
      <c r="AD243" s="3"/>
      <c r="AE243" s="3"/>
      <c r="AF243" s="3"/>
      <c r="AM243"/>
      <c r="AN243"/>
      <c r="AO243"/>
      <c r="AP243"/>
      <c r="AQ243"/>
      <c r="AR243"/>
      <c r="AS243"/>
      <c r="AT243"/>
      <c r="AU243"/>
      <c r="AV243"/>
      <c r="AW243"/>
      <c r="AX243"/>
      <c r="AY243"/>
      <c r="AZ243"/>
      <c r="BA243"/>
      <c r="BB243"/>
    </row>
    <row r="244" spans="17:54">
      <c r="Q244" s="3"/>
      <c r="R244" s="3"/>
      <c r="S244" s="3"/>
      <c r="T244" s="3"/>
      <c r="U244" s="3"/>
      <c r="V244" s="3"/>
      <c r="W244" s="3"/>
      <c r="X244" s="3"/>
      <c r="Y244" s="3"/>
      <c r="Z244" s="3"/>
      <c r="AA244" s="3"/>
      <c r="AB244" s="3"/>
      <c r="AC244" s="3"/>
      <c r="AD244" s="3"/>
      <c r="AE244" s="3"/>
      <c r="AF244" s="3"/>
      <c r="AM244"/>
      <c r="AN244"/>
      <c r="AO244"/>
      <c r="AP244"/>
      <c r="AQ244"/>
      <c r="AR244"/>
      <c r="AS244"/>
      <c r="AT244"/>
      <c r="AU244"/>
      <c r="AV244"/>
      <c r="AW244"/>
      <c r="AX244"/>
      <c r="AY244"/>
      <c r="AZ244"/>
      <c r="BA244"/>
      <c r="BB244"/>
    </row>
    <row r="245" spans="17:54">
      <c r="Q245" s="3"/>
      <c r="R245" s="3"/>
      <c r="S245" s="3"/>
      <c r="T245" s="3"/>
      <c r="U245" s="3"/>
      <c r="V245" s="3"/>
      <c r="W245" s="3"/>
      <c r="X245" s="3"/>
      <c r="Y245" s="3"/>
      <c r="Z245" s="3"/>
      <c r="AA245" s="3"/>
      <c r="AB245" s="3"/>
      <c r="AC245" s="3"/>
      <c r="AD245" s="3"/>
      <c r="AE245" s="3"/>
      <c r="AF245" s="3"/>
      <c r="AM245"/>
      <c r="AN245"/>
      <c r="AO245"/>
      <c r="AP245"/>
      <c r="AQ245"/>
      <c r="AR245"/>
      <c r="AS245"/>
      <c r="AT245"/>
      <c r="AU245"/>
      <c r="AV245"/>
      <c r="AW245"/>
      <c r="AX245"/>
      <c r="AY245"/>
      <c r="AZ245"/>
      <c r="BA245"/>
      <c r="BB245"/>
    </row>
    <row r="246" spans="17:54">
      <c r="Q246" s="3"/>
      <c r="R246" s="3"/>
      <c r="S246" s="3"/>
      <c r="T246" s="3"/>
      <c r="U246" s="3"/>
      <c r="V246" s="3"/>
      <c r="W246" s="3"/>
      <c r="X246" s="3"/>
      <c r="Y246" s="3"/>
      <c r="Z246" s="3"/>
      <c r="AA246" s="3"/>
      <c r="AB246" s="3"/>
      <c r="AC246" s="3"/>
      <c r="AD246" s="3"/>
      <c r="AE246" s="3"/>
      <c r="AF246" s="3"/>
      <c r="AM246"/>
      <c r="AN246"/>
      <c r="AO246"/>
      <c r="AP246"/>
      <c r="AQ246"/>
      <c r="AR246"/>
      <c r="AS246"/>
      <c r="AT246"/>
      <c r="AU246"/>
      <c r="AV246"/>
      <c r="AW246"/>
      <c r="AX246"/>
      <c r="AY246"/>
      <c r="AZ246"/>
      <c r="BA246"/>
      <c r="BB246"/>
    </row>
    <row r="247" spans="17:54">
      <c r="Q247" s="3"/>
      <c r="R247" s="3"/>
      <c r="S247" s="3"/>
      <c r="T247" s="3"/>
      <c r="U247" s="3"/>
      <c r="V247" s="3"/>
      <c r="W247" s="3"/>
      <c r="X247" s="3"/>
      <c r="Y247" s="3"/>
      <c r="Z247" s="3"/>
      <c r="AA247" s="3"/>
      <c r="AB247" s="3"/>
      <c r="AC247" s="3"/>
      <c r="AD247" s="3"/>
      <c r="AE247" s="3"/>
      <c r="AF247" s="3"/>
      <c r="AM247"/>
      <c r="AN247"/>
      <c r="AO247"/>
      <c r="AP247"/>
      <c r="AQ247"/>
      <c r="AR247"/>
      <c r="AS247"/>
      <c r="AT247"/>
      <c r="AU247"/>
      <c r="AV247"/>
      <c r="AW247"/>
      <c r="AX247"/>
      <c r="AY247"/>
      <c r="AZ247"/>
      <c r="BA247"/>
      <c r="BB247"/>
    </row>
    <row r="248" spans="17:54">
      <c r="Q248" s="3"/>
      <c r="R248" s="3"/>
      <c r="S248" s="3"/>
      <c r="T248" s="3"/>
      <c r="U248" s="3"/>
      <c r="V248" s="3"/>
      <c r="W248" s="3"/>
      <c r="X248" s="3"/>
      <c r="Y248" s="3"/>
      <c r="Z248" s="3"/>
      <c r="AA248" s="3"/>
      <c r="AB248" s="3"/>
      <c r="AC248" s="3"/>
      <c r="AD248" s="3"/>
      <c r="AE248" s="3"/>
      <c r="AF248" s="3"/>
      <c r="AM248"/>
      <c r="AN248"/>
      <c r="AO248"/>
      <c r="AP248"/>
      <c r="AQ248"/>
      <c r="AR248"/>
      <c r="AS248"/>
      <c r="AT248"/>
      <c r="AU248"/>
      <c r="AV248"/>
      <c r="AW248"/>
      <c r="AX248"/>
      <c r="AY248"/>
      <c r="AZ248"/>
      <c r="BA248"/>
      <c r="BB248"/>
    </row>
    <row r="249" spans="17:54">
      <c r="Q249" s="3"/>
      <c r="R249" s="3"/>
      <c r="S249" s="3"/>
      <c r="T249" s="3"/>
      <c r="U249" s="3"/>
      <c r="V249" s="3"/>
      <c r="W249" s="3"/>
      <c r="X249" s="3"/>
      <c r="Y249" s="3"/>
      <c r="Z249" s="3"/>
      <c r="AA249" s="3"/>
      <c r="AB249" s="3"/>
      <c r="AC249" s="3"/>
      <c r="AD249" s="3"/>
      <c r="AE249" s="3"/>
      <c r="AF249" s="3"/>
      <c r="AM249"/>
      <c r="AN249"/>
      <c r="AO249"/>
      <c r="AP249"/>
      <c r="AQ249"/>
      <c r="AR249"/>
      <c r="AS249"/>
      <c r="AT249"/>
      <c r="AU249"/>
      <c r="AV249"/>
      <c r="AW249"/>
      <c r="AX249"/>
      <c r="AY249"/>
      <c r="AZ249"/>
      <c r="BA249"/>
      <c r="BB249"/>
    </row>
    <row r="250" spans="17:54">
      <c r="Q250" s="3"/>
      <c r="R250" s="3"/>
      <c r="S250" s="3"/>
      <c r="T250" s="3"/>
      <c r="U250" s="3"/>
      <c r="V250" s="3"/>
      <c r="W250" s="3"/>
      <c r="X250" s="3"/>
      <c r="Y250" s="3"/>
      <c r="Z250" s="3"/>
      <c r="AA250" s="3"/>
      <c r="AB250" s="3"/>
      <c r="AC250" s="3"/>
      <c r="AD250" s="3"/>
      <c r="AE250" s="3"/>
      <c r="AF250" s="3"/>
      <c r="AM250"/>
      <c r="AN250"/>
      <c r="AO250"/>
      <c r="AP250"/>
      <c r="AQ250"/>
      <c r="AR250"/>
      <c r="AS250"/>
      <c r="AT250"/>
      <c r="AU250"/>
      <c r="AV250"/>
      <c r="AW250"/>
      <c r="AX250"/>
      <c r="AY250"/>
      <c r="AZ250"/>
      <c r="BA250"/>
      <c r="BB250"/>
    </row>
    <row r="251" spans="17:54">
      <c r="Q251" s="3"/>
      <c r="R251" s="3"/>
      <c r="S251" s="3"/>
      <c r="T251" s="3"/>
      <c r="U251" s="3"/>
      <c r="V251" s="3"/>
      <c r="W251" s="3"/>
      <c r="X251" s="3"/>
      <c r="Y251" s="3"/>
      <c r="Z251" s="3"/>
      <c r="AA251" s="3"/>
      <c r="AB251" s="3"/>
      <c r="AC251" s="3"/>
      <c r="AD251" s="3"/>
      <c r="AE251" s="3"/>
      <c r="AF251" s="3"/>
      <c r="AM251"/>
      <c r="AN251"/>
      <c r="AO251"/>
      <c r="AP251"/>
      <c r="AQ251"/>
      <c r="AR251"/>
      <c r="AS251"/>
      <c r="AT251"/>
      <c r="AU251"/>
      <c r="AV251"/>
      <c r="AW251"/>
      <c r="AX251"/>
      <c r="AY251"/>
      <c r="AZ251"/>
      <c r="BA251"/>
      <c r="BB251"/>
    </row>
    <row r="252" spans="17:54">
      <c r="Q252" s="3"/>
      <c r="R252" s="3"/>
      <c r="S252" s="3"/>
      <c r="T252" s="3"/>
      <c r="U252" s="3"/>
      <c r="V252" s="3"/>
      <c r="W252" s="3"/>
      <c r="X252" s="3"/>
      <c r="Y252" s="3"/>
      <c r="Z252" s="3"/>
      <c r="AA252" s="3"/>
      <c r="AB252" s="3"/>
      <c r="AC252" s="3"/>
      <c r="AD252" s="3"/>
      <c r="AE252" s="3"/>
      <c r="AF252" s="3"/>
      <c r="AM252"/>
      <c r="AN252"/>
      <c r="AO252"/>
      <c r="AP252"/>
      <c r="AQ252"/>
      <c r="AR252"/>
      <c r="AS252"/>
      <c r="AT252"/>
      <c r="AU252"/>
      <c r="AV252"/>
      <c r="AW252"/>
      <c r="AX252"/>
      <c r="AY252"/>
      <c r="AZ252"/>
      <c r="BA252"/>
      <c r="BB252"/>
    </row>
    <row r="253" spans="17:54">
      <c r="Q253" s="3"/>
      <c r="R253" s="3"/>
      <c r="S253" s="3"/>
      <c r="T253" s="3"/>
      <c r="U253" s="3"/>
      <c r="V253" s="3"/>
      <c r="W253" s="3"/>
      <c r="X253" s="3"/>
      <c r="Y253" s="3"/>
      <c r="Z253" s="3"/>
      <c r="AA253" s="3"/>
      <c r="AB253" s="3"/>
      <c r="AC253" s="3"/>
      <c r="AD253" s="3"/>
      <c r="AE253" s="3"/>
      <c r="AF253" s="3"/>
      <c r="AM253"/>
      <c r="AN253"/>
      <c r="AO253"/>
      <c r="AP253"/>
      <c r="AQ253"/>
      <c r="AR253"/>
      <c r="AS253"/>
      <c r="AT253"/>
      <c r="AU253"/>
      <c r="AV253"/>
      <c r="AW253"/>
      <c r="AX253"/>
      <c r="AY253"/>
      <c r="AZ253"/>
      <c r="BA253"/>
      <c r="BB253"/>
    </row>
    <row r="254" spans="17:54">
      <c r="Q254" s="3"/>
      <c r="R254" s="3"/>
      <c r="S254" s="3"/>
      <c r="T254" s="3"/>
      <c r="U254" s="3"/>
      <c r="V254" s="3"/>
      <c r="W254" s="3"/>
      <c r="X254" s="3"/>
      <c r="Y254" s="3"/>
      <c r="Z254" s="3"/>
      <c r="AA254" s="3"/>
      <c r="AB254" s="3"/>
      <c r="AC254" s="3"/>
      <c r="AD254" s="3"/>
      <c r="AE254" s="3"/>
      <c r="AF254" s="3"/>
      <c r="AM254"/>
      <c r="AN254"/>
      <c r="AO254"/>
      <c r="AP254"/>
      <c r="AQ254"/>
      <c r="AR254"/>
      <c r="AS254"/>
      <c r="AT254"/>
      <c r="AU254"/>
      <c r="AV254"/>
      <c r="AW254"/>
      <c r="AX254"/>
      <c r="AY254"/>
      <c r="AZ254"/>
      <c r="BA254"/>
      <c r="BB254"/>
    </row>
    <row r="255" spans="17:54">
      <c r="Q255" s="3"/>
      <c r="R255" s="3"/>
      <c r="S255" s="3"/>
      <c r="T255" s="3"/>
      <c r="U255" s="3"/>
      <c r="V255" s="3"/>
      <c r="W255" s="3"/>
      <c r="X255" s="3"/>
      <c r="Y255" s="3"/>
      <c r="Z255" s="3"/>
      <c r="AA255" s="3"/>
      <c r="AB255" s="3"/>
      <c r="AC255" s="3"/>
      <c r="AD255" s="3"/>
      <c r="AE255" s="3"/>
      <c r="AF255" s="3"/>
      <c r="AM255"/>
      <c r="AN255"/>
      <c r="AO255"/>
      <c r="AP255"/>
      <c r="AQ255"/>
      <c r="AR255"/>
      <c r="AS255"/>
      <c r="AT255"/>
      <c r="AU255"/>
      <c r="AV255"/>
      <c r="AW255"/>
      <c r="AX255"/>
      <c r="AY255"/>
      <c r="AZ255"/>
      <c r="BA255"/>
      <c r="BB255"/>
    </row>
    <row r="256" spans="17:54">
      <c r="Q256" s="3"/>
      <c r="R256" s="3"/>
      <c r="S256" s="3"/>
      <c r="T256" s="3"/>
      <c r="U256" s="3"/>
      <c r="V256" s="3"/>
      <c r="W256" s="3"/>
      <c r="X256" s="3"/>
      <c r="Y256" s="3"/>
      <c r="Z256" s="3"/>
      <c r="AA256" s="3"/>
      <c r="AB256" s="3"/>
      <c r="AC256" s="3"/>
      <c r="AD256" s="3"/>
      <c r="AE256" s="3"/>
      <c r="AF256" s="3"/>
      <c r="AM256"/>
      <c r="AN256"/>
      <c r="AO256"/>
      <c r="AP256"/>
      <c r="AQ256"/>
      <c r="AR256"/>
      <c r="AS256"/>
      <c r="AT256"/>
      <c r="AU256"/>
      <c r="AV256"/>
      <c r="AW256"/>
      <c r="AX256"/>
      <c r="AY256"/>
      <c r="AZ256"/>
      <c r="BA256"/>
      <c r="BB256"/>
    </row>
    <row r="257" spans="17:54">
      <c r="Q257" s="3"/>
      <c r="R257" s="3"/>
      <c r="S257" s="3"/>
      <c r="T257" s="3"/>
      <c r="U257" s="3"/>
      <c r="V257" s="3"/>
      <c r="W257" s="3"/>
      <c r="X257" s="3"/>
      <c r="Y257" s="3"/>
      <c r="Z257" s="3"/>
      <c r="AA257" s="3"/>
      <c r="AB257" s="3"/>
      <c r="AC257" s="3"/>
      <c r="AD257" s="3"/>
      <c r="AE257" s="3"/>
      <c r="AF257" s="3"/>
      <c r="AM257"/>
      <c r="AN257"/>
      <c r="AO257"/>
      <c r="AP257"/>
      <c r="AQ257"/>
      <c r="AR257"/>
      <c r="AS257"/>
      <c r="AT257"/>
      <c r="AU257"/>
      <c r="AV257"/>
      <c r="AW257"/>
      <c r="AX257"/>
      <c r="AY257"/>
      <c r="AZ257"/>
      <c r="BA257"/>
      <c r="BB257"/>
    </row>
    <row r="258" spans="17:54">
      <c r="Q258" s="3"/>
      <c r="R258" s="3"/>
      <c r="S258" s="3"/>
      <c r="T258" s="3"/>
      <c r="U258" s="3"/>
      <c r="V258" s="3"/>
      <c r="W258" s="3"/>
      <c r="X258" s="3"/>
      <c r="Y258" s="3"/>
      <c r="Z258" s="3"/>
      <c r="AA258" s="3"/>
      <c r="AB258" s="3"/>
      <c r="AC258" s="3"/>
      <c r="AD258" s="3"/>
      <c r="AE258" s="3"/>
      <c r="AF258" s="3"/>
      <c r="AM258"/>
      <c r="AN258"/>
      <c r="AO258"/>
      <c r="AP258"/>
      <c r="AQ258"/>
      <c r="AR258"/>
      <c r="AS258"/>
      <c r="AT258"/>
      <c r="AU258"/>
      <c r="AV258"/>
      <c r="AW258"/>
      <c r="AX258"/>
      <c r="AY258"/>
      <c r="AZ258"/>
      <c r="BA258"/>
      <c r="BB258"/>
    </row>
    <row r="259" spans="17:54">
      <c r="Q259" s="3"/>
      <c r="R259" s="3"/>
      <c r="S259" s="3"/>
      <c r="T259" s="3"/>
      <c r="U259" s="3"/>
      <c r="V259" s="3"/>
      <c r="W259" s="3"/>
      <c r="X259" s="3"/>
      <c r="Y259" s="3"/>
      <c r="Z259" s="3"/>
      <c r="AA259" s="3"/>
      <c r="AB259" s="3"/>
      <c r="AC259" s="3"/>
      <c r="AD259" s="3"/>
      <c r="AE259" s="3"/>
      <c r="AF259" s="3"/>
      <c r="AM259"/>
      <c r="AN259"/>
      <c r="AO259"/>
      <c r="AP259"/>
      <c r="AQ259"/>
      <c r="AR259"/>
      <c r="AS259"/>
      <c r="AT259"/>
      <c r="AU259"/>
      <c r="AV259"/>
      <c r="AW259"/>
      <c r="AX259"/>
      <c r="AY259"/>
      <c r="AZ259"/>
      <c r="BA259"/>
      <c r="BB259"/>
    </row>
    <row r="260" spans="17:54">
      <c r="Q260" s="3"/>
      <c r="R260" s="3"/>
      <c r="S260" s="3"/>
      <c r="T260" s="3"/>
      <c r="U260" s="3"/>
      <c r="V260" s="3"/>
      <c r="W260" s="3"/>
      <c r="X260" s="3"/>
      <c r="Y260" s="3"/>
      <c r="Z260" s="3"/>
      <c r="AA260" s="3"/>
      <c r="AB260" s="3"/>
      <c r="AC260" s="3"/>
      <c r="AD260" s="3"/>
      <c r="AE260" s="3"/>
      <c r="AF260" s="3"/>
      <c r="AM260"/>
      <c r="AN260"/>
      <c r="AO260"/>
      <c r="AP260"/>
      <c r="AQ260"/>
      <c r="AR260"/>
      <c r="AS260"/>
      <c r="AT260"/>
      <c r="AU260"/>
      <c r="AV260"/>
      <c r="AW260"/>
      <c r="AX260"/>
      <c r="AY260"/>
      <c r="AZ260"/>
      <c r="BA260"/>
      <c r="BB260"/>
    </row>
    <row r="261" spans="17:54">
      <c r="Q261" s="3"/>
      <c r="R261" s="3"/>
      <c r="S261" s="3"/>
      <c r="T261" s="3"/>
      <c r="U261" s="3"/>
      <c r="V261" s="3"/>
      <c r="W261" s="3"/>
      <c r="X261" s="3"/>
      <c r="Y261" s="3"/>
      <c r="Z261" s="3"/>
      <c r="AA261" s="3"/>
      <c r="AB261" s="3"/>
      <c r="AC261" s="3"/>
      <c r="AD261" s="3"/>
      <c r="AE261" s="3"/>
      <c r="AF261" s="3"/>
      <c r="AM261"/>
      <c r="AN261"/>
      <c r="AO261"/>
      <c r="AP261"/>
      <c r="AQ261"/>
      <c r="AR261"/>
      <c r="AS261"/>
      <c r="AT261"/>
      <c r="AU261"/>
      <c r="AV261"/>
      <c r="AW261"/>
      <c r="AX261"/>
      <c r="AY261"/>
      <c r="AZ261"/>
      <c r="BA261"/>
      <c r="BB261"/>
    </row>
    <row r="262" spans="17:54">
      <c r="Q262" s="3"/>
      <c r="R262" s="3"/>
      <c r="S262" s="3"/>
      <c r="T262" s="3"/>
      <c r="U262" s="3"/>
      <c r="V262" s="3"/>
      <c r="W262" s="3"/>
      <c r="X262" s="3"/>
      <c r="Y262" s="3"/>
      <c r="Z262" s="3"/>
      <c r="AA262" s="3"/>
      <c r="AB262" s="3"/>
      <c r="AC262" s="3"/>
      <c r="AD262" s="3"/>
      <c r="AE262" s="3"/>
      <c r="AF262" s="3"/>
      <c r="AM262"/>
      <c r="AN262"/>
      <c r="AO262"/>
      <c r="AP262"/>
      <c r="AQ262"/>
      <c r="AR262"/>
      <c r="AS262"/>
      <c r="AT262"/>
      <c r="AU262"/>
      <c r="AV262"/>
      <c r="AW262"/>
      <c r="AX262"/>
      <c r="AY262"/>
      <c r="AZ262"/>
      <c r="BA262"/>
      <c r="BB262"/>
    </row>
    <row r="263" spans="17:54">
      <c r="Q263" s="3"/>
      <c r="R263" s="3"/>
      <c r="S263" s="3"/>
      <c r="T263" s="3"/>
      <c r="U263" s="3"/>
      <c r="V263" s="3"/>
      <c r="W263" s="3"/>
      <c r="X263" s="3"/>
      <c r="Y263" s="3"/>
      <c r="Z263" s="3"/>
      <c r="AA263" s="3"/>
      <c r="AB263" s="3"/>
      <c r="AC263" s="3"/>
      <c r="AD263" s="3"/>
      <c r="AE263" s="3"/>
      <c r="AF263" s="3"/>
      <c r="AM263"/>
      <c r="AN263"/>
      <c r="AO263"/>
      <c r="AP263"/>
      <c r="AQ263"/>
      <c r="AR263"/>
      <c r="AS263"/>
      <c r="AT263"/>
      <c r="AU263"/>
      <c r="AV263"/>
      <c r="AW263"/>
      <c r="AX263"/>
      <c r="AY263"/>
      <c r="AZ263"/>
      <c r="BA263"/>
      <c r="BB263"/>
    </row>
    <row r="264" spans="17:54">
      <c r="Q264" s="3"/>
      <c r="R264" s="3"/>
      <c r="S264" s="3"/>
      <c r="T264" s="3"/>
      <c r="U264" s="3"/>
      <c r="V264" s="3"/>
      <c r="W264" s="3"/>
      <c r="X264" s="3"/>
      <c r="Y264" s="3"/>
      <c r="Z264" s="3"/>
      <c r="AA264" s="3"/>
      <c r="AB264" s="3"/>
      <c r="AC264" s="3"/>
      <c r="AD264" s="3"/>
      <c r="AE264" s="3"/>
      <c r="AF264" s="3"/>
      <c r="AM264"/>
      <c r="AN264"/>
      <c r="AO264"/>
      <c r="AP264"/>
      <c r="AQ264"/>
      <c r="AR264"/>
      <c r="AS264"/>
      <c r="AT264"/>
      <c r="AU264"/>
      <c r="AV264"/>
      <c r="AW264"/>
      <c r="AX264"/>
      <c r="AY264"/>
      <c r="AZ264"/>
      <c r="BA264"/>
      <c r="BB264"/>
    </row>
    <row r="265" spans="17:54">
      <c r="Q265" s="3"/>
      <c r="R265" s="3"/>
      <c r="S265" s="3"/>
      <c r="T265" s="3"/>
      <c r="U265" s="3"/>
      <c r="V265" s="3"/>
      <c r="W265" s="3"/>
      <c r="X265" s="3"/>
      <c r="Y265" s="3"/>
      <c r="Z265" s="3"/>
      <c r="AA265" s="3"/>
      <c r="AB265" s="3"/>
      <c r="AC265" s="3"/>
      <c r="AD265" s="3"/>
      <c r="AE265" s="3"/>
      <c r="AF265" s="3"/>
      <c r="AM265"/>
      <c r="AN265"/>
      <c r="AO265"/>
      <c r="AP265"/>
      <c r="AQ265"/>
      <c r="AR265"/>
      <c r="AS265"/>
      <c r="AT265"/>
      <c r="AU265"/>
      <c r="AV265"/>
      <c r="AW265"/>
      <c r="AX265"/>
      <c r="AY265"/>
      <c r="AZ265"/>
      <c r="BA265"/>
      <c r="BB265"/>
    </row>
    <row r="266" spans="17:54">
      <c r="Q266" s="3"/>
      <c r="R266" s="3"/>
      <c r="S266" s="3"/>
      <c r="T266" s="3"/>
      <c r="U266" s="3"/>
      <c r="V266" s="3"/>
      <c r="W266" s="3"/>
      <c r="X266" s="3"/>
      <c r="Y266" s="3"/>
      <c r="Z266" s="3"/>
      <c r="AA266" s="3"/>
      <c r="AB266" s="3"/>
      <c r="AC266" s="3"/>
      <c r="AD266" s="3"/>
      <c r="AE266" s="3"/>
      <c r="AF266" s="3"/>
      <c r="AM266"/>
      <c r="AN266"/>
      <c r="AO266"/>
      <c r="AP266"/>
      <c r="AQ266"/>
      <c r="AR266"/>
      <c r="AS266"/>
      <c r="AT266"/>
      <c r="AU266"/>
      <c r="AV266"/>
      <c r="AW266"/>
      <c r="AX266"/>
      <c r="AY266"/>
      <c r="AZ266"/>
      <c r="BA266"/>
      <c r="BB266"/>
    </row>
    <row r="267" spans="17:54">
      <c r="Q267" s="3"/>
      <c r="R267" s="3"/>
      <c r="S267" s="3"/>
      <c r="T267" s="3"/>
      <c r="U267" s="3"/>
      <c r="V267" s="3"/>
      <c r="W267" s="3"/>
      <c r="X267" s="3"/>
      <c r="Y267" s="3"/>
      <c r="Z267" s="3"/>
      <c r="AA267" s="3"/>
      <c r="AB267" s="3"/>
      <c r="AC267" s="3"/>
      <c r="AD267" s="3"/>
      <c r="AE267" s="3"/>
      <c r="AF267" s="3"/>
      <c r="AM267"/>
      <c r="AN267"/>
      <c r="AO267"/>
      <c r="AP267"/>
      <c r="AQ267"/>
      <c r="AR267"/>
      <c r="AS267"/>
      <c r="AT267"/>
      <c r="AU267"/>
      <c r="AV267"/>
      <c r="AW267"/>
      <c r="AX267"/>
      <c r="AY267"/>
      <c r="AZ267"/>
      <c r="BA267"/>
      <c r="BB267"/>
    </row>
    <row r="268" spans="17:54">
      <c r="Q268" s="3"/>
      <c r="R268" s="3"/>
      <c r="S268" s="3"/>
      <c r="T268" s="3"/>
      <c r="U268" s="3"/>
      <c r="V268" s="3"/>
      <c r="W268" s="3"/>
      <c r="X268" s="3"/>
      <c r="Y268" s="3"/>
      <c r="Z268" s="3"/>
      <c r="AA268" s="3"/>
      <c r="AB268" s="3"/>
      <c r="AC268" s="3"/>
      <c r="AD268" s="3"/>
      <c r="AE268" s="3"/>
      <c r="AF268" s="3"/>
      <c r="AM268"/>
      <c r="AN268"/>
      <c r="AO268"/>
      <c r="AP268"/>
      <c r="AQ268"/>
      <c r="AR268"/>
      <c r="AS268"/>
      <c r="AT268"/>
      <c r="AU268"/>
      <c r="AV268"/>
      <c r="AW268"/>
      <c r="AX268"/>
      <c r="AY268"/>
      <c r="AZ268"/>
      <c r="BA268"/>
      <c r="BB268"/>
    </row>
    <row r="269" spans="17:54">
      <c r="Q269" s="3"/>
      <c r="R269" s="3"/>
      <c r="S269" s="3"/>
      <c r="T269" s="3"/>
      <c r="U269" s="3"/>
      <c r="V269" s="3"/>
      <c r="W269" s="3"/>
      <c r="X269" s="3"/>
      <c r="Y269" s="3"/>
      <c r="Z269" s="3"/>
      <c r="AA269" s="3"/>
      <c r="AB269" s="3"/>
      <c r="AC269" s="3"/>
      <c r="AD269" s="3"/>
      <c r="AE269" s="3"/>
      <c r="AF269" s="3"/>
      <c r="AM269"/>
      <c r="AN269"/>
      <c r="AO269"/>
      <c r="AP269"/>
      <c r="AQ269"/>
      <c r="AR269"/>
      <c r="AS269"/>
      <c r="AT269"/>
      <c r="AU269"/>
      <c r="AV269"/>
      <c r="AW269"/>
      <c r="AX269"/>
      <c r="AY269"/>
      <c r="AZ269"/>
      <c r="BA269"/>
      <c r="BB269"/>
    </row>
    <row r="270" spans="17:54">
      <c r="Q270" s="3"/>
      <c r="R270" s="3"/>
      <c r="S270" s="3"/>
      <c r="T270" s="3"/>
      <c r="U270" s="3"/>
      <c r="V270" s="3"/>
      <c r="W270" s="3"/>
      <c r="X270" s="3"/>
      <c r="Y270" s="3"/>
      <c r="Z270" s="3"/>
      <c r="AA270" s="3"/>
      <c r="AB270" s="3"/>
      <c r="AC270" s="3"/>
      <c r="AD270" s="3"/>
      <c r="AE270" s="3"/>
      <c r="AF270" s="3"/>
      <c r="AM270"/>
      <c r="AN270"/>
      <c r="AO270"/>
      <c r="AP270"/>
      <c r="AQ270"/>
      <c r="AR270"/>
      <c r="AS270"/>
      <c r="AT270"/>
      <c r="AU270"/>
      <c r="AV270"/>
      <c r="AW270"/>
      <c r="AX270"/>
      <c r="AY270"/>
      <c r="AZ270"/>
      <c r="BA270"/>
      <c r="BB270"/>
    </row>
    <row r="271" spans="17:54">
      <c r="Q271" s="3"/>
      <c r="R271" s="3"/>
      <c r="S271" s="3"/>
      <c r="T271" s="3"/>
      <c r="U271" s="3"/>
      <c r="V271" s="3"/>
      <c r="W271" s="3"/>
      <c r="X271" s="3"/>
      <c r="Y271" s="3"/>
      <c r="Z271" s="3"/>
      <c r="AA271" s="3"/>
      <c r="AB271" s="3"/>
      <c r="AC271" s="3"/>
      <c r="AD271" s="3"/>
      <c r="AE271" s="3"/>
      <c r="AF271" s="3"/>
      <c r="AM271"/>
      <c r="AN271"/>
      <c r="AO271"/>
      <c r="AP271"/>
      <c r="AQ271"/>
      <c r="AR271"/>
      <c r="AS271"/>
      <c r="AT271"/>
      <c r="AU271"/>
      <c r="AV271"/>
      <c r="AW271"/>
      <c r="AX271"/>
      <c r="AY271"/>
      <c r="AZ271"/>
      <c r="BA271"/>
      <c r="BB271"/>
    </row>
    <row r="272" spans="17:54">
      <c r="Q272" s="3"/>
      <c r="R272" s="3"/>
      <c r="S272" s="3"/>
      <c r="T272" s="3"/>
      <c r="U272" s="3"/>
      <c r="V272" s="3"/>
      <c r="W272" s="3"/>
      <c r="X272" s="3"/>
      <c r="Y272" s="3"/>
      <c r="Z272" s="3"/>
      <c r="AA272" s="3"/>
      <c r="AB272" s="3"/>
      <c r="AC272" s="3"/>
      <c r="AD272" s="3"/>
      <c r="AE272" s="3"/>
      <c r="AF272" s="3"/>
      <c r="AM272"/>
      <c r="AN272"/>
      <c r="AO272"/>
      <c r="AP272"/>
      <c r="AQ272"/>
      <c r="AR272"/>
      <c r="AS272"/>
      <c r="AT272"/>
      <c r="AU272"/>
      <c r="AV272"/>
      <c r="AW272"/>
      <c r="AX272"/>
      <c r="AY272"/>
      <c r="AZ272"/>
      <c r="BA272"/>
      <c r="BB272"/>
    </row>
    <row r="273" spans="17:54">
      <c r="Q273" s="3"/>
      <c r="R273" s="3"/>
      <c r="S273" s="3"/>
      <c r="T273" s="3"/>
      <c r="U273" s="3"/>
      <c r="V273" s="3"/>
      <c r="W273" s="3"/>
      <c r="X273" s="3"/>
      <c r="Y273" s="3"/>
      <c r="Z273" s="3"/>
      <c r="AA273" s="3"/>
      <c r="AB273" s="3"/>
      <c r="AC273" s="3"/>
      <c r="AD273" s="3"/>
      <c r="AE273" s="3"/>
      <c r="AF273" s="3"/>
      <c r="AM273"/>
      <c r="AN273"/>
      <c r="AO273"/>
      <c r="AP273"/>
      <c r="AQ273"/>
      <c r="AR273"/>
      <c r="AS273"/>
      <c r="AT273"/>
      <c r="AU273"/>
      <c r="AV273"/>
      <c r="AW273"/>
      <c r="AX273"/>
      <c r="AY273"/>
      <c r="AZ273"/>
      <c r="BA273"/>
      <c r="BB273"/>
    </row>
    <row r="274" spans="17:54">
      <c r="Q274" s="3"/>
      <c r="R274" s="3"/>
      <c r="S274" s="3"/>
      <c r="T274" s="3"/>
      <c r="U274" s="3"/>
      <c r="V274" s="3"/>
      <c r="W274" s="3"/>
      <c r="X274" s="3"/>
      <c r="Y274" s="3"/>
      <c r="Z274" s="3"/>
      <c r="AA274" s="3"/>
      <c r="AB274" s="3"/>
      <c r="AC274" s="3"/>
      <c r="AD274" s="3"/>
      <c r="AE274" s="3"/>
      <c r="AF274" s="3"/>
      <c r="AM274"/>
      <c r="AN274"/>
      <c r="AO274"/>
      <c r="AP274"/>
      <c r="AQ274"/>
      <c r="AR274"/>
      <c r="AS274"/>
      <c r="AT274"/>
      <c r="AU274"/>
      <c r="AV274"/>
      <c r="AW274"/>
      <c r="AX274"/>
      <c r="AY274"/>
      <c r="AZ274"/>
      <c r="BA274"/>
      <c r="BB274"/>
    </row>
    <row r="275" spans="17:54">
      <c r="Q275" s="3"/>
      <c r="R275" s="3"/>
      <c r="S275" s="3"/>
      <c r="T275" s="3"/>
      <c r="U275" s="3"/>
      <c r="V275" s="3"/>
      <c r="W275" s="3"/>
      <c r="X275" s="3"/>
      <c r="Y275" s="3"/>
      <c r="Z275" s="3"/>
      <c r="AA275" s="3"/>
      <c r="AB275" s="3"/>
      <c r="AC275" s="3"/>
      <c r="AD275" s="3"/>
      <c r="AE275" s="3"/>
      <c r="AF275" s="3"/>
      <c r="AM275"/>
      <c r="AN275"/>
      <c r="AO275"/>
      <c r="AP275"/>
      <c r="AQ275"/>
      <c r="AR275"/>
      <c r="AS275"/>
      <c r="AT275"/>
      <c r="AU275"/>
      <c r="AV275"/>
      <c r="AW275"/>
      <c r="AX275"/>
      <c r="AY275"/>
      <c r="AZ275"/>
      <c r="BA275"/>
      <c r="BB275"/>
    </row>
    <row r="276" spans="17:54">
      <c r="Q276" s="3"/>
      <c r="R276" s="3"/>
      <c r="S276" s="3"/>
      <c r="T276" s="3"/>
      <c r="U276" s="3"/>
      <c r="V276" s="3"/>
      <c r="W276" s="3"/>
      <c r="X276" s="3"/>
      <c r="Y276" s="3"/>
      <c r="Z276" s="3"/>
      <c r="AA276" s="3"/>
      <c r="AB276" s="3"/>
      <c r="AC276" s="3"/>
      <c r="AD276" s="3"/>
      <c r="AE276" s="3"/>
      <c r="AF276" s="3"/>
      <c r="AM276"/>
      <c r="AN276"/>
      <c r="AO276"/>
      <c r="AP276"/>
      <c r="AQ276"/>
      <c r="AR276"/>
      <c r="AS276"/>
      <c r="AT276"/>
      <c r="AU276"/>
      <c r="AV276"/>
      <c r="AW276"/>
      <c r="AX276"/>
      <c r="AY276"/>
      <c r="AZ276"/>
      <c r="BA276"/>
      <c r="BB276"/>
    </row>
    <row r="277" spans="17:54">
      <c r="Q277" s="3"/>
      <c r="R277" s="3"/>
      <c r="S277" s="3"/>
      <c r="T277" s="3"/>
      <c r="U277" s="3"/>
      <c r="V277" s="3"/>
      <c r="W277" s="3"/>
      <c r="X277" s="3"/>
      <c r="Y277" s="3"/>
      <c r="Z277" s="3"/>
      <c r="AA277" s="3"/>
      <c r="AB277" s="3"/>
      <c r="AC277" s="3"/>
      <c r="AD277" s="3"/>
      <c r="AE277" s="3"/>
      <c r="AF277" s="3"/>
      <c r="AM277"/>
      <c r="AN277"/>
      <c r="AO277"/>
      <c r="AP277"/>
      <c r="AQ277"/>
      <c r="AR277"/>
      <c r="AS277"/>
      <c r="AT277"/>
      <c r="AU277"/>
      <c r="AV277"/>
      <c r="AW277"/>
      <c r="AX277"/>
      <c r="AY277"/>
      <c r="AZ277"/>
      <c r="BA277"/>
      <c r="BB277"/>
    </row>
    <row r="278" spans="17:54">
      <c r="Q278" s="3"/>
      <c r="R278" s="3"/>
      <c r="S278" s="3"/>
      <c r="T278" s="3"/>
      <c r="U278" s="3"/>
      <c r="V278" s="3"/>
      <c r="W278" s="3"/>
      <c r="X278" s="3"/>
      <c r="Y278" s="3"/>
      <c r="Z278" s="3"/>
      <c r="AA278" s="3"/>
      <c r="AB278" s="3"/>
      <c r="AC278" s="3"/>
      <c r="AD278" s="3"/>
      <c r="AE278" s="3"/>
      <c r="AF278" s="3"/>
      <c r="AM278"/>
      <c r="AN278"/>
      <c r="AO278"/>
      <c r="AP278"/>
      <c r="AQ278"/>
      <c r="AR278"/>
      <c r="AS278"/>
      <c r="AT278"/>
      <c r="AU278"/>
      <c r="AV278"/>
      <c r="AW278"/>
      <c r="AX278"/>
      <c r="AY278"/>
      <c r="AZ278"/>
      <c r="BA278"/>
      <c r="BB278"/>
    </row>
    <row r="279" spans="17:54">
      <c r="Q279" s="3"/>
      <c r="R279" s="3"/>
      <c r="S279" s="3"/>
      <c r="T279" s="3"/>
      <c r="U279" s="3"/>
      <c r="V279" s="3"/>
      <c r="W279" s="3"/>
      <c r="X279" s="3"/>
      <c r="Y279" s="3"/>
      <c r="Z279" s="3"/>
      <c r="AA279" s="3"/>
      <c r="AB279" s="3"/>
      <c r="AC279" s="3"/>
      <c r="AD279" s="3"/>
      <c r="AE279" s="3"/>
      <c r="AF279" s="3"/>
      <c r="AM279"/>
      <c r="AN279"/>
      <c r="AO279"/>
      <c r="AP279"/>
      <c r="AQ279"/>
      <c r="AR279"/>
      <c r="AS279"/>
      <c r="AT279"/>
      <c r="AU279"/>
      <c r="AV279"/>
      <c r="AW279"/>
      <c r="AX279"/>
      <c r="AY279"/>
      <c r="AZ279"/>
      <c r="BA279"/>
      <c r="BB279"/>
    </row>
    <row r="280" spans="17:54">
      <c r="Q280" s="3"/>
      <c r="R280" s="3"/>
      <c r="S280" s="3"/>
      <c r="T280" s="3"/>
      <c r="U280" s="3"/>
      <c r="V280" s="3"/>
      <c r="W280" s="3"/>
      <c r="X280" s="3"/>
      <c r="Y280" s="3"/>
      <c r="Z280" s="3"/>
      <c r="AA280" s="3"/>
      <c r="AB280" s="3"/>
      <c r="AC280" s="3"/>
      <c r="AD280" s="3"/>
      <c r="AE280" s="3"/>
      <c r="AF280" s="3"/>
      <c r="AM280"/>
      <c r="AN280"/>
      <c r="AO280"/>
      <c r="AP280"/>
      <c r="AQ280"/>
      <c r="AR280"/>
      <c r="AS280"/>
      <c r="AT280"/>
      <c r="AU280"/>
      <c r="AV280"/>
      <c r="AW280"/>
      <c r="AX280"/>
      <c r="AY280"/>
      <c r="AZ280"/>
      <c r="BA280"/>
      <c r="BB280"/>
    </row>
    <row r="281" spans="17:54">
      <c r="Q281" s="3"/>
      <c r="R281" s="3"/>
      <c r="S281" s="3"/>
      <c r="T281" s="3"/>
      <c r="U281" s="3"/>
      <c r="V281" s="3"/>
      <c r="W281" s="3"/>
      <c r="X281" s="3"/>
      <c r="Y281" s="3"/>
      <c r="Z281" s="3"/>
      <c r="AA281" s="3"/>
      <c r="AB281" s="3"/>
      <c r="AC281" s="3"/>
      <c r="AD281" s="3"/>
      <c r="AE281" s="3"/>
      <c r="AF281" s="3"/>
      <c r="AM281"/>
      <c r="AN281"/>
      <c r="AO281"/>
      <c r="AP281"/>
      <c r="AQ281"/>
      <c r="AR281"/>
      <c r="AS281"/>
      <c r="AT281"/>
      <c r="AU281"/>
      <c r="AV281"/>
      <c r="AW281"/>
      <c r="AX281"/>
      <c r="AY281"/>
      <c r="AZ281"/>
      <c r="BA281"/>
      <c r="BB281"/>
    </row>
    <row r="282" spans="17:54">
      <c r="Q282" s="3"/>
      <c r="R282" s="3"/>
      <c r="S282" s="3"/>
      <c r="T282" s="3"/>
      <c r="U282" s="3"/>
      <c r="V282" s="3"/>
      <c r="W282" s="3"/>
      <c r="X282" s="3"/>
      <c r="Y282" s="3"/>
      <c r="Z282" s="3"/>
      <c r="AA282" s="3"/>
      <c r="AB282" s="3"/>
      <c r="AC282" s="3"/>
      <c r="AD282" s="3"/>
      <c r="AE282" s="3"/>
      <c r="AF282" s="3"/>
      <c r="AM282"/>
      <c r="AN282"/>
      <c r="AO282"/>
      <c r="AP282"/>
      <c r="AQ282"/>
      <c r="AR282"/>
      <c r="AS282"/>
      <c r="AT282"/>
      <c r="AU282"/>
      <c r="AV282"/>
      <c r="AW282"/>
      <c r="AX282"/>
      <c r="AY282"/>
      <c r="AZ282"/>
      <c r="BA282"/>
      <c r="BB282"/>
    </row>
    <row r="283" spans="17:54">
      <c r="Q283" s="3"/>
      <c r="R283" s="3"/>
      <c r="S283" s="3"/>
      <c r="T283" s="3"/>
      <c r="U283" s="3"/>
      <c r="V283" s="3"/>
      <c r="W283" s="3"/>
      <c r="X283" s="3"/>
      <c r="Y283" s="3"/>
      <c r="Z283" s="3"/>
      <c r="AA283" s="3"/>
      <c r="AB283" s="3"/>
      <c r="AC283" s="3"/>
      <c r="AD283" s="3"/>
      <c r="AE283" s="3"/>
      <c r="AF283" s="3"/>
      <c r="AM283"/>
      <c r="AN283"/>
      <c r="AO283"/>
      <c r="AP283"/>
      <c r="AQ283"/>
      <c r="AR283"/>
      <c r="AS283"/>
      <c r="AT283"/>
      <c r="AU283"/>
      <c r="AV283"/>
      <c r="AW283"/>
      <c r="AX283"/>
      <c r="AY283"/>
      <c r="AZ283"/>
      <c r="BA283"/>
      <c r="BB283"/>
    </row>
    <row r="284" spans="17:54">
      <c r="Q284" s="3"/>
      <c r="R284" s="3"/>
      <c r="S284" s="3"/>
      <c r="T284" s="3"/>
      <c r="U284" s="3"/>
      <c r="V284" s="3"/>
      <c r="W284" s="3"/>
      <c r="X284" s="3"/>
      <c r="Y284" s="3"/>
      <c r="Z284" s="3"/>
      <c r="AA284" s="3"/>
      <c r="AB284" s="3"/>
      <c r="AC284" s="3"/>
      <c r="AD284" s="3"/>
      <c r="AE284" s="3"/>
      <c r="AF284" s="3"/>
      <c r="AM284"/>
      <c r="AN284"/>
      <c r="AO284"/>
      <c r="AP284"/>
      <c r="AQ284"/>
      <c r="AR284"/>
      <c r="AS284"/>
      <c r="AT284"/>
      <c r="AU284"/>
      <c r="AV284"/>
      <c r="AW284"/>
      <c r="AX284"/>
      <c r="AY284"/>
      <c r="AZ284"/>
      <c r="BA284"/>
      <c r="BB284"/>
    </row>
    <row r="285" spans="17:54">
      <c r="Q285" s="3"/>
      <c r="R285" s="3"/>
      <c r="S285" s="3"/>
      <c r="T285" s="3"/>
      <c r="U285" s="3"/>
      <c r="V285" s="3"/>
      <c r="W285" s="3"/>
      <c r="X285" s="3"/>
      <c r="Y285" s="3"/>
      <c r="Z285" s="3"/>
      <c r="AA285" s="3"/>
      <c r="AB285" s="3"/>
      <c r="AC285" s="3"/>
      <c r="AD285" s="3"/>
      <c r="AE285" s="3"/>
      <c r="AF285" s="3"/>
      <c r="AM285"/>
      <c r="AN285"/>
      <c r="AO285"/>
      <c r="AP285"/>
      <c r="AQ285"/>
      <c r="AR285"/>
      <c r="AS285"/>
      <c r="AT285"/>
      <c r="AU285"/>
      <c r="AV285"/>
      <c r="AW285"/>
      <c r="AX285"/>
      <c r="AY285"/>
      <c r="AZ285"/>
      <c r="BA285"/>
      <c r="BB285"/>
    </row>
    <row r="286" spans="17:54">
      <c r="Q286" s="3"/>
      <c r="R286" s="3"/>
      <c r="S286" s="3"/>
      <c r="T286" s="3"/>
      <c r="U286" s="3"/>
      <c r="V286" s="3"/>
      <c r="W286" s="3"/>
      <c r="X286" s="3"/>
      <c r="Y286" s="3"/>
      <c r="Z286" s="3"/>
      <c r="AA286" s="3"/>
      <c r="AB286" s="3"/>
      <c r="AC286" s="3"/>
      <c r="AD286" s="3"/>
      <c r="AE286" s="3"/>
      <c r="AF286" s="3"/>
      <c r="AM286"/>
      <c r="AN286"/>
      <c r="AO286"/>
      <c r="AP286"/>
      <c r="AQ286"/>
      <c r="AR286"/>
      <c r="AS286"/>
      <c r="AT286"/>
      <c r="AU286"/>
      <c r="AV286"/>
      <c r="AW286"/>
      <c r="AX286"/>
      <c r="AY286"/>
      <c r="AZ286"/>
      <c r="BA286"/>
      <c r="BB286"/>
    </row>
    <row r="287" spans="17:54">
      <c r="Q287" s="3"/>
      <c r="R287" s="3"/>
      <c r="S287" s="3"/>
      <c r="T287" s="3"/>
      <c r="U287" s="3"/>
      <c r="V287" s="3"/>
      <c r="W287" s="3"/>
      <c r="X287" s="3"/>
      <c r="Y287" s="3"/>
      <c r="Z287" s="3"/>
      <c r="AA287" s="3"/>
      <c r="AB287" s="3"/>
      <c r="AC287" s="3"/>
      <c r="AD287" s="3"/>
      <c r="AE287" s="3"/>
      <c r="AF287" s="3"/>
      <c r="AM287"/>
      <c r="AN287"/>
      <c r="AO287"/>
      <c r="AP287"/>
      <c r="AQ287"/>
      <c r="AR287"/>
      <c r="AS287"/>
      <c r="AT287"/>
      <c r="AU287"/>
      <c r="AV287"/>
      <c r="AW287"/>
      <c r="AX287"/>
      <c r="AY287"/>
      <c r="AZ287"/>
      <c r="BA287"/>
      <c r="BB287"/>
    </row>
    <row r="288" spans="17:54">
      <c r="Q288" s="3"/>
      <c r="R288" s="3"/>
      <c r="S288" s="3"/>
      <c r="T288" s="3"/>
      <c r="U288" s="3"/>
      <c r="V288" s="3"/>
      <c r="W288" s="3"/>
      <c r="X288" s="3"/>
      <c r="Y288" s="3"/>
      <c r="Z288" s="3"/>
      <c r="AA288" s="3"/>
      <c r="AB288" s="3"/>
      <c r="AC288" s="3"/>
      <c r="AD288" s="3"/>
      <c r="AE288" s="3"/>
      <c r="AF288" s="3"/>
      <c r="AM288"/>
      <c r="AN288"/>
      <c r="AO288"/>
      <c r="AP288"/>
      <c r="AQ288"/>
      <c r="AR288"/>
      <c r="AS288"/>
      <c r="AT288"/>
      <c r="AU288"/>
      <c r="AV288"/>
      <c r="AW288"/>
      <c r="AX288"/>
      <c r="AY288"/>
      <c r="AZ288"/>
      <c r="BA288"/>
      <c r="BB288"/>
    </row>
    <row r="289" spans="17:54">
      <c r="Q289" s="3"/>
      <c r="R289" s="3"/>
      <c r="S289" s="3"/>
      <c r="T289" s="3"/>
      <c r="U289" s="3"/>
      <c r="V289" s="3"/>
      <c r="W289" s="3"/>
      <c r="X289" s="3"/>
      <c r="Y289" s="3"/>
      <c r="Z289" s="3"/>
      <c r="AA289" s="3"/>
      <c r="AB289" s="3"/>
      <c r="AC289" s="3"/>
      <c r="AD289" s="3"/>
      <c r="AE289" s="3"/>
      <c r="AF289" s="3"/>
      <c r="AM289"/>
      <c r="AN289"/>
      <c r="AO289"/>
      <c r="AP289"/>
      <c r="AQ289"/>
      <c r="AR289"/>
      <c r="AS289"/>
      <c r="AT289"/>
      <c r="AU289"/>
      <c r="AV289"/>
      <c r="AW289"/>
      <c r="AX289"/>
      <c r="AY289"/>
      <c r="AZ289"/>
      <c r="BA289"/>
      <c r="BB289"/>
    </row>
    <row r="290" spans="17:54">
      <c r="Q290" s="3"/>
      <c r="R290" s="3"/>
      <c r="S290" s="3"/>
      <c r="T290" s="3"/>
      <c r="U290" s="3"/>
      <c r="V290" s="3"/>
      <c r="W290" s="3"/>
      <c r="X290" s="3"/>
      <c r="Y290" s="3"/>
      <c r="Z290" s="3"/>
      <c r="AA290" s="3"/>
      <c r="AB290" s="3"/>
      <c r="AC290" s="3"/>
      <c r="AD290" s="3"/>
      <c r="AE290" s="3"/>
      <c r="AF290" s="3"/>
      <c r="AM290"/>
      <c r="AN290"/>
      <c r="AO290"/>
      <c r="AP290"/>
      <c r="AQ290"/>
      <c r="AR290"/>
      <c r="AS290"/>
      <c r="AT290"/>
      <c r="AU290"/>
      <c r="AV290"/>
      <c r="AW290"/>
      <c r="AX290"/>
      <c r="AY290"/>
      <c r="AZ290"/>
      <c r="BA290"/>
      <c r="BB290"/>
    </row>
    <row r="291" spans="17:54">
      <c r="Q291" s="3"/>
      <c r="R291" s="3"/>
      <c r="S291" s="3"/>
      <c r="T291" s="3"/>
      <c r="U291" s="3"/>
      <c r="V291" s="3"/>
      <c r="W291" s="3"/>
      <c r="X291" s="3"/>
      <c r="Y291" s="3"/>
      <c r="Z291" s="3"/>
      <c r="AA291" s="3"/>
      <c r="AB291" s="3"/>
      <c r="AC291" s="3"/>
      <c r="AD291" s="3"/>
      <c r="AE291" s="3"/>
      <c r="AF291" s="3"/>
      <c r="AM291"/>
      <c r="AN291"/>
      <c r="AO291"/>
      <c r="AP291"/>
      <c r="AQ291"/>
      <c r="AR291"/>
      <c r="AS291"/>
      <c r="AT291"/>
      <c r="AU291"/>
      <c r="AV291"/>
      <c r="AW291"/>
      <c r="AX291"/>
      <c r="AY291"/>
      <c r="AZ291"/>
      <c r="BA291"/>
      <c r="BB291"/>
    </row>
    <row r="292" spans="17:54">
      <c r="Q292" s="3"/>
      <c r="R292" s="3"/>
      <c r="S292" s="3"/>
      <c r="T292" s="3"/>
      <c r="U292" s="3"/>
      <c r="V292" s="3"/>
      <c r="W292" s="3"/>
      <c r="X292" s="3"/>
      <c r="Y292" s="3"/>
      <c r="Z292" s="3"/>
      <c r="AA292" s="3"/>
      <c r="AB292" s="3"/>
      <c r="AC292" s="3"/>
      <c r="AD292" s="3"/>
      <c r="AE292" s="3"/>
      <c r="AF292" s="3"/>
      <c r="AM292"/>
      <c r="AN292"/>
      <c r="AO292"/>
      <c r="AP292"/>
      <c r="AQ292"/>
      <c r="AR292"/>
      <c r="AS292"/>
      <c r="AT292"/>
      <c r="AU292"/>
      <c r="AV292"/>
      <c r="AW292"/>
      <c r="AX292"/>
      <c r="AY292"/>
      <c r="AZ292"/>
      <c r="BA292"/>
      <c r="BB292"/>
    </row>
    <row r="293" spans="17:54">
      <c r="Q293" s="3"/>
      <c r="R293" s="3"/>
      <c r="S293" s="3"/>
      <c r="T293" s="3"/>
      <c r="U293" s="3"/>
      <c r="V293" s="3"/>
      <c r="W293" s="3"/>
      <c r="X293" s="3"/>
      <c r="Y293" s="3"/>
      <c r="Z293" s="3"/>
      <c r="AA293" s="3"/>
      <c r="AB293" s="3"/>
      <c r="AC293" s="3"/>
      <c r="AD293" s="3"/>
      <c r="AE293" s="3"/>
      <c r="AF293" s="3"/>
      <c r="AM293"/>
      <c r="AN293"/>
      <c r="AO293"/>
      <c r="AP293"/>
      <c r="AQ293"/>
      <c r="AR293"/>
      <c r="AS293"/>
      <c r="AT293"/>
      <c r="AU293"/>
      <c r="AV293"/>
      <c r="AW293"/>
      <c r="AX293"/>
      <c r="AY293"/>
      <c r="AZ293"/>
      <c r="BA293"/>
      <c r="BB293"/>
    </row>
    <row r="294" spans="17:54">
      <c r="Q294" s="3"/>
      <c r="R294" s="3"/>
      <c r="S294" s="3"/>
      <c r="T294" s="3"/>
      <c r="U294" s="3"/>
      <c r="V294" s="3"/>
      <c r="W294" s="3"/>
      <c r="X294" s="3"/>
      <c r="Y294" s="3"/>
      <c r="Z294" s="3"/>
      <c r="AA294" s="3"/>
      <c r="AB294" s="3"/>
      <c r="AC294" s="3"/>
      <c r="AD294" s="3"/>
      <c r="AE294" s="3"/>
      <c r="AF294" s="3"/>
      <c r="AM294"/>
      <c r="AN294"/>
      <c r="AO294"/>
      <c r="AP294"/>
      <c r="AQ294"/>
      <c r="AR294"/>
      <c r="AS294"/>
      <c r="AT294"/>
      <c r="AU294"/>
      <c r="AV294"/>
      <c r="AW294"/>
      <c r="AX294"/>
      <c r="AY294"/>
      <c r="AZ294"/>
      <c r="BA294"/>
      <c r="BB294"/>
    </row>
    <row r="295" spans="17:54">
      <c r="Q295" s="3"/>
      <c r="R295" s="3"/>
      <c r="S295" s="3"/>
      <c r="T295" s="3"/>
      <c r="U295" s="3"/>
      <c r="V295" s="3"/>
      <c r="W295" s="3"/>
      <c r="X295" s="3"/>
      <c r="Y295" s="3"/>
      <c r="Z295" s="3"/>
      <c r="AA295" s="3"/>
      <c r="AB295" s="3"/>
      <c r="AC295" s="3"/>
      <c r="AD295" s="3"/>
      <c r="AE295" s="3"/>
      <c r="AF295" s="3"/>
      <c r="AM295"/>
      <c r="AN295"/>
      <c r="AO295"/>
      <c r="AP295"/>
      <c r="AQ295"/>
      <c r="AR295"/>
      <c r="AS295"/>
      <c r="AT295"/>
      <c r="AU295"/>
      <c r="AV295"/>
      <c r="AW295"/>
      <c r="AX295"/>
      <c r="AY295"/>
      <c r="AZ295"/>
      <c r="BA295"/>
      <c r="BB295"/>
    </row>
    <row r="296" spans="17:54">
      <c r="Q296" s="3"/>
      <c r="R296" s="3"/>
      <c r="S296" s="3"/>
      <c r="T296" s="3"/>
      <c r="U296" s="3"/>
      <c r="V296" s="3"/>
      <c r="W296" s="3"/>
      <c r="X296" s="3"/>
      <c r="Y296" s="3"/>
      <c r="Z296" s="3"/>
      <c r="AA296" s="3"/>
      <c r="AB296" s="3"/>
      <c r="AC296" s="3"/>
      <c r="AD296" s="3"/>
      <c r="AE296" s="3"/>
      <c r="AF296" s="3"/>
      <c r="AM296"/>
      <c r="AN296"/>
      <c r="AO296"/>
      <c r="AP296"/>
      <c r="AQ296"/>
      <c r="AR296"/>
      <c r="AS296"/>
      <c r="AT296"/>
      <c r="AU296"/>
      <c r="AV296"/>
      <c r="AW296"/>
      <c r="AX296"/>
      <c r="AY296"/>
      <c r="AZ296"/>
      <c r="BA296"/>
      <c r="BB296"/>
    </row>
    <row r="297" spans="17:54">
      <c r="Q297" s="3"/>
      <c r="R297" s="3"/>
      <c r="S297" s="3"/>
      <c r="T297" s="3"/>
      <c r="U297" s="3"/>
      <c r="V297" s="3"/>
      <c r="W297" s="3"/>
      <c r="X297" s="3"/>
      <c r="Y297" s="3"/>
      <c r="Z297" s="3"/>
      <c r="AA297" s="3"/>
      <c r="AB297" s="3"/>
      <c r="AC297" s="3"/>
      <c r="AD297" s="3"/>
      <c r="AE297" s="3"/>
      <c r="AF297" s="3"/>
      <c r="AM297"/>
      <c r="AN297"/>
      <c r="AO297"/>
      <c r="AP297"/>
      <c r="AQ297"/>
      <c r="AR297"/>
      <c r="AS297"/>
      <c r="AT297"/>
      <c r="AU297"/>
      <c r="AV297"/>
      <c r="AW297"/>
      <c r="AX297"/>
      <c r="AY297"/>
      <c r="AZ297"/>
      <c r="BA297"/>
      <c r="BB297"/>
    </row>
    <row r="298" spans="17:54">
      <c r="Q298" s="3"/>
      <c r="R298" s="3"/>
      <c r="S298" s="3"/>
      <c r="T298" s="3"/>
      <c r="U298" s="3"/>
      <c r="V298" s="3"/>
      <c r="W298" s="3"/>
      <c r="X298" s="3"/>
      <c r="Y298" s="3"/>
      <c r="Z298" s="3"/>
      <c r="AA298" s="3"/>
      <c r="AB298" s="3"/>
      <c r="AC298" s="3"/>
      <c r="AD298" s="3"/>
      <c r="AE298" s="3"/>
      <c r="AF298" s="3"/>
      <c r="AM298"/>
      <c r="AN298"/>
      <c r="AO298"/>
      <c r="AP298"/>
      <c r="AQ298"/>
      <c r="AR298"/>
      <c r="AS298"/>
      <c r="AT298"/>
      <c r="AU298"/>
      <c r="AV298"/>
      <c r="AW298"/>
      <c r="AX298"/>
      <c r="AY298"/>
      <c r="AZ298"/>
      <c r="BA298"/>
      <c r="BB298"/>
    </row>
    <row r="299" spans="17:54">
      <c r="Q299" s="3"/>
      <c r="R299" s="3"/>
      <c r="S299" s="3"/>
      <c r="T299" s="3"/>
      <c r="U299" s="3"/>
      <c r="V299" s="3"/>
      <c r="W299" s="3"/>
      <c r="X299" s="3"/>
      <c r="Y299" s="3"/>
      <c r="Z299" s="3"/>
      <c r="AA299" s="3"/>
      <c r="AB299" s="3"/>
      <c r="AC299" s="3"/>
      <c r="AD299" s="3"/>
      <c r="AE299" s="3"/>
      <c r="AF299" s="3"/>
      <c r="AM299"/>
      <c r="AN299"/>
      <c r="AO299"/>
      <c r="AP299"/>
      <c r="AQ299"/>
      <c r="AR299"/>
      <c r="AS299"/>
      <c r="AT299"/>
      <c r="AU299"/>
      <c r="AV299"/>
      <c r="AW299"/>
      <c r="AX299"/>
      <c r="AY299"/>
      <c r="AZ299"/>
      <c r="BA299"/>
      <c r="BB299"/>
    </row>
    <row r="300" spans="17:54">
      <c r="Q300" s="3"/>
      <c r="R300" s="3"/>
      <c r="S300" s="3"/>
      <c r="T300" s="3"/>
      <c r="U300" s="3"/>
      <c r="V300" s="3"/>
      <c r="W300" s="3"/>
      <c r="X300" s="3"/>
      <c r="Y300" s="3"/>
      <c r="Z300" s="3"/>
      <c r="AA300" s="3"/>
      <c r="AB300" s="3"/>
      <c r="AC300" s="3"/>
      <c r="AD300" s="3"/>
      <c r="AE300" s="3"/>
      <c r="AF300" s="3"/>
      <c r="AM300"/>
      <c r="AN300"/>
      <c r="AO300"/>
      <c r="AP300"/>
      <c r="AQ300"/>
      <c r="AR300"/>
      <c r="AS300"/>
      <c r="AT300"/>
      <c r="AU300"/>
      <c r="AV300"/>
      <c r="AW300"/>
      <c r="AX300"/>
      <c r="AY300"/>
      <c r="AZ300"/>
      <c r="BA300"/>
      <c r="BB300"/>
    </row>
    <row r="301" spans="17:54">
      <c r="Q301" s="3"/>
      <c r="R301" s="3"/>
      <c r="S301" s="3"/>
      <c r="T301" s="3"/>
      <c r="U301" s="3"/>
      <c r="V301" s="3"/>
      <c r="W301" s="3"/>
      <c r="X301" s="3"/>
      <c r="Y301" s="3"/>
      <c r="Z301" s="3"/>
      <c r="AA301" s="3"/>
      <c r="AB301" s="3"/>
      <c r="AC301" s="3"/>
      <c r="AD301" s="3"/>
      <c r="AE301" s="3"/>
      <c r="AF301" s="3"/>
      <c r="AM301"/>
      <c r="AN301"/>
      <c r="AO301"/>
      <c r="AP301"/>
      <c r="AQ301"/>
      <c r="AR301"/>
      <c r="AS301"/>
      <c r="AT301"/>
      <c r="AU301"/>
      <c r="AV301"/>
      <c r="AW301"/>
      <c r="AX301"/>
      <c r="AY301"/>
      <c r="AZ301"/>
      <c r="BA301"/>
      <c r="BB301"/>
    </row>
    <row r="302" spans="17:54">
      <c r="Q302" s="3"/>
      <c r="R302" s="3"/>
      <c r="S302" s="3"/>
      <c r="T302" s="3"/>
      <c r="U302" s="3"/>
      <c r="V302" s="3"/>
      <c r="W302" s="3"/>
      <c r="X302" s="3"/>
      <c r="Y302" s="3"/>
      <c r="Z302" s="3"/>
      <c r="AA302" s="3"/>
      <c r="AB302" s="3"/>
      <c r="AC302" s="3"/>
      <c r="AD302" s="3"/>
      <c r="AE302" s="3"/>
      <c r="AF302" s="3"/>
      <c r="AM302"/>
      <c r="AN302"/>
      <c r="AO302"/>
      <c r="AP302"/>
      <c r="AQ302"/>
      <c r="AR302"/>
      <c r="AS302"/>
      <c r="AT302"/>
      <c r="AU302"/>
      <c r="AV302"/>
      <c r="AW302"/>
      <c r="AX302"/>
      <c r="AY302"/>
      <c r="AZ302"/>
      <c r="BA302"/>
      <c r="BB302"/>
    </row>
    <row r="303" spans="17:54">
      <c r="Q303" s="3"/>
      <c r="R303" s="3"/>
      <c r="S303" s="3"/>
      <c r="T303" s="3"/>
      <c r="U303" s="3"/>
      <c r="V303" s="3"/>
      <c r="W303" s="3"/>
      <c r="X303" s="3"/>
      <c r="Y303" s="3"/>
      <c r="Z303" s="3"/>
      <c r="AA303" s="3"/>
      <c r="AB303" s="3"/>
      <c r="AC303" s="3"/>
      <c r="AD303" s="3"/>
      <c r="AE303" s="3"/>
      <c r="AF303" s="3"/>
      <c r="AM303"/>
      <c r="AN303"/>
      <c r="AO303"/>
      <c r="AP303"/>
      <c r="AQ303"/>
      <c r="AR303"/>
      <c r="AS303"/>
      <c r="AT303"/>
      <c r="AU303"/>
      <c r="AV303"/>
      <c r="AW303"/>
      <c r="AX303"/>
      <c r="AY303"/>
      <c r="AZ303"/>
      <c r="BA303"/>
      <c r="BB303"/>
    </row>
    <row r="304" spans="17:54">
      <c r="Q304" s="3"/>
      <c r="R304" s="3"/>
      <c r="S304" s="3"/>
      <c r="T304" s="3"/>
      <c r="U304" s="3"/>
      <c r="V304" s="3"/>
      <c r="W304" s="3"/>
      <c r="X304" s="3"/>
      <c r="Y304" s="3"/>
      <c r="Z304" s="3"/>
      <c r="AA304" s="3"/>
      <c r="AB304" s="3"/>
      <c r="AC304" s="3"/>
      <c r="AD304" s="3"/>
      <c r="AE304" s="3"/>
      <c r="AF304" s="3"/>
      <c r="AM304"/>
      <c r="AN304"/>
      <c r="AO304"/>
      <c r="AP304"/>
      <c r="AQ304"/>
      <c r="AR304"/>
      <c r="AS304"/>
      <c r="AT304"/>
      <c r="AU304"/>
      <c r="AV304"/>
      <c r="AW304"/>
      <c r="AX304"/>
      <c r="AY304"/>
      <c r="AZ304"/>
      <c r="BA304"/>
      <c r="BB304"/>
    </row>
    <row r="305" spans="17:54">
      <c r="Q305" s="3"/>
      <c r="R305" s="3"/>
      <c r="S305" s="3"/>
      <c r="T305" s="3"/>
      <c r="U305" s="3"/>
      <c r="V305" s="3"/>
      <c r="W305" s="3"/>
      <c r="X305" s="3"/>
      <c r="Y305" s="3"/>
      <c r="Z305" s="3"/>
      <c r="AA305" s="3"/>
      <c r="AB305" s="3"/>
      <c r="AC305" s="3"/>
      <c r="AD305" s="3"/>
      <c r="AE305" s="3"/>
      <c r="AF305" s="3"/>
      <c r="AM305"/>
      <c r="AN305"/>
      <c r="AO305"/>
      <c r="AP305"/>
      <c r="AQ305"/>
      <c r="AR305"/>
      <c r="AS305"/>
      <c r="AT305"/>
      <c r="AU305"/>
      <c r="AV305"/>
      <c r="AW305"/>
      <c r="AX305"/>
      <c r="AY305"/>
      <c r="AZ305"/>
      <c r="BA305"/>
      <c r="BB305"/>
    </row>
    <row r="306" spans="17:54">
      <c r="Q306" s="3"/>
      <c r="R306" s="3"/>
      <c r="S306" s="3"/>
      <c r="T306" s="3"/>
      <c r="U306" s="3"/>
      <c r="V306" s="3"/>
      <c r="W306" s="3"/>
      <c r="X306" s="3"/>
      <c r="Y306" s="3"/>
      <c r="Z306" s="3"/>
      <c r="AA306" s="3"/>
      <c r="AB306" s="3"/>
      <c r="AC306" s="3"/>
      <c r="AD306" s="3"/>
      <c r="AE306" s="3"/>
      <c r="AF306" s="3"/>
      <c r="AM306"/>
      <c r="AN306"/>
      <c r="AO306"/>
      <c r="AP306"/>
      <c r="AQ306"/>
      <c r="AR306"/>
      <c r="AS306"/>
      <c r="AT306"/>
      <c r="AU306"/>
      <c r="AV306"/>
      <c r="AW306"/>
      <c r="AX306"/>
      <c r="AY306"/>
      <c r="AZ306"/>
      <c r="BA306"/>
      <c r="BB306"/>
    </row>
    <row r="307" spans="17:54">
      <c r="Q307" s="3"/>
      <c r="R307" s="3"/>
      <c r="S307" s="3"/>
      <c r="T307" s="3"/>
      <c r="U307" s="3"/>
      <c r="V307" s="3"/>
      <c r="W307" s="3"/>
      <c r="X307" s="3"/>
      <c r="Y307" s="3"/>
      <c r="Z307" s="3"/>
      <c r="AA307" s="3"/>
      <c r="AB307" s="3"/>
      <c r="AC307" s="3"/>
      <c r="AD307" s="3"/>
      <c r="AE307" s="3"/>
      <c r="AF307" s="3"/>
      <c r="AM307"/>
      <c r="AN307"/>
      <c r="AO307"/>
      <c r="AP307"/>
      <c r="AQ307"/>
      <c r="AR307"/>
      <c r="AS307"/>
      <c r="AT307"/>
      <c r="AU307"/>
      <c r="AV307"/>
      <c r="AW307"/>
      <c r="AX307"/>
      <c r="AY307"/>
      <c r="AZ307"/>
      <c r="BA307"/>
      <c r="BB307"/>
    </row>
    <row r="308" spans="17:54">
      <c r="Q308" s="3"/>
      <c r="R308" s="3"/>
      <c r="S308" s="3"/>
      <c r="T308" s="3"/>
      <c r="U308" s="3"/>
      <c r="V308" s="3"/>
      <c r="W308" s="3"/>
      <c r="X308" s="3"/>
      <c r="Y308" s="3"/>
      <c r="Z308" s="3"/>
      <c r="AA308" s="3"/>
      <c r="AB308" s="3"/>
      <c r="AC308" s="3"/>
      <c r="AD308" s="3"/>
      <c r="AE308" s="3"/>
      <c r="AF308" s="3"/>
      <c r="AM308"/>
      <c r="AN308"/>
      <c r="AO308"/>
      <c r="AP308"/>
      <c r="AQ308"/>
      <c r="AR308"/>
      <c r="AS308"/>
      <c r="AT308"/>
      <c r="AU308"/>
      <c r="AV308"/>
      <c r="AW308"/>
      <c r="AX308"/>
      <c r="AY308"/>
      <c r="AZ308"/>
      <c r="BA308"/>
      <c r="BB308"/>
    </row>
    <row r="309" spans="17:54">
      <c r="Q309" s="3"/>
      <c r="R309" s="3"/>
      <c r="S309" s="3"/>
      <c r="T309" s="3"/>
      <c r="U309" s="3"/>
      <c r="V309" s="3"/>
      <c r="W309" s="3"/>
      <c r="X309" s="3"/>
      <c r="Y309" s="3"/>
      <c r="Z309" s="3"/>
      <c r="AA309" s="3"/>
      <c r="AB309" s="3"/>
      <c r="AC309" s="3"/>
      <c r="AD309" s="3"/>
      <c r="AE309" s="3"/>
      <c r="AF309" s="3"/>
      <c r="AM309"/>
      <c r="AN309"/>
      <c r="AO309"/>
      <c r="AP309"/>
      <c r="AQ309"/>
      <c r="AR309"/>
      <c r="AS309"/>
      <c r="AT309"/>
      <c r="AU309"/>
      <c r="AV309"/>
      <c r="AW309"/>
      <c r="AX309"/>
      <c r="AY309"/>
      <c r="AZ309"/>
      <c r="BA309"/>
      <c r="BB309"/>
    </row>
    <row r="310" spans="17:54">
      <c r="Q310" s="3"/>
      <c r="R310" s="3"/>
      <c r="S310" s="3"/>
      <c r="T310" s="3"/>
      <c r="U310" s="3"/>
      <c r="V310" s="3"/>
      <c r="W310" s="3"/>
      <c r="X310" s="3"/>
      <c r="Y310" s="3"/>
      <c r="Z310" s="3"/>
      <c r="AA310" s="3"/>
      <c r="AB310" s="3"/>
      <c r="AC310" s="3"/>
      <c r="AD310" s="3"/>
      <c r="AE310" s="3"/>
      <c r="AF310" s="3"/>
      <c r="AM310"/>
      <c r="AN310"/>
      <c r="AO310"/>
      <c r="AP310"/>
      <c r="AQ310"/>
      <c r="AR310"/>
      <c r="AS310"/>
      <c r="AT310"/>
      <c r="AU310"/>
      <c r="AV310"/>
      <c r="AW310"/>
      <c r="AX310"/>
      <c r="AY310"/>
      <c r="AZ310"/>
      <c r="BA310"/>
      <c r="BB310"/>
    </row>
    <row r="311" spans="17:54">
      <c r="Q311" s="3"/>
      <c r="R311" s="3"/>
      <c r="S311" s="3"/>
      <c r="T311" s="3"/>
      <c r="U311" s="3"/>
      <c r="V311" s="3"/>
      <c r="W311" s="3"/>
      <c r="X311" s="3"/>
      <c r="Y311" s="3"/>
      <c r="Z311" s="3"/>
      <c r="AA311" s="3"/>
      <c r="AB311" s="3"/>
      <c r="AC311" s="3"/>
      <c r="AD311" s="3"/>
      <c r="AE311" s="3"/>
      <c r="AF311" s="3"/>
      <c r="AM311"/>
      <c r="AN311"/>
      <c r="AO311"/>
      <c r="AP311"/>
      <c r="AQ311"/>
      <c r="AR311"/>
      <c r="AS311"/>
      <c r="AT311"/>
      <c r="AU311"/>
      <c r="AV311"/>
      <c r="AW311"/>
      <c r="AX311"/>
      <c r="AY311"/>
      <c r="AZ311"/>
      <c r="BA311"/>
      <c r="BB311"/>
    </row>
    <row r="312" spans="17:54">
      <c r="Q312" s="3"/>
      <c r="R312" s="3"/>
      <c r="S312" s="3"/>
      <c r="T312" s="3"/>
      <c r="U312" s="3"/>
      <c r="V312" s="3"/>
      <c r="W312" s="3"/>
      <c r="X312" s="3"/>
      <c r="Y312" s="3"/>
      <c r="Z312" s="3"/>
      <c r="AA312" s="3"/>
      <c r="AB312" s="3"/>
      <c r="AC312" s="3"/>
      <c r="AD312" s="3"/>
      <c r="AE312" s="3"/>
      <c r="AF312" s="3"/>
      <c r="AM312"/>
      <c r="AN312"/>
      <c r="AO312"/>
      <c r="AP312"/>
      <c r="AQ312"/>
      <c r="AR312"/>
      <c r="AS312"/>
      <c r="AT312"/>
      <c r="AU312"/>
      <c r="AV312"/>
      <c r="AW312"/>
      <c r="AX312"/>
      <c r="AY312"/>
      <c r="AZ312"/>
      <c r="BA312"/>
      <c r="BB312"/>
    </row>
    <row r="313" spans="17:54">
      <c r="Q313" s="3"/>
      <c r="R313" s="3"/>
      <c r="S313" s="3"/>
      <c r="T313" s="3"/>
      <c r="U313" s="3"/>
      <c r="V313" s="3"/>
      <c r="W313" s="3"/>
      <c r="X313" s="3"/>
      <c r="Y313" s="3"/>
      <c r="Z313" s="3"/>
      <c r="AA313" s="3"/>
      <c r="AB313" s="3"/>
      <c r="AC313" s="3"/>
      <c r="AD313" s="3"/>
      <c r="AE313" s="3"/>
      <c r="AF313" s="3"/>
      <c r="AM313"/>
      <c r="AN313"/>
      <c r="AO313"/>
      <c r="AP313"/>
      <c r="AQ313"/>
      <c r="AR313"/>
      <c r="AS313"/>
      <c r="AT313"/>
      <c r="AU313"/>
      <c r="AV313"/>
      <c r="AW313"/>
      <c r="AX313"/>
      <c r="AY313"/>
      <c r="AZ313"/>
      <c r="BA313"/>
      <c r="BB313"/>
    </row>
    <row r="314" spans="17:54">
      <c r="Q314" s="3"/>
      <c r="R314" s="3"/>
      <c r="S314" s="3"/>
      <c r="T314" s="3"/>
      <c r="U314" s="3"/>
      <c r="V314" s="3"/>
      <c r="W314" s="3"/>
      <c r="X314" s="3"/>
      <c r="Y314" s="3"/>
      <c r="Z314" s="3"/>
      <c r="AA314" s="3"/>
      <c r="AB314" s="3"/>
      <c r="AC314" s="3"/>
      <c r="AD314" s="3"/>
      <c r="AE314" s="3"/>
      <c r="AF314" s="3"/>
      <c r="AM314"/>
      <c r="AN314"/>
      <c r="AO314"/>
      <c r="AP314"/>
      <c r="AQ314"/>
      <c r="AR314"/>
      <c r="AS314"/>
      <c r="AT314"/>
      <c r="AU314"/>
      <c r="AV314"/>
      <c r="AW314"/>
      <c r="AX314"/>
      <c r="AY314"/>
      <c r="AZ314"/>
      <c r="BA314"/>
      <c r="BB314"/>
    </row>
    <row r="315" spans="17:54">
      <c r="Q315" s="3"/>
      <c r="R315" s="3"/>
      <c r="S315" s="3"/>
      <c r="T315" s="3"/>
      <c r="U315" s="3"/>
      <c r="V315" s="3"/>
      <c r="W315" s="3"/>
      <c r="X315" s="3"/>
      <c r="Y315" s="3"/>
      <c r="Z315" s="3"/>
      <c r="AA315" s="3"/>
      <c r="AB315" s="3"/>
      <c r="AC315" s="3"/>
      <c r="AD315" s="3"/>
      <c r="AE315" s="3"/>
      <c r="AF315" s="3"/>
      <c r="AM315"/>
      <c r="AN315"/>
      <c r="AO315"/>
      <c r="AP315"/>
      <c r="AQ315"/>
      <c r="AR315"/>
      <c r="AS315"/>
      <c r="AT315"/>
      <c r="AU315"/>
      <c r="AV315"/>
      <c r="AW315"/>
      <c r="AX315"/>
      <c r="AY315"/>
      <c r="AZ315"/>
      <c r="BA315"/>
      <c r="BB315"/>
    </row>
    <row r="316" spans="17:54">
      <c r="Q316" s="3"/>
      <c r="R316" s="3"/>
      <c r="S316" s="3"/>
      <c r="T316" s="3"/>
      <c r="U316" s="3"/>
      <c r="V316" s="3"/>
      <c r="W316" s="3"/>
      <c r="X316" s="3"/>
      <c r="Y316" s="3"/>
      <c r="Z316" s="3"/>
      <c r="AA316" s="3"/>
      <c r="AB316" s="3"/>
      <c r="AC316" s="3"/>
      <c r="AD316" s="3"/>
      <c r="AE316" s="3"/>
      <c r="AF316" s="3"/>
      <c r="AM316"/>
      <c r="AN316"/>
      <c r="AO316"/>
      <c r="AP316"/>
      <c r="AQ316"/>
      <c r="AR316"/>
      <c r="AS316"/>
      <c r="AT316"/>
      <c r="AU316"/>
      <c r="AV316"/>
      <c r="AW316"/>
      <c r="AX316"/>
      <c r="AY316"/>
      <c r="AZ316"/>
      <c r="BA316"/>
      <c r="BB316"/>
    </row>
    <row r="317" spans="17:54">
      <c r="Q317" s="3"/>
      <c r="R317" s="3"/>
      <c r="S317" s="3"/>
      <c r="T317" s="3"/>
      <c r="U317" s="3"/>
      <c r="V317" s="3"/>
      <c r="W317" s="3"/>
      <c r="X317" s="3"/>
      <c r="Y317" s="3"/>
      <c r="Z317" s="3"/>
      <c r="AA317" s="3"/>
      <c r="AB317" s="3"/>
      <c r="AC317" s="3"/>
      <c r="AD317" s="3"/>
      <c r="AE317" s="3"/>
      <c r="AF317" s="3"/>
      <c r="AM317"/>
      <c r="AN317"/>
      <c r="AO317"/>
      <c r="AP317"/>
      <c r="AQ317"/>
      <c r="AR317"/>
      <c r="AS317"/>
      <c r="AT317"/>
      <c r="AU317"/>
      <c r="AV317"/>
      <c r="AW317"/>
      <c r="AX317"/>
      <c r="AY317"/>
      <c r="AZ317"/>
      <c r="BA317"/>
      <c r="BB317"/>
    </row>
    <row r="318" spans="17:54">
      <c r="Q318" s="3"/>
      <c r="R318" s="3"/>
      <c r="S318" s="3"/>
      <c r="T318" s="3"/>
      <c r="U318" s="3"/>
      <c r="V318" s="3"/>
      <c r="W318" s="3"/>
      <c r="X318" s="3"/>
      <c r="Y318" s="3"/>
      <c r="Z318" s="3"/>
      <c r="AA318" s="3"/>
      <c r="AB318" s="3"/>
      <c r="AC318" s="3"/>
      <c r="AD318" s="3"/>
      <c r="AE318" s="3"/>
      <c r="AF318" s="3"/>
      <c r="AM318"/>
      <c r="AN318"/>
      <c r="AO318"/>
      <c r="AP318"/>
      <c r="AQ318"/>
      <c r="AR318"/>
      <c r="AS318"/>
      <c r="AT318"/>
      <c r="AU318"/>
      <c r="AV318"/>
      <c r="AW318"/>
      <c r="AX318"/>
      <c r="AY318"/>
      <c r="AZ318"/>
      <c r="BA318"/>
      <c r="BB318"/>
    </row>
    <row r="319" spans="17:54">
      <c r="Q319" s="3"/>
      <c r="R319" s="3"/>
      <c r="S319" s="3"/>
      <c r="T319" s="3"/>
      <c r="U319" s="3"/>
      <c r="V319" s="3"/>
      <c r="W319" s="3"/>
      <c r="X319" s="3"/>
      <c r="Y319" s="3"/>
      <c r="Z319" s="3"/>
      <c r="AA319" s="3"/>
      <c r="AB319" s="3"/>
      <c r="AC319" s="3"/>
      <c r="AD319" s="3"/>
      <c r="AE319" s="3"/>
      <c r="AF319" s="3"/>
      <c r="AM319"/>
      <c r="AN319"/>
      <c r="AO319"/>
      <c r="AP319"/>
      <c r="AQ319"/>
      <c r="AR319"/>
      <c r="AS319"/>
      <c r="AT319"/>
      <c r="AU319"/>
      <c r="AV319"/>
      <c r="AW319"/>
      <c r="AX319"/>
      <c r="AY319"/>
      <c r="AZ319"/>
      <c r="BA319"/>
      <c r="BB319"/>
    </row>
    <row r="320" spans="17:54">
      <c r="Q320" s="3"/>
      <c r="R320" s="3"/>
      <c r="S320" s="3"/>
      <c r="T320" s="3"/>
      <c r="U320" s="3"/>
      <c r="V320" s="3"/>
      <c r="W320" s="3"/>
      <c r="X320" s="3"/>
      <c r="Y320" s="3"/>
      <c r="Z320" s="3"/>
      <c r="AA320" s="3"/>
      <c r="AB320" s="3"/>
      <c r="AC320" s="3"/>
      <c r="AD320" s="3"/>
      <c r="AE320" s="3"/>
      <c r="AF320" s="3"/>
      <c r="AM320"/>
      <c r="AN320"/>
      <c r="AO320"/>
      <c r="AP320"/>
      <c r="AQ320"/>
      <c r="AR320"/>
      <c r="AS320"/>
      <c r="AT320"/>
      <c r="AU320"/>
      <c r="AV320"/>
      <c r="AW320"/>
      <c r="AX320"/>
      <c r="AY320"/>
      <c r="AZ320"/>
      <c r="BA320"/>
      <c r="BB320"/>
    </row>
    <row r="321" spans="17:54">
      <c r="Q321" s="3"/>
      <c r="R321" s="3"/>
      <c r="S321" s="3"/>
      <c r="T321" s="3"/>
      <c r="U321" s="3"/>
      <c r="V321" s="3"/>
      <c r="W321" s="3"/>
      <c r="X321" s="3"/>
      <c r="Y321" s="3"/>
      <c r="Z321" s="3"/>
      <c r="AA321" s="3"/>
      <c r="AB321" s="3"/>
      <c r="AC321" s="3"/>
      <c r="AD321" s="3"/>
      <c r="AE321" s="3"/>
      <c r="AF321" s="3"/>
      <c r="AM321"/>
      <c r="AN321"/>
      <c r="AO321"/>
      <c r="AP321"/>
      <c r="AQ321"/>
      <c r="AR321"/>
      <c r="AS321"/>
      <c r="AT321"/>
      <c r="AU321"/>
      <c r="AV321"/>
      <c r="AW321"/>
      <c r="AX321"/>
      <c r="AY321"/>
      <c r="AZ321"/>
      <c r="BA321"/>
      <c r="BB321"/>
    </row>
    <row r="322" spans="17:54">
      <c r="Q322" s="3"/>
      <c r="R322" s="3"/>
      <c r="S322" s="3"/>
      <c r="T322" s="3"/>
      <c r="U322" s="3"/>
      <c r="V322" s="3"/>
      <c r="W322" s="3"/>
      <c r="X322" s="3"/>
      <c r="Y322" s="3"/>
      <c r="Z322" s="3"/>
      <c r="AA322" s="3"/>
      <c r="AB322" s="3"/>
      <c r="AC322" s="3"/>
      <c r="AD322" s="3"/>
      <c r="AE322" s="3"/>
      <c r="AF322" s="3"/>
      <c r="AM322"/>
      <c r="AN322"/>
      <c r="AO322"/>
      <c r="AP322"/>
      <c r="AQ322"/>
      <c r="AR322"/>
      <c r="AS322"/>
      <c r="AT322"/>
      <c r="AU322"/>
      <c r="AV322"/>
      <c r="AW322"/>
      <c r="AX322"/>
      <c r="AY322"/>
      <c r="AZ322"/>
      <c r="BA322"/>
      <c r="BB322"/>
    </row>
    <row r="323" spans="17:54">
      <c r="Q323" s="3"/>
      <c r="R323" s="3"/>
      <c r="S323" s="3"/>
      <c r="T323" s="3"/>
      <c r="U323" s="3"/>
      <c r="V323" s="3"/>
      <c r="W323" s="3"/>
      <c r="X323" s="3"/>
      <c r="Y323" s="3"/>
      <c r="Z323" s="3"/>
      <c r="AA323" s="3"/>
      <c r="AB323" s="3"/>
      <c r="AC323" s="3"/>
      <c r="AD323" s="3"/>
      <c r="AE323" s="3"/>
      <c r="AF323" s="3"/>
      <c r="AM323"/>
      <c r="AN323"/>
      <c r="AO323"/>
      <c r="AP323"/>
      <c r="AQ323"/>
      <c r="AR323"/>
      <c r="AS323"/>
      <c r="AT323"/>
      <c r="AU323"/>
      <c r="AV323"/>
      <c r="AW323"/>
      <c r="AX323"/>
      <c r="AY323"/>
      <c r="AZ323"/>
      <c r="BA323"/>
      <c r="BB323"/>
    </row>
    <row r="324" spans="17:54">
      <c r="Q324" s="3"/>
      <c r="R324" s="3"/>
      <c r="S324" s="3"/>
      <c r="T324" s="3"/>
      <c r="U324" s="3"/>
      <c r="V324" s="3"/>
      <c r="W324" s="3"/>
      <c r="X324" s="3"/>
      <c r="Y324" s="3"/>
      <c r="Z324" s="3"/>
      <c r="AA324" s="3"/>
      <c r="AB324" s="3"/>
      <c r="AC324" s="3"/>
      <c r="AD324" s="3"/>
      <c r="AE324" s="3"/>
      <c r="AF324" s="3"/>
      <c r="AM324"/>
      <c r="AN324"/>
      <c r="AO324"/>
      <c r="AP324"/>
      <c r="AQ324"/>
      <c r="AR324"/>
      <c r="AS324"/>
      <c r="AT324"/>
      <c r="AU324"/>
      <c r="AV324"/>
      <c r="AW324"/>
      <c r="AX324"/>
      <c r="AY324"/>
      <c r="AZ324"/>
      <c r="BA324"/>
      <c r="BB324"/>
    </row>
    <row r="325" spans="17:54">
      <c r="Q325" s="3"/>
      <c r="R325" s="3"/>
      <c r="S325" s="3"/>
      <c r="T325" s="3"/>
      <c r="U325" s="3"/>
      <c r="V325" s="3"/>
      <c r="W325" s="3"/>
      <c r="X325" s="3"/>
      <c r="Y325" s="3"/>
      <c r="Z325" s="3"/>
      <c r="AA325" s="3"/>
      <c r="AB325" s="3"/>
      <c r="AC325" s="3"/>
      <c r="AD325" s="3"/>
      <c r="AE325" s="3"/>
      <c r="AF325" s="3"/>
      <c r="AM325"/>
      <c r="AN325"/>
      <c r="AO325"/>
      <c r="AP325"/>
      <c r="AQ325"/>
      <c r="AR325"/>
      <c r="AS325"/>
      <c r="AT325"/>
      <c r="AU325"/>
      <c r="AV325"/>
      <c r="AW325"/>
      <c r="AX325"/>
      <c r="AY325"/>
      <c r="AZ325"/>
      <c r="BA325"/>
      <c r="BB325"/>
    </row>
    <row r="326" spans="17:54">
      <c r="Q326" s="3"/>
      <c r="R326" s="3"/>
      <c r="S326" s="3"/>
      <c r="T326" s="3"/>
      <c r="U326" s="3"/>
      <c r="V326" s="3"/>
      <c r="W326" s="3"/>
      <c r="X326" s="3"/>
      <c r="Y326" s="3"/>
      <c r="Z326" s="3"/>
      <c r="AA326" s="3"/>
      <c r="AB326" s="3"/>
      <c r="AC326" s="3"/>
      <c r="AD326" s="3"/>
      <c r="AE326" s="3"/>
      <c r="AF326" s="3"/>
      <c r="AM326"/>
      <c r="AN326"/>
      <c r="AO326"/>
      <c r="AP326"/>
      <c r="AQ326"/>
      <c r="AR326"/>
      <c r="AS326"/>
      <c r="AT326"/>
      <c r="AU326"/>
      <c r="AV326"/>
      <c r="AW326"/>
      <c r="AX326"/>
      <c r="AY326"/>
      <c r="AZ326"/>
      <c r="BA326"/>
      <c r="BB326"/>
    </row>
    <row r="327" spans="17:54">
      <c r="Q327" s="3"/>
      <c r="R327" s="3"/>
      <c r="S327" s="3"/>
      <c r="T327" s="3"/>
      <c r="U327" s="3"/>
      <c r="V327" s="3"/>
      <c r="W327" s="3"/>
      <c r="X327" s="3"/>
      <c r="Y327" s="3"/>
      <c r="Z327" s="3"/>
      <c r="AA327" s="3"/>
      <c r="AB327" s="3"/>
      <c r="AC327" s="3"/>
      <c r="AD327" s="3"/>
      <c r="AE327" s="3"/>
      <c r="AF327" s="3"/>
      <c r="AM327"/>
      <c r="AN327"/>
      <c r="AO327"/>
      <c r="AP327"/>
      <c r="AQ327"/>
      <c r="AR327"/>
      <c r="AS327"/>
      <c r="AT327"/>
      <c r="AU327"/>
      <c r="AV327"/>
      <c r="AW327"/>
      <c r="AX327"/>
      <c r="AY327"/>
      <c r="AZ327"/>
      <c r="BA327"/>
      <c r="BB327"/>
    </row>
    <row r="328" spans="17:54">
      <c r="Q328" s="3"/>
      <c r="R328" s="3"/>
      <c r="S328" s="3"/>
      <c r="T328" s="3"/>
      <c r="U328" s="3"/>
      <c r="V328" s="3"/>
      <c r="W328" s="3"/>
      <c r="X328" s="3"/>
      <c r="Y328" s="3"/>
      <c r="Z328" s="3"/>
      <c r="AA328" s="3"/>
      <c r="AB328" s="3"/>
      <c r="AC328" s="3"/>
      <c r="AD328" s="3"/>
      <c r="AE328" s="3"/>
      <c r="AF328" s="3"/>
      <c r="AM328"/>
      <c r="AN328"/>
      <c r="AO328"/>
      <c r="AP328"/>
      <c r="AQ328"/>
      <c r="AR328"/>
      <c r="AS328"/>
      <c r="AT328"/>
      <c r="AU328"/>
      <c r="AV328"/>
      <c r="AW328"/>
      <c r="AX328"/>
      <c r="AY328"/>
      <c r="AZ328"/>
      <c r="BA328"/>
      <c r="BB328"/>
    </row>
    <row r="329" spans="17:54">
      <c r="Q329" s="3"/>
      <c r="R329" s="3"/>
      <c r="S329" s="3"/>
      <c r="T329" s="3"/>
      <c r="U329" s="3"/>
      <c r="V329" s="3"/>
      <c r="W329" s="3"/>
      <c r="X329" s="3"/>
      <c r="Y329" s="3"/>
      <c r="Z329" s="3"/>
      <c r="AA329" s="3"/>
      <c r="AB329" s="3"/>
      <c r="AC329" s="3"/>
      <c r="AD329" s="3"/>
      <c r="AE329" s="3"/>
      <c r="AF329" s="3"/>
      <c r="AM329"/>
      <c r="AN329"/>
      <c r="AO329"/>
      <c r="AP329"/>
      <c r="AQ329"/>
      <c r="AR329"/>
      <c r="AS329"/>
      <c r="AT329"/>
      <c r="AU329"/>
      <c r="AV329"/>
      <c r="AW329"/>
      <c r="AX329"/>
      <c r="AY329"/>
      <c r="AZ329"/>
      <c r="BA329"/>
      <c r="BB329"/>
    </row>
    <row r="330" spans="17:54">
      <c r="Q330" s="3"/>
      <c r="R330" s="3"/>
      <c r="S330" s="3"/>
      <c r="T330" s="3"/>
      <c r="U330" s="3"/>
      <c r="V330" s="3"/>
      <c r="W330" s="3"/>
      <c r="X330" s="3"/>
      <c r="Y330" s="3"/>
      <c r="Z330" s="3"/>
      <c r="AA330" s="3"/>
      <c r="AB330" s="3"/>
      <c r="AC330" s="3"/>
      <c r="AD330" s="3"/>
      <c r="AE330" s="3"/>
      <c r="AF330" s="3"/>
      <c r="AM330"/>
      <c r="AN330"/>
      <c r="AO330"/>
      <c r="AP330"/>
      <c r="AQ330"/>
      <c r="AR330"/>
      <c r="AS330"/>
      <c r="AT330"/>
      <c r="AU330"/>
      <c r="AV330"/>
      <c r="AW330"/>
      <c r="AX330"/>
      <c r="AY330"/>
      <c r="AZ330"/>
      <c r="BA330"/>
      <c r="BB330"/>
    </row>
    <row r="331" spans="17:54">
      <c r="Q331" s="3"/>
      <c r="R331" s="3"/>
      <c r="S331" s="3"/>
      <c r="T331" s="3"/>
      <c r="U331" s="3"/>
      <c r="V331" s="3"/>
      <c r="W331" s="3"/>
      <c r="X331" s="3"/>
      <c r="Y331" s="3"/>
      <c r="Z331" s="3"/>
      <c r="AA331" s="3"/>
      <c r="AB331" s="3"/>
      <c r="AC331" s="3"/>
      <c r="AD331" s="3"/>
      <c r="AE331" s="3"/>
      <c r="AF331" s="3"/>
      <c r="AM331"/>
      <c r="AN331"/>
      <c r="AO331"/>
      <c r="AP331"/>
      <c r="AQ331"/>
      <c r="AR331"/>
      <c r="AS331"/>
      <c r="AT331"/>
      <c r="AU331"/>
      <c r="AV331"/>
      <c r="AW331"/>
      <c r="AX331"/>
      <c r="AY331"/>
      <c r="AZ331"/>
      <c r="BA331"/>
      <c r="BB331"/>
    </row>
    <row r="332" spans="17:54">
      <c r="Q332" s="3"/>
      <c r="R332" s="3"/>
      <c r="S332" s="3"/>
      <c r="T332" s="3"/>
      <c r="U332" s="3"/>
      <c r="V332" s="3"/>
      <c r="W332" s="3"/>
      <c r="X332" s="3"/>
      <c r="Y332" s="3"/>
      <c r="Z332" s="3"/>
      <c r="AA332" s="3"/>
      <c r="AB332" s="3"/>
      <c r="AC332" s="3"/>
      <c r="AD332" s="3"/>
      <c r="AE332" s="3"/>
      <c r="AF332" s="3"/>
      <c r="AM332"/>
      <c r="AN332"/>
      <c r="AO332"/>
      <c r="AP332"/>
      <c r="AQ332"/>
      <c r="AR332"/>
      <c r="AS332"/>
      <c r="AT332"/>
      <c r="AU332"/>
      <c r="AV332"/>
      <c r="AW332"/>
      <c r="AX332"/>
      <c r="AY332"/>
      <c r="AZ332"/>
      <c r="BA332"/>
      <c r="BB332"/>
    </row>
    <row r="333" spans="17:54">
      <c r="Q333" s="3"/>
      <c r="R333" s="3"/>
      <c r="S333" s="3"/>
      <c r="T333" s="3"/>
      <c r="U333" s="3"/>
      <c r="V333" s="3"/>
      <c r="W333" s="3"/>
      <c r="X333" s="3"/>
      <c r="Y333" s="3"/>
      <c r="Z333" s="3"/>
      <c r="AA333" s="3"/>
      <c r="AB333" s="3"/>
      <c r="AC333" s="3"/>
      <c r="AD333" s="3"/>
      <c r="AE333" s="3"/>
      <c r="AF333" s="3"/>
      <c r="AM333"/>
      <c r="AN333"/>
      <c r="AO333"/>
      <c r="AP333"/>
      <c r="AQ333"/>
      <c r="AR333"/>
      <c r="AS333"/>
      <c r="AT333"/>
      <c r="AU333"/>
      <c r="AV333"/>
      <c r="AW333"/>
      <c r="AX333"/>
      <c r="AY333"/>
      <c r="AZ333"/>
      <c r="BA333"/>
      <c r="BB333"/>
    </row>
    <row r="334" spans="17:54">
      <c r="Q334" s="3"/>
      <c r="R334" s="3"/>
      <c r="S334" s="3"/>
      <c r="T334" s="3"/>
      <c r="U334" s="3"/>
      <c r="V334" s="3"/>
      <c r="W334" s="3"/>
      <c r="X334" s="3"/>
      <c r="Y334" s="3"/>
      <c r="Z334" s="3"/>
      <c r="AA334" s="3"/>
      <c r="AB334" s="3"/>
      <c r="AC334" s="3"/>
      <c r="AD334" s="3"/>
      <c r="AE334" s="3"/>
      <c r="AF334" s="3"/>
      <c r="AM334"/>
      <c r="AN334"/>
      <c r="AO334"/>
      <c r="AP334"/>
      <c r="AQ334"/>
      <c r="AR334"/>
      <c r="AS334"/>
      <c r="AT334"/>
      <c r="AU334"/>
      <c r="AV334"/>
      <c r="AW334"/>
      <c r="AX334"/>
      <c r="AY334"/>
      <c r="AZ334"/>
      <c r="BA334"/>
      <c r="BB334"/>
    </row>
    <row r="335" spans="17:54">
      <c r="Q335" s="3"/>
      <c r="R335" s="3"/>
      <c r="S335" s="3"/>
      <c r="T335" s="3"/>
      <c r="U335" s="3"/>
      <c r="V335" s="3"/>
      <c r="W335" s="3"/>
      <c r="X335" s="3"/>
      <c r="Y335" s="3"/>
      <c r="Z335" s="3"/>
      <c r="AA335" s="3"/>
      <c r="AB335" s="3"/>
      <c r="AC335" s="3"/>
      <c r="AD335" s="3"/>
      <c r="AE335" s="3"/>
      <c r="AF335" s="3"/>
      <c r="AM335"/>
      <c r="AN335"/>
      <c r="AO335"/>
      <c r="AP335"/>
      <c r="AQ335"/>
      <c r="AR335"/>
      <c r="AS335"/>
      <c r="AT335"/>
      <c r="AU335"/>
      <c r="AV335"/>
      <c r="AW335"/>
      <c r="AX335"/>
      <c r="AY335"/>
      <c r="AZ335"/>
      <c r="BA335"/>
      <c r="BB335"/>
    </row>
    <row r="336" spans="17:54">
      <c r="Q336" s="3"/>
      <c r="R336" s="3"/>
      <c r="S336" s="3"/>
      <c r="T336" s="3"/>
      <c r="U336" s="3"/>
      <c r="V336" s="3"/>
      <c r="W336" s="3"/>
      <c r="X336" s="3"/>
      <c r="Y336" s="3"/>
      <c r="Z336" s="3"/>
      <c r="AA336" s="3"/>
      <c r="AB336" s="3"/>
      <c r="AC336" s="3"/>
      <c r="AD336" s="3"/>
      <c r="AE336" s="3"/>
      <c r="AF336" s="3"/>
      <c r="AM336"/>
      <c r="AN336"/>
      <c r="AO336"/>
      <c r="AP336"/>
      <c r="AQ336"/>
      <c r="AR336"/>
      <c r="AS336"/>
      <c r="AT336"/>
      <c r="AU336"/>
      <c r="AV336"/>
      <c r="AW336"/>
      <c r="AX336"/>
      <c r="AY336"/>
      <c r="AZ336"/>
      <c r="BA336"/>
      <c r="BB336"/>
    </row>
  </sheetData>
  <phoneticPr fontId="77" type="noConversion"/>
  <conditionalFormatting sqref="H2:N194">
    <cfRule type="expression" dxfId="38" priority="1">
      <formula>H2=1</formula>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A8424-D560-408F-8969-3A6CA8469EC4}">
  <sheetPr codeName="Sheet3"/>
  <dimension ref="A1:L74"/>
  <sheetViews>
    <sheetView workbookViewId="0">
      <selection activeCell="I11" sqref="I11"/>
    </sheetView>
  </sheetViews>
  <sheetFormatPr defaultRowHeight="15"/>
  <cols>
    <col min="1" max="1" width="20.28515625" bestFit="1" customWidth="1"/>
    <col min="2" max="2" width="10" bestFit="1" customWidth="1"/>
    <col min="3" max="3" width="7" bestFit="1" customWidth="1"/>
    <col min="4" max="4" width="7.28515625" bestFit="1" customWidth="1"/>
    <col min="5" max="5" width="4.42578125" style="211" bestFit="1" customWidth="1"/>
    <col min="6" max="6" width="12.42578125" style="238" bestFit="1" customWidth="1"/>
    <col min="7" max="7" width="15.85546875" style="209" bestFit="1" customWidth="1"/>
    <col min="8" max="8" width="11.28515625" style="209" bestFit="1" customWidth="1"/>
    <col min="9" max="9" width="13.42578125" style="209" bestFit="1" customWidth="1"/>
    <col min="10" max="10" width="11.140625" style="209" bestFit="1" customWidth="1"/>
    <col min="11" max="11" width="8.85546875" style="209" bestFit="1" customWidth="1"/>
    <col min="12" max="12" width="4.5703125" style="211" bestFit="1" customWidth="1"/>
  </cols>
  <sheetData>
    <row r="1" spans="1:12">
      <c r="G1" s="238"/>
      <c r="H1" s="213"/>
      <c r="I1" s="213"/>
      <c r="J1" s="238"/>
      <c r="K1" s="238"/>
    </row>
    <row r="2" spans="1:12">
      <c r="E2" s="235"/>
      <c r="F2" s="234"/>
      <c r="G2" s="233"/>
      <c r="H2" s="213"/>
      <c r="I2" s="213"/>
      <c r="J2" s="212"/>
      <c r="K2" s="212"/>
    </row>
    <row r="3" spans="1:12">
      <c r="I3" s="213"/>
      <c r="J3" s="212"/>
      <c r="K3" s="212"/>
    </row>
    <row r="4" spans="1:12">
      <c r="I4" s="213"/>
      <c r="J4" s="212"/>
      <c r="K4" s="212"/>
    </row>
    <row r="5" spans="1:12">
      <c r="G5" s="212"/>
      <c r="H5" s="213"/>
      <c r="I5" s="213"/>
      <c r="J5" s="212"/>
      <c r="K5" s="212"/>
    </row>
    <row r="6" spans="1:12">
      <c r="G6" s="212"/>
      <c r="H6" s="213"/>
      <c r="I6" s="213"/>
      <c r="J6" s="212"/>
      <c r="K6" s="212"/>
    </row>
    <row r="7" spans="1:12">
      <c r="G7" s="212"/>
      <c r="H7" s="213"/>
      <c r="I7" s="213"/>
      <c r="J7" s="212"/>
      <c r="K7" s="212"/>
    </row>
    <row r="8" spans="1:12">
      <c r="G8" s="212"/>
      <c r="H8" s="213"/>
      <c r="I8" s="213"/>
      <c r="J8" s="212"/>
      <c r="K8" s="212"/>
    </row>
    <row r="9" spans="1:12">
      <c r="G9" s="212"/>
      <c r="H9" s="213"/>
      <c r="I9" s="213"/>
      <c r="J9" s="212"/>
      <c r="K9" s="212"/>
    </row>
    <row r="10" spans="1:12">
      <c r="G10" s="212"/>
      <c r="H10" s="213"/>
      <c r="I10" s="213"/>
      <c r="J10" s="212"/>
      <c r="K10" s="212"/>
    </row>
    <row r="11" spans="1:12">
      <c r="G11" s="212"/>
      <c r="H11" s="213"/>
      <c r="I11" s="213"/>
      <c r="J11" s="212"/>
      <c r="K11" s="212"/>
    </row>
    <row r="12" spans="1:12">
      <c r="G12" s="212"/>
      <c r="H12" s="213"/>
      <c r="I12" s="213"/>
      <c r="J12" s="212"/>
      <c r="K12" s="212"/>
    </row>
    <row r="13" spans="1:12" ht="30">
      <c r="A13" t="s">
        <v>5348</v>
      </c>
      <c r="B13" t="s">
        <v>5282</v>
      </c>
      <c r="C13" t="s">
        <v>5283</v>
      </c>
      <c r="D13" t="s">
        <v>5286</v>
      </c>
      <c r="E13" s="211" t="s">
        <v>2</v>
      </c>
      <c r="F13" s="248" t="s">
        <v>5364</v>
      </c>
      <c r="G13" s="224" t="s">
        <v>5308</v>
      </c>
      <c r="H13" s="223" t="s">
        <v>5360</v>
      </c>
      <c r="I13" s="222" t="s">
        <v>5361</v>
      </c>
      <c r="J13" s="215" t="s">
        <v>5355</v>
      </c>
      <c r="K13" s="244" t="s">
        <v>5356</v>
      </c>
      <c r="L13" s="211" t="s">
        <v>3</v>
      </c>
    </row>
    <row r="14" spans="1:12">
      <c r="A14" t="s">
        <v>5889</v>
      </c>
      <c r="B14">
        <v>457617119</v>
      </c>
      <c r="C14" t="s">
        <v>433</v>
      </c>
      <c r="D14" t="s">
        <v>5890</v>
      </c>
      <c r="F14" s="238" t="str" cm="1">
        <f t="array" aca="1" ref="F14" ca="1">MID(met2utc(SWAP_Commanding[[#This Row],[MET]]),3,15)</f>
        <v>20-203/06:00:01</v>
      </c>
      <c r="G14" s="212" t="str">
        <f t="shared" ref="G14:G45" si="0">_xlfn.TEXTJOIN("+",TRUE,$C14:$D14)</f>
        <v>ON</v>
      </c>
      <c r="H14" s="213">
        <f t="shared" ref="H14:H45" si="1">IF($C14="ON",$B14,IF(RIGHT($H13,9)="MET Start","",IF(AND($K14&lt;&gt;0,$K13=1),$B14,$H13)))</f>
        <v>457617119</v>
      </c>
      <c r="I14" s="213">
        <f t="shared" ref="I14:I45" si="2">IF($C14="OFF",$B14,IF($B15="",$B14+31500000,IF($K14=1,$B15,I15)))</f>
        <v>457617600</v>
      </c>
      <c r="J14" s="212">
        <f t="shared" ref="J14:J45" si="3">IF($G14="ON",0,IF(OR(J13="",LEFT(J13,6)="Offset"),"",J13+1))</f>
        <v>0</v>
      </c>
      <c r="K14" s="212">
        <f t="shared" ref="K14:K45" si="4">IF($G14="OFF",0,IF(AND($J15&lt;&gt;0,$J14&lt;&gt;9,$G15&lt;&gt;"MAC+111",($B15-$B14)&lt;7200),K15+1,1))</f>
        <v>10</v>
      </c>
    </row>
    <row r="15" spans="1:12">
      <c r="A15" t="s">
        <v>5891</v>
      </c>
      <c r="B15">
        <v>457617344</v>
      </c>
      <c r="C15" t="s">
        <v>5892</v>
      </c>
      <c r="D15" t="s">
        <v>5893</v>
      </c>
      <c r="F15" s="238" t="str" cm="1">
        <f t="array" aca="1" ref="F15" ca="1">MID(met2utc(SWAP_Commanding[[#This Row],[MET]]),3,15)</f>
        <v>20-203/06:03:46</v>
      </c>
      <c r="G15" s="212" t="str">
        <f t="shared" si="0"/>
        <v>MODE+HVENG</v>
      </c>
      <c r="H15" s="213">
        <f t="shared" si="1"/>
        <v>457617119</v>
      </c>
      <c r="I15" s="213">
        <f t="shared" si="2"/>
        <v>457617600</v>
      </c>
      <c r="J15" s="212">
        <f t="shared" si="3"/>
        <v>1</v>
      </c>
      <c r="K15" s="212">
        <f t="shared" si="4"/>
        <v>9</v>
      </c>
    </row>
    <row r="16" spans="1:12">
      <c r="A16" t="s">
        <v>5894</v>
      </c>
      <c r="B16">
        <v>457617344</v>
      </c>
      <c r="C16" t="s">
        <v>898</v>
      </c>
      <c r="D16" t="s">
        <v>890</v>
      </c>
      <c r="F16" s="238" t="str" cm="1">
        <f t="array" aca="1" ref="F16" ca="1">MID(met2utc(SWAP_Commanding[[#This Row],[MET]]),3,15)</f>
        <v>20-203/06:03:46</v>
      </c>
      <c r="G16" s="212" t="str">
        <f t="shared" si="0"/>
        <v>HK+1S</v>
      </c>
      <c r="H16" s="213">
        <f t="shared" si="1"/>
        <v>457617119</v>
      </c>
      <c r="I16" s="213">
        <f t="shared" si="2"/>
        <v>457617600</v>
      </c>
      <c r="J16" s="212">
        <f t="shared" si="3"/>
        <v>2</v>
      </c>
      <c r="K16" s="212">
        <f t="shared" si="4"/>
        <v>8</v>
      </c>
    </row>
    <row r="17" spans="1:11">
      <c r="A17" t="s">
        <v>5891</v>
      </c>
      <c r="B17">
        <v>457617472</v>
      </c>
      <c r="C17" t="s">
        <v>5892</v>
      </c>
      <c r="D17" t="s">
        <v>5895</v>
      </c>
      <c r="F17" s="238" t="str" cm="1">
        <f t="array" aca="1" ref="F17" ca="1">MID(met2utc(SWAP_Commanding[[#This Row],[MET]]),3,15)</f>
        <v>20-203/06:05:54</v>
      </c>
      <c r="G17" s="212" t="str">
        <f t="shared" si="0"/>
        <v>MODE+HVSCI</v>
      </c>
      <c r="H17" s="213">
        <f t="shared" si="1"/>
        <v>457617119</v>
      </c>
      <c r="I17" s="213">
        <f t="shared" si="2"/>
        <v>457617600</v>
      </c>
      <c r="J17" s="212">
        <f t="shared" si="3"/>
        <v>3</v>
      </c>
      <c r="K17" s="212">
        <f t="shared" si="4"/>
        <v>7</v>
      </c>
    </row>
    <row r="18" spans="1:11">
      <c r="A18" t="s">
        <v>5894</v>
      </c>
      <c r="B18">
        <v>457617472</v>
      </c>
      <c r="C18" t="s">
        <v>898</v>
      </c>
      <c r="D18" t="s">
        <v>878</v>
      </c>
      <c r="F18" s="238" t="str" cm="1">
        <f t="array" aca="1" ref="F18" ca="1">MID(met2utc(SWAP_Commanding[[#This Row],[MET]]),3,15)</f>
        <v>20-203/06:05:54</v>
      </c>
      <c r="G18" s="212" t="str">
        <f t="shared" si="0"/>
        <v>HK+1H</v>
      </c>
      <c r="H18" s="213">
        <f t="shared" si="1"/>
        <v>457617119</v>
      </c>
      <c r="I18" s="213">
        <f t="shared" si="2"/>
        <v>457617600</v>
      </c>
      <c r="J18" s="212">
        <f t="shared" si="3"/>
        <v>4</v>
      </c>
      <c r="K18" s="212">
        <f t="shared" si="4"/>
        <v>6</v>
      </c>
    </row>
    <row r="19" spans="1:11">
      <c r="A19" t="s">
        <v>5896</v>
      </c>
      <c r="B19">
        <v>457617472</v>
      </c>
      <c r="C19" t="s">
        <v>5897</v>
      </c>
      <c r="D19" t="s">
        <v>884</v>
      </c>
      <c r="F19" s="238" t="str" cm="1">
        <f t="array" aca="1" ref="F19" ca="1">MID(met2utc(SWAP_Commanding[[#This Row],[MET]]),3,15)</f>
        <v>20-203/06:05:54</v>
      </c>
      <c r="G19" s="212" t="str">
        <f t="shared" si="0"/>
        <v>RT+64S</v>
      </c>
      <c r="H19" s="213">
        <f t="shared" si="1"/>
        <v>457617119</v>
      </c>
      <c r="I19" s="213">
        <f t="shared" si="2"/>
        <v>457617600</v>
      </c>
      <c r="J19" s="212">
        <f t="shared" si="3"/>
        <v>5</v>
      </c>
      <c r="K19" s="212">
        <f t="shared" si="4"/>
        <v>5</v>
      </c>
    </row>
    <row r="20" spans="1:11">
      <c r="A20" t="s">
        <v>5898</v>
      </c>
      <c r="B20">
        <v>457617472</v>
      </c>
      <c r="C20" t="s">
        <v>5899</v>
      </c>
      <c r="D20" t="s">
        <v>861</v>
      </c>
      <c r="F20" s="238" t="str" cm="1">
        <f t="array" aca="1" ref="F20" ca="1">MID(met2utc(SWAP_Commanding[[#This Row],[MET]]),3,15)</f>
        <v>20-203/06:05:54</v>
      </c>
      <c r="G20" s="212" t="str">
        <f t="shared" si="0"/>
        <v>SM+NEVER</v>
      </c>
      <c r="H20" s="213">
        <f t="shared" si="1"/>
        <v>457617119</v>
      </c>
      <c r="I20" s="213">
        <f t="shared" si="2"/>
        <v>457617600</v>
      </c>
      <c r="J20" s="212">
        <f t="shared" si="3"/>
        <v>6</v>
      </c>
      <c r="K20" s="212">
        <f t="shared" si="4"/>
        <v>4</v>
      </c>
    </row>
    <row r="21" spans="1:11">
      <c r="A21" t="s">
        <v>5900</v>
      </c>
      <c r="B21">
        <v>457617472</v>
      </c>
      <c r="C21" t="s">
        <v>5901</v>
      </c>
      <c r="D21" t="s">
        <v>861</v>
      </c>
      <c r="F21" s="238" t="str" cm="1">
        <f t="array" aca="1" ref="F21" ca="1">MID(met2utc(SWAP_Commanding[[#This Row],[MET]]),3,15)</f>
        <v>20-203/06:05:54</v>
      </c>
      <c r="G21" s="212" t="str">
        <f t="shared" si="0"/>
        <v>HX+NEVER</v>
      </c>
      <c r="H21" s="213">
        <f t="shared" si="1"/>
        <v>457617119</v>
      </c>
      <c r="I21" s="213">
        <f t="shared" si="2"/>
        <v>457617600</v>
      </c>
      <c r="J21" s="212">
        <f t="shared" si="3"/>
        <v>7</v>
      </c>
      <c r="K21" s="212">
        <f t="shared" si="4"/>
        <v>3</v>
      </c>
    </row>
    <row r="22" spans="1:11">
      <c r="A22" t="s">
        <v>5891</v>
      </c>
      <c r="B22">
        <v>457617600</v>
      </c>
      <c r="C22" t="s">
        <v>5892</v>
      </c>
      <c r="D22" t="s">
        <v>5895</v>
      </c>
      <c r="F22" s="238" t="str" cm="1">
        <f t="array" aca="1" ref="F22" ca="1">MID(met2utc(SWAP_Commanding[[#This Row],[MET]]),3,15)</f>
        <v>20-203/06:08:02</v>
      </c>
      <c r="G22" s="212" t="str">
        <f t="shared" si="0"/>
        <v>MODE+HVSCI</v>
      </c>
      <c r="H22" s="213">
        <f t="shared" si="1"/>
        <v>457617119</v>
      </c>
      <c r="I22" s="213">
        <f t="shared" si="2"/>
        <v>457617600</v>
      </c>
      <c r="J22" s="212">
        <f t="shared" si="3"/>
        <v>8</v>
      </c>
      <c r="K22" s="212">
        <f t="shared" si="4"/>
        <v>2</v>
      </c>
    </row>
    <row r="23" spans="1:11">
      <c r="A23" t="s">
        <v>5894</v>
      </c>
      <c r="B23">
        <v>457617600</v>
      </c>
      <c r="C23" t="s">
        <v>898</v>
      </c>
      <c r="D23" t="s">
        <v>878</v>
      </c>
      <c r="F23" s="238" t="str" cm="1">
        <f t="array" aca="1" ref="F23" ca="1">MID(met2utc(SWAP_Commanding[[#This Row],[MET]]),3,15)</f>
        <v>20-203/06:08:02</v>
      </c>
      <c r="G23" s="212" t="str">
        <f t="shared" si="0"/>
        <v>HK+1H</v>
      </c>
      <c r="H23" s="213">
        <f t="shared" si="1"/>
        <v>457617119</v>
      </c>
      <c r="I23" s="213">
        <f t="shared" si="2"/>
        <v>457617600</v>
      </c>
      <c r="J23" s="212">
        <f t="shared" si="3"/>
        <v>9</v>
      </c>
      <c r="K23" s="212">
        <f t="shared" si="4"/>
        <v>1</v>
      </c>
    </row>
    <row r="24" spans="1:11">
      <c r="A24" t="s">
        <v>5896</v>
      </c>
      <c r="B24">
        <v>457617600</v>
      </c>
      <c r="C24" t="s">
        <v>5897</v>
      </c>
      <c r="D24" t="s">
        <v>881</v>
      </c>
      <c r="F24" s="238" t="str" cm="1">
        <f t="array" aca="1" ref="F24" ca="1">MID(met2utc(SWAP_Commanding[[#This Row],[MET]]),3,15)</f>
        <v>20-203/06:08:02</v>
      </c>
      <c r="G24" s="212" t="str">
        <f t="shared" si="0"/>
        <v>RT+10M</v>
      </c>
      <c r="H24" s="213">
        <f t="shared" si="1"/>
        <v>457617600</v>
      </c>
      <c r="I24" s="213">
        <f t="shared" si="2"/>
        <v>644922415</v>
      </c>
      <c r="J24" s="212">
        <f t="shared" si="3"/>
        <v>10</v>
      </c>
      <c r="K24" s="212">
        <f t="shared" si="4"/>
        <v>3</v>
      </c>
    </row>
    <row r="25" spans="1:11">
      <c r="A25" t="s">
        <v>5898</v>
      </c>
      <c r="B25">
        <v>457617600</v>
      </c>
      <c r="C25" t="s">
        <v>5899</v>
      </c>
      <c r="D25" t="s">
        <v>878</v>
      </c>
      <c r="F25" s="238" t="str" cm="1">
        <f t="array" aca="1" ref="F25" ca="1">MID(met2utc(SWAP_Commanding[[#This Row],[MET]]),3,15)</f>
        <v>20-203/06:08:02</v>
      </c>
      <c r="G25" s="212" t="str">
        <f t="shared" si="0"/>
        <v>SM+1H</v>
      </c>
      <c r="H25" s="213">
        <f t="shared" si="1"/>
        <v>457617600</v>
      </c>
      <c r="I25" s="213">
        <f t="shared" si="2"/>
        <v>644922415</v>
      </c>
      <c r="J25" s="212">
        <f t="shared" si="3"/>
        <v>11</v>
      </c>
      <c r="K25" s="212">
        <f t="shared" si="4"/>
        <v>2</v>
      </c>
    </row>
    <row r="26" spans="1:11">
      <c r="A26" t="s">
        <v>5900</v>
      </c>
      <c r="B26">
        <v>457617600</v>
      </c>
      <c r="C26" t="s">
        <v>5901</v>
      </c>
      <c r="D26" t="s">
        <v>865</v>
      </c>
      <c r="F26" s="238" t="str" cm="1">
        <f t="array" aca="1" ref="F26" ca="1">MID(met2utc(SWAP_Commanding[[#This Row],[MET]]),3,15)</f>
        <v>20-203/06:08:02</v>
      </c>
      <c r="G26" s="212" t="str">
        <f t="shared" si="0"/>
        <v>HX+24H</v>
      </c>
      <c r="H26" s="213">
        <f t="shared" si="1"/>
        <v>457617600</v>
      </c>
      <c r="I26" s="213">
        <f t="shared" si="2"/>
        <v>644922415</v>
      </c>
      <c r="J26" s="212">
        <f t="shared" si="3"/>
        <v>12</v>
      </c>
      <c r="K26" s="212">
        <f t="shared" si="4"/>
        <v>1</v>
      </c>
    </row>
    <row r="27" spans="1:11">
      <c r="A27" t="s">
        <v>5889</v>
      </c>
      <c r="B27">
        <v>644922415</v>
      </c>
      <c r="C27" t="s">
        <v>433</v>
      </c>
      <c r="D27" t="s">
        <v>5890</v>
      </c>
      <c r="F27" s="238" t="str" cm="1">
        <f t="array" aca="1" ref="F27" ca="1">MID(met2utc(SWAP_Commanding[[#This Row],[MET]]),3,15)</f>
        <v>26-179/03:14:59</v>
      </c>
      <c r="G27" s="212" t="str">
        <f t="shared" si="0"/>
        <v>ON</v>
      </c>
      <c r="H27" s="213">
        <f t="shared" si="1"/>
        <v>644922415</v>
      </c>
      <c r="I27" s="213">
        <f t="shared" si="2"/>
        <v>644922880</v>
      </c>
      <c r="J27" s="212">
        <f t="shared" si="3"/>
        <v>0</v>
      </c>
      <c r="K27" s="212">
        <f t="shared" si="4"/>
        <v>10</v>
      </c>
    </row>
    <row r="28" spans="1:11">
      <c r="A28" t="s">
        <v>5891</v>
      </c>
      <c r="B28">
        <v>644922624</v>
      </c>
      <c r="C28" t="s">
        <v>5892</v>
      </c>
      <c r="D28" t="s">
        <v>5893</v>
      </c>
      <c r="F28" s="238" t="str" cm="1">
        <f t="array" aca="1" ref="F28" ca="1">MID(met2utc(SWAP_Commanding[[#This Row],[MET]]),3,15)</f>
        <v>26-179/03:18:28</v>
      </c>
      <c r="G28" s="212" t="str">
        <f t="shared" si="0"/>
        <v>MODE+HVENG</v>
      </c>
      <c r="H28" s="213">
        <f t="shared" si="1"/>
        <v>644922415</v>
      </c>
      <c r="I28" s="213">
        <f t="shared" si="2"/>
        <v>644922880</v>
      </c>
      <c r="J28" s="212">
        <f t="shared" si="3"/>
        <v>1</v>
      </c>
      <c r="K28" s="212">
        <f t="shared" si="4"/>
        <v>9</v>
      </c>
    </row>
    <row r="29" spans="1:11">
      <c r="A29" t="s">
        <v>5894</v>
      </c>
      <c r="B29">
        <v>644922624</v>
      </c>
      <c r="C29" t="s">
        <v>898</v>
      </c>
      <c r="D29" t="s">
        <v>890</v>
      </c>
      <c r="F29" s="238" t="str" cm="1">
        <f t="array" aca="1" ref="F29" ca="1">MID(met2utc(SWAP_Commanding[[#This Row],[MET]]),3,15)</f>
        <v>26-179/03:18:28</v>
      </c>
      <c r="G29" s="212" t="str">
        <f t="shared" si="0"/>
        <v>HK+1S</v>
      </c>
      <c r="H29" s="213">
        <f t="shared" si="1"/>
        <v>644922415</v>
      </c>
      <c r="I29" s="213">
        <f t="shared" si="2"/>
        <v>644922880</v>
      </c>
      <c r="J29" s="212">
        <f t="shared" si="3"/>
        <v>2</v>
      </c>
      <c r="K29" s="212">
        <f t="shared" si="4"/>
        <v>8</v>
      </c>
    </row>
    <row r="30" spans="1:11">
      <c r="A30" t="s">
        <v>5891</v>
      </c>
      <c r="B30">
        <v>644922752</v>
      </c>
      <c r="C30" t="s">
        <v>5892</v>
      </c>
      <c r="D30" t="s">
        <v>5895</v>
      </c>
      <c r="F30" s="238" t="str" cm="1">
        <f t="array" aca="1" ref="F30" ca="1">MID(met2utc(SWAP_Commanding[[#This Row],[MET]]),3,15)</f>
        <v>26-179/03:20:36</v>
      </c>
      <c r="G30" s="212" t="str">
        <f t="shared" si="0"/>
        <v>MODE+HVSCI</v>
      </c>
      <c r="H30" s="213">
        <f t="shared" si="1"/>
        <v>644922415</v>
      </c>
      <c r="I30" s="213">
        <f t="shared" si="2"/>
        <v>644922880</v>
      </c>
      <c r="J30" s="212">
        <f t="shared" si="3"/>
        <v>3</v>
      </c>
      <c r="K30" s="212">
        <f t="shared" si="4"/>
        <v>7</v>
      </c>
    </row>
    <row r="31" spans="1:11">
      <c r="A31" t="s">
        <v>5894</v>
      </c>
      <c r="B31">
        <v>644922752</v>
      </c>
      <c r="C31" t="s">
        <v>898</v>
      </c>
      <c r="D31" t="s">
        <v>878</v>
      </c>
      <c r="F31" s="238" t="str" cm="1">
        <f t="array" aca="1" ref="F31" ca="1">MID(met2utc(SWAP_Commanding[[#This Row],[MET]]),3,15)</f>
        <v>26-179/03:20:36</v>
      </c>
      <c r="G31" s="212" t="str">
        <f t="shared" si="0"/>
        <v>HK+1H</v>
      </c>
      <c r="H31" s="213">
        <f t="shared" si="1"/>
        <v>644922415</v>
      </c>
      <c r="I31" s="213">
        <f t="shared" si="2"/>
        <v>644922880</v>
      </c>
      <c r="J31" s="212">
        <f t="shared" si="3"/>
        <v>4</v>
      </c>
      <c r="K31" s="212">
        <f t="shared" si="4"/>
        <v>6</v>
      </c>
    </row>
    <row r="32" spans="1:11">
      <c r="A32" t="s">
        <v>5896</v>
      </c>
      <c r="B32">
        <v>644922752</v>
      </c>
      <c r="C32" t="s">
        <v>5897</v>
      </c>
      <c r="D32" t="s">
        <v>884</v>
      </c>
      <c r="F32" s="238" t="str" cm="1">
        <f t="array" aca="1" ref="F32" ca="1">MID(met2utc(SWAP_Commanding[[#This Row],[MET]]),3,15)</f>
        <v>26-179/03:20:36</v>
      </c>
      <c r="G32" s="212" t="str">
        <f t="shared" si="0"/>
        <v>RT+64S</v>
      </c>
      <c r="H32" s="213">
        <f t="shared" si="1"/>
        <v>644922415</v>
      </c>
      <c r="I32" s="213">
        <f t="shared" si="2"/>
        <v>644922880</v>
      </c>
      <c r="J32" s="212">
        <f t="shared" si="3"/>
        <v>5</v>
      </c>
      <c r="K32" s="212">
        <f t="shared" si="4"/>
        <v>5</v>
      </c>
    </row>
    <row r="33" spans="1:11">
      <c r="A33" t="s">
        <v>5898</v>
      </c>
      <c r="B33">
        <v>644922752</v>
      </c>
      <c r="C33" t="s">
        <v>5899</v>
      </c>
      <c r="D33" t="s">
        <v>861</v>
      </c>
      <c r="F33" s="238" t="str" cm="1">
        <f t="array" aca="1" ref="F33" ca="1">MID(met2utc(SWAP_Commanding[[#This Row],[MET]]),3,15)</f>
        <v>26-179/03:20:36</v>
      </c>
      <c r="G33" s="212" t="str">
        <f t="shared" si="0"/>
        <v>SM+NEVER</v>
      </c>
      <c r="H33" s="213">
        <f t="shared" si="1"/>
        <v>644922415</v>
      </c>
      <c r="I33" s="213">
        <f t="shared" si="2"/>
        <v>644922880</v>
      </c>
      <c r="J33" s="212">
        <f t="shared" si="3"/>
        <v>6</v>
      </c>
      <c r="K33" s="212">
        <f t="shared" si="4"/>
        <v>4</v>
      </c>
    </row>
    <row r="34" spans="1:11">
      <c r="A34" t="s">
        <v>5900</v>
      </c>
      <c r="B34">
        <v>644922752</v>
      </c>
      <c r="C34" t="s">
        <v>5901</v>
      </c>
      <c r="D34" t="s">
        <v>861</v>
      </c>
      <c r="F34" s="238" t="str" cm="1">
        <f t="array" aca="1" ref="F34" ca="1">MID(met2utc(SWAP_Commanding[[#This Row],[MET]]),3,15)</f>
        <v>26-179/03:20:36</v>
      </c>
      <c r="G34" s="212" t="str">
        <f t="shared" si="0"/>
        <v>HX+NEVER</v>
      </c>
      <c r="H34" s="213">
        <f t="shared" si="1"/>
        <v>644922415</v>
      </c>
      <c r="I34" s="213">
        <f t="shared" si="2"/>
        <v>644922880</v>
      </c>
      <c r="J34" s="212">
        <f t="shared" si="3"/>
        <v>7</v>
      </c>
      <c r="K34" s="212">
        <f t="shared" si="4"/>
        <v>3</v>
      </c>
    </row>
    <row r="35" spans="1:11">
      <c r="A35" t="s">
        <v>5891</v>
      </c>
      <c r="B35">
        <v>644922880</v>
      </c>
      <c r="C35" t="s">
        <v>5892</v>
      </c>
      <c r="D35" t="s">
        <v>5895</v>
      </c>
      <c r="F35" s="238" t="str" cm="1">
        <f t="array" aca="1" ref="F35" ca="1">MID(met2utc(SWAP_Commanding[[#This Row],[MET]]),3,15)</f>
        <v>26-179/03:22:44</v>
      </c>
      <c r="G35" s="212" t="str">
        <f t="shared" si="0"/>
        <v>MODE+HVSCI</v>
      </c>
      <c r="H35" s="213">
        <f t="shared" si="1"/>
        <v>644922415</v>
      </c>
      <c r="I35" s="213">
        <f t="shared" si="2"/>
        <v>644922880</v>
      </c>
      <c r="J35" s="212">
        <f t="shared" si="3"/>
        <v>8</v>
      </c>
      <c r="K35" s="212">
        <f t="shared" si="4"/>
        <v>2</v>
      </c>
    </row>
    <row r="36" spans="1:11">
      <c r="A36" t="s">
        <v>5894</v>
      </c>
      <c r="B36">
        <v>644922880</v>
      </c>
      <c r="C36" t="s">
        <v>898</v>
      </c>
      <c r="D36" t="s">
        <v>878</v>
      </c>
      <c r="F36" s="238" t="str" cm="1">
        <f t="array" aca="1" ref="F36" ca="1">MID(met2utc(SWAP_Commanding[[#This Row],[MET]]),3,15)</f>
        <v>26-179/03:22:44</v>
      </c>
      <c r="G36" s="212" t="str">
        <f t="shared" si="0"/>
        <v>HK+1H</v>
      </c>
      <c r="H36" s="213">
        <f t="shared" si="1"/>
        <v>644922415</v>
      </c>
      <c r="I36" s="213">
        <f t="shared" si="2"/>
        <v>644922880</v>
      </c>
      <c r="J36" s="212">
        <f t="shared" si="3"/>
        <v>9</v>
      </c>
      <c r="K36" s="212">
        <f t="shared" si="4"/>
        <v>1</v>
      </c>
    </row>
    <row r="37" spans="1:11">
      <c r="A37" t="s">
        <v>5896</v>
      </c>
      <c r="B37">
        <v>644922880</v>
      </c>
      <c r="C37" t="s">
        <v>5897</v>
      </c>
      <c r="D37" t="s">
        <v>877</v>
      </c>
      <c r="F37" s="238" t="str" cm="1">
        <f t="array" aca="1" ref="F37" ca="1">MID(met2utc(SWAP_Commanding[[#This Row],[MET]]),3,15)</f>
        <v>26-179/03:22:44</v>
      </c>
      <c r="G37" s="212" t="str">
        <f t="shared" si="0"/>
        <v>RT+2H</v>
      </c>
      <c r="H37" s="213">
        <f t="shared" si="1"/>
        <v>644922880</v>
      </c>
      <c r="I37" s="213">
        <f t="shared" si="2"/>
        <v>645155515</v>
      </c>
      <c r="J37" s="212">
        <f t="shared" si="3"/>
        <v>10</v>
      </c>
      <c r="K37" s="212">
        <f t="shared" si="4"/>
        <v>3</v>
      </c>
    </row>
    <row r="38" spans="1:11">
      <c r="A38" t="s">
        <v>5898</v>
      </c>
      <c r="B38">
        <v>644922944</v>
      </c>
      <c r="C38" t="s">
        <v>5899</v>
      </c>
      <c r="D38" t="s">
        <v>878</v>
      </c>
      <c r="F38" s="238" t="str" cm="1">
        <f t="array" aca="1" ref="F38" ca="1">MID(met2utc(SWAP_Commanding[[#This Row],[MET]]),3,15)</f>
        <v>26-179/03:23:48</v>
      </c>
      <c r="G38" s="212" t="str">
        <f t="shared" si="0"/>
        <v>SM+1H</v>
      </c>
      <c r="H38" s="213">
        <f t="shared" si="1"/>
        <v>644922880</v>
      </c>
      <c r="I38" s="213">
        <f t="shared" si="2"/>
        <v>645155515</v>
      </c>
      <c r="J38" s="212">
        <f t="shared" si="3"/>
        <v>11</v>
      </c>
      <c r="K38" s="212">
        <f t="shared" si="4"/>
        <v>2</v>
      </c>
    </row>
    <row r="39" spans="1:11">
      <c r="A39" t="s">
        <v>5900</v>
      </c>
      <c r="B39">
        <v>644922944</v>
      </c>
      <c r="C39" t="s">
        <v>5901</v>
      </c>
      <c r="D39" t="s">
        <v>865</v>
      </c>
      <c r="F39" s="238" t="str" cm="1">
        <f t="array" aca="1" ref="F39" ca="1">MID(met2utc(SWAP_Commanding[[#This Row],[MET]]),3,15)</f>
        <v>26-179/03:23:48</v>
      </c>
      <c r="G39" s="212" t="str">
        <f t="shared" si="0"/>
        <v>HX+24H</v>
      </c>
      <c r="H39" s="213">
        <f t="shared" si="1"/>
        <v>644922880</v>
      </c>
      <c r="I39" s="213">
        <f t="shared" si="2"/>
        <v>645155515</v>
      </c>
      <c r="J39" s="212">
        <f t="shared" si="3"/>
        <v>12</v>
      </c>
      <c r="K39" s="212">
        <f t="shared" si="4"/>
        <v>1</v>
      </c>
    </row>
    <row r="40" spans="1:11">
      <c r="A40" t="s">
        <v>5889</v>
      </c>
      <c r="B40">
        <v>645155515</v>
      </c>
      <c r="C40" t="s">
        <v>433</v>
      </c>
      <c r="D40" t="s">
        <v>5890</v>
      </c>
      <c r="F40" s="238" t="str" cm="1">
        <f t="array" aca="1" ref="F40" ca="1">MID(met2utc(SWAP_Commanding[[#This Row],[MET]]),3,15)</f>
        <v>26-181/19:59:59</v>
      </c>
      <c r="G40" s="212" t="str">
        <f t="shared" si="0"/>
        <v>ON</v>
      </c>
      <c r="H40" s="213">
        <f t="shared" si="1"/>
        <v>645155515</v>
      </c>
      <c r="I40" s="213">
        <f t="shared" si="2"/>
        <v>645156160</v>
      </c>
      <c r="J40" s="212">
        <f t="shared" si="3"/>
        <v>0</v>
      </c>
      <c r="K40" s="212">
        <f t="shared" si="4"/>
        <v>10</v>
      </c>
    </row>
    <row r="41" spans="1:11">
      <c r="A41" t="s">
        <v>5891</v>
      </c>
      <c r="B41">
        <v>645155968</v>
      </c>
      <c r="C41" t="s">
        <v>5892</v>
      </c>
      <c r="D41" t="s">
        <v>5895</v>
      </c>
      <c r="F41" s="238" t="str" cm="1">
        <f t="array" aca="1" ref="F41" ca="1">MID(met2utc(SWAP_Commanding[[#This Row],[MET]]),3,15)</f>
        <v>26-181/20:07:32</v>
      </c>
      <c r="G41" s="212" t="str">
        <f t="shared" si="0"/>
        <v>MODE+HVSCI</v>
      </c>
      <c r="H41" s="213">
        <f t="shared" si="1"/>
        <v>645155515</v>
      </c>
      <c r="I41" s="213">
        <f t="shared" si="2"/>
        <v>645156160</v>
      </c>
      <c r="J41" s="212">
        <f t="shared" si="3"/>
        <v>1</v>
      </c>
      <c r="K41" s="212">
        <f t="shared" si="4"/>
        <v>9</v>
      </c>
    </row>
    <row r="42" spans="1:11">
      <c r="A42" t="s">
        <v>5894</v>
      </c>
      <c r="B42">
        <v>645156032</v>
      </c>
      <c r="C42" t="s">
        <v>898</v>
      </c>
      <c r="D42" t="s">
        <v>878</v>
      </c>
      <c r="F42" s="238" t="str" cm="1">
        <f t="array" aca="1" ref="F42" ca="1">MID(met2utc(SWAP_Commanding[[#This Row],[MET]]),3,15)</f>
        <v>26-181/20:08:36</v>
      </c>
      <c r="G42" s="212" t="str">
        <f t="shared" si="0"/>
        <v>HK+1H</v>
      </c>
      <c r="H42" s="213">
        <f t="shared" si="1"/>
        <v>645155515</v>
      </c>
      <c r="I42" s="213">
        <f t="shared" si="2"/>
        <v>645156160</v>
      </c>
      <c r="J42" s="212">
        <f t="shared" si="3"/>
        <v>2</v>
      </c>
      <c r="K42" s="212">
        <f t="shared" si="4"/>
        <v>8</v>
      </c>
    </row>
    <row r="43" spans="1:11">
      <c r="A43" t="s">
        <v>5896</v>
      </c>
      <c r="B43">
        <v>645156032</v>
      </c>
      <c r="C43" t="s">
        <v>5897</v>
      </c>
      <c r="D43" t="s">
        <v>878</v>
      </c>
      <c r="F43" s="238" t="str" cm="1">
        <f t="array" aca="1" ref="F43" ca="1">MID(met2utc(SWAP_Commanding[[#This Row],[MET]]),3,15)</f>
        <v>26-181/20:08:36</v>
      </c>
      <c r="G43" s="212" t="str">
        <f t="shared" si="0"/>
        <v>RT+1H</v>
      </c>
      <c r="H43" s="213">
        <f t="shared" si="1"/>
        <v>645155515</v>
      </c>
      <c r="I43" s="213">
        <f t="shared" si="2"/>
        <v>645156160</v>
      </c>
      <c r="J43" s="212">
        <f t="shared" si="3"/>
        <v>3</v>
      </c>
      <c r="K43" s="212">
        <f t="shared" si="4"/>
        <v>7</v>
      </c>
    </row>
    <row r="44" spans="1:11">
      <c r="A44" t="s">
        <v>5898</v>
      </c>
      <c r="B44">
        <v>645156032</v>
      </c>
      <c r="C44" t="s">
        <v>5899</v>
      </c>
      <c r="D44" t="s">
        <v>878</v>
      </c>
      <c r="F44" s="238" t="str" cm="1">
        <f t="array" aca="1" ref="F44" ca="1">MID(met2utc(SWAP_Commanding[[#This Row],[MET]]),3,15)</f>
        <v>26-181/20:08:36</v>
      </c>
      <c r="G44" s="212" t="str">
        <f t="shared" si="0"/>
        <v>SM+1H</v>
      </c>
      <c r="H44" s="213">
        <f t="shared" si="1"/>
        <v>645155515</v>
      </c>
      <c r="I44" s="213">
        <f t="shared" si="2"/>
        <v>645156160</v>
      </c>
      <c r="J44" s="212">
        <f t="shared" si="3"/>
        <v>4</v>
      </c>
      <c r="K44" s="212">
        <f t="shared" si="4"/>
        <v>6</v>
      </c>
    </row>
    <row r="45" spans="1:11">
      <c r="A45" t="s">
        <v>5900</v>
      </c>
      <c r="B45">
        <v>645156032</v>
      </c>
      <c r="C45" t="s">
        <v>5901</v>
      </c>
      <c r="D45" t="s">
        <v>865</v>
      </c>
      <c r="F45" s="238" t="str" cm="1">
        <f t="array" aca="1" ref="F45" ca="1">MID(met2utc(SWAP_Commanding[[#This Row],[MET]]),3,15)</f>
        <v>26-181/20:08:36</v>
      </c>
      <c r="G45" s="212" t="str">
        <f t="shared" si="0"/>
        <v>HX+24H</v>
      </c>
      <c r="H45" s="213">
        <f t="shared" si="1"/>
        <v>645155515</v>
      </c>
      <c r="I45" s="213">
        <f t="shared" si="2"/>
        <v>645156160</v>
      </c>
      <c r="J45" s="212">
        <f t="shared" si="3"/>
        <v>5</v>
      </c>
      <c r="K45" s="212">
        <f t="shared" si="4"/>
        <v>5</v>
      </c>
    </row>
    <row r="46" spans="1:11">
      <c r="A46" t="s">
        <v>5891</v>
      </c>
      <c r="B46">
        <v>645156160</v>
      </c>
      <c r="C46" t="s">
        <v>5892</v>
      </c>
      <c r="D46" t="s">
        <v>5895</v>
      </c>
      <c r="F46" s="238" t="str" cm="1">
        <f t="array" aca="1" ref="F46" ca="1">MID(met2utc(SWAP_Commanding[[#This Row],[MET]]),3,15)</f>
        <v>26-181/20:10:44</v>
      </c>
      <c r="G46" s="212" t="str">
        <f t="shared" ref="G46:G74" si="5">_xlfn.TEXTJOIN("+",TRUE,$C46:$D46)</f>
        <v>MODE+HVSCI</v>
      </c>
      <c r="H46" s="213">
        <f t="shared" ref="H46:H74" si="6">IF($C46="ON",$B46,IF(RIGHT($H45,9)="MET Start","",IF(AND($K46&lt;&gt;0,$K45=1),$B46,$H45)))</f>
        <v>645155515</v>
      </c>
      <c r="I46" s="213">
        <f t="shared" ref="I46:I74" si="7">IF($C46="OFF",$B46,IF($B47="",$B46+31500000,IF($K46=1,$B47,I47)))</f>
        <v>645156160</v>
      </c>
      <c r="J46" s="212">
        <f t="shared" ref="J46:J74" si="8">IF($G46="ON",0,IF(OR(J45="",LEFT(J45,6)="Offset"),"",J45+1))</f>
        <v>6</v>
      </c>
      <c r="K46" s="212">
        <f t="shared" ref="K46:K74" si="9">IF($G46="OFF",0,IF(AND($J47&lt;&gt;0,$J46&lt;&gt;9,$G47&lt;&gt;"MAC+111",($B47-$B46)&lt;7200),K47+1,1))</f>
        <v>4</v>
      </c>
    </row>
    <row r="47" spans="1:11">
      <c r="A47" t="s">
        <v>5894</v>
      </c>
      <c r="B47">
        <v>645156160</v>
      </c>
      <c r="C47" t="s">
        <v>898</v>
      </c>
      <c r="D47" t="s">
        <v>890</v>
      </c>
      <c r="F47" s="238" t="str" cm="1">
        <f t="array" aca="1" ref="F47" ca="1">MID(met2utc(SWAP_Commanding[[#This Row],[MET]]),3,15)</f>
        <v>26-181/20:10:44</v>
      </c>
      <c r="G47" s="212" t="str">
        <f t="shared" si="5"/>
        <v>HK+1S</v>
      </c>
      <c r="H47" s="213">
        <f t="shared" si="6"/>
        <v>645155515</v>
      </c>
      <c r="I47" s="213">
        <f t="shared" si="7"/>
        <v>645156160</v>
      </c>
      <c r="J47" s="212">
        <f t="shared" si="8"/>
        <v>7</v>
      </c>
      <c r="K47" s="212">
        <f t="shared" si="9"/>
        <v>3</v>
      </c>
    </row>
    <row r="48" spans="1:11">
      <c r="A48" t="s">
        <v>5896</v>
      </c>
      <c r="B48">
        <v>645156160</v>
      </c>
      <c r="C48" t="s">
        <v>5897</v>
      </c>
      <c r="D48" t="s">
        <v>884</v>
      </c>
      <c r="F48" s="238" t="str" cm="1">
        <f t="array" aca="1" ref="F48" ca="1">MID(met2utc(SWAP_Commanding[[#This Row],[MET]]),3,15)</f>
        <v>26-181/20:10:44</v>
      </c>
      <c r="G48" s="212" t="str">
        <f t="shared" si="5"/>
        <v>RT+64S</v>
      </c>
      <c r="H48" s="213">
        <f t="shared" si="6"/>
        <v>645155515</v>
      </c>
      <c r="I48" s="213">
        <f t="shared" si="7"/>
        <v>645156160</v>
      </c>
      <c r="J48" s="212">
        <f t="shared" si="8"/>
        <v>8</v>
      </c>
      <c r="K48" s="212">
        <f t="shared" si="9"/>
        <v>2</v>
      </c>
    </row>
    <row r="49" spans="1:11">
      <c r="A49" t="s">
        <v>5898</v>
      </c>
      <c r="B49">
        <v>645156160</v>
      </c>
      <c r="C49" t="s">
        <v>5899</v>
      </c>
      <c r="D49" t="s">
        <v>861</v>
      </c>
      <c r="F49" s="238" t="str" cm="1">
        <f t="array" aca="1" ref="F49" ca="1">MID(met2utc(SWAP_Commanding[[#This Row],[MET]]),3,15)</f>
        <v>26-181/20:10:44</v>
      </c>
      <c r="G49" s="212" t="str">
        <f t="shared" si="5"/>
        <v>SM+NEVER</v>
      </c>
      <c r="H49" s="213">
        <f t="shared" si="6"/>
        <v>645155515</v>
      </c>
      <c r="I49" s="213">
        <f t="shared" si="7"/>
        <v>645156160</v>
      </c>
      <c r="J49" s="212">
        <f t="shared" si="8"/>
        <v>9</v>
      </c>
      <c r="K49" s="212">
        <f t="shared" si="9"/>
        <v>1</v>
      </c>
    </row>
    <row r="50" spans="1:11">
      <c r="A50" t="s">
        <v>5900</v>
      </c>
      <c r="B50">
        <v>645156160</v>
      </c>
      <c r="C50" t="s">
        <v>5901</v>
      </c>
      <c r="D50" t="s">
        <v>861</v>
      </c>
      <c r="F50" s="238" t="str" cm="1">
        <f t="array" aca="1" ref="F50" ca="1">MID(met2utc(SWAP_Commanding[[#This Row],[MET]]),3,15)</f>
        <v>26-181/20:10:44</v>
      </c>
      <c r="G50" s="212" t="str">
        <f t="shared" si="5"/>
        <v>HX+NEVER</v>
      </c>
      <c r="H50" s="213">
        <f t="shared" si="6"/>
        <v>645156160</v>
      </c>
      <c r="I50" s="213">
        <f t="shared" si="7"/>
        <v>645161815</v>
      </c>
      <c r="J50" s="212">
        <f t="shared" si="8"/>
        <v>10</v>
      </c>
      <c r="K50" s="212">
        <f t="shared" si="9"/>
        <v>1</v>
      </c>
    </row>
    <row r="51" spans="1:11">
      <c r="A51" t="s">
        <v>5889</v>
      </c>
      <c r="B51">
        <v>645161815</v>
      </c>
      <c r="C51" t="s">
        <v>433</v>
      </c>
      <c r="D51" t="s">
        <v>5890</v>
      </c>
      <c r="F51" s="238" t="str" cm="1">
        <f t="array" aca="1" ref="F51" ca="1">MID(met2utc(SWAP_Commanding[[#This Row],[MET]]),3,15)</f>
        <v>26-181/21:44:59</v>
      </c>
      <c r="G51" s="212" t="str">
        <f t="shared" si="5"/>
        <v>ON</v>
      </c>
      <c r="H51" s="213">
        <f t="shared" si="6"/>
        <v>645161815</v>
      </c>
      <c r="I51" s="213">
        <f t="shared" si="7"/>
        <v>644922415</v>
      </c>
      <c r="J51" s="212">
        <f t="shared" si="8"/>
        <v>0</v>
      </c>
      <c r="K51" s="212">
        <f t="shared" si="9"/>
        <v>6</v>
      </c>
    </row>
    <row r="52" spans="1:11">
      <c r="A52" t="s">
        <v>5891</v>
      </c>
      <c r="B52">
        <v>645162304</v>
      </c>
      <c r="C52" t="s">
        <v>5892</v>
      </c>
      <c r="D52" t="s">
        <v>5895</v>
      </c>
      <c r="F52" s="238" t="str" cm="1">
        <f t="array" aca="1" ref="F52" ca="1">MID(met2utc(SWAP_Commanding[[#This Row],[MET]]),3,15)</f>
        <v>26-181/21:53:08</v>
      </c>
      <c r="G52" s="212" t="str">
        <f t="shared" si="5"/>
        <v>MODE+HVSCI</v>
      </c>
      <c r="H52" s="213">
        <f t="shared" si="6"/>
        <v>645161815</v>
      </c>
      <c r="I52" s="213">
        <f t="shared" si="7"/>
        <v>644922415</v>
      </c>
      <c r="J52" s="212">
        <f t="shared" si="8"/>
        <v>1</v>
      </c>
      <c r="K52" s="212">
        <f t="shared" si="9"/>
        <v>5</v>
      </c>
    </row>
    <row r="53" spans="1:11">
      <c r="A53" t="s">
        <v>5894</v>
      </c>
      <c r="B53">
        <v>645162304</v>
      </c>
      <c r="C53" t="s">
        <v>898</v>
      </c>
      <c r="D53" t="s">
        <v>878</v>
      </c>
      <c r="F53" s="238" t="str" cm="1">
        <f t="array" aca="1" ref="F53" ca="1">MID(met2utc(SWAP_Commanding[[#This Row],[MET]]),3,15)</f>
        <v>26-181/21:53:08</v>
      </c>
      <c r="G53" s="212" t="str">
        <f t="shared" si="5"/>
        <v>HK+1H</v>
      </c>
      <c r="H53" s="213">
        <f t="shared" si="6"/>
        <v>645161815</v>
      </c>
      <c r="I53" s="213">
        <f t="shared" si="7"/>
        <v>644922415</v>
      </c>
      <c r="J53" s="212">
        <f t="shared" si="8"/>
        <v>2</v>
      </c>
      <c r="K53" s="212">
        <f t="shared" si="9"/>
        <v>4</v>
      </c>
    </row>
    <row r="54" spans="1:11">
      <c r="A54" t="s">
        <v>5896</v>
      </c>
      <c r="B54">
        <v>645162304</v>
      </c>
      <c r="C54" t="s">
        <v>5897</v>
      </c>
      <c r="D54" t="s">
        <v>877</v>
      </c>
      <c r="F54" s="238" t="str" cm="1">
        <f t="array" aca="1" ref="F54" ca="1">MID(met2utc(SWAP_Commanding[[#This Row],[MET]]),3,15)</f>
        <v>26-181/21:53:08</v>
      </c>
      <c r="G54" s="212" t="str">
        <f t="shared" si="5"/>
        <v>RT+2H</v>
      </c>
      <c r="H54" s="213">
        <f t="shared" si="6"/>
        <v>645161815</v>
      </c>
      <c r="I54" s="213">
        <f t="shared" si="7"/>
        <v>644922415</v>
      </c>
      <c r="J54" s="212">
        <f t="shared" si="8"/>
        <v>3</v>
      </c>
      <c r="K54" s="212">
        <f t="shared" si="9"/>
        <v>3</v>
      </c>
    </row>
    <row r="55" spans="1:11">
      <c r="A55" t="s">
        <v>5898</v>
      </c>
      <c r="B55">
        <v>645162304</v>
      </c>
      <c r="C55" t="s">
        <v>5899</v>
      </c>
      <c r="D55" t="s">
        <v>878</v>
      </c>
      <c r="F55" s="238" t="str" cm="1">
        <f t="array" aca="1" ref="F55" ca="1">MID(met2utc(SWAP_Commanding[[#This Row],[MET]]),3,15)</f>
        <v>26-181/21:53:08</v>
      </c>
      <c r="G55" s="212" t="str">
        <f t="shared" si="5"/>
        <v>SM+1H</v>
      </c>
      <c r="H55" s="213">
        <f t="shared" si="6"/>
        <v>645161815</v>
      </c>
      <c r="I55" s="213">
        <f t="shared" si="7"/>
        <v>644922415</v>
      </c>
      <c r="J55" s="212">
        <f t="shared" si="8"/>
        <v>4</v>
      </c>
      <c r="K55" s="212">
        <f t="shared" si="9"/>
        <v>2</v>
      </c>
    </row>
    <row r="56" spans="1:11">
      <c r="A56" t="s">
        <v>5900</v>
      </c>
      <c r="B56">
        <v>645162304</v>
      </c>
      <c r="C56" t="s">
        <v>5901</v>
      </c>
      <c r="D56" t="s">
        <v>865</v>
      </c>
      <c r="F56" s="238" t="str" cm="1">
        <f t="array" aca="1" ref="F56" ca="1">MID(met2utc(SWAP_Commanding[[#This Row],[MET]]),3,15)</f>
        <v>26-181/21:53:08</v>
      </c>
      <c r="G56" s="212" t="str">
        <f t="shared" si="5"/>
        <v>HX+24H</v>
      </c>
      <c r="H56" s="213">
        <f t="shared" si="6"/>
        <v>645161815</v>
      </c>
      <c r="I56" s="213">
        <f t="shared" si="7"/>
        <v>644922415</v>
      </c>
      <c r="J56" s="212">
        <f t="shared" si="8"/>
        <v>5</v>
      </c>
      <c r="K56" s="212">
        <f t="shared" si="9"/>
        <v>1</v>
      </c>
    </row>
    <row r="57" spans="1:11">
      <c r="A57" t="s">
        <v>5889</v>
      </c>
      <c r="B57">
        <v>644922415</v>
      </c>
      <c r="C57" t="s">
        <v>5318</v>
      </c>
      <c r="D57" t="s">
        <v>5890</v>
      </c>
      <c r="F57" s="238" t="str" cm="1">
        <f t="array" aca="1" ref="F57" ca="1">MID(met2utc(SWAP_Commanding[[#This Row],[MET]]),3,15)</f>
        <v>26-179/03:14:59</v>
      </c>
      <c r="G57" s="212" t="str">
        <f t="shared" si="5"/>
        <v>OFF</v>
      </c>
      <c r="H57" s="213">
        <f t="shared" si="6"/>
        <v>645161815</v>
      </c>
      <c r="I57" s="213">
        <f t="shared" si="7"/>
        <v>644922415</v>
      </c>
      <c r="J57" s="212">
        <f t="shared" si="8"/>
        <v>6</v>
      </c>
      <c r="K57" s="212">
        <f t="shared" si="9"/>
        <v>0</v>
      </c>
    </row>
    <row r="58" spans="1:11">
      <c r="A58" t="s">
        <v>5889</v>
      </c>
      <c r="B58">
        <v>645155515</v>
      </c>
      <c r="C58" t="s">
        <v>433</v>
      </c>
      <c r="D58" t="s">
        <v>5890</v>
      </c>
      <c r="F58" s="238" t="str" cm="1">
        <f t="array" aca="1" ref="F58" ca="1">MID(met2utc(SWAP_Commanding[[#This Row],[MET]]),3,15)</f>
        <v>26-181/19:59:59</v>
      </c>
      <c r="G58" s="212" t="str">
        <f t="shared" si="5"/>
        <v>ON</v>
      </c>
      <c r="H58" s="213">
        <f t="shared" si="6"/>
        <v>645155515</v>
      </c>
      <c r="I58" s="213">
        <f t="shared" si="7"/>
        <v>645156160</v>
      </c>
      <c r="J58" s="212">
        <f t="shared" si="8"/>
        <v>0</v>
      </c>
      <c r="K58" s="212">
        <f t="shared" si="9"/>
        <v>10</v>
      </c>
    </row>
    <row r="59" spans="1:11">
      <c r="A59" t="s">
        <v>5891</v>
      </c>
      <c r="B59">
        <v>645155968</v>
      </c>
      <c r="C59" t="s">
        <v>5892</v>
      </c>
      <c r="D59" t="s">
        <v>5895</v>
      </c>
      <c r="F59" s="238" t="str" cm="1">
        <f t="array" aca="1" ref="F59" ca="1">MID(met2utc(SWAP_Commanding[[#This Row],[MET]]),3,15)</f>
        <v>26-181/20:07:32</v>
      </c>
      <c r="G59" s="212" t="str">
        <f t="shared" si="5"/>
        <v>MODE+HVSCI</v>
      </c>
      <c r="H59" s="213">
        <f t="shared" si="6"/>
        <v>645155515</v>
      </c>
      <c r="I59" s="213">
        <f t="shared" si="7"/>
        <v>645156160</v>
      </c>
      <c r="J59" s="212">
        <f t="shared" si="8"/>
        <v>1</v>
      </c>
      <c r="K59" s="212">
        <f t="shared" si="9"/>
        <v>9</v>
      </c>
    </row>
    <row r="60" spans="1:11">
      <c r="A60" t="s">
        <v>5894</v>
      </c>
      <c r="B60">
        <v>645156032</v>
      </c>
      <c r="C60" t="s">
        <v>898</v>
      </c>
      <c r="D60" t="s">
        <v>878</v>
      </c>
      <c r="F60" s="238" t="str" cm="1">
        <f t="array" aca="1" ref="F60" ca="1">MID(met2utc(SWAP_Commanding[[#This Row],[MET]]),3,15)</f>
        <v>26-181/20:08:36</v>
      </c>
      <c r="G60" s="212" t="str">
        <f t="shared" si="5"/>
        <v>HK+1H</v>
      </c>
      <c r="H60" s="213">
        <f t="shared" si="6"/>
        <v>645155515</v>
      </c>
      <c r="I60" s="213">
        <f t="shared" si="7"/>
        <v>645156160</v>
      </c>
      <c r="J60" s="212">
        <f t="shared" si="8"/>
        <v>2</v>
      </c>
      <c r="K60" s="212">
        <f t="shared" si="9"/>
        <v>8</v>
      </c>
    </row>
    <row r="61" spans="1:11">
      <c r="A61" t="s">
        <v>5896</v>
      </c>
      <c r="B61">
        <v>645156032</v>
      </c>
      <c r="C61" t="s">
        <v>5897</v>
      </c>
      <c r="D61" t="s">
        <v>878</v>
      </c>
      <c r="F61" s="238" t="str" cm="1">
        <f t="array" aca="1" ref="F61" ca="1">MID(met2utc(SWAP_Commanding[[#This Row],[MET]]),3,15)</f>
        <v>26-181/20:08:36</v>
      </c>
      <c r="G61" s="212" t="str">
        <f t="shared" si="5"/>
        <v>RT+1H</v>
      </c>
      <c r="H61" s="213">
        <f t="shared" si="6"/>
        <v>645155515</v>
      </c>
      <c r="I61" s="213">
        <f t="shared" si="7"/>
        <v>645156160</v>
      </c>
      <c r="J61" s="212">
        <f t="shared" si="8"/>
        <v>3</v>
      </c>
      <c r="K61" s="212">
        <f t="shared" si="9"/>
        <v>7</v>
      </c>
    </row>
    <row r="62" spans="1:11">
      <c r="A62" t="s">
        <v>5898</v>
      </c>
      <c r="B62">
        <v>645156032</v>
      </c>
      <c r="C62" t="s">
        <v>5899</v>
      </c>
      <c r="D62" t="s">
        <v>878</v>
      </c>
      <c r="F62" s="238" t="str" cm="1">
        <f t="array" aca="1" ref="F62" ca="1">MID(met2utc(SWAP_Commanding[[#This Row],[MET]]),3,15)</f>
        <v>26-181/20:08:36</v>
      </c>
      <c r="G62" s="212" t="str">
        <f t="shared" si="5"/>
        <v>SM+1H</v>
      </c>
      <c r="H62" s="213">
        <f t="shared" si="6"/>
        <v>645155515</v>
      </c>
      <c r="I62" s="213">
        <f t="shared" si="7"/>
        <v>645156160</v>
      </c>
      <c r="J62" s="212">
        <f t="shared" si="8"/>
        <v>4</v>
      </c>
      <c r="K62" s="212">
        <f t="shared" si="9"/>
        <v>6</v>
      </c>
    </row>
    <row r="63" spans="1:11">
      <c r="A63" t="s">
        <v>5900</v>
      </c>
      <c r="B63">
        <v>645156032</v>
      </c>
      <c r="C63" t="s">
        <v>5901</v>
      </c>
      <c r="D63" t="s">
        <v>865</v>
      </c>
      <c r="F63" s="238" t="str" cm="1">
        <f t="array" aca="1" ref="F63" ca="1">MID(met2utc(SWAP_Commanding[[#This Row],[MET]]),3,15)</f>
        <v>26-181/20:08:36</v>
      </c>
      <c r="G63" s="212" t="str">
        <f t="shared" si="5"/>
        <v>HX+24H</v>
      </c>
      <c r="H63" s="213">
        <f t="shared" si="6"/>
        <v>645155515</v>
      </c>
      <c r="I63" s="213">
        <f t="shared" si="7"/>
        <v>645156160</v>
      </c>
      <c r="J63" s="212">
        <f t="shared" si="8"/>
        <v>5</v>
      </c>
      <c r="K63" s="212">
        <f t="shared" si="9"/>
        <v>5</v>
      </c>
    </row>
    <row r="64" spans="1:11">
      <c r="A64" t="s">
        <v>5891</v>
      </c>
      <c r="B64">
        <v>645156160</v>
      </c>
      <c r="C64" t="s">
        <v>5892</v>
      </c>
      <c r="D64" t="s">
        <v>5895</v>
      </c>
      <c r="F64" s="238" t="str" cm="1">
        <f t="array" aca="1" ref="F64" ca="1">MID(met2utc(SWAP_Commanding[[#This Row],[MET]]),3,15)</f>
        <v>26-181/20:10:44</v>
      </c>
      <c r="G64" s="212" t="str">
        <f t="shared" si="5"/>
        <v>MODE+HVSCI</v>
      </c>
      <c r="H64" s="213">
        <f t="shared" si="6"/>
        <v>645155515</v>
      </c>
      <c r="I64" s="213">
        <f t="shared" si="7"/>
        <v>645156160</v>
      </c>
      <c r="J64" s="212">
        <f t="shared" si="8"/>
        <v>6</v>
      </c>
      <c r="K64" s="212">
        <f t="shared" si="9"/>
        <v>4</v>
      </c>
    </row>
    <row r="65" spans="1:11">
      <c r="A65" t="s">
        <v>5894</v>
      </c>
      <c r="B65">
        <v>645156160</v>
      </c>
      <c r="C65" t="s">
        <v>898</v>
      </c>
      <c r="D65" t="s">
        <v>890</v>
      </c>
      <c r="F65" s="238" t="str" cm="1">
        <f t="array" aca="1" ref="F65" ca="1">MID(met2utc(SWAP_Commanding[[#This Row],[MET]]),3,15)</f>
        <v>26-181/20:10:44</v>
      </c>
      <c r="G65" s="212" t="str">
        <f t="shared" si="5"/>
        <v>HK+1S</v>
      </c>
      <c r="H65" s="213">
        <f t="shared" si="6"/>
        <v>645155515</v>
      </c>
      <c r="I65" s="213">
        <f t="shared" si="7"/>
        <v>645156160</v>
      </c>
      <c r="J65" s="212">
        <f t="shared" si="8"/>
        <v>7</v>
      </c>
      <c r="K65" s="212">
        <f t="shared" si="9"/>
        <v>3</v>
      </c>
    </row>
    <row r="66" spans="1:11">
      <c r="A66" t="s">
        <v>5896</v>
      </c>
      <c r="B66">
        <v>645156160</v>
      </c>
      <c r="C66" t="s">
        <v>5897</v>
      </c>
      <c r="D66" t="s">
        <v>884</v>
      </c>
      <c r="F66" s="238" t="str" cm="1">
        <f t="array" aca="1" ref="F66" ca="1">MID(met2utc(SWAP_Commanding[[#This Row],[MET]]),3,15)</f>
        <v>26-181/20:10:44</v>
      </c>
      <c r="G66" s="212" t="str">
        <f t="shared" si="5"/>
        <v>RT+64S</v>
      </c>
      <c r="H66" s="213">
        <f t="shared" si="6"/>
        <v>645155515</v>
      </c>
      <c r="I66" s="213">
        <f t="shared" si="7"/>
        <v>645156160</v>
      </c>
      <c r="J66" s="212">
        <f t="shared" si="8"/>
        <v>8</v>
      </c>
      <c r="K66" s="212">
        <f t="shared" si="9"/>
        <v>2</v>
      </c>
    </row>
    <row r="67" spans="1:11">
      <c r="A67" t="s">
        <v>5898</v>
      </c>
      <c r="B67">
        <v>645156160</v>
      </c>
      <c r="C67" t="s">
        <v>5899</v>
      </c>
      <c r="D67" t="s">
        <v>861</v>
      </c>
      <c r="F67" s="238" t="str" cm="1">
        <f t="array" aca="1" ref="F67" ca="1">MID(met2utc(SWAP_Commanding[[#This Row],[MET]]),3,15)</f>
        <v>26-181/20:10:44</v>
      </c>
      <c r="G67" s="212" t="str">
        <f t="shared" si="5"/>
        <v>SM+NEVER</v>
      </c>
      <c r="H67" s="213">
        <f t="shared" si="6"/>
        <v>645155515</v>
      </c>
      <c r="I67" s="213">
        <f t="shared" si="7"/>
        <v>645156160</v>
      </c>
      <c r="J67" s="212">
        <f t="shared" si="8"/>
        <v>9</v>
      </c>
      <c r="K67" s="212">
        <f t="shared" si="9"/>
        <v>1</v>
      </c>
    </row>
    <row r="68" spans="1:11">
      <c r="A68" t="s">
        <v>5900</v>
      </c>
      <c r="B68">
        <v>645156160</v>
      </c>
      <c r="C68" t="s">
        <v>5901</v>
      </c>
      <c r="D68" t="s">
        <v>861</v>
      </c>
      <c r="F68" s="238" t="str" cm="1">
        <f t="array" aca="1" ref="F68" ca="1">MID(met2utc(SWAP_Commanding[[#This Row],[MET]]),3,15)</f>
        <v>26-181/20:10:44</v>
      </c>
      <c r="G68" s="212" t="str">
        <f t="shared" si="5"/>
        <v>HX+NEVER</v>
      </c>
      <c r="H68" s="213">
        <f t="shared" si="6"/>
        <v>645156160</v>
      </c>
      <c r="I68" s="213">
        <f t="shared" si="7"/>
        <v>645161815</v>
      </c>
      <c r="J68" s="212">
        <f t="shared" si="8"/>
        <v>10</v>
      </c>
      <c r="K68" s="212">
        <f t="shared" si="9"/>
        <v>1</v>
      </c>
    </row>
    <row r="69" spans="1:11">
      <c r="A69" t="s">
        <v>5889</v>
      </c>
      <c r="B69">
        <v>645161815</v>
      </c>
      <c r="C69" t="s">
        <v>433</v>
      </c>
      <c r="D69" t="s">
        <v>5890</v>
      </c>
      <c r="F69" s="238" t="str" cm="1">
        <f t="array" aca="1" ref="F69" ca="1">MID(met2utc(SWAP_Commanding[[#This Row],[MET]]),3,15)</f>
        <v>26-181/21:44:59</v>
      </c>
      <c r="G69" s="209" t="str">
        <f t="shared" si="5"/>
        <v>ON</v>
      </c>
      <c r="H69" s="209">
        <f t="shared" si="6"/>
        <v>645161815</v>
      </c>
      <c r="I69" s="209">
        <f t="shared" si="7"/>
        <v>676662304</v>
      </c>
      <c r="J69" s="209">
        <f t="shared" si="8"/>
        <v>0</v>
      </c>
      <c r="K69" s="209">
        <f t="shared" si="9"/>
        <v>6</v>
      </c>
    </row>
    <row r="70" spans="1:11">
      <c r="A70" t="s">
        <v>5891</v>
      </c>
      <c r="B70">
        <v>645162304</v>
      </c>
      <c r="C70" t="s">
        <v>5892</v>
      </c>
      <c r="D70" t="s">
        <v>5895</v>
      </c>
      <c r="F70" s="238" t="str" cm="1">
        <f t="array" aca="1" ref="F70" ca="1">MID(met2utc(SWAP_Commanding[[#This Row],[MET]]),3,15)</f>
        <v>26-181/21:53:08</v>
      </c>
      <c r="G70" s="209" t="str">
        <f t="shared" si="5"/>
        <v>MODE+HVSCI</v>
      </c>
      <c r="H70" s="209">
        <f t="shared" si="6"/>
        <v>645161815</v>
      </c>
      <c r="I70" s="209">
        <f t="shared" si="7"/>
        <v>676662304</v>
      </c>
      <c r="J70" s="209">
        <f t="shared" si="8"/>
        <v>1</v>
      </c>
      <c r="K70" s="209">
        <f t="shared" si="9"/>
        <v>5</v>
      </c>
    </row>
    <row r="71" spans="1:11">
      <c r="A71" t="s">
        <v>5894</v>
      </c>
      <c r="B71">
        <v>645162304</v>
      </c>
      <c r="C71" t="s">
        <v>898</v>
      </c>
      <c r="D71" t="s">
        <v>878</v>
      </c>
      <c r="F71" s="238" t="str" cm="1">
        <f t="array" aca="1" ref="F71" ca="1">MID(met2utc(SWAP_Commanding[[#This Row],[MET]]),3,15)</f>
        <v>26-181/21:53:08</v>
      </c>
      <c r="G71" s="209" t="str">
        <f t="shared" si="5"/>
        <v>HK+1H</v>
      </c>
      <c r="H71" s="209">
        <f t="shared" si="6"/>
        <v>645161815</v>
      </c>
      <c r="I71" s="209">
        <f t="shared" si="7"/>
        <v>676662304</v>
      </c>
      <c r="J71" s="209">
        <f t="shared" si="8"/>
        <v>2</v>
      </c>
      <c r="K71" s="209">
        <f t="shared" si="9"/>
        <v>4</v>
      </c>
    </row>
    <row r="72" spans="1:11">
      <c r="A72" t="s">
        <v>5896</v>
      </c>
      <c r="B72">
        <v>645162304</v>
      </c>
      <c r="C72" t="s">
        <v>5897</v>
      </c>
      <c r="D72" t="s">
        <v>877</v>
      </c>
      <c r="F72" s="238" t="str" cm="1">
        <f t="array" aca="1" ref="F72" ca="1">MID(met2utc(SWAP_Commanding[[#This Row],[MET]]),3,15)</f>
        <v>26-181/21:53:08</v>
      </c>
      <c r="G72" s="209" t="str">
        <f t="shared" si="5"/>
        <v>RT+2H</v>
      </c>
      <c r="H72" s="209">
        <f t="shared" si="6"/>
        <v>645161815</v>
      </c>
      <c r="I72" s="209">
        <f t="shared" si="7"/>
        <v>676662304</v>
      </c>
      <c r="J72" s="209">
        <f t="shared" si="8"/>
        <v>3</v>
      </c>
      <c r="K72" s="209">
        <f t="shared" si="9"/>
        <v>3</v>
      </c>
    </row>
    <row r="73" spans="1:11">
      <c r="A73" t="s">
        <v>5898</v>
      </c>
      <c r="B73">
        <v>645162304</v>
      </c>
      <c r="C73" t="s">
        <v>5899</v>
      </c>
      <c r="D73" t="s">
        <v>878</v>
      </c>
      <c r="F73" s="238" t="str" cm="1">
        <f t="array" aca="1" ref="F73" ca="1">MID(met2utc(SWAP_Commanding[[#This Row],[MET]]),3,15)</f>
        <v>26-181/21:53:08</v>
      </c>
      <c r="G73" s="209" t="str">
        <f t="shared" si="5"/>
        <v>SM+1H</v>
      </c>
      <c r="H73" s="209">
        <f t="shared" si="6"/>
        <v>645161815</v>
      </c>
      <c r="I73" s="209">
        <f t="shared" si="7"/>
        <v>676662304</v>
      </c>
      <c r="J73" s="209">
        <f t="shared" si="8"/>
        <v>4</v>
      </c>
      <c r="K73" s="209">
        <f t="shared" si="9"/>
        <v>2</v>
      </c>
    </row>
    <row r="74" spans="1:11">
      <c r="A74" t="s">
        <v>5900</v>
      </c>
      <c r="B74">
        <v>645162304</v>
      </c>
      <c r="C74" t="s">
        <v>5901</v>
      </c>
      <c r="D74" t="s">
        <v>865</v>
      </c>
      <c r="F74" s="238" t="str" cm="1">
        <f t="array" aca="1" ref="F74" ca="1">MID(met2utc(SWAP_Commanding[[#This Row],[MET]]),3,15)</f>
        <v>26-181/21:53:08</v>
      </c>
      <c r="G74" s="209" t="str">
        <f t="shared" si="5"/>
        <v>HX+24H</v>
      </c>
      <c r="H74" s="209">
        <f t="shared" si="6"/>
        <v>645161815</v>
      </c>
      <c r="I74" s="209">
        <f t="shared" si="7"/>
        <v>676662304</v>
      </c>
      <c r="J74" s="209">
        <f t="shared" si="8"/>
        <v>5</v>
      </c>
      <c r="K74" s="209">
        <f t="shared" si="9"/>
        <v>1</v>
      </c>
    </row>
  </sheetData>
  <conditionalFormatting sqref="E14:L1048576">
    <cfRule type="expression" dxfId="37" priority="2">
      <formula>OR($C14="ON",FALSE)</formula>
    </cfRule>
  </conditionalFormatting>
  <conditionalFormatting sqref="E68:L1048422 E14:L66">
    <cfRule type="expression" dxfId="36" priority="1">
      <formula>OR($G14="OFF",AND($G15&lt;&gt;"OFF",$K14=1))</formula>
    </cfRule>
  </conditionalFormatting>
  <conditionalFormatting sqref="E67:L67">
    <cfRule type="expression" dxfId="35" priority="3">
      <formula>OR($G67="OFF",AND(#REF!&lt;&gt;"OFF",$K67=1))</formula>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C0B8D-80AA-4A63-ADFD-ED7D36E9242D}">
  <sheetPr codeName="Sheet19"/>
  <dimension ref="A1:CC101"/>
  <sheetViews>
    <sheetView zoomScale="85" zoomScaleNormal="85" workbookViewId="0">
      <pane xSplit="5" ySplit="13" topLeftCell="F14" activePane="bottomRight" state="frozen"/>
      <selection pane="topRight" activeCell="F1" sqref="F1"/>
      <selection pane="bottomLeft" activeCell="A14" sqref="A14"/>
      <selection pane="bottomRight" activeCell="F17" sqref="F17"/>
    </sheetView>
  </sheetViews>
  <sheetFormatPr defaultRowHeight="15"/>
  <cols>
    <col min="1" max="1" width="33.140625" style="212" bestFit="1" customWidth="1"/>
    <col min="2" max="2" width="11.7109375" style="230" bestFit="1" customWidth="1"/>
    <col min="3" max="3" width="6.28515625" style="209" bestFit="1" customWidth="1"/>
    <col min="4" max="4" width="5.85546875" style="209" bestFit="1" customWidth="1"/>
    <col min="5" max="5" width="2.28515625" style="211" bestFit="1" customWidth="1"/>
    <col min="6" max="6" width="13.85546875" style="238" bestFit="1" customWidth="1"/>
    <col min="7" max="7" width="12.140625" style="209" bestFit="1" customWidth="1"/>
    <col min="8" max="9" width="11.7109375" style="209" bestFit="1" customWidth="1"/>
    <col min="10" max="11" width="6.5703125" style="209" bestFit="1" customWidth="1"/>
    <col min="12" max="12" width="2.28515625" style="211" bestFit="1" customWidth="1"/>
    <col min="13" max="13" width="5.85546875" style="209" bestFit="1" customWidth="1"/>
    <col min="14" max="14" width="4.7109375" style="209" bestFit="1" customWidth="1"/>
    <col min="15" max="16" width="5.85546875" style="209" bestFit="1" customWidth="1"/>
    <col min="17" max="17" width="11.42578125" style="209" bestFit="1" customWidth="1"/>
    <col min="18" max="18" width="7.85546875" style="209" bestFit="1" customWidth="1"/>
    <col min="19" max="19" width="7.28515625" style="209" bestFit="1" customWidth="1"/>
    <col min="20" max="20" width="2.28515625" style="211" bestFit="1" customWidth="1"/>
    <col min="21" max="21" width="9.5703125" style="209" bestFit="1" customWidth="1"/>
    <col min="22" max="22" width="10" style="209" bestFit="1" customWidth="1"/>
    <col min="23" max="26" width="11.28515625" style="209" bestFit="1" customWidth="1"/>
    <col min="27" max="27" width="10" style="209" bestFit="1" customWidth="1"/>
    <col min="28" max="28" width="2.140625" style="210" bestFit="1" customWidth="1"/>
    <col min="29" max="29" width="11.28515625" style="209" bestFit="1" customWidth="1"/>
    <col min="30" max="30" width="10" style="209" bestFit="1" customWidth="1"/>
    <col min="31" max="34" width="11.28515625" style="209" bestFit="1" customWidth="1"/>
    <col min="35" max="35" width="11.7109375" style="209" customWidth="1"/>
    <col min="36" max="36" width="8.85546875" style="209" bestFit="1" customWidth="1"/>
    <col min="37" max="37" width="11.28515625" style="209" bestFit="1" customWidth="1"/>
    <col min="38" max="38" width="10" style="209" bestFit="1" customWidth="1"/>
    <col min="39" max="39" width="11.7109375" style="209" bestFit="1" customWidth="1"/>
    <col min="40" max="40" width="11.28515625" style="209" bestFit="1" customWidth="1"/>
    <col min="41" max="41" width="11.7109375" style="209" bestFit="1" customWidth="1"/>
    <col min="42" max="59" width="11.28515625" style="209" bestFit="1" customWidth="1"/>
    <col min="60" max="80" width="9.140625" style="209"/>
    <col min="81" max="81" width="11.7109375" style="209" bestFit="1" customWidth="1"/>
    <col min="82" max="16384" width="9.140625" style="209"/>
  </cols>
  <sheetData>
    <row r="1" spans="1:59" s="237" customFormat="1">
      <c r="A1" s="239"/>
      <c r="B1" s="230"/>
      <c r="E1" s="211"/>
      <c r="F1" s="238"/>
      <c r="G1" s="238"/>
      <c r="H1" s="213"/>
      <c r="I1" s="213"/>
      <c r="J1" s="238"/>
      <c r="K1" s="238"/>
      <c r="L1" s="211"/>
      <c r="Q1" s="239"/>
      <c r="S1" s="238"/>
      <c r="T1" s="313" t="s">
        <v>5428</v>
      </c>
      <c r="U1" s="237">
        <v>564</v>
      </c>
      <c r="V1" s="237">
        <v>2340</v>
      </c>
      <c r="W1" s="237">
        <v>512</v>
      </c>
      <c r="X1" s="237">
        <v>1988</v>
      </c>
      <c r="Y1" s="237">
        <v>1330</v>
      </c>
      <c r="Z1" s="237">
        <f>Y1</f>
        <v>1330</v>
      </c>
      <c r="AA1" s="237">
        <v>19908</v>
      </c>
      <c r="AB1" s="210"/>
    </row>
    <row r="2" spans="1:59">
      <c r="A2" s="212" t="s">
        <v>5350</v>
      </c>
      <c r="B2" s="243" t="s">
        <v>5349</v>
      </c>
      <c r="C2" s="236"/>
      <c r="D2" s="236"/>
      <c r="E2" s="235"/>
      <c r="F2" s="234"/>
      <c r="G2" s="233"/>
      <c r="H2" s="213"/>
      <c r="I2" s="213"/>
      <c r="J2" s="212"/>
      <c r="K2" s="212"/>
      <c r="Q2" s="214"/>
      <c r="S2" s="212"/>
      <c r="T2" s="255" t="s">
        <v>5391</v>
      </c>
      <c r="U2" s="237">
        <v>526</v>
      </c>
      <c r="V2" s="237">
        <v>2087</v>
      </c>
      <c r="W2" s="237">
        <v>512</v>
      </c>
      <c r="X2" s="237">
        <v>1988</v>
      </c>
      <c r="Y2" s="237">
        <v>1266</v>
      </c>
      <c r="Z2" s="237">
        <f>Y2</f>
        <v>1266</v>
      </c>
      <c r="AA2" s="237">
        <v>18176</v>
      </c>
    </row>
    <row r="3" spans="1:59">
      <c r="A3" s="4"/>
      <c r="B3" s="240" t="s">
        <v>5352</v>
      </c>
      <c r="I3" s="213"/>
      <c r="J3" s="212"/>
      <c r="K3" s="212"/>
      <c r="Q3" s="214"/>
      <c r="S3" s="212"/>
      <c r="T3" s="255" t="s">
        <v>5392</v>
      </c>
      <c r="U3" s="237">
        <v>564</v>
      </c>
      <c r="V3" s="237">
        <v>2340</v>
      </c>
      <c r="W3" s="237">
        <v>512</v>
      </c>
      <c r="X3" s="237">
        <v>1988</v>
      </c>
      <c r="Y3" s="237">
        <v>1330</v>
      </c>
      <c r="Z3" s="237">
        <f>Y3</f>
        <v>1330</v>
      </c>
      <c r="AA3" s="464">
        <v>19908</v>
      </c>
      <c r="AB3" s="465" t="s">
        <v>5733</v>
      </c>
      <c r="AR3" s="212" t="str">
        <f>AR$13</f>
        <v>HSK3</v>
      </c>
      <c r="AS3" s="212" t="str">
        <f>$AR3</f>
        <v>HSK3</v>
      </c>
      <c r="AT3" s="212" t="str">
        <f>$AR3</f>
        <v>HSK3</v>
      </c>
      <c r="AU3" s="212" t="str">
        <f t="shared" ref="AU3:BG3" si="0">$AR3</f>
        <v>HSK3</v>
      </c>
      <c r="AV3" s="212" t="str">
        <f t="shared" si="0"/>
        <v>HSK3</v>
      </c>
      <c r="AW3" s="212" t="str">
        <f t="shared" si="0"/>
        <v>HSK3</v>
      </c>
      <c r="AX3" s="212" t="str">
        <f t="shared" si="0"/>
        <v>HSK3</v>
      </c>
      <c r="AY3" s="212" t="str">
        <f t="shared" si="0"/>
        <v>HSK3</v>
      </c>
      <c r="AZ3" s="212" t="str">
        <f t="shared" si="0"/>
        <v>HSK3</v>
      </c>
      <c r="BA3" s="212" t="str">
        <f t="shared" si="0"/>
        <v>HSK3</v>
      </c>
      <c r="BB3" s="212" t="str">
        <f t="shared" si="0"/>
        <v>HSK3</v>
      </c>
      <c r="BC3" s="212" t="str">
        <f t="shared" si="0"/>
        <v>HSK3</v>
      </c>
      <c r="BD3" s="212" t="str">
        <f t="shared" si="0"/>
        <v>HSK3</v>
      </c>
      <c r="BE3" s="212" t="str">
        <f t="shared" si="0"/>
        <v>HSK3</v>
      </c>
      <c r="BF3" s="212" t="str">
        <f t="shared" si="0"/>
        <v>HSK3</v>
      </c>
      <c r="BG3" s="212" t="str">
        <f t="shared" si="0"/>
        <v>HSK3</v>
      </c>
    </row>
    <row r="4" spans="1:59">
      <c r="A4" s="3" t="s">
        <v>5734</v>
      </c>
      <c r="B4" s="5" t="s">
        <v>5312</v>
      </c>
      <c r="I4" s="213"/>
      <c r="J4" s="212"/>
      <c r="K4" s="212"/>
      <c r="Q4" s="214"/>
      <c r="S4" s="212"/>
      <c r="U4" s="232"/>
      <c r="V4" s="232"/>
      <c r="AA4" s="212" t="s">
        <v>54</v>
      </c>
      <c r="AB4" s="210" t="s">
        <v>5306</v>
      </c>
      <c r="AC4" s="212"/>
      <c r="AJ4" s="212" t="str">
        <f>AJ$13</f>
        <v>DT4</v>
      </c>
      <c r="AK4" s="212" t="str">
        <f>$AJ4</f>
        <v>DT4</v>
      </c>
      <c r="AL4" s="212" t="str">
        <f t="shared" ref="AL4:AQ4" si="1">$AJ4</f>
        <v>DT4</v>
      </c>
      <c r="AM4" s="212" t="str">
        <f t="shared" si="1"/>
        <v>DT4</v>
      </c>
      <c r="AN4" s="212" t="str">
        <f t="shared" si="1"/>
        <v>DT4</v>
      </c>
      <c r="AO4" s="212" t="str">
        <f t="shared" si="1"/>
        <v>DT4</v>
      </c>
      <c r="AP4" s="212" t="str">
        <f t="shared" si="1"/>
        <v>DT4</v>
      </c>
      <c r="AQ4" s="212" t="str">
        <f t="shared" si="1"/>
        <v>DT4</v>
      </c>
      <c r="AS4" s="212"/>
      <c r="AZ4" s="212" t="str">
        <f t="shared" ref="AZ4:BG4" si="2">$AJ4</f>
        <v>DT4</v>
      </c>
      <c r="BA4" s="212" t="str">
        <f t="shared" si="2"/>
        <v>DT4</v>
      </c>
      <c r="BB4" s="212" t="str">
        <f t="shared" si="2"/>
        <v>DT4</v>
      </c>
      <c r="BC4" s="212" t="str">
        <f t="shared" si="2"/>
        <v>DT4</v>
      </c>
      <c r="BD4" s="212" t="str">
        <f t="shared" si="2"/>
        <v>DT4</v>
      </c>
      <c r="BE4" s="212" t="str">
        <f t="shared" si="2"/>
        <v>DT4</v>
      </c>
      <c r="BF4" s="212" t="str">
        <f t="shared" si="2"/>
        <v>DT4</v>
      </c>
      <c r="BG4" s="212" t="str">
        <f t="shared" si="2"/>
        <v>DT4</v>
      </c>
    </row>
    <row r="5" spans="1:59">
      <c r="A5" s="3" t="s">
        <v>5363</v>
      </c>
      <c r="B5" s="5" t="s">
        <v>5313</v>
      </c>
      <c r="G5" s="212"/>
      <c r="H5" s="213"/>
      <c r="I5" s="213"/>
      <c r="J5" s="212"/>
      <c r="K5" s="212"/>
      <c r="Q5" s="214"/>
      <c r="S5" s="212"/>
      <c r="U5" s="232"/>
      <c r="V5" s="232"/>
      <c r="AA5" s="212" t="s">
        <v>53</v>
      </c>
      <c r="AB5" s="210" t="s">
        <v>5306</v>
      </c>
      <c r="AC5" s="212"/>
      <c r="AF5" s="212" t="str">
        <f>AF$13</f>
        <v>DT3</v>
      </c>
      <c r="AG5" s="212" t="str">
        <f>$AF5</f>
        <v>DT3</v>
      </c>
      <c r="AH5" s="212" t="str">
        <f t="shared" ref="AH5:AI5" si="3">$AF5</f>
        <v>DT3</v>
      </c>
      <c r="AI5" s="212" t="str">
        <f t="shared" si="3"/>
        <v>DT3</v>
      </c>
      <c r="AK5" s="212"/>
      <c r="AN5" s="212" t="str">
        <f t="shared" ref="AN5:AQ5" si="4">$AF5</f>
        <v>DT3</v>
      </c>
      <c r="AO5" s="212" t="str">
        <f t="shared" si="4"/>
        <v>DT3</v>
      </c>
      <c r="AP5" s="212" t="str">
        <f t="shared" si="4"/>
        <v>DT3</v>
      </c>
      <c r="AQ5" s="212" t="str">
        <f t="shared" si="4"/>
        <v>DT3</v>
      </c>
      <c r="AS5" s="212"/>
      <c r="AV5" s="212" t="str">
        <f t="shared" ref="AV5:AY5" si="5">$AF5</f>
        <v>DT3</v>
      </c>
      <c r="AW5" s="212" t="str">
        <f t="shared" si="5"/>
        <v>DT3</v>
      </c>
      <c r="AX5" s="212" t="str">
        <f t="shared" si="5"/>
        <v>DT3</v>
      </c>
      <c r="AY5" s="212" t="str">
        <f t="shared" si="5"/>
        <v>DT3</v>
      </c>
      <c r="BA5" s="212"/>
      <c r="BD5" s="212" t="str">
        <f t="shared" ref="BD5:BF5" si="6">$AF5</f>
        <v>DT3</v>
      </c>
      <c r="BE5" s="212" t="str">
        <f t="shared" si="6"/>
        <v>DT3</v>
      </c>
      <c r="BF5" s="212" t="str">
        <f t="shared" si="6"/>
        <v>DT3</v>
      </c>
      <c r="BG5" s="212" t="str">
        <f t="shared" ref="BG5" si="7">$AF5</f>
        <v>DT3</v>
      </c>
    </row>
    <row r="6" spans="1:59">
      <c r="A6" s="214"/>
      <c r="G6" s="212"/>
      <c r="H6" s="213"/>
      <c r="I6" s="213"/>
      <c r="J6" s="212"/>
      <c r="K6" s="212"/>
      <c r="Q6" s="214"/>
      <c r="S6" s="212"/>
      <c r="U6" s="232"/>
      <c r="V6" s="232"/>
      <c r="AA6" s="212" t="s">
        <v>50</v>
      </c>
      <c r="AB6" s="210" t="s">
        <v>5306</v>
      </c>
      <c r="AC6" s="212"/>
      <c r="AD6" s="212" t="str">
        <f>AD$13</f>
        <v>DT2</v>
      </c>
      <c r="AE6" s="212" t="str">
        <f>$AD6</f>
        <v>DT2</v>
      </c>
      <c r="AG6" s="212"/>
      <c r="AH6" s="212" t="str">
        <f t="shared" ref="AH6:AI6" si="8">$AD6</f>
        <v>DT2</v>
      </c>
      <c r="AI6" s="212" t="str">
        <f t="shared" si="8"/>
        <v>DT2</v>
      </c>
      <c r="AK6" s="212"/>
      <c r="AL6" s="212" t="str">
        <f>$AD6</f>
        <v>DT2</v>
      </c>
      <c r="AM6" s="212" t="str">
        <f>$AA6</f>
        <v>DT2</v>
      </c>
      <c r="AO6" s="212"/>
      <c r="AP6" s="212" t="str">
        <f t="shared" ref="AP6:AQ6" si="9">$AD6</f>
        <v>DT2</v>
      </c>
      <c r="AQ6" s="212" t="str">
        <f t="shared" si="9"/>
        <v>DT2</v>
      </c>
      <c r="AS6" s="212"/>
      <c r="AT6" s="212" t="str">
        <f>$AD6</f>
        <v>DT2</v>
      </c>
      <c r="AU6" s="212" t="str">
        <f>$AA6</f>
        <v>DT2</v>
      </c>
      <c r="AW6" s="212"/>
      <c r="AX6" s="212" t="str">
        <f t="shared" ref="AX6:AY6" si="10">$AD6</f>
        <v>DT2</v>
      </c>
      <c r="AY6" s="212" t="str">
        <f t="shared" si="10"/>
        <v>DT2</v>
      </c>
      <c r="BA6" s="212"/>
      <c r="BB6" s="212" t="str">
        <f t="shared" ref="BB6:BC6" si="11">$AD6</f>
        <v>DT2</v>
      </c>
      <c r="BC6" s="212" t="str">
        <f t="shared" si="11"/>
        <v>DT2</v>
      </c>
      <c r="BE6" s="212"/>
      <c r="BF6" s="212" t="str">
        <f t="shared" ref="BF6:BG6" si="12">$AD6</f>
        <v>DT2</v>
      </c>
      <c r="BG6" s="212" t="str">
        <f t="shared" si="12"/>
        <v>DT2</v>
      </c>
    </row>
    <row r="7" spans="1:59">
      <c r="A7" s="249"/>
      <c r="B7" s="245"/>
      <c r="G7" s="212"/>
      <c r="H7" s="213"/>
      <c r="I7" s="213"/>
      <c r="J7" s="212"/>
      <c r="K7" s="212"/>
      <c r="Q7" s="214"/>
      <c r="S7" s="212"/>
      <c r="U7" s="232"/>
      <c r="V7" s="232"/>
      <c r="AA7" s="212" t="s">
        <v>49</v>
      </c>
      <c r="AB7" s="210" t="s">
        <v>5306</v>
      </c>
      <c r="AC7" s="212" t="str">
        <f>AC$13</f>
        <v>DT1</v>
      </c>
      <c r="AE7" s="212" t="str">
        <f>$AC7</f>
        <v>DT1</v>
      </c>
      <c r="AG7" s="212" t="str">
        <f>$AC7</f>
        <v>DT1</v>
      </c>
      <c r="AI7" s="212" t="str">
        <f>$AC7</f>
        <v>DT1</v>
      </c>
      <c r="AK7" s="212" t="str">
        <f>$AC7</f>
        <v>DT1</v>
      </c>
      <c r="AM7" s="212" t="str">
        <f>$AC7</f>
        <v>DT1</v>
      </c>
      <c r="AO7" s="212" t="str">
        <f>$AC7</f>
        <v>DT1</v>
      </c>
      <c r="AQ7" s="212" t="str">
        <f>$AC7</f>
        <v>DT1</v>
      </c>
      <c r="AS7" s="212" t="str">
        <f>$AC7</f>
        <v>DT1</v>
      </c>
      <c r="AU7" s="212" t="str">
        <f>$AC7</f>
        <v>DT1</v>
      </c>
      <c r="AW7" s="212" t="str">
        <f>$AC7</f>
        <v>DT1</v>
      </c>
      <c r="AY7" s="212" t="str">
        <f>$AC7</f>
        <v>DT1</v>
      </c>
      <c r="BA7" s="212" t="str">
        <f>$AC7</f>
        <v>DT1</v>
      </c>
      <c r="BC7" s="212" t="str">
        <f>$AC7</f>
        <v>DT1</v>
      </c>
      <c r="BE7" s="212" t="str">
        <f>$AC7</f>
        <v>DT1</v>
      </c>
      <c r="BG7" s="212" t="str">
        <f>$AC7</f>
        <v>DT1</v>
      </c>
    </row>
    <row r="8" spans="1:59">
      <c r="A8" s="246"/>
      <c r="G8" s="212"/>
      <c r="H8" s="213"/>
      <c r="I8" s="213"/>
      <c r="J8" s="212"/>
      <c r="K8" s="212"/>
      <c r="Q8" s="214"/>
      <c r="S8" s="212"/>
      <c r="U8" s="232"/>
      <c r="V8" s="232"/>
      <c r="AA8" s="212" t="s">
        <v>5307</v>
      </c>
      <c r="AB8" s="210" t="s">
        <v>5306</v>
      </c>
      <c r="AC8" s="209">
        <f t="shared" ref="AC8:BG8" si="13">IF(AC7="",0,1)+IF(AC6="",0,2)+IF(AC5="",0,4)+IF(AC4="",0,8)+IF(AC3="",0,16)</f>
        <v>1</v>
      </c>
      <c r="AD8" s="209">
        <f t="shared" si="13"/>
        <v>2</v>
      </c>
      <c r="AE8" s="209">
        <f t="shared" si="13"/>
        <v>3</v>
      </c>
      <c r="AF8" s="209">
        <f t="shared" si="13"/>
        <v>4</v>
      </c>
      <c r="AG8" s="209">
        <f t="shared" si="13"/>
        <v>5</v>
      </c>
      <c r="AH8" s="209">
        <f t="shared" si="13"/>
        <v>6</v>
      </c>
      <c r="AI8" s="209">
        <f t="shared" si="13"/>
        <v>7</v>
      </c>
      <c r="AJ8" s="209">
        <f t="shared" si="13"/>
        <v>8</v>
      </c>
      <c r="AK8" s="209">
        <f t="shared" si="13"/>
        <v>9</v>
      </c>
      <c r="AL8" s="209">
        <f t="shared" si="13"/>
        <v>10</v>
      </c>
      <c r="AM8" s="209">
        <f t="shared" si="13"/>
        <v>11</v>
      </c>
      <c r="AN8" s="209">
        <f t="shared" si="13"/>
        <v>12</v>
      </c>
      <c r="AO8" s="209">
        <f t="shared" si="13"/>
        <v>13</v>
      </c>
      <c r="AP8" s="209">
        <f t="shared" si="13"/>
        <v>14</v>
      </c>
      <c r="AQ8" s="209">
        <f t="shared" si="13"/>
        <v>15</v>
      </c>
      <c r="AR8" s="209">
        <f t="shared" si="13"/>
        <v>16</v>
      </c>
      <c r="AS8" s="209">
        <f t="shared" si="13"/>
        <v>17</v>
      </c>
      <c r="AT8" s="209">
        <f t="shared" si="13"/>
        <v>18</v>
      </c>
      <c r="AU8" s="209">
        <f t="shared" si="13"/>
        <v>19</v>
      </c>
      <c r="AV8" s="209">
        <f t="shared" si="13"/>
        <v>20</v>
      </c>
      <c r="AW8" s="209">
        <f t="shared" si="13"/>
        <v>21</v>
      </c>
      <c r="AX8" s="209">
        <f t="shared" si="13"/>
        <v>22</v>
      </c>
      <c r="AY8" s="209">
        <f t="shared" si="13"/>
        <v>23</v>
      </c>
      <c r="AZ8" s="209">
        <f t="shared" si="13"/>
        <v>24</v>
      </c>
      <c r="BA8" s="209">
        <f t="shared" si="13"/>
        <v>25</v>
      </c>
      <c r="BB8" s="209">
        <f t="shared" si="13"/>
        <v>26</v>
      </c>
      <c r="BC8" s="209">
        <f t="shared" si="13"/>
        <v>27</v>
      </c>
      <c r="BD8" s="209">
        <f t="shared" si="13"/>
        <v>28</v>
      </c>
      <c r="BE8" s="209">
        <f t="shared" si="13"/>
        <v>29</v>
      </c>
      <c r="BF8" s="209">
        <f t="shared" si="13"/>
        <v>30</v>
      </c>
      <c r="BG8" s="209">
        <f t="shared" si="13"/>
        <v>31</v>
      </c>
    </row>
    <row r="9" spans="1:59">
      <c r="A9" s="214"/>
      <c r="G9" s="212"/>
      <c r="H9" s="213"/>
      <c r="I9" s="213"/>
      <c r="J9" s="212"/>
      <c r="K9" s="212"/>
      <c r="Q9" s="214"/>
      <c r="S9" s="212"/>
      <c r="U9" s="232"/>
      <c r="V9" s="232"/>
    </row>
    <row r="10" spans="1:59">
      <c r="A10" s="214"/>
      <c r="G10" s="212"/>
      <c r="H10" s="213"/>
      <c r="I10" s="213"/>
      <c r="J10" s="212"/>
      <c r="K10" s="212"/>
      <c r="Q10" s="214"/>
      <c r="S10" s="212"/>
      <c r="U10" s="232"/>
      <c r="V10" s="232"/>
    </row>
    <row r="11" spans="1:59">
      <c r="A11" s="214"/>
      <c r="G11" s="212"/>
      <c r="H11" s="213"/>
      <c r="I11" s="213"/>
      <c r="J11" s="212"/>
      <c r="K11" s="212"/>
      <c r="Q11" s="214"/>
      <c r="S11" s="212"/>
      <c r="U11" s="231" t="s">
        <v>5290</v>
      </c>
      <c r="V11" s="231" t="s">
        <v>5291</v>
      </c>
      <c r="W11" s="214" t="s">
        <v>5292</v>
      </c>
      <c r="X11" s="214" t="s">
        <v>5293</v>
      </c>
      <c r="Y11" s="214"/>
      <c r="Z11" s="214" t="s">
        <v>5294</v>
      </c>
      <c r="AA11" s="214" t="s">
        <v>5295</v>
      </c>
    </row>
    <row r="12" spans="1:59">
      <c r="A12" s="214"/>
      <c r="G12" s="212"/>
      <c r="H12" s="213"/>
      <c r="I12" s="213"/>
      <c r="J12" s="212"/>
      <c r="K12" s="212"/>
      <c r="M12" s="241" t="s">
        <v>5353</v>
      </c>
      <c r="N12" s="241" t="s">
        <v>5353</v>
      </c>
      <c r="O12" s="241" t="s">
        <v>5353</v>
      </c>
      <c r="P12" s="241" t="s">
        <v>5353</v>
      </c>
      <c r="Q12" s="214"/>
      <c r="R12" s="250" t="s">
        <v>5354</v>
      </c>
      <c r="S12" s="214" t="s">
        <v>5289</v>
      </c>
      <c r="U12" s="228" t="s">
        <v>5288</v>
      </c>
      <c r="V12" s="228" t="s">
        <v>5288</v>
      </c>
      <c r="W12" s="228" t="s">
        <v>5288</v>
      </c>
      <c r="X12" s="228" t="s">
        <v>5288</v>
      </c>
      <c r="Y12" s="229" t="s">
        <v>5287</v>
      </c>
      <c r="Z12" s="228" t="s">
        <v>5288</v>
      </c>
      <c r="AA12" s="228" t="s">
        <v>5288</v>
      </c>
      <c r="AC12" s="227" t="str">
        <f t="shared" ref="AC12:BG12" si="14">IF(OR(AC$8=1,AC$8=2,AC$8=4,AC$8=8,AC$8=16),"Single","")</f>
        <v>Single</v>
      </c>
      <c r="AD12" s="226" t="str">
        <f t="shared" si="14"/>
        <v>Single</v>
      </c>
      <c r="AE12" s="226" t="str">
        <f t="shared" si="14"/>
        <v/>
      </c>
      <c r="AF12" s="226" t="str">
        <f t="shared" si="14"/>
        <v>Single</v>
      </c>
      <c r="AG12" s="226" t="str">
        <f t="shared" si="14"/>
        <v/>
      </c>
      <c r="AH12" s="226" t="str">
        <f t="shared" si="14"/>
        <v/>
      </c>
      <c r="AI12" s="226" t="str">
        <f t="shared" si="14"/>
        <v/>
      </c>
      <c r="AJ12" s="226" t="str">
        <f t="shared" si="14"/>
        <v>Single</v>
      </c>
      <c r="AK12" s="226" t="str">
        <f t="shared" si="14"/>
        <v/>
      </c>
      <c r="AL12" s="226" t="str">
        <f t="shared" si="14"/>
        <v/>
      </c>
      <c r="AM12" s="226" t="str">
        <f t="shared" si="14"/>
        <v/>
      </c>
      <c r="AN12" s="226" t="str">
        <f t="shared" si="14"/>
        <v/>
      </c>
      <c r="AO12" s="226" t="str">
        <f t="shared" si="14"/>
        <v/>
      </c>
      <c r="AP12" s="226" t="str">
        <f t="shared" si="14"/>
        <v/>
      </c>
      <c r="AQ12" s="226" t="str">
        <f t="shared" si="14"/>
        <v/>
      </c>
      <c r="AR12" s="226" t="str">
        <f t="shared" si="14"/>
        <v>Single</v>
      </c>
      <c r="AS12" s="226" t="str">
        <f t="shared" si="14"/>
        <v/>
      </c>
      <c r="AT12" s="226" t="str">
        <f t="shared" si="14"/>
        <v/>
      </c>
      <c r="AU12" s="226" t="str">
        <f t="shared" si="14"/>
        <v/>
      </c>
      <c r="AV12" s="226" t="str">
        <f t="shared" si="14"/>
        <v/>
      </c>
      <c r="AW12" s="226" t="str">
        <f t="shared" si="14"/>
        <v/>
      </c>
      <c r="AX12" s="226" t="str">
        <f t="shared" si="14"/>
        <v/>
      </c>
      <c r="AY12" s="226" t="str">
        <f t="shared" si="14"/>
        <v/>
      </c>
      <c r="AZ12" s="226" t="str">
        <f t="shared" si="14"/>
        <v/>
      </c>
      <c r="BA12" s="226" t="str">
        <f t="shared" si="14"/>
        <v/>
      </c>
      <c r="BB12" s="226" t="str">
        <f t="shared" si="14"/>
        <v/>
      </c>
      <c r="BC12" s="226" t="str">
        <f t="shared" si="14"/>
        <v/>
      </c>
      <c r="BD12" s="226" t="str">
        <f t="shared" si="14"/>
        <v/>
      </c>
      <c r="BE12" s="226" t="str">
        <f t="shared" si="14"/>
        <v/>
      </c>
      <c r="BF12" s="226" t="str">
        <f t="shared" si="14"/>
        <v/>
      </c>
      <c r="BG12" s="225" t="str">
        <f t="shared" si="14"/>
        <v/>
      </c>
    </row>
    <row r="13" spans="1:59" s="215" customFormat="1" ht="30">
      <c r="A13" s="212" t="s">
        <v>5348</v>
      </c>
      <c r="B13" s="230" t="s">
        <v>5282</v>
      </c>
      <c r="C13" s="209" t="s">
        <v>5283</v>
      </c>
      <c r="D13" s="209" t="s">
        <v>5286</v>
      </c>
      <c r="E13" s="211" t="s">
        <v>2</v>
      </c>
      <c r="F13" s="248" t="s">
        <v>5364</v>
      </c>
      <c r="G13" s="224" t="s">
        <v>5308</v>
      </c>
      <c r="H13" s="223" t="s">
        <v>5360</v>
      </c>
      <c r="I13" s="222" t="s">
        <v>5361</v>
      </c>
      <c r="J13" s="215" t="s">
        <v>5355</v>
      </c>
      <c r="K13" s="244" t="s">
        <v>5356</v>
      </c>
      <c r="L13" s="211" t="s">
        <v>3</v>
      </c>
      <c r="M13" s="215" t="s">
        <v>1</v>
      </c>
      <c r="N13" s="215" t="s">
        <v>61</v>
      </c>
      <c r="O13" s="215" t="s">
        <v>58</v>
      </c>
      <c r="P13" s="215" t="s">
        <v>5284</v>
      </c>
      <c r="Q13" s="215" t="s">
        <v>5305</v>
      </c>
      <c r="R13" s="215" t="s">
        <v>5302</v>
      </c>
      <c r="S13" s="215" t="s">
        <v>5303</v>
      </c>
      <c r="T13" s="211" t="s">
        <v>5347</v>
      </c>
      <c r="U13" s="221" t="s">
        <v>5301</v>
      </c>
      <c r="V13" s="221" t="s">
        <v>5296</v>
      </c>
      <c r="W13" s="219" t="s">
        <v>5297</v>
      </c>
      <c r="X13" s="219" t="s">
        <v>5298</v>
      </c>
      <c r="Y13" s="220" t="s">
        <v>5299</v>
      </c>
      <c r="Z13" s="219" t="s">
        <v>5346</v>
      </c>
      <c r="AA13" s="219" t="s">
        <v>5300</v>
      </c>
      <c r="AB13" s="210" t="s">
        <v>5345</v>
      </c>
      <c r="AC13" s="218" t="s">
        <v>49</v>
      </c>
      <c r="AD13" s="217" t="s">
        <v>50</v>
      </c>
      <c r="AE13" s="217" t="s">
        <v>5344</v>
      </c>
      <c r="AF13" s="217" t="s">
        <v>53</v>
      </c>
      <c r="AG13" s="217" t="s">
        <v>5343</v>
      </c>
      <c r="AH13" s="217" t="s">
        <v>5342</v>
      </c>
      <c r="AI13" s="217" t="s">
        <v>5341</v>
      </c>
      <c r="AJ13" s="217" t="s">
        <v>54</v>
      </c>
      <c r="AK13" s="217" t="s">
        <v>5340</v>
      </c>
      <c r="AL13" s="217" t="s">
        <v>5339</v>
      </c>
      <c r="AM13" s="217" t="s">
        <v>5338</v>
      </c>
      <c r="AN13" s="217" t="s">
        <v>5337</v>
      </c>
      <c r="AO13" s="217" t="s">
        <v>5336</v>
      </c>
      <c r="AP13" s="217" t="s">
        <v>5335</v>
      </c>
      <c r="AQ13" s="217" t="s">
        <v>5334</v>
      </c>
      <c r="AR13" s="217" t="s">
        <v>51</v>
      </c>
      <c r="AS13" s="217" t="s">
        <v>5333</v>
      </c>
      <c r="AT13" s="217" t="s">
        <v>5332</v>
      </c>
      <c r="AU13" s="217" t="s">
        <v>5331</v>
      </c>
      <c r="AV13" s="217" t="s">
        <v>5330</v>
      </c>
      <c r="AW13" s="217" t="s">
        <v>5329</v>
      </c>
      <c r="AX13" s="217" t="s">
        <v>5328</v>
      </c>
      <c r="AY13" s="217" t="s">
        <v>5327</v>
      </c>
      <c r="AZ13" s="217" t="s">
        <v>5326</v>
      </c>
      <c r="BA13" s="217" t="s">
        <v>5325</v>
      </c>
      <c r="BB13" s="217" t="s">
        <v>5324</v>
      </c>
      <c r="BC13" s="217" t="s">
        <v>5323</v>
      </c>
      <c r="BD13" s="217" t="s">
        <v>5322</v>
      </c>
      <c r="BE13" s="217" t="s">
        <v>5321</v>
      </c>
      <c r="BF13" s="217" t="s">
        <v>5320</v>
      </c>
      <c r="BG13" s="216" t="s">
        <v>5319</v>
      </c>
    </row>
    <row r="14" spans="1:59">
      <c r="A14" s="212" t="s">
        <v>5314</v>
      </c>
      <c r="B14" s="230">
        <v>457660318</v>
      </c>
      <c r="C14" s="209" t="s">
        <v>433</v>
      </c>
      <c r="F14" s="238" t="str" cm="1">
        <f t="array" aca="1" ref="F14" ca="1">MID(met2utc(PEPSSI_Commanding[[#This Row],[MET]]),3,15)</f>
        <v>20-203/18:00:00</v>
      </c>
      <c r="G14" s="212" t="str">
        <f t="shared" ref="G14:G45" si="15">_xlfn.TEXTJOIN("+",TRUE,$C14:$D14)</f>
        <v>ON</v>
      </c>
      <c r="H14" s="213">
        <f t="shared" ref="H14:H45" si="16">IF($C14="ON",$B14,IF(RIGHT($H13,9)="MET Start","",IF(AND($K14&lt;&gt;0,$K13=1),$B14,$H13)))</f>
        <v>457660318</v>
      </c>
      <c r="I14" s="213">
        <f t="shared" ref="I14:I45" si="17">IF($C14="OFF",$B14,IF($B15="",$B14+31500000,IF($K14=1,$B15,I15)))</f>
        <v>457662167</v>
      </c>
      <c r="J14" s="212">
        <f t="shared" ref="J14:J45" si="18">IF($G14="ON",0,IF(OR(J13="",LEFT(J13,6)="Offset"),"",J13+1))</f>
        <v>0</v>
      </c>
      <c r="K14" s="212">
        <f t="shared" ref="K14:K45" si="19">IF($G14="OFF",0,IF(AND($J15&lt;&gt;0,$J14&lt;&gt;9,$G15&lt;&gt;"MAC+111",($B15-$B14)&lt;7200),K15+1,1))</f>
        <v>10</v>
      </c>
      <c r="M14" s="209" t="str">
        <f t="shared" ref="M14:M45" si="20">IF($C14="ON","",IF($C14="N1",$D14,IF(M13="N1","",M13)))</f>
        <v/>
      </c>
      <c r="N14" s="209" t="str">
        <f t="shared" ref="N14:N45" si="21">IF($C14="ON","",IF($C14="N2",$D14,IF($G14="MAC+103",3,IF($G14="MAC+104",2,IF(N13="N2","",N13)))))</f>
        <v/>
      </c>
      <c r="O14" s="209" t="str">
        <f t="shared" ref="O14:O45" si="22">IF($C14="ON","",IF($C14="N3",$D14,IF(O13="N3","",O13)))</f>
        <v/>
      </c>
      <c r="P14" s="209" t="str">
        <f t="shared" ref="P14:P45" si="23">IF($C14="ON","",IF($C14="STAT",$D14,IF(P13="STAT","",P13)))</f>
        <v/>
      </c>
      <c r="Q14" s="209" t="str">
        <f t="shared" ref="Q14:Q45" si="24">IF(OR($C14="ON",$G14="MAC+101",AND($C14="MAC",105&lt;=$D14,$D14&lt;=110)),"",IF(OR($G14="MAC+103",$G14="MAC+104",$G14="MAC+111"),"disabled",IF(Q13="N2 disabled","",Q13)))</f>
        <v/>
      </c>
      <c r="R14" s="209" t="str">
        <f t="shared" ref="R14:R45" si="25">IF(OR($G14="ON",$G14="MAC+111"),"",IF($G14="MAC+105",300,IF(OR($G14="MAC+106",$G14="MAC+101"),600,IF($G14="MAC+107",840,IF($G14="MAC+108",1200,IF($G14="MAC+109",1800,IF($G14="MAC+110",43200,IF(LEFT(R13,4)="105-","",R13))))))))</f>
        <v/>
      </c>
      <c r="S14" s="209" t="str">
        <f t="shared" ref="S14:S45" si="26">IF($C14="ON","",IF($G14="MAC+102","102",IF(RIGHT(S13,1)="?","",S13)))</f>
        <v/>
      </c>
      <c r="U14" s="466">
        <f t="shared" ref="U14:U45" si="27">IF(OR($N14="",$R14=""),0,U$1/64/$N14)</f>
        <v>0</v>
      </c>
      <c r="V14" s="466">
        <f t="shared" ref="V14:V45" si="28">IF(OR($N14="",$R14=""),0,V$1/64/$N14)</f>
        <v>0</v>
      </c>
      <c r="W14" s="466">
        <f t="shared" ref="W14:W45" si="29">IF($P14="",0,W$1/$P14)</f>
        <v>0</v>
      </c>
      <c r="X14" s="466">
        <f t="shared" ref="X14:X45" si="30">IF($M14="",0,X$1/$M14)</f>
        <v>0</v>
      </c>
      <c r="Y14" s="466">
        <f t="shared" ref="Y14:Y45" si="31">IF(OR($N14="",$Q14&lt;&gt;""),0,Y$1/$N14)</f>
        <v>0</v>
      </c>
      <c r="Z14" s="466">
        <f t="shared" ref="Z14:Z45" si="32">IF($N14="",0,IF($R14="",1,R14/43200)*Y14)</f>
        <v>0</v>
      </c>
      <c r="AA14" s="466">
        <f t="shared" ref="AA14:AA45" si="33">IF($O14="",0,AA$1/$O14)</f>
        <v>0</v>
      </c>
      <c r="AB14" s="242"/>
      <c r="AC14" s="466">
        <f t="shared" ref="AC14:AC45" si="34">IF(AC$3&lt;&gt;"",$W14,0)+IF(AC$4&lt;&gt;"",$U14,0)+IF(AC$5&lt;&gt;"",$Z14+IF($S14&lt;&gt;"102",$V14,0),0)+IF(AC$6&lt;&gt;"",$AA14+IF($S14="102",$V14,0),0)+IF(AC$7&lt;&gt;"",$X14,0)</f>
        <v>0</v>
      </c>
      <c r="AD14" s="466">
        <f t="shared" ref="AD14:AD45" si="35">IF(AD$3&lt;&gt;"",$W14,0)+IF(AD$4&lt;&gt;"",$U14,0)+IF(AD$5&lt;&gt;"",$Z14+IF($S14&lt;&gt;"102",$V14,0),0)+IF(AD$6&lt;&gt;"",$AA14+IF($S14="102",$V14,0),0)+IF(AD$7&lt;&gt;"",$X14,0)</f>
        <v>0</v>
      </c>
      <c r="AE14" s="466">
        <f t="shared" ref="AE14:AE45" si="36">IF(AE$3&lt;&gt;"",$W14,0)+IF(AE$4&lt;&gt;"",$U14,0)+IF(AE$5&lt;&gt;"",$Z14+IF($S14&lt;&gt;"102",$V14,0),0)+IF(AE$6&lt;&gt;"",$AA14+IF($S14="102",$V14,0),0)+IF(AE$7&lt;&gt;"",$X14,0)</f>
        <v>0</v>
      </c>
      <c r="AF14" s="466">
        <f t="shared" ref="AF14:AF45" si="37">IF(AF$3&lt;&gt;"",$W14,0)+IF(AF$4&lt;&gt;"",$U14,0)+IF(AF$5&lt;&gt;"",$Z14+IF($S14&lt;&gt;"102",$V14,0),0)+IF(AF$6&lt;&gt;"",$AA14+IF($S14="102",$V14,0),0)+IF(AF$7&lt;&gt;"",$X14,0)</f>
        <v>0</v>
      </c>
      <c r="AG14" s="466">
        <f t="shared" ref="AG14:AG45" si="38">IF(AG$3&lt;&gt;"",$W14,0)+IF(AG$4&lt;&gt;"",$U14,0)+IF(AG$5&lt;&gt;"",$Z14+IF($S14&lt;&gt;"102",$V14,0),0)+IF(AG$6&lt;&gt;"",$AA14+IF($S14="102",$V14,0),0)+IF(AG$7&lt;&gt;"",$X14,0)</f>
        <v>0</v>
      </c>
      <c r="AH14" s="466">
        <f t="shared" ref="AH14:AH45" si="39">IF(AH$3&lt;&gt;"",$W14,0)+IF(AH$4&lt;&gt;"",$U14,0)+IF(AH$5&lt;&gt;"",$Z14+IF($S14&lt;&gt;"102",$V14,0),0)+IF(AH$6&lt;&gt;"",$AA14+IF($S14="102",$V14,0),0)+IF(AH$7&lt;&gt;"",$X14,0)</f>
        <v>0</v>
      </c>
      <c r="AI14" s="466">
        <f t="shared" ref="AI14:AI45" si="40">IF(AI$3&lt;&gt;"",$W14,0)+IF(AI$4&lt;&gt;"",$U14,0)+IF(AI$5&lt;&gt;"",$Z14+IF($S14&lt;&gt;"102",$V14,0),0)+IF(AI$6&lt;&gt;"",$AA14+IF($S14="102",$V14,0),0)+IF(AI$7&lt;&gt;"",$X14,0)</f>
        <v>0</v>
      </c>
      <c r="AJ14" s="466">
        <f t="shared" ref="AJ14:AJ45" si="41">IF(AJ$3&lt;&gt;"",$W14,0)+IF(AJ$4&lt;&gt;"",$U14,0)+IF(AJ$5&lt;&gt;"",$Z14+IF($S14&lt;&gt;"102",$V14,0),0)+IF(AJ$6&lt;&gt;"",$AA14+IF($S14="102",$V14,0),0)+IF(AJ$7&lt;&gt;"",$X14,0)</f>
        <v>0</v>
      </c>
      <c r="AK14" s="466">
        <f t="shared" ref="AK14:AK45" si="42">IF(AK$3&lt;&gt;"",$W14,0)+IF(AK$4&lt;&gt;"",$U14,0)+IF(AK$5&lt;&gt;"",$Z14+IF($S14&lt;&gt;"102",$V14,0),0)+IF(AK$6&lt;&gt;"",$AA14+IF($S14="102",$V14,0),0)+IF(AK$7&lt;&gt;"",$X14,0)</f>
        <v>0</v>
      </c>
      <c r="AL14" s="466">
        <f t="shared" ref="AL14:AL45" si="43">IF(AL$3&lt;&gt;"",$W14,0)+IF(AL$4&lt;&gt;"",$U14,0)+IF(AL$5&lt;&gt;"",$Z14+IF($S14&lt;&gt;"102",$V14,0),0)+IF(AL$6&lt;&gt;"",$AA14+IF($S14="102",$V14,0),0)+IF(AL$7&lt;&gt;"",$X14,0)</f>
        <v>0</v>
      </c>
      <c r="AM14" s="466">
        <f t="shared" ref="AM14:AM45" si="44">IF(AM$3&lt;&gt;"",$W14,0)+IF(AM$4&lt;&gt;"",$U14,0)+IF(AM$5&lt;&gt;"",$Z14+IF($S14&lt;&gt;"102",$V14,0),0)+IF(AM$6&lt;&gt;"",$AA14+IF($S14="102",$V14,0),0)+IF(AM$7&lt;&gt;"",$X14,0)</f>
        <v>0</v>
      </c>
      <c r="AN14" s="466">
        <f t="shared" ref="AN14:AN45" si="45">IF(AN$3&lt;&gt;"",$W14,0)+IF(AN$4&lt;&gt;"",$U14,0)+IF(AN$5&lt;&gt;"",$Z14+IF($S14&lt;&gt;"102",$V14,0),0)+IF(AN$6&lt;&gt;"",$AA14+IF($S14="102",$V14,0),0)+IF(AN$7&lt;&gt;"",$X14,0)</f>
        <v>0</v>
      </c>
      <c r="AO14" s="466">
        <f t="shared" ref="AO14:AO45" si="46">IF(AO$3&lt;&gt;"",$W14,0)+IF(AO$4&lt;&gt;"",$U14,0)+IF(AO$5&lt;&gt;"",$Z14+IF($S14&lt;&gt;"102",$V14,0),0)+IF(AO$6&lt;&gt;"",$AA14+IF($S14="102",$V14,0),0)+IF(AO$7&lt;&gt;"",$X14,0)</f>
        <v>0</v>
      </c>
      <c r="AP14" s="466">
        <f t="shared" ref="AP14:AP45" si="47">IF(AP$3&lt;&gt;"",$W14,0)+IF(AP$4&lt;&gt;"",$U14,0)+IF(AP$5&lt;&gt;"",$Z14+IF($S14&lt;&gt;"102",$V14,0),0)+IF(AP$6&lt;&gt;"",$AA14+IF($S14="102",$V14,0),0)+IF(AP$7&lt;&gt;"",$X14,0)</f>
        <v>0</v>
      </c>
      <c r="AQ14" s="466">
        <f t="shared" ref="AQ14:AQ45" si="48">IF(AQ$3&lt;&gt;"",$W14,0)+IF(AQ$4&lt;&gt;"",$U14,0)+IF(AQ$5&lt;&gt;"",$Z14+IF($S14&lt;&gt;"102",$V14,0),0)+IF(AQ$6&lt;&gt;"",$AA14+IF($S14="102",$V14,0),0)+IF(AQ$7&lt;&gt;"",$X14,0)</f>
        <v>0</v>
      </c>
      <c r="AR14" s="466">
        <f t="shared" ref="AR14:AR45" si="49">IF(AR$3&lt;&gt;"",$W14,0)+IF(AR$4&lt;&gt;"",$U14,0)+IF(AR$5&lt;&gt;"",$Z14+IF($S14&lt;&gt;"102",$V14,0),0)+IF(AR$6&lt;&gt;"",$AA14+IF($S14="102",$V14,0),0)+IF(AR$7&lt;&gt;"",$X14,0)</f>
        <v>0</v>
      </c>
      <c r="AS14" s="466">
        <f t="shared" ref="AS14:AS45" si="50">IF(AS$3&lt;&gt;"",$W14,0)+IF(AS$4&lt;&gt;"",$U14,0)+IF(AS$5&lt;&gt;"",$Z14+IF($S14&lt;&gt;"102",$V14,0),0)+IF(AS$6&lt;&gt;"",$AA14+IF($S14="102",$V14,0),0)+IF(AS$7&lt;&gt;"",$X14,0)</f>
        <v>0</v>
      </c>
      <c r="AT14" s="466">
        <f t="shared" ref="AT14:AT45" si="51">IF(AT$3&lt;&gt;"",$W14,0)+IF(AT$4&lt;&gt;"",$U14,0)+IF(AT$5&lt;&gt;"",$Z14+IF($S14&lt;&gt;"102",$V14,0),0)+IF(AT$6&lt;&gt;"",$AA14+IF($S14="102",$V14,0),0)+IF(AT$7&lt;&gt;"",$X14,0)</f>
        <v>0</v>
      </c>
      <c r="AU14" s="466">
        <f t="shared" ref="AU14:AU45" si="52">IF(AU$3&lt;&gt;"",$W14,0)+IF(AU$4&lt;&gt;"",$U14,0)+IF(AU$5&lt;&gt;"",$Z14+IF($S14&lt;&gt;"102",$V14,0),0)+IF(AU$6&lt;&gt;"",$AA14+IF($S14="102",$V14,0),0)+IF(AU$7&lt;&gt;"",$X14,0)</f>
        <v>0</v>
      </c>
      <c r="AV14" s="466">
        <f t="shared" ref="AV14:AV45" si="53">IF(AV$3&lt;&gt;"",$W14,0)+IF(AV$4&lt;&gt;"",$U14,0)+IF(AV$5&lt;&gt;"",$Z14+IF($S14&lt;&gt;"102",$V14,0),0)+IF(AV$6&lt;&gt;"",$AA14+IF($S14="102",$V14,0),0)+IF(AV$7&lt;&gt;"",$X14,0)</f>
        <v>0</v>
      </c>
      <c r="AW14" s="466">
        <f t="shared" ref="AW14:AW45" si="54">IF(AW$3&lt;&gt;"",$W14,0)+IF(AW$4&lt;&gt;"",$U14,0)+IF(AW$5&lt;&gt;"",$Z14+IF($S14&lt;&gt;"102",$V14,0),0)+IF(AW$6&lt;&gt;"",$AA14+IF($S14="102",$V14,0),0)+IF(AW$7&lt;&gt;"",$X14,0)</f>
        <v>0</v>
      </c>
      <c r="AX14" s="466">
        <f t="shared" ref="AX14:AX45" si="55">IF(AX$3&lt;&gt;"",$W14,0)+IF(AX$4&lt;&gt;"",$U14,0)+IF(AX$5&lt;&gt;"",$Z14+IF($S14&lt;&gt;"102",$V14,0),0)+IF(AX$6&lt;&gt;"",$AA14+IF($S14="102",$V14,0),0)+IF(AX$7&lt;&gt;"",$X14,0)</f>
        <v>0</v>
      </c>
      <c r="AY14" s="466">
        <f t="shared" ref="AY14:AY45" si="56">IF(AY$3&lt;&gt;"",$W14,0)+IF(AY$4&lt;&gt;"",$U14,0)+IF(AY$5&lt;&gt;"",$Z14+IF($S14&lt;&gt;"102",$V14,0),0)+IF(AY$6&lt;&gt;"",$AA14+IF($S14="102",$V14,0),0)+IF(AY$7&lt;&gt;"",$X14,0)</f>
        <v>0</v>
      </c>
      <c r="AZ14" s="466">
        <f t="shared" ref="AZ14:AZ45" si="57">IF(AZ$3&lt;&gt;"",$W14,0)+IF(AZ$4&lt;&gt;"",$U14,0)+IF(AZ$5&lt;&gt;"",$Z14+IF($S14&lt;&gt;"102",$V14,0),0)+IF(AZ$6&lt;&gt;"",$AA14+IF($S14="102",$V14,0),0)+IF(AZ$7&lt;&gt;"",$X14,0)</f>
        <v>0</v>
      </c>
      <c r="BA14" s="466">
        <f t="shared" ref="BA14:BA45" si="58">IF(BA$3&lt;&gt;"",$W14,0)+IF(BA$4&lt;&gt;"",$U14,0)+IF(BA$5&lt;&gt;"",$Z14+IF($S14&lt;&gt;"102",$V14,0),0)+IF(BA$6&lt;&gt;"",$AA14+IF($S14="102",$V14,0),0)+IF(BA$7&lt;&gt;"",$X14,0)</f>
        <v>0</v>
      </c>
      <c r="BB14" s="466">
        <f t="shared" ref="BB14:BB45" si="59">IF(BB$3&lt;&gt;"",$W14,0)+IF(BB$4&lt;&gt;"",$U14,0)+IF(BB$5&lt;&gt;"",$Z14+IF($S14&lt;&gt;"102",$V14,0),0)+IF(BB$6&lt;&gt;"",$AA14+IF($S14="102",$V14,0),0)+IF(BB$7&lt;&gt;"",$X14,0)</f>
        <v>0</v>
      </c>
      <c r="BC14" s="466">
        <f t="shared" ref="BC14:BC45" si="60">IF(BC$3&lt;&gt;"",$W14,0)+IF(BC$4&lt;&gt;"",$U14,0)+IF(BC$5&lt;&gt;"",$Z14+IF($S14&lt;&gt;"102",$V14,0),0)+IF(BC$6&lt;&gt;"",$AA14+IF($S14="102",$V14,0),0)+IF(BC$7&lt;&gt;"",$X14,0)</f>
        <v>0</v>
      </c>
      <c r="BD14" s="466">
        <f t="shared" ref="BD14:BD45" si="61">IF(BD$3&lt;&gt;"",$W14,0)+IF(BD$4&lt;&gt;"",$U14,0)+IF(BD$5&lt;&gt;"",$Z14+IF($S14&lt;&gt;"102",$V14,0),0)+IF(BD$6&lt;&gt;"",$AA14+IF($S14="102",$V14,0),0)+IF(BD$7&lt;&gt;"",$X14,0)</f>
        <v>0</v>
      </c>
      <c r="BE14" s="466">
        <f t="shared" ref="BE14:BE45" si="62">IF(BE$3&lt;&gt;"",$W14,0)+IF(BE$4&lt;&gt;"",$U14,0)+IF(BE$5&lt;&gt;"",$Z14+IF($S14&lt;&gt;"102",$V14,0),0)+IF(BE$6&lt;&gt;"",$AA14+IF($S14="102",$V14,0),0)+IF(BE$7&lt;&gt;"",$X14,0)</f>
        <v>0</v>
      </c>
      <c r="BF14" s="466">
        <f t="shared" ref="BF14:BF45" si="63">IF(BF$3&lt;&gt;"",$W14,0)+IF(BF$4&lt;&gt;"",$U14,0)+IF(BF$5&lt;&gt;"",$Z14+IF($S14&lt;&gt;"102",$V14,0),0)+IF(BF$6&lt;&gt;"",$AA14+IF($S14="102",$V14,0),0)+IF(BF$7&lt;&gt;"",$X14,0)</f>
        <v>0</v>
      </c>
      <c r="BG14" s="466">
        <f t="shared" ref="BG14:BG45" si="64">IF(BG$3&lt;&gt;"",$W14,0)+IF(BG$4&lt;&gt;"",$U14,0)+IF(BG$5&lt;&gt;"",$Z14+IF($S14&lt;&gt;"102",$V14,0),0)+IF(BG$6&lt;&gt;"",$AA14+IF($S14="102",$V14,0),0)+IF(BG$7&lt;&gt;"",$X14,0)</f>
        <v>0</v>
      </c>
    </row>
    <row r="15" spans="1:59">
      <c r="A15" s="212" t="s">
        <v>5315</v>
      </c>
      <c r="B15" s="230">
        <v>457660363</v>
      </c>
      <c r="C15" s="209" t="s">
        <v>5285</v>
      </c>
      <c r="D15" s="209">
        <v>10</v>
      </c>
      <c r="F15" s="238" t="str" cm="1">
        <f t="array" aca="1" ref="F15" ca="1">MID(met2utc(PEPSSI_Commanding[[#This Row],[MET]]),3,15)</f>
        <v>20-203/18:00:45</v>
      </c>
      <c r="G15" s="212" t="str">
        <f t="shared" si="15"/>
        <v>MAC+10</v>
      </c>
      <c r="H15" s="213">
        <f t="shared" si="16"/>
        <v>457660318</v>
      </c>
      <c r="I15" s="213">
        <f t="shared" si="17"/>
        <v>457662167</v>
      </c>
      <c r="J15" s="212">
        <f t="shared" si="18"/>
        <v>1</v>
      </c>
      <c r="K15" s="212">
        <f t="shared" si="19"/>
        <v>9</v>
      </c>
      <c r="M15" s="209" t="str">
        <f t="shared" si="20"/>
        <v/>
      </c>
      <c r="N15" s="209" t="str">
        <f t="shared" si="21"/>
        <v/>
      </c>
      <c r="O15" s="209" t="str">
        <f t="shared" si="22"/>
        <v/>
      </c>
      <c r="P15" s="209" t="str">
        <f t="shared" si="23"/>
        <v/>
      </c>
      <c r="Q15" s="209" t="str">
        <f t="shared" si="24"/>
        <v/>
      </c>
      <c r="R15" s="209" t="str">
        <f t="shared" si="25"/>
        <v/>
      </c>
      <c r="S15" s="209" t="str">
        <f t="shared" si="26"/>
        <v/>
      </c>
      <c r="U15" s="466">
        <f t="shared" si="27"/>
        <v>0</v>
      </c>
      <c r="V15" s="466">
        <f t="shared" si="28"/>
        <v>0</v>
      </c>
      <c r="W15" s="466">
        <f t="shared" si="29"/>
        <v>0</v>
      </c>
      <c r="X15" s="466">
        <f t="shared" si="30"/>
        <v>0</v>
      </c>
      <c r="Y15" s="466">
        <f t="shared" si="31"/>
        <v>0</v>
      </c>
      <c r="Z15" s="466">
        <f t="shared" si="32"/>
        <v>0</v>
      </c>
      <c r="AA15" s="466">
        <f t="shared" si="33"/>
        <v>0</v>
      </c>
      <c r="AB15" s="242"/>
      <c r="AC15" s="466">
        <f t="shared" si="34"/>
        <v>0</v>
      </c>
      <c r="AD15" s="466">
        <f t="shared" si="35"/>
        <v>0</v>
      </c>
      <c r="AE15" s="466">
        <f t="shared" si="36"/>
        <v>0</v>
      </c>
      <c r="AF15" s="466">
        <f t="shared" si="37"/>
        <v>0</v>
      </c>
      <c r="AG15" s="466">
        <f t="shared" si="38"/>
        <v>0</v>
      </c>
      <c r="AH15" s="466">
        <f t="shared" si="39"/>
        <v>0</v>
      </c>
      <c r="AI15" s="466">
        <f t="shared" si="40"/>
        <v>0</v>
      </c>
      <c r="AJ15" s="466">
        <f t="shared" si="41"/>
        <v>0</v>
      </c>
      <c r="AK15" s="466">
        <f t="shared" si="42"/>
        <v>0</v>
      </c>
      <c r="AL15" s="466">
        <f t="shared" si="43"/>
        <v>0</v>
      </c>
      <c r="AM15" s="466">
        <f t="shared" si="44"/>
        <v>0</v>
      </c>
      <c r="AN15" s="466">
        <f t="shared" si="45"/>
        <v>0</v>
      </c>
      <c r="AO15" s="466">
        <f t="shared" si="46"/>
        <v>0</v>
      </c>
      <c r="AP15" s="466">
        <f t="shared" si="47"/>
        <v>0</v>
      </c>
      <c r="AQ15" s="466">
        <f t="shared" si="48"/>
        <v>0</v>
      </c>
      <c r="AR15" s="466">
        <f t="shared" si="49"/>
        <v>0</v>
      </c>
      <c r="AS15" s="466">
        <f t="shared" si="50"/>
        <v>0</v>
      </c>
      <c r="AT15" s="466">
        <f t="shared" si="51"/>
        <v>0</v>
      </c>
      <c r="AU15" s="466">
        <f t="shared" si="52"/>
        <v>0</v>
      </c>
      <c r="AV15" s="466">
        <f t="shared" si="53"/>
        <v>0</v>
      </c>
      <c r="AW15" s="466">
        <f t="shared" si="54"/>
        <v>0</v>
      </c>
      <c r="AX15" s="466">
        <f t="shared" si="55"/>
        <v>0</v>
      </c>
      <c r="AY15" s="466">
        <f t="shared" si="56"/>
        <v>0</v>
      </c>
      <c r="AZ15" s="466">
        <f t="shared" si="57"/>
        <v>0</v>
      </c>
      <c r="BA15" s="466">
        <f t="shared" si="58"/>
        <v>0</v>
      </c>
      <c r="BB15" s="466">
        <f t="shared" si="59"/>
        <v>0</v>
      </c>
      <c r="BC15" s="466">
        <f t="shared" si="60"/>
        <v>0</v>
      </c>
      <c r="BD15" s="466">
        <f t="shared" si="61"/>
        <v>0</v>
      </c>
      <c r="BE15" s="466">
        <f t="shared" si="62"/>
        <v>0</v>
      </c>
      <c r="BF15" s="466">
        <f t="shared" si="63"/>
        <v>0</v>
      </c>
      <c r="BG15" s="466">
        <f t="shared" si="64"/>
        <v>0</v>
      </c>
    </row>
    <row r="16" spans="1:59">
      <c r="A16" s="212" t="s">
        <v>5316</v>
      </c>
      <c r="B16" s="230">
        <v>457660363</v>
      </c>
      <c r="C16" s="209" t="s">
        <v>61</v>
      </c>
      <c r="D16" s="209">
        <v>10</v>
      </c>
      <c r="F16" s="238" t="str" cm="1">
        <f t="array" aca="1" ref="F16" ca="1">MID(met2utc(PEPSSI_Commanding[[#This Row],[MET]]),3,15)</f>
        <v>20-203/18:00:45</v>
      </c>
      <c r="G16" s="212" t="str">
        <f t="shared" si="15"/>
        <v>N2+10</v>
      </c>
      <c r="H16" s="213">
        <f t="shared" si="16"/>
        <v>457660318</v>
      </c>
      <c r="I16" s="213">
        <f t="shared" si="17"/>
        <v>457662167</v>
      </c>
      <c r="J16" s="212">
        <f t="shared" si="18"/>
        <v>2</v>
      </c>
      <c r="K16" s="212">
        <f t="shared" si="19"/>
        <v>8</v>
      </c>
      <c r="M16" s="209" t="str">
        <f t="shared" si="20"/>
        <v/>
      </c>
      <c r="N16" s="209">
        <f t="shared" si="21"/>
        <v>10</v>
      </c>
      <c r="O16" s="209" t="str">
        <f t="shared" si="22"/>
        <v/>
      </c>
      <c r="P16" s="209" t="str">
        <f t="shared" si="23"/>
        <v/>
      </c>
      <c r="Q16" s="209" t="str">
        <f t="shared" si="24"/>
        <v/>
      </c>
      <c r="R16" s="209" t="str">
        <f t="shared" si="25"/>
        <v/>
      </c>
      <c r="S16" s="209" t="str">
        <f t="shared" si="26"/>
        <v/>
      </c>
      <c r="U16" s="466">
        <f t="shared" si="27"/>
        <v>0</v>
      </c>
      <c r="V16" s="466">
        <f t="shared" si="28"/>
        <v>0</v>
      </c>
      <c r="W16" s="466">
        <f t="shared" si="29"/>
        <v>0</v>
      </c>
      <c r="X16" s="466">
        <f t="shared" si="30"/>
        <v>0</v>
      </c>
      <c r="Y16" s="466">
        <f t="shared" si="31"/>
        <v>133</v>
      </c>
      <c r="Z16" s="466">
        <f t="shared" si="32"/>
        <v>133</v>
      </c>
      <c r="AA16" s="466">
        <f t="shared" si="33"/>
        <v>0</v>
      </c>
      <c r="AB16" s="242"/>
      <c r="AC16" s="466">
        <f t="shared" si="34"/>
        <v>0</v>
      </c>
      <c r="AD16" s="466">
        <f t="shared" si="35"/>
        <v>0</v>
      </c>
      <c r="AE16" s="466">
        <f t="shared" si="36"/>
        <v>0</v>
      </c>
      <c r="AF16" s="466">
        <f t="shared" si="37"/>
        <v>133</v>
      </c>
      <c r="AG16" s="466">
        <f t="shared" si="38"/>
        <v>133</v>
      </c>
      <c r="AH16" s="466">
        <f t="shared" si="39"/>
        <v>133</v>
      </c>
      <c r="AI16" s="466">
        <f t="shared" si="40"/>
        <v>133</v>
      </c>
      <c r="AJ16" s="466">
        <f t="shared" si="41"/>
        <v>0</v>
      </c>
      <c r="AK16" s="466">
        <f t="shared" si="42"/>
        <v>0</v>
      </c>
      <c r="AL16" s="466">
        <f t="shared" si="43"/>
        <v>0</v>
      </c>
      <c r="AM16" s="466">
        <f t="shared" si="44"/>
        <v>0</v>
      </c>
      <c r="AN16" s="466">
        <f t="shared" si="45"/>
        <v>133</v>
      </c>
      <c r="AO16" s="466">
        <f t="shared" si="46"/>
        <v>133</v>
      </c>
      <c r="AP16" s="466">
        <f t="shared" si="47"/>
        <v>133</v>
      </c>
      <c r="AQ16" s="466">
        <f t="shared" si="48"/>
        <v>133</v>
      </c>
      <c r="AR16" s="466">
        <f t="shared" si="49"/>
        <v>0</v>
      </c>
      <c r="AS16" s="466">
        <f t="shared" si="50"/>
        <v>0</v>
      </c>
      <c r="AT16" s="466">
        <f t="shared" si="51"/>
        <v>0</v>
      </c>
      <c r="AU16" s="466">
        <f t="shared" si="52"/>
        <v>0</v>
      </c>
      <c r="AV16" s="466">
        <f t="shared" si="53"/>
        <v>133</v>
      </c>
      <c r="AW16" s="466">
        <f t="shared" si="54"/>
        <v>133</v>
      </c>
      <c r="AX16" s="466">
        <f t="shared" si="55"/>
        <v>133</v>
      </c>
      <c r="AY16" s="466">
        <f t="shared" si="56"/>
        <v>133</v>
      </c>
      <c r="AZ16" s="466">
        <f t="shared" si="57"/>
        <v>0</v>
      </c>
      <c r="BA16" s="466">
        <f t="shared" si="58"/>
        <v>0</v>
      </c>
      <c r="BB16" s="466">
        <f t="shared" si="59"/>
        <v>0</v>
      </c>
      <c r="BC16" s="466">
        <f t="shared" si="60"/>
        <v>0</v>
      </c>
      <c r="BD16" s="466">
        <f t="shared" si="61"/>
        <v>133</v>
      </c>
      <c r="BE16" s="466">
        <f t="shared" si="62"/>
        <v>133</v>
      </c>
      <c r="BF16" s="466">
        <f t="shared" si="63"/>
        <v>133</v>
      </c>
      <c r="BG16" s="466">
        <f t="shared" si="64"/>
        <v>133</v>
      </c>
    </row>
    <row r="17" spans="1:59">
      <c r="A17" s="212" t="s">
        <v>5316</v>
      </c>
      <c r="B17" s="230">
        <v>457660364</v>
      </c>
      <c r="C17" s="209" t="s">
        <v>58</v>
      </c>
      <c r="D17" s="209">
        <v>300</v>
      </c>
      <c r="F17" s="238" t="str" cm="1">
        <f t="array" aca="1" ref="F17" ca="1">MID(met2utc(PEPSSI_Commanding[[#This Row],[MET]]),3,15)</f>
        <v>20-203/18:00:46</v>
      </c>
      <c r="G17" s="212" t="str">
        <f t="shared" si="15"/>
        <v>N3+300</v>
      </c>
      <c r="H17" s="213">
        <f t="shared" si="16"/>
        <v>457660318</v>
      </c>
      <c r="I17" s="213">
        <f t="shared" si="17"/>
        <v>457662167</v>
      </c>
      <c r="J17" s="212">
        <f t="shared" si="18"/>
        <v>3</v>
      </c>
      <c r="K17" s="212">
        <f t="shared" si="19"/>
        <v>7</v>
      </c>
      <c r="M17" s="209" t="str">
        <f t="shared" si="20"/>
        <v/>
      </c>
      <c r="N17" s="209">
        <f t="shared" si="21"/>
        <v>10</v>
      </c>
      <c r="O17" s="209">
        <f t="shared" si="22"/>
        <v>300</v>
      </c>
      <c r="P17" s="209" t="str">
        <f t="shared" si="23"/>
        <v/>
      </c>
      <c r="Q17" s="209" t="str">
        <f t="shared" si="24"/>
        <v/>
      </c>
      <c r="R17" s="209" t="str">
        <f t="shared" si="25"/>
        <v/>
      </c>
      <c r="S17" s="209" t="str">
        <f t="shared" si="26"/>
        <v/>
      </c>
      <c r="U17" s="466">
        <f t="shared" si="27"/>
        <v>0</v>
      </c>
      <c r="V17" s="466">
        <f t="shared" si="28"/>
        <v>0</v>
      </c>
      <c r="W17" s="466">
        <f t="shared" si="29"/>
        <v>0</v>
      </c>
      <c r="X17" s="466">
        <f t="shared" si="30"/>
        <v>0</v>
      </c>
      <c r="Y17" s="466">
        <f t="shared" si="31"/>
        <v>133</v>
      </c>
      <c r="Z17" s="466">
        <f t="shared" si="32"/>
        <v>133</v>
      </c>
      <c r="AA17" s="466">
        <f t="shared" si="33"/>
        <v>66.36</v>
      </c>
      <c r="AB17" s="242"/>
      <c r="AC17" s="466">
        <f t="shared" si="34"/>
        <v>0</v>
      </c>
      <c r="AD17" s="466">
        <f t="shared" si="35"/>
        <v>66.36</v>
      </c>
      <c r="AE17" s="466">
        <f t="shared" si="36"/>
        <v>66.36</v>
      </c>
      <c r="AF17" s="466">
        <f t="shared" si="37"/>
        <v>133</v>
      </c>
      <c r="AG17" s="466">
        <f t="shared" si="38"/>
        <v>133</v>
      </c>
      <c r="AH17" s="466">
        <f t="shared" si="39"/>
        <v>199.36</v>
      </c>
      <c r="AI17" s="466">
        <f t="shared" si="40"/>
        <v>199.36</v>
      </c>
      <c r="AJ17" s="466">
        <f t="shared" si="41"/>
        <v>0</v>
      </c>
      <c r="AK17" s="466">
        <f t="shared" si="42"/>
        <v>0</v>
      </c>
      <c r="AL17" s="466">
        <f t="shared" si="43"/>
        <v>66.36</v>
      </c>
      <c r="AM17" s="466">
        <f t="shared" si="44"/>
        <v>66.36</v>
      </c>
      <c r="AN17" s="466">
        <f t="shared" si="45"/>
        <v>133</v>
      </c>
      <c r="AO17" s="466">
        <f t="shared" si="46"/>
        <v>133</v>
      </c>
      <c r="AP17" s="466">
        <f t="shared" si="47"/>
        <v>199.36</v>
      </c>
      <c r="AQ17" s="466">
        <f t="shared" si="48"/>
        <v>199.36</v>
      </c>
      <c r="AR17" s="466">
        <f t="shared" si="49"/>
        <v>0</v>
      </c>
      <c r="AS17" s="466">
        <f t="shared" si="50"/>
        <v>0</v>
      </c>
      <c r="AT17" s="466">
        <f t="shared" si="51"/>
        <v>66.36</v>
      </c>
      <c r="AU17" s="466">
        <f t="shared" si="52"/>
        <v>66.36</v>
      </c>
      <c r="AV17" s="466">
        <f t="shared" si="53"/>
        <v>133</v>
      </c>
      <c r="AW17" s="466">
        <f t="shared" si="54"/>
        <v>133</v>
      </c>
      <c r="AX17" s="466">
        <f t="shared" si="55"/>
        <v>199.36</v>
      </c>
      <c r="AY17" s="466">
        <f t="shared" si="56"/>
        <v>199.36</v>
      </c>
      <c r="AZ17" s="466">
        <f t="shared" si="57"/>
        <v>0</v>
      </c>
      <c r="BA17" s="466">
        <f t="shared" si="58"/>
        <v>0</v>
      </c>
      <c r="BB17" s="466">
        <f t="shared" si="59"/>
        <v>66.36</v>
      </c>
      <c r="BC17" s="466">
        <f t="shared" si="60"/>
        <v>66.36</v>
      </c>
      <c r="BD17" s="466">
        <f t="shared" si="61"/>
        <v>133</v>
      </c>
      <c r="BE17" s="466">
        <f t="shared" si="62"/>
        <v>133</v>
      </c>
      <c r="BF17" s="466">
        <f t="shared" si="63"/>
        <v>199.36</v>
      </c>
      <c r="BG17" s="466">
        <f t="shared" si="64"/>
        <v>199.36</v>
      </c>
    </row>
    <row r="18" spans="1:59">
      <c r="A18" s="212" t="s">
        <v>5316</v>
      </c>
      <c r="B18" s="230">
        <v>457660365</v>
      </c>
      <c r="C18" s="209" t="s">
        <v>1</v>
      </c>
      <c r="D18" s="209">
        <v>10</v>
      </c>
      <c r="F18" s="238" t="str" cm="1">
        <f t="array" aca="1" ref="F18" ca="1">MID(met2utc(PEPSSI_Commanding[[#This Row],[MET]]),3,15)</f>
        <v>20-203/18:00:47</v>
      </c>
      <c r="G18" s="212" t="str">
        <f t="shared" si="15"/>
        <v>N1+10</v>
      </c>
      <c r="H18" s="213">
        <f t="shared" si="16"/>
        <v>457660318</v>
      </c>
      <c r="I18" s="213">
        <f t="shared" si="17"/>
        <v>457662167</v>
      </c>
      <c r="J18" s="212">
        <f t="shared" si="18"/>
        <v>4</v>
      </c>
      <c r="K18" s="212">
        <f t="shared" si="19"/>
        <v>6</v>
      </c>
      <c r="M18" s="209">
        <f t="shared" si="20"/>
        <v>10</v>
      </c>
      <c r="N18" s="209">
        <f t="shared" si="21"/>
        <v>10</v>
      </c>
      <c r="O18" s="209">
        <f t="shared" si="22"/>
        <v>300</v>
      </c>
      <c r="P18" s="209" t="str">
        <f t="shared" si="23"/>
        <v/>
      </c>
      <c r="Q18" s="209" t="str">
        <f t="shared" si="24"/>
        <v/>
      </c>
      <c r="R18" s="209" t="str">
        <f t="shared" si="25"/>
        <v/>
      </c>
      <c r="S18" s="209" t="str">
        <f t="shared" si="26"/>
        <v/>
      </c>
      <c r="U18" s="466">
        <f t="shared" si="27"/>
        <v>0</v>
      </c>
      <c r="V18" s="466">
        <f t="shared" si="28"/>
        <v>0</v>
      </c>
      <c r="W18" s="466">
        <f t="shared" si="29"/>
        <v>0</v>
      </c>
      <c r="X18" s="466">
        <f t="shared" si="30"/>
        <v>198.8</v>
      </c>
      <c r="Y18" s="466">
        <f t="shared" si="31"/>
        <v>133</v>
      </c>
      <c r="Z18" s="466">
        <f t="shared" si="32"/>
        <v>133</v>
      </c>
      <c r="AA18" s="466">
        <f t="shared" si="33"/>
        <v>66.36</v>
      </c>
      <c r="AB18" s="242"/>
      <c r="AC18" s="466">
        <f t="shared" si="34"/>
        <v>198.8</v>
      </c>
      <c r="AD18" s="466">
        <f t="shared" si="35"/>
        <v>66.36</v>
      </c>
      <c r="AE18" s="466">
        <f t="shared" si="36"/>
        <v>265.16000000000003</v>
      </c>
      <c r="AF18" s="466">
        <f t="shared" si="37"/>
        <v>133</v>
      </c>
      <c r="AG18" s="466">
        <f t="shared" si="38"/>
        <v>331.8</v>
      </c>
      <c r="AH18" s="466">
        <f t="shared" si="39"/>
        <v>199.36</v>
      </c>
      <c r="AI18" s="466">
        <f t="shared" si="40"/>
        <v>398.16</v>
      </c>
      <c r="AJ18" s="466">
        <f t="shared" si="41"/>
        <v>0</v>
      </c>
      <c r="AK18" s="466">
        <f t="shared" si="42"/>
        <v>198.8</v>
      </c>
      <c r="AL18" s="466">
        <f t="shared" si="43"/>
        <v>66.36</v>
      </c>
      <c r="AM18" s="466">
        <f t="shared" si="44"/>
        <v>265.16000000000003</v>
      </c>
      <c r="AN18" s="466">
        <f t="shared" si="45"/>
        <v>133</v>
      </c>
      <c r="AO18" s="466">
        <f t="shared" si="46"/>
        <v>331.8</v>
      </c>
      <c r="AP18" s="466">
        <f t="shared" si="47"/>
        <v>199.36</v>
      </c>
      <c r="AQ18" s="466">
        <f t="shared" si="48"/>
        <v>398.16</v>
      </c>
      <c r="AR18" s="466">
        <f t="shared" si="49"/>
        <v>0</v>
      </c>
      <c r="AS18" s="466">
        <f t="shared" si="50"/>
        <v>198.8</v>
      </c>
      <c r="AT18" s="466">
        <f t="shared" si="51"/>
        <v>66.36</v>
      </c>
      <c r="AU18" s="466">
        <f t="shared" si="52"/>
        <v>265.16000000000003</v>
      </c>
      <c r="AV18" s="466">
        <f t="shared" si="53"/>
        <v>133</v>
      </c>
      <c r="AW18" s="466">
        <f t="shared" si="54"/>
        <v>331.8</v>
      </c>
      <c r="AX18" s="466">
        <f t="shared" si="55"/>
        <v>199.36</v>
      </c>
      <c r="AY18" s="466">
        <f t="shared" si="56"/>
        <v>398.16</v>
      </c>
      <c r="AZ18" s="466">
        <f t="shared" si="57"/>
        <v>0</v>
      </c>
      <c r="BA18" s="466">
        <f t="shared" si="58"/>
        <v>198.8</v>
      </c>
      <c r="BB18" s="466">
        <f t="shared" si="59"/>
        <v>66.36</v>
      </c>
      <c r="BC18" s="466">
        <f t="shared" si="60"/>
        <v>265.16000000000003</v>
      </c>
      <c r="BD18" s="466">
        <f t="shared" si="61"/>
        <v>133</v>
      </c>
      <c r="BE18" s="466">
        <f t="shared" si="62"/>
        <v>331.8</v>
      </c>
      <c r="BF18" s="466">
        <f t="shared" si="63"/>
        <v>199.36</v>
      </c>
      <c r="BG18" s="466">
        <f t="shared" si="64"/>
        <v>398.16</v>
      </c>
    </row>
    <row r="19" spans="1:59">
      <c r="A19" s="212" t="s">
        <v>5317</v>
      </c>
      <c r="B19" s="230">
        <v>457660366</v>
      </c>
      <c r="C19" s="209" t="s">
        <v>5284</v>
      </c>
      <c r="D19" s="209">
        <v>1</v>
      </c>
      <c r="F19" s="238" t="str" cm="1">
        <f t="array" aca="1" ref="F19" ca="1">MID(met2utc(PEPSSI_Commanding[[#This Row],[MET]]),3,15)</f>
        <v>20-203/18:00:48</v>
      </c>
      <c r="G19" s="212" t="str">
        <f t="shared" si="15"/>
        <v>STAT+1</v>
      </c>
      <c r="H19" s="213">
        <f t="shared" si="16"/>
        <v>457660318</v>
      </c>
      <c r="I19" s="213">
        <f t="shared" si="17"/>
        <v>457662167</v>
      </c>
      <c r="J19" s="212">
        <f t="shared" si="18"/>
        <v>5</v>
      </c>
      <c r="K19" s="212">
        <f t="shared" si="19"/>
        <v>5</v>
      </c>
      <c r="M19" s="209">
        <f t="shared" si="20"/>
        <v>10</v>
      </c>
      <c r="N19" s="209">
        <f t="shared" si="21"/>
        <v>10</v>
      </c>
      <c r="O19" s="209">
        <f t="shared" si="22"/>
        <v>300</v>
      </c>
      <c r="P19" s="209">
        <f t="shared" si="23"/>
        <v>1</v>
      </c>
      <c r="Q19" s="209" t="str">
        <f t="shared" si="24"/>
        <v/>
      </c>
      <c r="R19" s="209" t="str">
        <f t="shared" si="25"/>
        <v/>
      </c>
      <c r="S19" s="209" t="str">
        <f t="shared" si="26"/>
        <v/>
      </c>
      <c r="U19" s="466">
        <f t="shared" si="27"/>
        <v>0</v>
      </c>
      <c r="V19" s="466">
        <f t="shared" si="28"/>
        <v>0</v>
      </c>
      <c r="W19" s="466">
        <f t="shared" si="29"/>
        <v>512</v>
      </c>
      <c r="X19" s="466">
        <f t="shared" si="30"/>
        <v>198.8</v>
      </c>
      <c r="Y19" s="466">
        <f t="shared" si="31"/>
        <v>133</v>
      </c>
      <c r="Z19" s="466">
        <f t="shared" si="32"/>
        <v>133</v>
      </c>
      <c r="AA19" s="466">
        <f t="shared" si="33"/>
        <v>66.36</v>
      </c>
      <c r="AB19" s="242"/>
      <c r="AC19" s="466">
        <f t="shared" si="34"/>
        <v>198.8</v>
      </c>
      <c r="AD19" s="466">
        <f t="shared" si="35"/>
        <v>66.36</v>
      </c>
      <c r="AE19" s="466">
        <f t="shared" si="36"/>
        <v>265.16000000000003</v>
      </c>
      <c r="AF19" s="466">
        <f t="shared" si="37"/>
        <v>133</v>
      </c>
      <c r="AG19" s="466">
        <f t="shared" si="38"/>
        <v>331.8</v>
      </c>
      <c r="AH19" s="466">
        <f t="shared" si="39"/>
        <v>199.36</v>
      </c>
      <c r="AI19" s="466">
        <f t="shared" si="40"/>
        <v>398.16</v>
      </c>
      <c r="AJ19" s="466">
        <f t="shared" si="41"/>
        <v>0</v>
      </c>
      <c r="AK19" s="466">
        <f t="shared" si="42"/>
        <v>198.8</v>
      </c>
      <c r="AL19" s="466">
        <f t="shared" si="43"/>
        <v>66.36</v>
      </c>
      <c r="AM19" s="466">
        <f t="shared" si="44"/>
        <v>265.16000000000003</v>
      </c>
      <c r="AN19" s="466">
        <f t="shared" si="45"/>
        <v>133</v>
      </c>
      <c r="AO19" s="466">
        <f t="shared" si="46"/>
        <v>331.8</v>
      </c>
      <c r="AP19" s="466">
        <f t="shared" si="47"/>
        <v>199.36</v>
      </c>
      <c r="AQ19" s="466">
        <f t="shared" si="48"/>
        <v>398.16</v>
      </c>
      <c r="AR19" s="466">
        <f t="shared" si="49"/>
        <v>512</v>
      </c>
      <c r="AS19" s="466">
        <f t="shared" si="50"/>
        <v>710.8</v>
      </c>
      <c r="AT19" s="466">
        <f t="shared" si="51"/>
        <v>578.36</v>
      </c>
      <c r="AU19" s="466">
        <f t="shared" si="52"/>
        <v>777.16000000000008</v>
      </c>
      <c r="AV19" s="466">
        <f t="shared" si="53"/>
        <v>645</v>
      </c>
      <c r="AW19" s="466">
        <f t="shared" si="54"/>
        <v>843.8</v>
      </c>
      <c r="AX19" s="466">
        <f t="shared" si="55"/>
        <v>711.36</v>
      </c>
      <c r="AY19" s="466">
        <f t="shared" si="56"/>
        <v>910.16000000000008</v>
      </c>
      <c r="AZ19" s="466">
        <f t="shared" si="57"/>
        <v>512</v>
      </c>
      <c r="BA19" s="466">
        <f t="shared" si="58"/>
        <v>710.8</v>
      </c>
      <c r="BB19" s="466">
        <f t="shared" si="59"/>
        <v>578.36</v>
      </c>
      <c r="BC19" s="466">
        <f t="shared" si="60"/>
        <v>777.16000000000008</v>
      </c>
      <c r="BD19" s="466">
        <f t="shared" si="61"/>
        <v>645</v>
      </c>
      <c r="BE19" s="466">
        <f t="shared" si="62"/>
        <v>843.8</v>
      </c>
      <c r="BF19" s="466">
        <f t="shared" si="63"/>
        <v>711.36</v>
      </c>
      <c r="BG19" s="466">
        <f t="shared" si="64"/>
        <v>910.16000000000008</v>
      </c>
    </row>
    <row r="20" spans="1:59">
      <c r="A20" s="212" t="s">
        <v>5316</v>
      </c>
      <c r="B20" s="230">
        <v>457661849</v>
      </c>
      <c r="C20" s="209" t="s">
        <v>61</v>
      </c>
      <c r="D20" s="209">
        <v>40</v>
      </c>
      <c r="F20" s="238" t="str" cm="1">
        <f t="array" aca="1" ref="F20" ca="1">MID(met2utc(PEPSSI_Commanding[[#This Row],[MET]]),3,15)</f>
        <v>20-203/18:25:31</v>
      </c>
      <c r="G20" s="212" t="str">
        <f t="shared" si="15"/>
        <v>N2+40</v>
      </c>
      <c r="H20" s="213">
        <f t="shared" si="16"/>
        <v>457660318</v>
      </c>
      <c r="I20" s="213">
        <f t="shared" si="17"/>
        <v>457662167</v>
      </c>
      <c r="J20" s="212">
        <f t="shared" si="18"/>
        <v>6</v>
      </c>
      <c r="K20" s="212">
        <f t="shared" si="19"/>
        <v>4</v>
      </c>
      <c r="M20" s="209">
        <f t="shared" si="20"/>
        <v>10</v>
      </c>
      <c r="N20" s="209">
        <f t="shared" si="21"/>
        <v>40</v>
      </c>
      <c r="O20" s="209">
        <f t="shared" si="22"/>
        <v>300</v>
      </c>
      <c r="P20" s="209">
        <f t="shared" si="23"/>
        <v>1</v>
      </c>
      <c r="Q20" s="209" t="str">
        <f t="shared" si="24"/>
        <v/>
      </c>
      <c r="R20" s="209" t="str">
        <f t="shared" si="25"/>
        <v/>
      </c>
      <c r="S20" s="209" t="str">
        <f t="shared" si="26"/>
        <v/>
      </c>
      <c r="U20" s="466">
        <f t="shared" si="27"/>
        <v>0</v>
      </c>
      <c r="V20" s="466">
        <f t="shared" si="28"/>
        <v>0</v>
      </c>
      <c r="W20" s="466">
        <f t="shared" si="29"/>
        <v>512</v>
      </c>
      <c r="X20" s="466">
        <f t="shared" si="30"/>
        <v>198.8</v>
      </c>
      <c r="Y20" s="466">
        <f t="shared" si="31"/>
        <v>33.25</v>
      </c>
      <c r="Z20" s="466">
        <f t="shared" si="32"/>
        <v>33.25</v>
      </c>
      <c r="AA20" s="466">
        <f t="shared" si="33"/>
        <v>66.36</v>
      </c>
      <c r="AB20" s="242"/>
      <c r="AC20" s="466">
        <f t="shared" si="34"/>
        <v>198.8</v>
      </c>
      <c r="AD20" s="466">
        <f t="shared" si="35"/>
        <v>66.36</v>
      </c>
      <c r="AE20" s="466">
        <f t="shared" si="36"/>
        <v>265.16000000000003</v>
      </c>
      <c r="AF20" s="466">
        <f t="shared" si="37"/>
        <v>33.25</v>
      </c>
      <c r="AG20" s="466">
        <f t="shared" si="38"/>
        <v>232.05</v>
      </c>
      <c r="AH20" s="466">
        <f t="shared" si="39"/>
        <v>99.61</v>
      </c>
      <c r="AI20" s="466">
        <f t="shared" si="40"/>
        <v>298.41000000000003</v>
      </c>
      <c r="AJ20" s="466">
        <f t="shared" si="41"/>
        <v>0</v>
      </c>
      <c r="AK20" s="466">
        <f t="shared" si="42"/>
        <v>198.8</v>
      </c>
      <c r="AL20" s="466">
        <f t="shared" si="43"/>
        <v>66.36</v>
      </c>
      <c r="AM20" s="466">
        <f t="shared" si="44"/>
        <v>265.16000000000003</v>
      </c>
      <c r="AN20" s="466">
        <f t="shared" si="45"/>
        <v>33.25</v>
      </c>
      <c r="AO20" s="466">
        <f t="shared" si="46"/>
        <v>232.05</v>
      </c>
      <c r="AP20" s="466">
        <f t="shared" si="47"/>
        <v>99.61</v>
      </c>
      <c r="AQ20" s="466">
        <f t="shared" si="48"/>
        <v>298.41000000000003</v>
      </c>
      <c r="AR20" s="466">
        <f t="shared" si="49"/>
        <v>512</v>
      </c>
      <c r="AS20" s="466">
        <f t="shared" si="50"/>
        <v>710.8</v>
      </c>
      <c r="AT20" s="466">
        <f t="shared" si="51"/>
        <v>578.36</v>
      </c>
      <c r="AU20" s="466">
        <f t="shared" si="52"/>
        <v>777.16000000000008</v>
      </c>
      <c r="AV20" s="466">
        <f t="shared" si="53"/>
        <v>545.25</v>
      </c>
      <c r="AW20" s="466">
        <f t="shared" si="54"/>
        <v>744.05</v>
      </c>
      <c r="AX20" s="466">
        <f t="shared" si="55"/>
        <v>611.61</v>
      </c>
      <c r="AY20" s="466">
        <f t="shared" si="56"/>
        <v>810.41000000000008</v>
      </c>
      <c r="AZ20" s="466">
        <f t="shared" si="57"/>
        <v>512</v>
      </c>
      <c r="BA20" s="466">
        <f t="shared" si="58"/>
        <v>710.8</v>
      </c>
      <c r="BB20" s="466">
        <f t="shared" si="59"/>
        <v>578.36</v>
      </c>
      <c r="BC20" s="466">
        <f t="shared" si="60"/>
        <v>777.16000000000008</v>
      </c>
      <c r="BD20" s="466">
        <f t="shared" si="61"/>
        <v>545.25</v>
      </c>
      <c r="BE20" s="466">
        <f t="shared" si="62"/>
        <v>744.05</v>
      </c>
      <c r="BF20" s="466">
        <f t="shared" si="63"/>
        <v>611.61</v>
      </c>
      <c r="BG20" s="466">
        <f t="shared" si="64"/>
        <v>810.41000000000008</v>
      </c>
    </row>
    <row r="21" spans="1:59">
      <c r="A21" s="212" t="s">
        <v>5316</v>
      </c>
      <c r="B21" s="230">
        <v>457661850</v>
      </c>
      <c r="C21" s="209" t="s">
        <v>58</v>
      </c>
      <c r="D21" s="209">
        <v>7200</v>
      </c>
      <c r="F21" s="238" t="str" cm="1">
        <f t="array" aca="1" ref="F21" ca="1">MID(met2utc(PEPSSI_Commanding[[#This Row],[MET]]),3,15)</f>
        <v>20-203/18:25:32</v>
      </c>
      <c r="G21" s="212" t="str">
        <f t="shared" si="15"/>
        <v>N3+7200</v>
      </c>
      <c r="H21" s="213">
        <f t="shared" si="16"/>
        <v>457660318</v>
      </c>
      <c r="I21" s="213">
        <f t="shared" si="17"/>
        <v>457662167</v>
      </c>
      <c r="J21" s="212">
        <f t="shared" si="18"/>
        <v>7</v>
      </c>
      <c r="K21" s="212">
        <f t="shared" si="19"/>
        <v>3</v>
      </c>
      <c r="M21" s="209">
        <f t="shared" si="20"/>
        <v>10</v>
      </c>
      <c r="N21" s="209">
        <f t="shared" si="21"/>
        <v>40</v>
      </c>
      <c r="O21" s="209">
        <f t="shared" si="22"/>
        <v>7200</v>
      </c>
      <c r="P21" s="209">
        <f t="shared" si="23"/>
        <v>1</v>
      </c>
      <c r="Q21" s="209" t="str">
        <f t="shared" si="24"/>
        <v/>
      </c>
      <c r="R21" s="209" t="str">
        <f t="shared" si="25"/>
        <v/>
      </c>
      <c r="S21" s="209" t="str">
        <f t="shared" si="26"/>
        <v/>
      </c>
      <c r="U21" s="466">
        <f t="shared" si="27"/>
        <v>0</v>
      </c>
      <c r="V21" s="466">
        <f t="shared" si="28"/>
        <v>0</v>
      </c>
      <c r="W21" s="466">
        <f t="shared" si="29"/>
        <v>512</v>
      </c>
      <c r="X21" s="466">
        <f t="shared" si="30"/>
        <v>198.8</v>
      </c>
      <c r="Y21" s="466">
        <f t="shared" si="31"/>
        <v>33.25</v>
      </c>
      <c r="Z21" s="466">
        <f t="shared" si="32"/>
        <v>33.25</v>
      </c>
      <c r="AA21" s="466">
        <f t="shared" si="33"/>
        <v>2.7650000000000001</v>
      </c>
      <c r="AB21" s="242"/>
      <c r="AC21" s="466">
        <f t="shared" si="34"/>
        <v>198.8</v>
      </c>
      <c r="AD21" s="466">
        <f t="shared" si="35"/>
        <v>2.7650000000000001</v>
      </c>
      <c r="AE21" s="466">
        <f t="shared" si="36"/>
        <v>201.565</v>
      </c>
      <c r="AF21" s="466">
        <f t="shared" si="37"/>
        <v>33.25</v>
      </c>
      <c r="AG21" s="466">
        <f t="shared" si="38"/>
        <v>232.05</v>
      </c>
      <c r="AH21" s="466">
        <f t="shared" si="39"/>
        <v>36.015000000000001</v>
      </c>
      <c r="AI21" s="466">
        <f t="shared" si="40"/>
        <v>234.815</v>
      </c>
      <c r="AJ21" s="466">
        <f t="shared" si="41"/>
        <v>0</v>
      </c>
      <c r="AK21" s="466">
        <f t="shared" si="42"/>
        <v>198.8</v>
      </c>
      <c r="AL21" s="466">
        <f t="shared" si="43"/>
        <v>2.7650000000000001</v>
      </c>
      <c r="AM21" s="466">
        <f t="shared" si="44"/>
        <v>201.565</v>
      </c>
      <c r="AN21" s="466">
        <f t="shared" si="45"/>
        <v>33.25</v>
      </c>
      <c r="AO21" s="466">
        <f t="shared" si="46"/>
        <v>232.05</v>
      </c>
      <c r="AP21" s="466">
        <f t="shared" si="47"/>
        <v>36.015000000000001</v>
      </c>
      <c r="AQ21" s="466">
        <f t="shared" si="48"/>
        <v>234.815</v>
      </c>
      <c r="AR21" s="466">
        <f t="shared" si="49"/>
        <v>512</v>
      </c>
      <c r="AS21" s="466">
        <f t="shared" si="50"/>
        <v>710.8</v>
      </c>
      <c r="AT21" s="466">
        <f t="shared" si="51"/>
        <v>514.76499999999999</v>
      </c>
      <c r="AU21" s="466">
        <f t="shared" si="52"/>
        <v>713.56500000000005</v>
      </c>
      <c r="AV21" s="466">
        <f t="shared" si="53"/>
        <v>545.25</v>
      </c>
      <c r="AW21" s="466">
        <f t="shared" si="54"/>
        <v>744.05</v>
      </c>
      <c r="AX21" s="466">
        <f t="shared" si="55"/>
        <v>548.01499999999999</v>
      </c>
      <c r="AY21" s="466">
        <f t="shared" si="56"/>
        <v>746.81500000000005</v>
      </c>
      <c r="AZ21" s="466">
        <f t="shared" si="57"/>
        <v>512</v>
      </c>
      <c r="BA21" s="466">
        <f t="shared" si="58"/>
        <v>710.8</v>
      </c>
      <c r="BB21" s="466">
        <f t="shared" si="59"/>
        <v>514.76499999999999</v>
      </c>
      <c r="BC21" s="466">
        <f t="shared" si="60"/>
        <v>713.56500000000005</v>
      </c>
      <c r="BD21" s="466">
        <f t="shared" si="61"/>
        <v>545.25</v>
      </c>
      <c r="BE21" s="466">
        <f t="shared" si="62"/>
        <v>744.05</v>
      </c>
      <c r="BF21" s="466">
        <f t="shared" si="63"/>
        <v>548.01499999999999</v>
      </c>
      <c r="BG21" s="466">
        <f t="shared" si="64"/>
        <v>746.81500000000005</v>
      </c>
    </row>
    <row r="22" spans="1:59">
      <c r="A22" s="212" t="s">
        <v>5316</v>
      </c>
      <c r="B22" s="230">
        <v>457661851</v>
      </c>
      <c r="C22" s="209" t="s">
        <v>1</v>
      </c>
      <c r="D22" s="209">
        <v>3600</v>
      </c>
      <c r="F22" s="238" t="str" cm="1">
        <f t="array" aca="1" ref="F22" ca="1">MID(met2utc(PEPSSI_Commanding[[#This Row],[MET]]),3,15)</f>
        <v>20-203/18:25:33</v>
      </c>
      <c r="G22" s="212" t="str">
        <f t="shared" si="15"/>
        <v>N1+3600</v>
      </c>
      <c r="H22" s="213">
        <f t="shared" si="16"/>
        <v>457660318</v>
      </c>
      <c r="I22" s="213">
        <f t="shared" si="17"/>
        <v>457662167</v>
      </c>
      <c r="J22" s="212">
        <f t="shared" si="18"/>
        <v>8</v>
      </c>
      <c r="K22" s="212">
        <f t="shared" si="19"/>
        <v>2</v>
      </c>
      <c r="M22" s="209">
        <f t="shared" si="20"/>
        <v>3600</v>
      </c>
      <c r="N22" s="209">
        <f t="shared" si="21"/>
        <v>40</v>
      </c>
      <c r="O22" s="209">
        <f t="shared" si="22"/>
        <v>7200</v>
      </c>
      <c r="P22" s="209">
        <f t="shared" si="23"/>
        <v>1</v>
      </c>
      <c r="Q22" s="209" t="str">
        <f t="shared" si="24"/>
        <v/>
      </c>
      <c r="R22" s="209" t="str">
        <f t="shared" si="25"/>
        <v/>
      </c>
      <c r="S22" s="209" t="str">
        <f t="shared" si="26"/>
        <v/>
      </c>
      <c r="U22" s="466">
        <f t="shared" si="27"/>
        <v>0</v>
      </c>
      <c r="V22" s="466">
        <f t="shared" si="28"/>
        <v>0</v>
      </c>
      <c r="W22" s="466">
        <f t="shared" si="29"/>
        <v>512</v>
      </c>
      <c r="X22" s="466">
        <f t="shared" si="30"/>
        <v>0.55222222222222217</v>
      </c>
      <c r="Y22" s="466">
        <f t="shared" si="31"/>
        <v>33.25</v>
      </c>
      <c r="Z22" s="466">
        <f t="shared" si="32"/>
        <v>33.25</v>
      </c>
      <c r="AA22" s="466">
        <f t="shared" si="33"/>
        <v>2.7650000000000001</v>
      </c>
      <c r="AB22" s="242"/>
      <c r="AC22" s="466">
        <f t="shared" si="34"/>
        <v>0.55222222222222217</v>
      </c>
      <c r="AD22" s="466">
        <f t="shared" si="35"/>
        <v>2.7650000000000001</v>
      </c>
      <c r="AE22" s="466">
        <f t="shared" si="36"/>
        <v>3.3172222222222221</v>
      </c>
      <c r="AF22" s="466">
        <f t="shared" si="37"/>
        <v>33.25</v>
      </c>
      <c r="AG22" s="466">
        <f t="shared" si="38"/>
        <v>33.80222222222222</v>
      </c>
      <c r="AH22" s="466">
        <f t="shared" si="39"/>
        <v>36.015000000000001</v>
      </c>
      <c r="AI22" s="466">
        <f t="shared" si="40"/>
        <v>36.56722222222222</v>
      </c>
      <c r="AJ22" s="466">
        <f t="shared" si="41"/>
        <v>0</v>
      </c>
      <c r="AK22" s="466">
        <f t="shared" si="42"/>
        <v>0.55222222222222217</v>
      </c>
      <c r="AL22" s="466">
        <f t="shared" si="43"/>
        <v>2.7650000000000001</v>
      </c>
      <c r="AM22" s="466">
        <f t="shared" si="44"/>
        <v>3.3172222222222221</v>
      </c>
      <c r="AN22" s="466">
        <f t="shared" si="45"/>
        <v>33.25</v>
      </c>
      <c r="AO22" s="466">
        <f t="shared" si="46"/>
        <v>33.80222222222222</v>
      </c>
      <c r="AP22" s="466">
        <f t="shared" si="47"/>
        <v>36.015000000000001</v>
      </c>
      <c r="AQ22" s="466">
        <f t="shared" si="48"/>
        <v>36.56722222222222</v>
      </c>
      <c r="AR22" s="466">
        <f t="shared" si="49"/>
        <v>512</v>
      </c>
      <c r="AS22" s="466">
        <f t="shared" si="50"/>
        <v>512.55222222222221</v>
      </c>
      <c r="AT22" s="466">
        <f t="shared" si="51"/>
        <v>514.76499999999999</v>
      </c>
      <c r="AU22" s="466">
        <f t="shared" si="52"/>
        <v>515.3172222222222</v>
      </c>
      <c r="AV22" s="466">
        <f t="shared" si="53"/>
        <v>545.25</v>
      </c>
      <c r="AW22" s="466">
        <f t="shared" si="54"/>
        <v>545.80222222222221</v>
      </c>
      <c r="AX22" s="466">
        <f t="shared" si="55"/>
        <v>548.01499999999999</v>
      </c>
      <c r="AY22" s="466">
        <f t="shared" si="56"/>
        <v>548.5672222222222</v>
      </c>
      <c r="AZ22" s="466">
        <f t="shared" si="57"/>
        <v>512</v>
      </c>
      <c r="BA22" s="466">
        <f t="shared" si="58"/>
        <v>512.55222222222221</v>
      </c>
      <c r="BB22" s="466">
        <f t="shared" si="59"/>
        <v>514.76499999999999</v>
      </c>
      <c r="BC22" s="466">
        <f t="shared" si="60"/>
        <v>515.3172222222222</v>
      </c>
      <c r="BD22" s="466">
        <f t="shared" si="61"/>
        <v>545.25</v>
      </c>
      <c r="BE22" s="466">
        <f t="shared" si="62"/>
        <v>545.80222222222221</v>
      </c>
      <c r="BF22" s="466">
        <f t="shared" si="63"/>
        <v>548.01499999999999</v>
      </c>
      <c r="BG22" s="466">
        <f t="shared" si="64"/>
        <v>548.5672222222222</v>
      </c>
    </row>
    <row r="23" spans="1:59">
      <c r="A23" s="212" t="s">
        <v>5317</v>
      </c>
      <c r="B23" s="230">
        <v>457661852</v>
      </c>
      <c r="C23" s="209" t="s">
        <v>5284</v>
      </c>
      <c r="D23" s="209">
        <v>300</v>
      </c>
      <c r="F23" s="238" t="str" cm="1">
        <f t="array" aca="1" ref="F23" ca="1">MID(met2utc(PEPSSI_Commanding[[#This Row],[MET]]),3,15)</f>
        <v>20-203/18:25:34</v>
      </c>
      <c r="G23" s="212" t="str">
        <f t="shared" si="15"/>
        <v>STAT+300</v>
      </c>
      <c r="H23" s="213">
        <f t="shared" si="16"/>
        <v>457660318</v>
      </c>
      <c r="I23" s="213">
        <f t="shared" si="17"/>
        <v>457662167</v>
      </c>
      <c r="J23" s="212">
        <f t="shared" si="18"/>
        <v>9</v>
      </c>
      <c r="K23" s="212">
        <f t="shared" si="19"/>
        <v>1</v>
      </c>
      <c r="M23" s="209">
        <f t="shared" si="20"/>
        <v>3600</v>
      </c>
      <c r="N23" s="209">
        <f t="shared" si="21"/>
        <v>40</v>
      </c>
      <c r="O23" s="209">
        <f t="shared" si="22"/>
        <v>7200</v>
      </c>
      <c r="P23" s="209">
        <f t="shared" si="23"/>
        <v>300</v>
      </c>
      <c r="Q23" s="209" t="str">
        <f t="shared" si="24"/>
        <v/>
      </c>
      <c r="R23" s="209" t="str">
        <f t="shared" si="25"/>
        <v/>
      </c>
      <c r="S23" s="209" t="str">
        <f t="shared" si="26"/>
        <v/>
      </c>
      <c r="U23" s="466">
        <f t="shared" si="27"/>
        <v>0</v>
      </c>
      <c r="V23" s="466">
        <f t="shared" si="28"/>
        <v>0</v>
      </c>
      <c r="W23" s="466">
        <f t="shared" si="29"/>
        <v>1.7066666666666668</v>
      </c>
      <c r="X23" s="466">
        <f t="shared" si="30"/>
        <v>0.55222222222222217</v>
      </c>
      <c r="Y23" s="466">
        <f t="shared" si="31"/>
        <v>33.25</v>
      </c>
      <c r="Z23" s="466">
        <f t="shared" si="32"/>
        <v>33.25</v>
      </c>
      <c r="AA23" s="466">
        <f t="shared" si="33"/>
        <v>2.7650000000000001</v>
      </c>
      <c r="AB23" s="242"/>
      <c r="AC23" s="466">
        <f t="shared" si="34"/>
        <v>0.55222222222222217</v>
      </c>
      <c r="AD23" s="466">
        <f t="shared" si="35"/>
        <v>2.7650000000000001</v>
      </c>
      <c r="AE23" s="466">
        <f t="shared" si="36"/>
        <v>3.3172222222222221</v>
      </c>
      <c r="AF23" s="466">
        <f t="shared" si="37"/>
        <v>33.25</v>
      </c>
      <c r="AG23" s="466">
        <f t="shared" si="38"/>
        <v>33.80222222222222</v>
      </c>
      <c r="AH23" s="466">
        <f t="shared" si="39"/>
        <v>36.015000000000001</v>
      </c>
      <c r="AI23" s="466">
        <f t="shared" si="40"/>
        <v>36.56722222222222</v>
      </c>
      <c r="AJ23" s="466">
        <f t="shared" si="41"/>
        <v>0</v>
      </c>
      <c r="AK23" s="466">
        <f t="shared" si="42"/>
        <v>0.55222222222222217</v>
      </c>
      <c r="AL23" s="466">
        <f t="shared" si="43"/>
        <v>2.7650000000000001</v>
      </c>
      <c r="AM23" s="466">
        <f t="shared" si="44"/>
        <v>3.3172222222222221</v>
      </c>
      <c r="AN23" s="466">
        <f t="shared" si="45"/>
        <v>33.25</v>
      </c>
      <c r="AO23" s="466">
        <f t="shared" si="46"/>
        <v>33.80222222222222</v>
      </c>
      <c r="AP23" s="466">
        <f t="shared" si="47"/>
        <v>36.015000000000001</v>
      </c>
      <c r="AQ23" s="466">
        <f t="shared" si="48"/>
        <v>36.56722222222222</v>
      </c>
      <c r="AR23" s="466">
        <f t="shared" si="49"/>
        <v>1.7066666666666668</v>
      </c>
      <c r="AS23" s="466">
        <f t="shared" si="50"/>
        <v>2.2588888888888889</v>
      </c>
      <c r="AT23" s="466">
        <f t="shared" si="51"/>
        <v>4.4716666666666667</v>
      </c>
      <c r="AU23" s="466">
        <f t="shared" si="52"/>
        <v>5.0238888888888891</v>
      </c>
      <c r="AV23" s="466">
        <f t="shared" si="53"/>
        <v>34.956666666666663</v>
      </c>
      <c r="AW23" s="466">
        <f t="shared" si="54"/>
        <v>35.508888888888883</v>
      </c>
      <c r="AX23" s="466">
        <f t="shared" si="55"/>
        <v>37.721666666666664</v>
      </c>
      <c r="AY23" s="466">
        <f t="shared" si="56"/>
        <v>38.273888888888884</v>
      </c>
      <c r="AZ23" s="466">
        <f t="shared" si="57"/>
        <v>1.7066666666666668</v>
      </c>
      <c r="BA23" s="466">
        <f t="shared" si="58"/>
        <v>2.2588888888888889</v>
      </c>
      <c r="BB23" s="466">
        <f t="shared" si="59"/>
        <v>4.4716666666666667</v>
      </c>
      <c r="BC23" s="466">
        <f t="shared" si="60"/>
        <v>5.0238888888888891</v>
      </c>
      <c r="BD23" s="466">
        <f t="shared" si="61"/>
        <v>34.956666666666663</v>
      </c>
      <c r="BE23" s="466">
        <f t="shared" si="62"/>
        <v>35.508888888888883</v>
      </c>
      <c r="BF23" s="466">
        <f t="shared" si="63"/>
        <v>37.721666666666664</v>
      </c>
      <c r="BG23" s="466">
        <f t="shared" si="64"/>
        <v>38.273888888888884</v>
      </c>
    </row>
    <row r="24" spans="1:59">
      <c r="A24" s="212" t="s">
        <v>5316</v>
      </c>
      <c r="B24" s="230">
        <v>457662167</v>
      </c>
      <c r="C24" s="209" t="s">
        <v>1</v>
      </c>
      <c r="D24" s="209">
        <v>3600</v>
      </c>
      <c r="F24" s="238" t="str" cm="1">
        <f t="array" aca="1" ref="F24" ca="1">MID(met2utc(PEPSSI_Commanding[[#This Row],[MET]]),3,15)</f>
        <v>20-203/18:30:49</v>
      </c>
      <c r="G24" s="212" t="str">
        <f t="shared" si="15"/>
        <v>N1+3600</v>
      </c>
      <c r="H24" s="213">
        <f t="shared" si="16"/>
        <v>457662167</v>
      </c>
      <c r="I24" s="213">
        <f t="shared" si="17"/>
        <v>644923315</v>
      </c>
      <c r="J24" s="212">
        <f t="shared" si="18"/>
        <v>10</v>
      </c>
      <c r="K24" s="212">
        <f t="shared" si="19"/>
        <v>4</v>
      </c>
      <c r="M24" s="209">
        <f t="shared" si="20"/>
        <v>3600</v>
      </c>
      <c r="N24" s="209">
        <f t="shared" si="21"/>
        <v>40</v>
      </c>
      <c r="O24" s="209">
        <f t="shared" si="22"/>
        <v>7200</v>
      </c>
      <c r="P24" s="209">
        <f t="shared" si="23"/>
        <v>300</v>
      </c>
      <c r="Q24" s="209" t="str">
        <f t="shared" si="24"/>
        <v/>
      </c>
      <c r="R24" s="209" t="str">
        <f t="shared" si="25"/>
        <v/>
      </c>
      <c r="S24" s="209" t="str">
        <f t="shared" si="26"/>
        <v/>
      </c>
      <c r="U24" s="466">
        <f t="shared" si="27"/>
        <v>0</v>
      </c>
      <c r="V24" s="466">
        <f t="shared" si="28"/>
        <v>0</v>
      </c>
      <c r="W24" s="466">
        <f t="shared" si="29"/>
        <v>1.7066666666666668</v>
      </c>
      <c r="X24" s="466">
        <f t="shared" si="30"/>
        <v>0.55222222222222217</v>
      </c>
      <c r="Y24" s="466">
        <f t="shared" si="31"/>
        <v>33.25</v>
      </c>
      <c r="Z24" s="466">
        <f t="shared" si="32"/>
        <v>33.25</v>
      </c>
      <c r="AA24" s="466">
        <f t="shared" si="33"/>
        <v>2.7650000000000001</v>
      </c>
      <c r="AB24" s="242"/>
      <c r="AC24" s="466">
        <f t="shared" si="34"/>
        <v>0.55222222222222217</v>
      </c>
      <c r="AD24" s="466">
        <f t="shared" si="35"/>
        <v>2.7650000000000001</v>
      </c>
      <c r="AE24" s="466">
        <f t="shared" si="36"/>
        <v>3.3172222222222221</v>
      </c>
      <c r="AF24" s="466">
        <f t="shared" si="37"/>
        <v>33.25</v>
      </c>
      <c r="AG24" s="466">
        <f t="shared" si="38"/>
        <v>33.80222222222222</v>
      </c>
      <c r="AH24" s="466">
        <f t="shared" si="39"/>
        <v>36.015000000000001</v>
      </c>
      <c r="AI24" s="466">
        <f t="shared" si="40"/>
        <v>36.56722222222222</v>
      </c>
      <c r="AJ24" s="466">
        <f t="shared" si="41"/>
        <v>0</v>
      </c>
      <c r="AK24" s="466">
        <f t="shared" si="42"/>
        <v>0.55222222222222217</v>
      </c>
      <c r="AL24" s="466">
        <f t="shared" si="43"/>
        <v>2.7650000000000001</v>
      </c>
      <c r="AM24" s="466">
        <f t="shared" si="44"/>
        <v>3.3172222222222221</v>
      </c>
      <c r="AN24" s="466">
        <f t="shared" si="45"/>
        <v>33.25</v>
      </c>
      <c r="AO24" s="466">
        <f t="shared" si="46"/>
        <v>33.80222222222222</v>
      </c>
      <c r="AP24" s="466">
        <f t="shared" si="47"/>
        <v>36.015000000000001</v>
      </c>
      <c r="AQ24" s="466">
        <f t="shared" si="48"/>
        <v>36.56722222222222</v>
      </c>
      <c r="AR24" s="466">
        <f t="shared" si="49"/>
        <v>1.7066666666666668</v>
      </c>
      <c r="AS24" s="466">
        <f t="shared" si="50"/>
        <v>2.2588888888888889</v>
      </c>
      <c r="AT24" s="466">
        <f t="shared" si="51"/>
        <v>4.4716666666666667</v>
      </c>
      <c r="AU24" s="466">
        <f t="shared" si="52"/>
        <v>5.0238888888888891</v>
      </c>
      <c r="AV24" s="466">
        <f t="shared" si="53"/>
        <v>34.956666666666663</v>
      </c>
      <c r="AW24" s="466">
        <f t="shared" si="54"/>
        <v>35.508888888888883</v>
      </c>
      <c r="AX24" s="466">
        <f t="shared" si="55"/>
        <v>37.721666666666664</v>
      </c>
      <c r="AY24" s="466">
        <f t="shared" si="56"/>
        <v>38.273888888888884</v>
      </c>
      <c r="AZ24" s="466">
        <f t="shared" si="57"/>
        <v>1.7066666666666668</v>
      </c>
      <c r="BA24" s="466">
        <f t="shared" si="58"/>
        <v>2.2588888888888889</v>
      </c>
      <c r="BB24" s="466">
        <f t="shared" si="59"/>
        <v>4.4716666666666667</v>
      </c>
      <c r="BC24" s="466">
        <f t="shared" si="60"/>
        <v>5.0238888888888891</v>
      </c>
      <c r="BD24" s="466">
        <f t="shared" si="61"/>
        <v>34.956666666666663</v>
      </c>
      <c r="BE24" s="466">
        <f t="shared" si="62"/>
        <v>35.508888888888883</v>
      </c>
      <c r="BF24" s="466">
        <f t="shared" si="63"/>
        <v>37.721666666666664</v>
      </c>
      <c r="BG24" s="466">
        <f t="shared" si="64"/>
        <v>38.273888888888884</v>
      </c>
    </row>
    <row r="25" spans="1:59">
      <c r="A25" s="212" t="s">
        <v>5316</v>
      </c>
      <c r="B25" s="230">
        <v>457662170</v>
      </c>
      <c r="C25" s="209" t="s">
        <v>61</v>
      </c>
      <c r="D25" s="209">
        <v>90</v>
      </c>
      <c r="F25" s="238" t="str" cm="1">
        <f t="array" aca="1" ref="F25" ca="1">MID(met2utc(PEPSSI_Commanding[[#This Row],[MET]]),3,15)</f>
        <v>20-203/18:30:52</v>
      </c>
      <c r="G25" s="212" t="str">
        <f t="shared" si="15"/>
        <v>N2+90</v>
      </c>
      <c r="H25" s="213">
        <f t="shared" si="16"/>
        <v>457662167</v>
      </c>
      <c r="I25" s="213">
        <f t="shared" si="17"/>
        <v>644923315</v>
      </c>
      <c r="J25" s="212">
        <f t="shared" si="18"/>
        <v>11</v>
      </c>
      <c r="K25" s="212">
        <f t="shared" si="19"/>
        <v>3</v>
      </c>
      <c r="M25" s="209">
        <f t="shared" si="20"/>
        <v>3600</v>
      </c>
      <c r="N25" s="209">
        <f t="shared" si="21"/>
        <v>90</v>
      </c>
      <c r="O25" s="209">
        <f t="shared" si="22"/>
        <v>7200</v>
      </c>
      <c r="P25" s="209">
        <f t="shared" si="23"/>
        <v>300</v>
      </c>
      <c r="Q25" s="209" t="str">
        <f t="shared" si="24"/>
        <v/>
      </c>
      <c r="R25" s="209" t="str">
        <f t="shared" si="25"/>
        <v/>
      </c>
      <c r="S25" s="209" t="str">
        <f t="shared" si="26"/>
        <v/>
      </c>
      <c r="U25" s="466">
        <f t="shared" si="27"/>
        <v>0</v>
      </c>
      <c r="V25" s="466">
        <f t="shared" si="28"/>
        <v>0</v>
      </c>
      <c r="W25" s="466">
        <f t="shared" si="29"/>
        <v>1.7066666666666668</v>
      </c>
      <c r="X25" s="466">
        <f t="shared" si="30"/>
        <v>0.55222222222222217</v>
      </c>
      <c r="Y25" s="466">
        <f t="shared" si="31"/>
        <v>14.777777777777779</v>
      </c>
      <c r="Z25" s="466">
        <f t="shared" si="32"/>
        <v>14.777777777777779</v>
      </c>
      <c r="AA25" s="466">
        <f t="shared" si="33"/>
        <v>2.7650000000000001</v>
      </c>
      <c r="AB25" s="242"/>
      <c r="AC25" s="466">
        <f t="shared" si="34"/>
        <v>0.55222222222222217</v>
      </c>
      <c r="AD25" s="466">
        <f t="shared" si="35"/>
        <v>2.7650000000000001</v>
      </c>
      <c r="AE25" s="466">
        <f t="shared" si="36"/>
        <v>3.3172222222222221</v>
      </c>
      <c r="AF25" s="466">
        <f t="shared" si="37"/>
        <v>14.777777777777779</v>
      </c>
      <c r="AG25" s="466">
        <f t="shared" si="38"/>
        <v>15.33</v>
      </c>
      <c r="AH25" s="466">
        <f t="shared" si="39"/>
        <v>17.542777777777779</v>
      </c>
      <c r="AI25" s="466">
        <f t="shared" si="40"/>
        <v>18.095000000000002</v>
      </c>
      <c r="AJ25" s="466">
        <f t="shared" si="41"/>
        <v>0</v>
      </c>
      <c r="AK25" s="466">
        <f t="shared" si="42"/>
        <v>0.55222222222222217</v>
      </c>
      <c r="AL25" s="466">
        <f t="shared" si="43"/>
        <v>2.7650000000000001</v>
      </c>
      <c r="AM25" s="466">
        <f t="shared" si="44"/>
        <v>3.3172222222222221</v>
      </c>
      <c r="AN25" s="466">
        <f t="shared" si="45"/>
        <v>14.777777777777779</v>
      </c>
      <c r="AO25" s="466">
        <f t="shared" si="46"/>
        <v>15.33</v>
      </c>
      <c r="AP25" s="466">
        <f t="shared" si="47"/>
        <v>17.542777777777779</v>
      </c>
      <c r="AQ25" s="466">
        <f t="shared" si="48"/>
        <v>18.095000000000002</v>
      </c>
      <c r="AR25" s="466">
        <f t="shared" si="49"/>
        <v>1.7066666666666668</v>
      </c>
      <c r="AS25" s="466">
        <f t="shared" si="50"/>
        <v>2.2588888888888889</v>
      </c>
      <c r="AT25" s="466">
        <f t="shared" si="51"/>
        <v>4.4716666666666667</v>
      </c>
      <c r="AU25" s="466">
        <f t="shared" si="52"/>
        <v>5.0238888888888891</v>
      </c>
      <c r="AV25" s="466">
        <f t="shared" si="53"/>
        <v>16.484444444444446</v>
      </c>
      <c r="AW25" s="466">
        <f t="shared" si="54"/>
        <v>17.036666666666669</v>
      </c>
      <c r="AX25" s="466">
        <f t="shared" si="55"/>
        <v>19.249444444444446</v>
      </c>
      <c r="AY25" s="466">
        <f t="shared" si="56"/>
        <v>19.801666666666669</v>
      </c>
      <c r="AZ25" s="466">
        <f t="shared" si="57"/>
        <v>1.7066666666666668</v>
      </c>
      <c r="BA25" s="466">
        <f t="shared" si="58"/>
        <v>2.2588888888888889</v>
      </c>
      <c r="BB25" s="466">
        <f t="shared" si="59"/>
        <v>4.4716666666666667</v>
      </c>
      <c r="BC25" s="466">
        <f t="shared" si="60"/>
        <v>5.0238888888888891</v>
      </c>
      <c r="BD25" s="466">
        <f t="shared" si="61"/>
        <v>16.484444444444446</v>
      </c>
      <c r="BE25" s="466">
        <f t="shared" si="62"/>
        <v>17.036666666666669</v>
      </c>
      <c r="BF25" s="466">
        <f t="shared" si="63"/>
        <v>19.249444444444446</v>
      </c>
      <c r="BG25" s="466">
        <f t="shared" si="64"/>
        <v>19.801666666666669</v>
      </c>
    </row>
    <row r="26" spans="1:59">
      <c r="A26" s="212" t="s">
        <v>5316</v>
      </c>
      <c r="B26" s="230">
        <v>457662173</v>
      </c>
      <c r="C26" s="209" t="s">
        <v>58</v>
      </c>
      <c r="D26" s="209">
        <v>7200</v>
      </c>
      <c r="F26" s="238" t="str" cm="1">
        <f t="array" aca="1" ref="F26" ca="1">MID(met2utc(PEPSSI_Commanding[[#This Row],[MET]]),3,15)</f>
        <v>20-203/18:30:55</v>
      </c>
      <c r="G26" s="212" t="str">
        <f t="shared" si="15"/>
        <v>N3+7200</v>
      </c>
      <c r="H26" s="213">
        <f t="shared" si="16"/>
        <v>457662167</v>
      </c>
      <c r="I26" s="213">
        <f t="shared" si="17"/>
        <v>644923315</v>
      </c>
      <c r="J26" s="212">
        <f t="shared" si="18"/>
        <v>12</v>
      </c>
      <c r="K26" s="212">
        <f t="shared" si="19"/>
        <v>2</v>
      </c>
      <c r="M26" s="209">
        <f t="shared" si="20"/>
        <v>3600</v>
      </c>
      <c r="N26" s="209">
        <f t="shared" si="21"/>
        <v>90</v>
      </c>
      <c r="O26" s="209">
        <f t="shared" si="22"/>
        <v>7200</v>
      </c>
      <c r="P26" s="209">
        <f t="shared" si="23"/>
        <v>300</v>
      </c>
      <c r="Q26" s="209" t="str">
        <f t="shared" si="24"/>
        <v/>
      </c>
      <c r="R26" s="209" t="str">
        <f t="shared" si="25"/>
        <v/>
      </c>
      <c r="S26" s="209" t="str">
        <f t="shared" si="26"/>
        <v/>
      </c>
      <c r="U26" s="466">
        <f t="shared" si="27"/>
        <v>0</v>
      </c>
      <c r="V26" s="466">
        <f t="shared" si="28"/>
        <v>0</v>
      </c>
      <c r="W26" s="466">
        <f t="shared" si="29"/>
        <v>1.7066666666666668</v>
      </c>
      <c r="X26" s="466">
        <f t="shared" si="30"/>
        <v>0.55222222222222217</v>
      </c>
      <c r="Y26" s="466">
        <f t="shared" si="31"/>
        <v>14.777777777777779</v>
      </c>
      <c r="Z26" s="466">
        <f t="shared" si="32"/>
        <v>14.777777777777779</v>
      </c>
      <c r="AA26" s="466">
        <f t="shared" si="33"/>
        <v>2.7650000000000001</v>
      </c>
      <c r="AB26" s="242"/>
      <c r="AC26" s="466">
        <f t="shared" si="34"/>
        <v>0.55222222222222217</v>
      </c>
      <c r="AD26" s="466">
        <f t="shared" si="35"/>
        <v>2.7650000000000001</v>
      </c>
      <c r="AE26" s="466">
        <f t="shared" si="36"/>
        <v>3.3172222222222221</v>
      </c>
      <c r="AF26" s="466">
        <f t="shared" si="37"/>
        <v>14.777777777777779</v>
      </c>
      <c r="AG26" s="466">
        <f t="shared" si="38"/>
        <v>15.33</v>
      </c>
      <c r="AH26" s="466">
        <f t="shared" si="39"/>
        <v>17.542777777777779</v>
      </c>
      <c r="AI26" s="466">
        <f t="shared" si="40"/>
        <v>18.095000000000002</v>
      </c>
      <c r="AJ26" s="466">
        <f t="shared" si="41"/>
        <v>0</v>
      </c>
      <c r="AK26" s="466">
        <f t="shared" si="42"/>
        <v>0.55222222222222217</v>
      </c>
      <c r="AL26" s="466">
        <f t="shared" si="43"/>
        <v>2.7650000000000001</v>
      </c>
      <c r="AM26" s="466">
        <f t="shared" si="44"/>
        <v>3.3172222222222221</v>
      </c>
      <c r="AN26" s="466">
        <f t="shared" si="45"/>
        <v>14.777777777777779</v>
      </c>
      <c r="AO26" s="466">
        <f t="shared" si="46"/>
        <v>15.33</v>
      </c>
      <c r="AP26" s="466">
        <f t="shared" si="47"/>
        <v>17.542777777777779</v>
      </c>
      <c r="AQ26" s="466">
        <f t="shared" si="48"/>
        <v>18.095000000000002</v>
      </c>
      <c r="AR26" s="466">
        <f t="shared" si="49"/>
        <v>1.7066666666666668</v>
      </c>
      <c r="AS26" s="466">
        <f t="shared" si="50"/>
        <v>2.2588888888888889</v>
      </c>
      <c r="AT26" s="466">
        <f t="shared" si="51"/>
        <v>4.4716666666666667</v>
      </c>
      <c r="AU26" s="466">
        <f t="shared" si="52"/>
        <v>5.0238888888888891</v>
      </c>
      <c r="AV26" s="466">
        <f t="shared" si="53"/>
        <v>16.484444444444446</v>
      </c>
      <c r="AW26" s="466">
        <f t="shared" si="54"/>
        <v>17.036666666666669</v>
      </c>
      <c r="AX26" s="466">
        <f t="shared" si="55"/>
        <v>19.249444444444446</v>
      </c>
      <c r="AY26" s="466">
        <f t="shared" si="56"/>
        <v>19.801666666666669</v>
      </c>
      <c r="AZ26" s="466">
        <f t="shared" si="57"/>
        <v>1.7066666666666668</v>
      </c>
      <c r="BA26" s="466">
        <f t="shared" si="58"/>
        <v>2.2588888888888889</v>
      </c>
      <c r="BB26" s="466">
        <f t="shared" si="59"/>
        <v>4.4716666666666667</v>
      </c>
      <c r="BC26" s="466">
        <f t="shared" si="60"/>
        <v>5.0238888888888891</v>
      </c>
      <c r="BD26" s="466">
        <f t="shared" si="61"/>
        <v>16.484444444444446</v>
      </c>
      <c r="BE26" s="466">
        <f t="shared" si="62"/>
        <v>17.036666666666669</v>
      </c>
      <c r="BF26" s="466">
        <f t="shared" si="63"/>
        <v>19.249444444444446</v>
      </c>
      <c r="BG26" s="466">
        <f t="shared" si="64"/>
        <v>19.801666666666669</v>
      </c>
    </row>
    <row r="27" spans="1:59">
      <c r="A27" s="212" t="s">
        <v>5317</v>
      </c>
      <c r="B27" s="230">
        <v>457662176</v>
      </c>
      <c r="C27" s="209" t="s">
        <v>5284</v>
      </c>
      <c r="D27" s="209">
        <v>300</v>
      </c>
      <c r="F27" s="238" t="str" cm="1">
        <f t="array" aca="1" ref="F27" ca="1">MID(met2utc(PEPSSI_Commanding[[#This Row],[MET]]),3,15)</f>
        <v>20-203/18:30:58</v>
      </c>
      <c r="G27" s="212" t="str">
        <f t="shared" si="15"/>
        <v>STAT+300</v>
      </c>
      <c r="H27" s="213">
        <f t="shared" si="16"/>
        <v>457662167</v>
      </c>
      <c r="I27" s="213">
        <f t="shared" si="17"/>
        <v>644923315</v>
      </c>
      <c r="J27" s="212">
        <f t="shared" si="18"/>
        <v>13</v>
      </c>
      <c r="K27" s="212">
        <f t="shared" si="19"/>
        <v>1</v>
      </c>
      <c r="M27" s="209">
        <f t="shared" si="20"/>
        <v>3600</v>
      </c>
      <c r="N27" s="209">
        <f t="shared" si="21"/>
        <v>90</v>
      </c>
      <c r="O27" s="209">
        <f t="shared" si="22"/>
        <v>7200</v>
      </c>
      <c r="P27" s="209">
        <f t="shared" si="23"/>
        <v>300</v>
      </c>
      <c r="Q27" s="209" t="str">
        <f t="shared" si="24"/>
        <v/>
      </c>
      <c r="R27" s="209" t="str">
        <f t="shared" si="25"/>
        <v/>
      </c>
      <c r="S27" s="209" t="str">
        <f t="shared" si="26"/>
        <v/>
      </c>
      <c r="U27" s="466">
        <f t="shared" si="27"/>
        <v>0</v>
      </c>
      <c r="V27" s="466">
        <f t="shared" si="28"/>
        <v>0</v>
      </c>
      <c r="W27" s="466">
        <f t="shared" si="29"/>
        <v>1.7066666666666668</v>
      </c>
      <c r="X27" s="466">
        <f t="shared" si="30"/>
        <v>0.55222222222222217</v>
      </c>
      <c r="Y27" s="466">
        <f t="shared" si="31"/>
        <v>14.777777777777779</v>
      </c>
      <c r="Z27" s="466">
        <f t="shared" si="32"/>
        <v>14.777777777777779</v>
      </c>
      <c r="AA27" s="466">
        <f t="shared" si="33"/>
        <v>2.7650000000000001</v>
      </c>
      <c r="AB27" s="242"/>
      <c r="AC27" s="466">
        <f t="shared" si="34"/>
        <v>0.55222222222222217</v>
      </c>
      <c r="AD27" s="466">
        <f t="shared" si="35"/>
        <v>2.7650000000000001</v>
      </c>
      <c r="AE27" s="466">
        <f t="shared" si="36"/>
        <v>3.3172222222222221</v>
      </c>
      <c r="AF27" s="466">
        <f t="shared" si="37"/>
        <v>14.777777777777779</v>
      </c>
      <c r="AG27" s="466">
        <f t="shared" si="38"/>
        <v>15.33</v>
      </c>
      <c r="AH27" s="466">
        <f t="shared" si="39"/>
        <v>17.542777777777779</v>
      </c>
      <c r="AI27" s="466">
        <f t="shared" si="40"/>
        <v>18.095000000000002</v>
      </c>
      <c r="AJ27" s="466">
        <f t="shared" si="41"/>
        <v>0</v>
      </c>
      <c r="AK27" s="466">
        <f t="shared" si="42"/>
        <v>0.55222222222222217</v>
      </c>
      <c r="AL27" s="466">
        <f t="shared" si="43"/>
        <v>2.7650000000000001</v>
      </c>
      <c r="AM27" s="466">
        <f t="shared" si="44"/>
        <v>3.3172222222222221</v>
      </c>
      <c r="AN27" s="466">
        <f t="shared" si="45"/>
        <v>14.777777777777779</v>
      </c>
      <c r="AO27" s="466">
        <f t="shared" si="46"/>
        <v>15.33</v>
      </c>
      <c r="AP27" s="466">
        <f t="shared" si="47"/>
        <v>17.542777777777779</v>
      </c>
      <c r="AQ27" s="466">
        <f t="shared" si="48"/>
        <v>18.095000000000002</v>
      </c>
      <c r="AR27" s="466">
        <f t="shared" si="49"/>
        <v>1.7066666666666668</v>
      </c>
      <c r="AS27" s="466">
        <f t="shared" si="50"/>
        <v>2.2588888888888889</v>
      </c>
      <c r="AT27" s="466">
        <f t="shared" si="51"/>
        <v>4.4716666666666667</v>
      </c>
      <c r="AU27" s="466">
        <f t="shared" si="52"/>
        <v>5.0238888888888891</v>
      </c>
      <c r="AV27" s="466">
        <f t="shared" si="53"/>
        <v>16.484444444444446</v>
      </c>
      <c r="AW27" s="466">
        <f t="shared" si="54"/>
        <v>17.036666666666669</v>
      </c>
      <c r="AX27" s="466">
        <f t="shared" si="55"/>
        <v>19.249444444444446</v>
      </c>
      <c r="AY27" s="466">
        <f t="shared" si="56"/>
        <v>19.801666666666669</v>
      </c>
      <c r="AZ27" s="466">
        <f t="shared" si="57"/>
        <v>1.7066666666666668</v>
      </c>
      <c r="BA27" s="466">
        <f t="shared" si="58"/>
        <v>2.2588888888888889</v>
      </c>
      <c r="BB27" s="466">
        <f t="shared" si="59"/>
        <v>4.4716666666666667</v>
      </c>
      <c r="BC27" s="466">
        <f t="shared" si="60"/>
        <v>5.0238888888888891</v>
      </c>
      <c r="BD27" s="466">
        <f t="shared" si="61"/>
        <v>16.484444444444446</v>
      </c>
      <c r="BE27" s="466">
        <f t="shared" si="62"/>
        <v>17.036666666666669</v>
      </c>
      <c r="BF27" s="466">
        <f t="shared" si="63"/>
        <v>19.249444444444446</v>
      </c>
      <c r="BG27" s="466">
        <f t="shared" si="64"/>
        <v>19.801666666666669</v>
      </c>
    </row>
    <row r="28" spans="1:59">
      <c r="A28" s="212" t="s">
        <v>5314</v>
      </c>
      <c r="B28" s="230">
        <v>644923315</v>
      </c>
      <c r="C28" s="209" t="s">
        <v>433</v>
      </c>
      <c r="F28" s="238" t="str" cm="1">
        <f t="array" aca="1" ref="F28" ca="1">MID(met2utc(PEPSSI_Commanding[[#This Row],[MET]]),3,15)</f>
        <v>26-179/03:29:59</v>
      </c>
      <c r="G28" s="212" t="str">
        <f t="shared" si="15"/>
        <v>ON</v>
      </c>
      <c r="H28" s="213">
        <f t="shared" si="16"/>
        <v>644923315</v>
      </c>
      <c r="I28" s="213">
        <f t="shared" si="17"/>
        <v>644924995</v>
      </c>
      <c r="J28" s="212">
        <f t="shared" si="18"/>
        <v>0</v>
      </c>
      <c r="K28" s="212">
        <f t="shared" si="19"/>
        <v>10</v>
      </c>
      <c r="M28" s="209" t="str">
        <f t="shared" si="20"/>
        <v/>
      </c>
      <c r="N28" s="209" t="str">
        <f t="shared" si="21"/>
        <v/>
      </c>
      <c r="O28" s="209" t="str">
        <f t="shared" si="22"/>
        <v/>
      </c>
      <c r="P28" s="209" t="str">
        <f t="shared" si="23"/>
        <v/>
      </c>
      <c r="Q28" s="209" t="str">
        <f t="shared" si="24"/>
        <v/>
      </c>
      <c r="R28" s="209" t="str">
        <f t="shared" si="25"/>
        <v/>
      </c>
      <c r="S28" s="209" t="str">
        <f t="shared" si="26"/>
        <v/>
      </c>
      <c r="U28" s="466">
        <f t="shared" si="27"/>
        <v>0</v>
      </c>
      <c r="V28" s="466">
        <f t="shared" si="28"/>
        <v>0</v>
      </c>
      <c r="W28" s="466">
        <f t="shared" si="29"/>
        <v>0</v>
      </c>
      <c r="X28" s="466">
        <f t="shared" si="30"/>
        <v>0</v>
      </c>
      <c r="Y28" s="466">
        <f t="shared" si="31"/>
        <v>0</v>
      </c>
      <c r="Z28" s="466">
        <f t="shared" si="32"/>
        <v>0</v>
      </c>
      <c r="AA28" s="466">
        <f t="shared" si="33"/>
        <v>0</v>
      </c>
      <c r="AB28" s="242"/>
      <c r="AC28" s="466">
        <f t="shared" si="34"/>
        <v>0</v>
      </c>
      <c r="AD28" s="466">
        <f t="shared" si="35"/>
        <v>0</v>
      </c>
      <c r="AE28" s="466">
        <f t="shared" si="36"/>
        <v>0</v>
      </c>
      <c r="AF28" s="466">
        <f t="shared" si="37"/>
        <v>0</v>
      </c>
      <c r="AG28" s="466">
        <f t="shared" si="38"/>
        <v>0</v>
      </c>
      <c r="AH28" s="466">
        <f t="shared" si="39"/>
        <v>0</v>
      </c>
      <c r="AI28" s="466">
        <f t="shared" si="40"/>
        <v>0</v>
      </c>
      <c r="AJ28" s="466">
        <f t="shared" si="41"/>
        <v>0</v>
      </c>
      <c r="AK28" s="466">
        <f t="shared" si="42"/>
        <v>0</v>
      </c>
      <c r="AL28" s="466">
        <f t="shared" si="43"/>
        <v>0</v>
      </c>
      <c r="AM28" s="466">
        <f t="shared" si="44"/>
        <v>0</v>
      </c>
      <c r="AN28" s="466">
        <f t="shared" si="45"/>
        <v>0</v>
      </c>
      <c r="AO28" s="466">
        <f t="shared" si="46"/>
        <v>0</v>
      </c>
      <c r="AP28" s="466">
        <f t="shared" si="47"/>
        <v>0</v>
      </c>
      <c r="AQ28" s="466">
        <f t="shared" si="48"/>
        <v>0</v>
      </c>
      <c r="AR28" s="466">
        <f t="shared" si="49"/>
        <v>0</v>
      </c>
      <c r="AS28" s="466">
        <f t="shared" si="50"/>
        <v>0</v>
      </c>
      <c r="AT28" s="466">
        <f t="shared" si="51"/>
        <v>0</v>
      </c>
      <c r="AU28" s="466">
        <f t="shared" si="52"/>
        <v>0</v>
      </c>
      <c r="AV28" s="466">
        <f t="shared" si="53"/>
        <v>0</v>
      </c>
      <c r="AW28" s="466">
        <f t="shared" si="54"/>
        <v>0</v>
      </c>
      <c r="AX28" s="466">
        <f t="shared" si="55"/>
        <v>0</v>
      </c>
      <c r="AY28" s="466">
        <f t="shared" si="56"/>
        <v>0</v>
      </c>
      <c r="AZ28" s="466">
        <f t="shared" si="57"/>
        <v>0</v>
      </c>
      <c r="BA28" s="466">
        <f t="shared" si="58"/>
        <v>0</v>
      </c>
      <c r="BB28" s="466">
        <f t="shared" si="59"/>
        <v>0</v>
      </c>
      <c r="BC28" s="466">
        <f t="shared" si="60"/>
        <v>0</v>
      </c>
      <c r="BD28" s="466">
        <f t="shared" si="61"/>
        <v>0</v>
      </c>
      <c r="BE28" s="466">
        <f t="shared" si="62"/>
        <v>0</v>
      </c>
      <c r="BF28" s="466">
        <f t="shared" si="63"/>
        <v>0</v>
      </c>
      <c r="BG28" s="466">
        <f t="shared" si="64"/>
        <v>0</v>
      </c>
    </row>
    <row r="29" spans="1:59">
      <c r="A29" s="212" t="s">
        <v>5315</v>
      </c>
      <c r="B29" s="230">
        <v>644923360</v>
      </c>
      <c r="C29" s="209" t="s">
        <v>5285</v>
      </c>
      <c r="D29" s="209">
        <v>10</v>
      </c>
      <c r="F29" s="238" t="str" cm="1">
        <f t="array" aca="1" ref="F29" ca="1">MID(met2utc(PEPSSI_Commanding[[#This Row],[MET]]),3,15)</f>
        <v>26-179/03:30:44</v>
      </c>
      <c r="G29" s="212" t="str">
        <f t="shared" si="15"/>
        <v>MAC+10</v>
      </c>
      <c r="H29" s="213">
        <f t="shared" si="16"/>
        <v>644923315</v>
      </c>
      <c r="I29" s="213">
        <f t="shared" si="17"/>
        <v>644924995</v>
      </c>
      <c r="J29" s="212">
        <f t="shared" si="18"/>
        <v>1</v>
      </c>
      <c r="K29" s="212">
        <f t="shared" si="19"/>
        <v>9</v>
      </c>
      <c r="M29" s="209" t="str">
        <f t="shared" si="20"/>
        <v/>
      </c>
      <c r="N29" s="209" t="str">
        <f t="shared" si="21"/>
        <v/>
      </c>
      <c r="O29" s="209" t="str">
        <f t="shared" si="22"/>
        <v/>
      </c>
      <c r="P29" s="209" t="str">
        <f t="shared" si="23"/>
        <v/>
      </c>
      <c r="Q29" s="209" t="str">
        <f t="shared" si="24"/>
        <v/>
      </c>
      <c r="R29" s="209" t="str">
        <f t="shared" si="25"/>
        <v/>
      </c>
      <c r="S29" s="209" t="str">
        <f t="shared" si="26"/>
        <v/>
      </c>
      <c r="U29" s="466">
        <f t="shared" si="27"/>
        <v>0</v>
      </c>
      <c r="V29" s="466">
        <f t="shared" si="28"/>
        <v>0</v>
      </c>
      <c r="W29" s="466">
        <f t="shared" si="29"/>
        <v>0</v>
      </c>
      <c r="X29" s="466">
        <f t="shared" si="30"/>
        <v>0</v>
      </c>
      <c r="Y29" s="466">
        <f t="shared" si="31"/>
        <v>0</v>
      </c>
      <c r="Z29" s="466">
        <f t="shared" si="32"/>
        <v>0</v>
      </c>
      <c r="AA29" s="466">
        <f t="shared" si="33"/>
        <v>0</v>
      </c>
      <c r="AB29" s="242"/>
      <c r="AC29" s="466">
        <f t="shared" si="34"/>
        <v>0</v>
      </c>
      <c r="AD29" s="466">
        <f t="shared" si="35"/>
        <v>0</v>
      </c>
      <c r="AE29" s="466">
        <f t="shared" si="36"/>
        <v>0</v>
      </c>
      <c r="AF29" s="466">
        <f t="shared" si="37"/>
        <v>0</v>
      </c>
      <c r="AG29" s="466">
        <f t="shared" si="38"/>
        <v>0</v>
      </c>
      <c r="AH29" s="466">
        <f t="shared" si="39"/>
        <v>0</v>
      </c>
      <c r="AI29" s="466">
        <f t="shared" si="40"/>
        <v>0</v>
      </c>
      <c r="AJ29" s="466">
        <f t="shared" si="41"/>
        <v>0</v>
      </c>
      <c r="AK29" s="466">
        <f t="shared" si="42"/>
        <v>0</v>
      </c>
      <c r="AL29" s="466">
        <f t="shared" si="43"/>
        <v>0</v>
      </c>
      <c r="AM29" s="466">
        <f t="shared" si="44"/>
        <v>0</v>
      </c>
      <c r="AN29" s="466">
        <f t="shared" si="45"/>
        <v>0</v>
      </c>
      <c r="AO29" s="466">
        <f t="shared" si="46"/>
        <v>0</v>
      </c>
      <c r="AP29" s="466">
        <f t="shared" si="47"/>
        <v>0</v>
      </c>
      <c r="AQ29" s="466">
        <f t="shared" si="48"/>
        <v>0</v>
      </c>
      <c r="AR29" s="466">
        <f t="shared" si="49"/>
        <v>0</v>
      </c>
      <c r="AS29" s="466">
        <f t="shared" si="50"/>
        <v>0</v>
      </c>
      <c r="AT29" s="466">
        <f t="shared" si="51"/>
        <v>0</v>
      </c>
      <c r="AU29" s="466">
        <f t="shared" si="52"/>
        <v>0</v>
      </c>
      <c r="AV29" s="466">
        <f t="shared" si="53"/>
        <v>0</v>
      </c>
      <c r="AW29" s="466">
        <f t="shared" si="54"/>
        <v>0</v>
      </c>
      <c r="AX29" s="466">
        <f t="shared" si="55"/>
        <v>0</v>
      </c>
      <c r="AY29" s="466">
        <f t="shared" si="56"/>
        <v>0</v>
      </c>
      <c r="AZ29" s="466">
        <f t="shared" si="57"/>
        <v>0</v>
      </c>
      <c r="BA29" s="466">
        <f t="shared" si="58"/>
        <v>0</v>
      </c>
      <c r="BB29" s="466">
        <f t="shared" si="59"/>
        <v>0</v>
      </c>
      <c r="BC29" s="466">
        <f t="shared" si="60"/>
        <v>0</v>
      </c>
      <c r="BD29" s="466">
        <f t="shared" si="61"/>
        <v>0</v>
      </c>
      <c r="BE29" s="466">
        <f t="shared" si="62"/>
        <v>0</v>
      </c>
      <c r="BF29" s="466">
        <f t="shared" si="63"/>
        <v>0</v>
      </c>
      <c r="BG29" s="466">
        <f t="shared" si="64"/>
        <v>0</v>
      </c>
    </row>
    <row r="30" spans="1:59">
      <c r="A30" s="212" t="s">
        <v>5316</v>
      </c>
      <c r="B30" s="230">
        <v>644923360</v>
      </c>
      <c r="C30" s="209" t="s">
        <v>61</v>
      </c>
      <c r="D30" s="209">
        <v>10</v>
      </c>
      <c r="F30" s="238" t="str" cm="1">
        <f t="array" aca="1" ref="F30" ca="1">MID(met2utc(PEPSSI_Commanding[[#This Row],[MET]]),3,15)</f>
        <v>26-179/03:30:44</v>
      </c>
      <c r="G30" s="212" t="str">
        <f t="shared" si="15"/>
        <v>N2+10</v>
      </c>
      <c r="H30" s="213">
        <f t="shared" si="16"/>
        <v>644923315</v>
      </c>
      <c r="I30" s="213">
        <f t="shared" si="17"/>
        <v>644924995</v>
      </c>
      <c r="J30" s="212">
        <f t="shared" si="18"/>
        <v>2</v>
      </c>
      <c r="K30" s="212">
        <f t="shared" si="19"/>
        <v>8</v>
      </c>
      <c r="M30" s="209" t="str">
        <f t="shared" si="20"/>
        <v/>
      </c>
      <c r="N30" s="209">
        <f t="shared" si="21"/>
        <v>10</v>
      </c>
      <c r="O30" s="209" t="str">
        <f t="shared" si="22"/>
        <v/>
      </c>
      <c r="P30" s="209" t="str">
        <f t="shared" si="23"/>
        <v/>
      </c>
      <c r="Q30" s="209" t="str">
        <f t="shared" si="24"/>
        <v/>
      </c>
      <c r="R30" s="209" t="str">
        <f t="shared" si="25"/>
        <v/>
      </c>
      <c r="S30" s="209" t="str">
        <f t="shared" si="26"/>
        <v/>
      </c>
      <c r="U30" s="466">
        <f t="shared" si="27"/>
        <v>0</v>
      </c>
      <c r="V30" s="466">
        <f t="shared" si="28"/>
        <v>0</v>
      </c>
      <c r="W30" s="466">
        <f t="shared" si="29"/>
        <v>0</v>
      </c>
      <c r="X30" s="466">
        <f t="shared" si="30"/>
        <v>0</v>
      </c>
      <c r="Y30" s="466">
        <f t="shared" si="31"/>
        <v>133</v>
      </c>
      <c r="Z30" s="466">
        <f t="shared" si="32"/>
        <v>133</v>
      </c>
      <c r="AA30" s="466">
        <f t="shared" si="33"/>
        <v>0</v>
      </c>
      <c r="AB30" s="242"/>
      <c r="AC30" s="466">
        <f t="shared" si="34"/>
        <v>0</v>
      </c>
      <c r="AD30" s="466">
        <f t="shared" si="35"/>
        <v>0</v>
      </c>
      <c r="AE30" s="466">
        <f t="shared" si="36"/>
        <v>0</v>
      </c>
      <c r="AF30" s="466">
        <f t="shared" si="37"/>
        <v>133</v>
      </c>
      <c r="AG30" s="466">
        <f t="shared" si="38"/>
        <v>133</v>
      </c>
      <c r="AH30" s="466">
        <f t="shared" si="39"/>
        <v>133</v>
      </c>
      <c r="AI30" s="466">
        <f t="shared" si="40"/>
        <v>133</v>
      </c>
      <c r="AJ30" s="466">
        <f t="shared" si="41"/>
        <v>0</v>
      </c>
      <c r="AK30" s="466">
        <f t="shared" si="42"/>
        <v>0</v>
      </c>
      <c r="AL30" s="466">
        <f t="shared" si="43"/>
        <v>0</v>
      </c>
      <c r="AM30" s="466">
        <f t="shared" si="44"/>
        <v>0</v>
      </c>
      <c r="AN30" s="466">
        <f t="shared" si="45"/>
        <v>133</v>
      </c>
      <c r="AO30" s="466">
        <f t="shared" si="46"/>
        <v>133</v>
      </c>
      <c r="AP30" s="466">
        <f t="shared" si="47"/>
        <v>133</v>
      </c>
      <c r="AQ30" s="466">
        <f t="shared" si="48"/>
        <v>133</v>
      </c>
      <c r="AR30" s="466">
        <f t="shared" si="49"/>
        <v>0</v>
      </c>
      <c r="AS30" s="466">
        <f t="shared" si="50"/>
        <v>0</v>
      </c>
      <c r="AT30" s="466">
        <f t="shared" si="51"/>
        <v>0</v>
      </c>
      <c r="AU30" s="466">
        <f t="shared" si="52"/>
        <v>0</v>
      </c>
      <c r="AV30" s="466">
        <f t="shared" si="53"/>
        <v>133</v>
      </c>
      <c r="AW30" s="466">
        <f t="shared" si="54"/>
        <v>133</v>
      </c>
      <c r="AX30" s="466">
        <f t="shared" si="55"/>
        <v>133</v>
      </c>
      <c r="AY30" s="466">
        <f t="shared" si="56"/>
        <v>133</v>
      </c>
      <c r="AZ30" s="466">
        <f t="shared" si="57"/>
        <v>0</v>
      </c>
      <c r="BA30" s="466">
        <f t="shared" si="58"/>
        <v>0</v>
      </c>
      <c r="BB30" s="466">
        <f t="shared" si="59"/>
        <v>0</v>
      </c>
      <c r="BC30" s="466">
        <f t="shared" si="60"/>
        <v>0</v>
      </c>
      <c r="BD30" s="466">
        <f t="shared" si="61"/>
        <v>133</v>
      </c>
      <c r="BE30" s="466">
        <f t="shared" si="62"/>
        <v>133</v>
      </c>
      <c r="BF30" s="466">
        <f t="shared" si="63"/>
        <v>133</v>
      </c>
      <c r="BG30" s="466">
        <f t="shared" si="64"/>
        <v>133</v>
      </c>
    </row>
    <row r="31" spans="1:59">
      <c r="A31" s="212" t="s">
        <v>5316</v>
      </c>
      <c r="B31" s="230">
        <v>644923361</v>
      </c>
      <c r="C31" s="209" t="s">
        <v>58</v>
      </c>
      <c r="D31" s="209">
        <v>300</v>
      </c>
      <c r="F31" s="238" t="str" cm="1">
        <f t="array" aca="1" ref="F31" ca="1">MID(met2utc(PEPSSI_Commanding[[#This Row],[MET]]),3,15)</f>
        <v>26-179/03:30:45</v>
      </c>
      <c r="G31" s="212" t="str">
        <f t="shared" si="15"/>
        <v>N3+300</v>
      </c>
      <c r="H31" s="213">
        <f t="shared" si="16"/>
        <v>644923315</v>
      </c>
      <c r="I31" s="213">
        <f t="shared" si="17"/>
        <v>644924995</v>
      </c>
      <c r="J31" s="212">
        <f t="shared" si="18"/>
        <v>3</v>
      </c>
      <c r="K31" s="212">
        <f t="shared" si="19"/>
        <v>7</v>
      </c>
      <c r="M31" s="209" t="str">
        <f t="shared" si="20"/>
        <v/>
      </c>
      <c r="N31" s="209">
        <f t="shared" si="21"/>
        <v>10</v>
      </c>
      <c r="O31" s="209">
        <f t="shared" si="22"/>
        <v>300</v>
      </c>
      <c r="P31" s="209" t="str">
        <f t="shared" si="23"/>
        <v/>
      </c>
      <c r="Q31" s="209" t="str">
        <f t="shared" si="24"/>
        <v/>
      </c>
      <c r="R31" s="209" t="str">
        <f t="shared" si="25"/>
        <v/>
      </c>
      <c r="S31" s="209" t="str">
        <f t="shared" si="26"/>
        <v/>
      </c>
      <c r="U31" s="466">
        <f t="shared" si="27"/>
        <v>0</v>
      </c>
      <c r="V31" s="466">
        <f t="shared" si="28"/>
        <v>0</v>
      </c>
      <c r="W31" s="466">
        <f t="shared" si="29"/>
        <v>0</v>
      </c>
      <c r="X31" s="466">
        <f t="shared" si="30"/>
        <v>0</v>
      </c>
      <c r="Y31" s="466">
        <f t="shared" si="31"/>
        <v>133</v>
      </c>
      <c r="Z31" s="466">
        <f t="shared" si="32"/>
        <v>133</v>
      </c>
      <c r="AA31" s="466">
        <f t="shared" si="33"/>
        <v>66.36</v>
      </c>
      <c r="AB31" s="242"/>
      <c r="AC31" s="466">
        <f t="shared" si="34"/>
        <v>0</v>
      </c>
      <c r="AD31" s="466">
        <f t="shared" si="35"/>
        <v>66.36</v>
      </c>
      <c r="AE31" s="466">
        <f t="shared" si="36"/>
        <v>66.36</v>
      </c>
      <c r="AF31" s="466">
        <f t="shared" si="37"/>
        <v>133</v>
      </c>
      <c r="AG31" s="466">
        <f t="shared" si="38"/>
        <v>133</v>
      </c>
      <c r="AH31" s="466">
        <f t="shared" si="39"/>
        <v>199.36</v>
      </c>
      <c r="AI31" s="466">
        <f t="shared" si="40"/>
        <v>199.36</v>
      </c>
      <c r="AJ31" s="466">
        <f t="shared" si="41"/>
        <v>0</v>
      </c>
      <c r="AK31" s="466">
        <f t="shared" si="42"/>
        <v>0</v>
      </c>
      <c r="AL31" s="466">
        <f t="shared" si="43"/>
        <v>66.36</v>
      </c>
      <c r="AM31" s="466">
        <f t="shared" si="44"/>
        <v>66.36</v>
      </c>
      <c r="AN31" s="466">
        <f t="shared" si="45"/>
        <v>133</v>
      </c>
      <c r="AO31" s="466">
        <f t="shared" si="46"/>
        <v>133</v>
      </c>
      <c r="AP31" s="466">
        <f t="shared" si="47"/>
        <v>199.36</v>
      </c>
      <c r="AQ31" s="466">
        <f t="shared" si="48"/>
        <v>199.36</v>
      </c>
      <c r="AR31" s="466">
        <f t="shared" si="49"/>
        <v>0</v>
      </c>
      <c r="AS31" s="466">
        <f t="shared" si="50"/>
        <v>0</v>
      </c>
      <c r="AT31" s="466">
        <f t="shared" si="51"/>
        <v>66.36</v>
      </c>
      <c r="AU31" s="466">
        <f t="shared" si="52"/>
        <v>66.36</v>
      </c>
      <c r="AV31" s="466">
        <f t="shared" si="53"/>
        <v>133</v>
      </c>
      <c r="AW31" s="466">
        <f t="shared" si="54"/>
        <v>133</v>
      </c>
      <c r="AX31" s="466">
        <f t="shared" si="55"/>
        <v>199.36</v>
      </c>
      <c r="AY31" s="466">
        <f t="shared" si="56"/>
        <v>199.36</v>
      </c>
      <c r="AZ31" s="466">
        <f t="shared" si="57"/>
        <v>0</v>
      </c>
      <c r="BA31" s="466">
        <f t="shared" si="58"/>
        <v>0</v>
      </c>
      <c r="BB31" s="466">
        <f t="shared" si="59"/>
        <v>66.36</v>
      </c>
      <c r="BC31" s="466">
        <f t="shared" si="60"/>
        <v>66.36</v>
      </c>
      <c r="BD31" s="466">
        <f t="shared" si="61"/>
        <v>133</v>
      </c>
      <c r="BE31" s="466">
        <f t="shared" si="62"/>
        <v>133</v>
      </c>
      <c r="BF31" s="466">
        <f t="shared" si="63"/>
        <v>199.36</v>
      </c>
      <c r="BG31" s="466">
        <f t="shared" si="64"/>
        <v>199.36</v>
      </c>
    </row>
    <row r="32" spans="1:59">
      <c r="A32" s="212" t="s">
        <v>5316</v>
      </c>
      <c r="B32" s="230">
        <v>644923362</v>
      </c>
      <c r="C32" s="209" t="s">
        <v>1</v>
      </c>
      <c r="D32" s="209">
        <v>10</v>
      </c>
      <c r="F32" s="238" t="str" cm="1">
        <f t="array" aca="1" ref="F32" ca="1">MID(met2utc(PEPSSI_Commanding[[#This Row],[MET]]),3,15)</f>
        <v>26-179/03:30:46</v>
      </c>
      <c r="G32" s="212" t="str">
        <f t="shared" si="15"/>
        <v>N1+10</v>
      </c>
      <c r="H32" s="213">
        <f t="shared" si="16"/>
        <v>644923315</v>
      </c>
      <c r="I32" s="213">
        <f t="shared" si="17"/>
        <v>644924995</v>
      </c>
      <c r="J32" s="212">
        <f t="shared" si="18"/>
        <v>4</v>
      </c>
      <c r="K32" s="212">
        <f t="shared" si="19"/>
        <v>6</v>
      </c>
      <c r="M32" s="209">
        <f t="shared" si="20"/>
        <v>10</v>
      </c>
      <c r="N32" s="209">
        <f t="shared" si="21"/>
        <v>10</v>
      </c>
      <c r="O32" s="209">
        <f t="shared" si="22"/>
        <v>300</v>
      </c>
      <c r="P32" s="209" t="str">
        <f t="shared" si="23"/>
        <v/>
      </c>
      <c r="Q32" s="209" t="str">
        <f t="shared" si="24"/>
        <v/>
      </c>
      <c r="R32" s="209" t="str">
        <f t="shared" si="25"/>
        <v/>
      </c>
      <c r="S32" s="209" t="str">
        <f t="shared" si="26"/>
        <v/>
      </c>
      <c r="U32" s="466">
        <f t="shared" si="27"/>
        <v>0</v>
      </c>
      <c r="V32" s="466">
        <f t="shared" si="28"/>
        <v>0</v>
      </c>
      <c r="W32" s="466">
        <f t="shared" si="29"/>
        <v>0</v>
      </c>
      <c r="X32" s="466">
        <f t="shared" si="30"/>
        <v>198.8</v>
      </c>
      <c r="Y32" s="466">
        <f t="shared" si="31"/>
        <v>133</v>
      </c>
      <c r="Z32" s="466">
        <f t="shared" si="32"/>
        <v>133</v>
      </c>
      <c r="AA32" s="466">
        <f t="shared" si="33"/>
        <v>66.36</v>
      </c>
      <c r="AB32" s="242"/>
      <c r="AC32" s="466">
        <f t="shared" si="34"/>
        <v>198.8</v>
      </c>
      <c r="AD32" s="466">
        <f t="shared" si="35"/>
        <v>66.36</v>
      </c>
      <c r="AE32" s="466">
        <f t="shared" si="36"/>
        <v>265.16000000000003</v>
      </c>
      <c r="AF32" s="466">
        <f t="shared" si="37"/>
        <v>133</v>
      </c>
      <c r="AG32" s="466">
        <f t="shared" si="38"/>
        <v>331.8</v>
      </c>
      <c r="AH32" s="466">
        <f t="shared" si="39"/>
        <v>199.36</v>
      </c>
      <c r="AI32" s="466">
        <f t="shared" si="40"/>
        <v>398.16</v>
      </c>
      <c r="AJ32" s="466">
        <f t="shared" si="41"/>
        <v>0</v>
      </c>
      <c r="AK32" s="466">
        <f t="shared" si="42"/>
        <v>198.8</v>
      </c>
      <c r="AL32" s="466">
        <f t="shared" si="43"/>
        <v>66.36</v>
      </c>
      <c r="AM32" s="466">
        <f t="shared" si="44"/>
        <v>265.16000000000003</v>
      </c>
      <c r="AN32" s="466">
        <f t="shared" si="45"/>
        <v>133</v>
      </c>
      <c r="AO32" s="466">
        <f t="shared" si="46"/>
        <v>331.8</v>
      </c>
      <c r="AP32" s="466">
        <f t="shared" si="47"/>
        <v>199.36</v>
      </c>
      <c r="AQ32" s="466">
        <f t="shared" si="48"/>
        <v>398.16</v>
      </c>
      <c r="AR32" s="466">
        <f t="shared" si="49"/>
        <v>0</v>
      </c>
      <c r="AS32" s="466">
        <f t="shared" si="50"/>
        <v>198.8</v>
      </c>
      <c r="AT32" s="466">
        <f t="shared" si="51"/>
        <v>66.36</v>
      </c>
      <c r="AU32" s="466">
        <f t="shared" si="52"/>
        <v>265.16000000000003</v>
      </c>
      <c r="AV32" s="466">
        <f t="shared" si="53"/>
        <v>133</v>
      </c>
      <c r="AW32" s="466">
        <f t="shared" si="54"/>
        <v>331.8</v>
      </c>
      <c r="AX32" s="466">
        <f t="shared" si="55"/>
        <v>199.36</v>
      </c>
      <c r="AY32" s="466">
        <f t="shared" si="56"/>
        <v>398.16</v>
      </c>
      <c r="AZ32" s="466">
        <f t="shared" si="57"/>
        <v>0</v>
      </c>
      <c r="BA32" s="466">
        <f t="shared" si="58"/>
        <v>198.8</v>
      </c>
      <c r="BB32" s="466">
        <f t="shared" si="59"/>
        <v>66.36</v>
      </c>
      <c r="BC32" s="466">
        <f t="shared" si="60"/>
        <v>265.16000000000003</v>
      </c>
      <c r="BD32" s="466">
        <f t="shared" si="61"/>
        <v>133</v>
      </c>
      <c r="BE32" s="466">
        <f t="shared" si="62"/>
        <v>331.8</v>
      </c>
      <c r="BF32" s="466">
        <f t="shared" si="63"/>
        <v>199.36</v>
      </c>
      <c r="BG32" s="466">
        <f t="shared" si="64"/>
        <v>398.16</v>
      </c>
    </row>
    <row r="33" spans="1:59">
      <c r="A33" s="212" t="s">
        <v>5317</v>
      </c>
      <c r="B33" s="230">
        <v>644923363</v>
      </c>
      <c r="C33" s="209" t="s">
        <v>5284</v>
      </c>
      <c r="D33" s="209">
        <v>1</v>
      </c>
      <c r="F33" s="238" t="str" cm="1">
        <f t="array" aca="1" ref="F33" ca="1">MID(met2utc(PEPSSI_Commanding[[#This Row],[MET]]),3,15)</f>
        <v>26-179/03:30:47</v>
      </c>
      <c r="G33" s="212" t="str">
        <f t="shared" si="15"/>
        <v>STAT+1</v>
      </c>
      <c r="H33" s="213">
        <f t="shared" si="16"/>
        <v>644923315</v>
      </c>
      <c r="I33" s="213">
        <f t="shared" si="17"/>
        <v>644924995</v>
      </c>
      <c r="J33" s="212">
        <f t="shared" si="18"/>
        <v>5</v>
      </c>
      <c r="K33" s="212">
        <f t="shared" si="19"/>
        <v>5</v>
      </c>
      <c r="M33" s="209">
        <f t="shared" si="20"/>
        <v>10</v>
      </c>
      <c r="N33" s="209">
        <f t="shared" si="21"/>
        <v>10</v>
      </c>
      <c r="O33" s="209">
        <f t="shared" si="22"/>
        <v>300</v>
      </c>
      <c r="P33" s="209">
        <f t="shared" si="23"/>
        <v>1</v>
      </c>
      <c r="Q33" s="209" t="str">
        <f t="shared" si="24"/>
        <v/>
      </c>
      <c r="R33" s="209" t="str">
        <f t="shared" si="25"/>
        <v/>
      </c>
      <c r="S33" s="209" t="str">
        <f t="shared" si="26"/>
        <v/>
      </c>
      <c r="U33" s="466">
        <f t="shared" si="27"/>
        <v>0</v>
      </c>
      <c r="V33" s="466">
        <f t="shared" si="28"/>
        <v>0</v>
      </c>
      <c r="W33" s="466">
        <f t="shared" si="29"/>
        <v>512</v>
      </c>
      <c r="X33" s="466">
        <f t="shared" si="30"/>
        <v>198.8</v>
      </c>
      <c r="Y33" s="466">
        <f t="shared" si="31"/>
        <v>133</v>
      </c>
      <c r="Z33" s="466">
        <f t="shared" si="32"/>
        <v>133</v>
      </c>
      <c r="AA33" s="466">
        <f t="shared" si="33"/>
        <v>66.36</v>
      </c>
      <c r="AB33" s="242"/>
      <c r="AC33" s="466">
        <f t="shared" si="34"/>
        <v>198.8</v>
      </c>
      <c r="AD33" s="466">
        <f t="shared" si="35"/>
        <v>66.36</v>
      </c>
      <c r="AE33" s="466">
        <f t="shared" si="36"/>
        <v>265.16000000000003</v>
      </c>
      <c r="AF33" s="466">
        <f t="shared" si="37"/>
        <v>133</v>
      </c>
      <c r="AG33" s="466">
        <f t="shared" si="38"/>
        <v>331.8</v>
      </c>
      <c r="AH33" s="466">
        <f t="shared" si="39"/>
        <v>199.36</v>
      </c>
      <c r="AI33" s="466">
        <f t="shared" si="40"/>
        <v>398.16</v>
      </c>
      <c r="AJ33" s="466">
        <f t="shared" si="41"/>
        <v>0</v>
      </c>
      <c r="AK33" s="466">
        <f t="shared" si="42"/>
        <v>198.8</v>
      </c>
      <c r="AL33" s="466">
        <f t="shared" si="43"/>
        <v>66.36</v>
      </c>
      <c r="AM33" s="466">
        <f t="shared" si="44"/>
        <v>265.16000000000003</v>
      </c>
      <c r="AN33" s="466">
        <f t="shared" si="45"/>
        <v>133</v>
      </c>
      <c r="AO33" s="466">
        <f t="shared" si="46"/>
        <v>331.8</v>
      </c>
      <c r="AP33" s="466">
        <f t="shared" si="47"/>
        <v>199.36</v>
      </c>
      <c r="AQ33" s="466">
        <f t="shared" si="48"/>
        <v>398.16</v>
      </c>
      <c r="AR33" s="466">
        <f t="shared" si="49"/>
        <v>512</v>
      </c>
      <c r="AS33" s="466">
        <f t="shared" si="50"/>
        <v>710.8</v>
      </c>
      <c r="AT33" s="466">
        <f t="shared" si="51"/>
        <v>578.36</v>
      </c>
      <c r="AU33" s="466">
        <f t="shared" si="52"/>
        <v>777.16000000000008</v>
      </c>
      <c r="AV33" s="466">
        <f t="shared" si="53"/>
        <v>645</v>
      </c>
      <c r="AW33" s="466">
        <f t="shared" si="54"/>
        <v>843.8</v>
      </c>
      <c r="AX33" s="466">
        <f t="shared" si="55"/>
        <v>711.36</v>
      </c>
      <c r="AY33" s="466">
        <f t="shared" si="56"/>
        <v>910.16000000000008</v>
      </c>
      <c r="AZ33" s="466">
        <f t="shared" si="57"/>
        <v>512</v>
      </c>
      <c r="BA33" s="466">
        <f t="shared" si="58"/>
        <v>710.8</v>
      </c>
      <c r="BB33" s="466">
        <f t="shared" si="59"/>
        <v>578.36</v>
      </c>
      <c r="BC33" s="466">
        <f t="shared" si="60"/>
        <v>777.16000000000008</v>
      </c>
      <c r="BD33" s="466">
        <f t="shared" si="61"/>
        <v>645</v>
      </c>
      <c r="BE33" s="466">
        <f t="shared" si="62"/>
        <v>843.8</v>
      </c>
      <c r="BF33" s="466">
        <f t="shared" si="63"/>
        <v>711.36</v>
      </c>
      <c r="BG33" s="466">
        <f t="shared" si="64"/>
        <v>910.16000000000008</v>
      </c>
    </row>
    <row r="34" spans="1:59">
      <c r="A34" s="212" t="s">
        <v>5316</v>
      </c>
      <c r="B34" s="230">
        <v>644924846</v>
      </c>
      <c r="C34" s="209" t="s">
        <v>61</v>
      </c>
      <c r="D34" s="209">
        <v>40</v>
      </c>
      <c r="F34" s="238" t="str" cm="1">
        <f t="array" aca="1" ref="F34" ca="1">MID(met2utc(PEPSSI_Commanding[[#This Row],[MET]]),3,15)</f>
        <v>26-179/03:55:30</v>
      </c>
      <c r="G34" s="212" t="str">
        <f t="shared" si="15"/>
        <v>N2+40</v>
      </c>
      <c r="H34" s="213">
        <f t="shared" si="16"/>
        <v>644923315</v>
      </c>
      <c r="I34" s="213">
        <f t="shared" si="17"/>
        <v>644924995</v>
      </c>
      <c r="J34" s="212">
        <f t="shared" si="18"/>
        <v>6</v>
      </c>
      <c r="K34" s="212">
        <f t="shared" si="19"/>
        <v>4</v>
      </c>
      <c r="M34" s="209">
        <f t="shared" si="20"/>
        <v>10</v>
      </c>
      <c r="N34" s="209">
        <f t="shared" si="21"/>
        <v>40</v>
      </c>
      <c r="O34" s="209">
        <f t="shared" si="22"/>
        <v>300</v>
      </c>
      <c r="P34" s="209">
        <f t="shared" si="23"/>
        <v>1</v>
      </c>
      <c r="Q34" s="209" t="str">
        <f t="shared" si="24"/>
        <v/>
      </c>
      <c r="R34" s="209" t="str">
        <f t="shared" si="25"/>
        <v/>
      </c>
      <c r="S34" s="209" t="str">
        <f t="shared" si="26"/>
        <v/>
      </c>
      <c r="U34" s="466">
        <f t="shared" si="27"/>
        <v>0</v>
      </c>
      <c r="V34" s="466">
        <f t="shared" si="28"/>
        <v>0</v>
      </c>
      <c r="W34" s="466">
        <f t="shared" si="29"/>
        <v>512</v>
      </c>
      <c r="X34" s="466">
        <f t="shared" si="30"/>
        <v>198.8</v>
      </c>
      <c r="Y34" s="466">
        <f t="shared" si="31"/>
        <v>33.25</v>
      </c>
      <c r="Z34" s="466">
        <f t="shared" si="32"/>
        <v>33.25</v>
      </c>
      <c r="AA34" s="466">
        <f t="shared" si="33"/>
        <v>66.36</v>
      </c>
      <c r="AB34" s="242"/>
      <c r="AC34" s="466">
        <f t="shared" si="34"/>
        <v>198.8</v>
      </c>
      <c r="AD34" s="466">
        <f t="shared" si="35"/>
        <v>66.36</v>
      </c>
      <c r="AE34" s="466">
        <f t="shared" si="36"/>
        <v>265.16000000000003</v>
      </c>
      <c r="AF34" s="466">
        <f t="shared" si="37"/>
        <v>33.25</v>
      </c>
      <c r="AG34" s="466">
        <f t="shared" si="38"/>
        <v>232.05</v>
      </c>
      <c r="AH34" s="466">
        <f t="shared" si="39"/>
        <v>99.61</v>
      </c>
      <c r="AI34" s="466">
        <f t="shared" si="40"/>
        <v>298.41000000000003</v>
      </c>
      <c r="AJ34" s="466">
        <f t="shared" si="41"/>
        <v>0</v>
      </c>
      <c r="AK34" s="466">
        <f t="shared" si="42"/>
        <v>198.8</v>
      </c>
      <c r="AL34" s="466">
        <f t="shared" si="43"/>
        <v>66.36</v>
      </c>
      <c r="AM34" s="466">
        <f t="shared" si="44"/>
        <v>265.16000000000003</v>
      </c>
      <c r="AN34" s="466">
        <f t="shared" si="45"/>
        <v>33.25</v>
      </c>
      <c r="AO34" s="466">
        <f t="shared" si="46"/>
        <v>232.05</v>
      </c>
      <c r="AP34" s="466">
        <f t="shared" si="47"/>
        <v>99.61</v>
      </c>
      <c r="AQ34" s="466">
        <f t="shared" si="48"/>
        <v>298.41000000000003</v>
      </c>
      <c r="AR34" s="466">
        <f t="shared" si="49"/>
        <v>512</v>
      </c>
      <c r="AS34" s="466">
        <f t="shared" si="50"/>
        <v>710.8</v>
      </c>
      <c r="AT34" s="466">
        <f t="shared" si="51"/>
        <v>578.36</v>
      </c>
      <c r="AU34" s="466">
        <f t="shared" si="52"/>
        <v>777.16000000000008</v>
      </c>
      <c r="AV34" s="466">
        <f t="shared" si="53"/>
        <v>545.25</v>
      </c>
      <c r="AW34" s="466">
        <f t="shared" si="54"/>
        <v>744.05</v>
      </c>
      <c r="AX34" s="466">
        <f t="shared" si="55"/>
        <v>611.61</v>
      </c>
      <c r="AY34" s="466">
        <f t="shared" si="56"/>
        <v>810.41000000000008</v>
      </c>
      <c r="AZ34" s="466">
        <f t="shared" si="57"/>
        <v>512</v>
      </c>
      <c r="BA34" s="466">
        <f t="shared" si="58"/>
        <v>710.8</v>
      </c>
      <c r="BB34" s="466">
        <f t="shared" si="59"/>
        <v>578.36</v>
      </c>
      <c r="BC34" s="466">
        <f t="shared" si="60"/>
        <v>777.16000000000008</v>
      </c>
      <c r="BD34" s="466">
        <f t="shared" si="61"/>
        <v>545.25</v>
      </c>
      <c r="BE34" s="466">
        <f t="shared" si="62"/>
        <v>744.05</v>
      </c>
      <c r="BF34" s="466">
        <f t="shared" si="63"/>
        <v>611.61</v>
      </c>
      <c r="BG34" s="466">
        <f t="shared" si="64"/>
        <v>810.41000000000008</v>
      </c>
    </row>
    <row r="35" spans="1:59">
      <c r="A35" s="212" t="s">
        <v>5316</v>
      </c>
      <c r="B35" s="230">
        <v>644924847</v>
      </c>
      <c r="C35" s="209" t="s">
        <v>58</v>
      </c>
      <c r="D35" s="209">
        <v>7200</v>
      </c>
      <c r="F35" s="238" t="str" cm="1">
        <f t="array" aca="1" ref="F35" ca="1">MID(met2utc(PEPSSI_Commanding[[#This Row],[MET]]),3,15)</f>
        <v>26-179/03:55:31</v>
      </c>
      <c r="G35" s="212" t="str">
        <f t="shared" si="15"/>
        <v>N3+7200</v>
      </c>
      <c r="H35" s="213">
        <f t="shared" si="16"/>
        <v>644923315</v>
      </c>
      <c r="I35" s="213">
        <f t="shared" si="17"/>
        <v>644924995</v>
      </c>
      <c r="J35" s="212">
        <f t="shared" si="18"/>
        <v>7</v>
      </c>
      <c r="K35" s="212">
        <f t="shared" si="19"/>
        <v>3</v>
      </c>
      <c r="M35" s="209">
        <f t="shared" si="20"/>
        <v>10</v>
      </c>
      <c r="N35" s="209">
        <f t="shared" si="21"/>
        <v>40</v>
      </c>
      <c r="O35" s="209">
        <f t="shared" si="22"/>
        <v>7200</v>
      </c>
      <c r="P35" s="209">
        <f t="shared" si="23"/>
        <v>1</v>
      </c>
      <c r="Q35" s="209" t="str">
        <f t="shared" si="24"/>
        <v/>
      </c>
      <c r="R35" s="209" t="str">
        <f t="shared" si="25"/>
        <v/>
      </c>
      <c r="S35" s="209" t="str">
        <f t="shared" si="26"/>
        <v/>
      </c>
      <c r="U35" s="466">
        <f t="shared" si="27"/>
        <v>0</v>
      </c>
      <c r="V35" s="466">
        <f t="shared" si="28"/>
        <v>0</v>
      </c>
      <c r="W35" s="466">
        <f t="shared" si="29"/>
        <v>512</v>
      </c>
      <c r="X35" s="466">
        <f t="shared" si="30"/>
        <v>198.8</v>
      </c>
      <c r="Y35" s="466">
        <f t="shared" si="31"/>
        <v>33.25</v>
      </c>
      <c r="Z35" s="466">
        <f t="shared" si="32"/>
        <v>33.25</v>
      </c>
      <c r="AA35" s="466">
        <f t="shared" si="33"/>
        <v>2.7650000000000001</v>
      </c>
      <c r="AB35" s="242"/>
      <c r="AC35" s="466">
        <f t="shared" si="34"/>
        <v>198.8</v>
      </c>
      <c r="AD35" s="466">
        <f t="shared" si="35"/>
        <v>2.7650000000000001</v>
      </c>
      <c r="AE35" s="466">
        <f t="shared" si="36"/>
        <v>201.565</v>
      </c>
      <c r="AF35" s="466">
        <f t="shared" si="37"/>
        <v>33.25</v>
      </c>
      <c r="AG35" s="466">
        <f t="shared" si="38"/>
        <v>232.05</v>
      </c>
      <c r="AH35" s="466">
        <f t="shared" si="39"/>
        <v>36.015000000000001</v>
      </c>
      <c r="AI35" s="466">
        <f t="shared" si="40"/>
        <v>234.815</v>
      </c>
      <c r="AJ35" s="466">
        <f t="shared" si="41"/>
        <v>0</v>
      </c>
      <c r="AK35" s="466">
        <f t="shared" si="42"/>
        <v>198.8</v>
      </c>
      <c r="AL35" s="466">
        <f t="shared" si="43"/>
        <v>2.7650000000000001</v>
      </c>
      <c r="AM35" s="466">
        <f t="shared" si="44"/>
        <v>201.565</v>
      </c>
      <c r="AN35" s="466">
        <f t="shared" si="45"/>
        <v>33.25</v>
      </c>
      <c r="AO35" s="466">
        <f t="shared" si="46"/>
        <v>232.05</v>
      </c>
      <c r="AP35" s="466">
        <f t="shared" si="47"/>
        <v>36.015000000000001</v>
      </c>
      <c r="AQ35" s="466">
        <f t="shared" si="48"/>
        <v>234.815</v>
      </c>
      <c r="AR35" s="466">
        <f t="shared" si="49"/>
        <v>512</v>
      </c>
      <c r="AS35" s="466">
        <f t="shared" si="50"/>
        <v>710.8</v>
      </c>
      <c r="AT35" s="466">
        <f t="shared" si="51"/>
        <v>514.76499999999999</v>
      </c>
      <c r="AU35" s="466">
        <f t="shared" si="52"/>
        <v>713.56500000000005</v>
      </c>
      <c r="AV35" s="466">
        <f t="shared" si="53"/>
        <v>545.25</v>
      </c>
      <c r="AW35" s="466">
        <f t="shared" si="54"/>
        <v>744.05</v>
      </c>
      <c r="AX35" s="466">
        <f t="shared" si="55"/>
        <v>548.01499999999999</v>
      </c>
      <c r="AY35" s="466">
        <f t="shared" si="56"/>
        <v>746.81500000000005</v>
      </c>
      <c r="AZ35" s="466">
        <f t="shared" si="57"/>
        <v>512</v>
      </c>
      <c r="BA35" s="466">
        <f t="shared" si="58"/>
        <v>710.8</v>
      </c>
      <c r="BB35" s="466">
        <f t="shared" si="59"/>
        <v>514.76499999999999</v>
      </c>
      <c r="BC35" s="466">
        <f t="shared" si="60"/>
        <v>713.56500000000005</v>
      </c>
      <c r="BD35" s="466">
        <f t="shared" si="61"/>
        <v>545.25</v>
      </c>
      <c r="BE35" s="466">
        <f t="shared" si="62"/>
        <v>744.05</v>
      </c>
      <c r="BF35" s="466">
        <f t="shared" si="63"/>
        <v>548.01499999999999</v>
      </c>
      <c r="BG35" s="466">
        <f t="shared" si="64"/>
        <v>746.81500000000005</v>
      </c>
    </row>
    <row r="36" spans="1:59">
      <c r="A36" s="212" t="s">
        <v>5316</v>
      </c>
      <c r="B36" s="230">
        <v>644924848</v>
      </c>
      <c r="C36" s="209" t="s">
        <v>1</v>
      </c>
      <c r="D36" s="209">
        <v>3600</v>
      </c>
      <c r="F36" s="238" t="str" cm="1">
        <f t="array" aca="1" ref="F36" ca="1">MID(met2utc(PEPSSI_Commanding[[#This Row],[MET]]),3,15)</f>
        <v>26-179/03:55:32</v>
      </c>
      <c r="G36" s="212" t="str">
        <f t="shared" si="15"/>
        <v>N1+3600</v>
      </c>
      <c r="H36" s="213">
        <f t="shared" si="16"/>
        <v>644923315</v>
      </c>
      <c r="I36" s="213">
        <f t="shared" si="17"/>
        <v>644924995</v>
      </c>
      <c r="J36" s="212">
        <f t="shared" si="18"/>
        <v>8</v>
      </c>
      <c r="K36" s="212">
        <f t="shared" si="19"/>
        <v>2</v>
      </c>
      <c r="M36" s="209">
        <f t="shared" si="20"/>
        <v>3600</v>
      </c>
      <c r="N36" s="209">
        <f t="shared" si="21"/>
        <v>40</v>
      </c>
      <c r="O36" s="209">
        <f t="shared" si="22"/>
        <v>7200</v>
      </c>
      <c r="P36" s="209">
        <f t="shared" si="23"/>
        <v>1</v>
      </c>
      <c r="Q36" s="209" t="str">
        <f t="shared" si="24"/>
        <v/>
      </c>
      <c r="R36" s="209" t="str">
        <f t="shared" si="25"/>
        <v/>
      </c>
      <c r="S36" s="209" t="str">
        <f t="shared" si="26"/>
        <v/>
      </c>
      <c r="U36" s="466">
        <f t="shared" si="27"/>
        <v>0</v>
      </c>
      <c r="V36" s="466">
        <f t="shared" si="28"/>
        <v>0</v>
      </c>
      <c r="W36" s="466">
        <f t="shared" si="29"/>
        <v>512</v>
      </c>
      <c r="X36" s="466">
        <f t="shared" si="30"/>
        <v>0.55222222222222217</v>
      </c>
      <c r="Y36" s="466">
        <f t="shared" si="31"/>
        <v>33.25</v>
      </c>
      <c r="Z36" s="466">
        <f t="shared" si="32"/>
        <v>33.25</v>
      </c>
      <c r="AA36" s="466">
        <f t="shared" si="33"/>
        <v>2.7650000000000001</v>
      </c>
      <c r="AB36" s="242"/>
      <c r="AC36" s="466">
        <f t="shared" si="34"/>
        <v>0.55222222222222217</v>
      </c>
      <c r="AD36" s="466">
        <f t="shared" si="35"/>
        <v>2.7650000000000001</v>
      </c>
      <c r="AE36" s="466">
        <f t="shared" si="36"/>
        <v>3.3172222222222221</v>
      </c>
      <c r="AF36" s="466">
        <f t="shared" si="37"/>
        <v>33.25</v>
      </c>
      <c r="AG36" s="466">
        <f t="shared" si="38"/>
        <v>33.80222222222222</v>
      </c>
      <c r="AH36" s="466">
        <f t="shared" si="39"/>
        <v>36.015000000000001</v>
      </c>
      <c r="AI36" s="466">
        <f t="shared" si="40"/>
        <v>36.56722222222222</v>
      </c>
      <c r="AJ36" s="466">
        <f t="shared" si="41"/>
        <v>0</v>
      </c>
      <c r="AK36" s="466">
        <f t="shared" si="42"/>
        <v>0.55222222222222217</v>
      </c>
      <c r="AL36" s="466">
        <f t="shared" si="43"/>
        <v>2.7650000000000001</v>
      </c>
      <c r="AM36" s="466">
        <f t="shared" si="44"/>
        <v>3.3172222222222221</v>
      </c>
      <c r="AN36" s="466">
        <f t="shared" si="45"/>
        <v>33.25</v>
      </c>
      <c r="AO36" s="466">
        <f t="shared" si="46"/>
        <v>33.80222222222222</v>
      </c>
      <c r="AP36" s="466">
        <f t="shared" si="47"/>
        <v>36.015000000000001</v>
      </c>
      <c r="AQ36" s="466">
        <f t="shared" si="48"/>
        <v>36.56722222222222</v>
      </c>
      <c r="AR36" s="466">
        <f t="shared" si="49"/>
        <v>512</v>
      </c>
      <c r="AS36" s="466">
        <f t="shared" si="50"/>
        <v>512.55222222222221</v>
      </c>
      <c r="AT36" s="466">
        <f t="shared" si="51"/>
        <v>514.76499999999999</v>
      </c>
      <c r="AU36" s="466">
        <f t="shared" si="52"/>
        <v>515.3172222222222</v>
      </c>
      <c r="AV36" s="466">
        <f t="shared" si="53"/>
        <v>545.25</v>
      </c>
      <c r="AW36" s="466">
        <f t="shared" si="54"/>
        <v>545.80222222222221</v>
      </c>
      <c r="AX36" s="466">
        <f t="shared" si="55"/>
        <v>548.01499999999999</v>
      </c>
      <c r="AY36" s="466">
        <f t="shared" si="56"/>
        <v>548.5672222222222</v>
      </c>
      <c r="AZ36" s="466">
        <f t="shared" si="57"/>
        <v>512</v>
      </c>
      <c r="BA36" s="466">
        <f t="shared" si="58"/>
        <v>512.55222222222221</v>
      </c>
      <c r="BB36" s="466">
        <f t="shared" si="59"/>
        <v>514.76499999999999</v>
      </c>
      <c r="BC36" s="466">
        <f t="shared" si="60"/>
        <v>515.3172222222222</v>
      </c>
      <c r="BD36" s="466">
        <f t="shared" si="61"/>
        <v>545.25</v>
      </c>
      <c r="BE36" s="466">
        <f t="shared" si="62"/>
        <v>545.80222222222221</v>
      </c>
      <c r="BF36" s="466">
        <f t="shared" si="63"/>
        <v>548.01499999999999</v>
      </c>
      <c r="BG36" s="466">
        <f t="shared" si="64"/>
        <v>548.5672222222222</v>
      </c>
    </row>
    <row r="37" spans="1:59">
      <c r="A37" s="212" t="s">
        <v>5317</v>
      </c>
      <c r="B37" s="230">
        <v>644924849</v>
      </c>
      <c r="C37" s="209" t="s">
        <v>5284</v>
      </c>
      <c r="D37" s="209">
        <v>300</v>
      </c>
      <c r="F37" s="238" t="str" cm="1">
        <f t="array" aca="1" ref="F37" ca="1">MID(met2utc(PEPSSI_Commanding[[#This Row],[MET]]),3,15)</f>
        <v>26-179/03:55:33</v>
      </c>
      <c r="G37" s="212" t="str">
        <f t="shared" si="15"/>
        <v>STAT+300</v>
      </c>
      <c r="H37" s="213">
        <f t="shared" si="16"/>
        <v>644923315</v>
      </c>
      <c r="I37" s="213">
        <f t="shared" si="17"/>
        <v>644924995</v>
      </c>
      <c r="J37" s="212">
        <f t="shared" si="18"/>
        <v>9</v>
      </c>
      <c r="K37" s="212">
        <f t="shared" si="19"/>
        <v>1</v>
      </c>
      <c r="M37" s="209">
        <f t="shared" si="20"/>
        <v>3600</v>
      </c>
      <c r="N37" s="209">
        <f t="shared" si="21"/>
        <v>40</v>
      </c>
      <c r="O37" s="209">
        <f t="shared" si="22"/>
        <v>7200</v>
      </c>
      <c r="P37" s="209">
        <f t="shared" si="23"/>
        <v>300</v>
      </c>
      <c r="Q37" s="209" t="str">
        <f t="shared" si="24"/>
        <v/>
      </c>
      <c r="R37" s="209" t="str">
        <f t="shared" si="25"/>
        <v/>
      </c>
      <c r="S37" s="209" t="str">
        <f t="shared" si="26"/>
        <v/>
      </c>
      <c r="U37" s="466">
        <f t="shared" si="27"/>
        <v>0</v>
      </c>
      <c r="V37" s="466">
        <f t="shared" si="28"/>
        <v>0</v>
      </c>
      <c r="W37" s="466">
        <f t="shared" si="29"/>
        <v>1.7066666666666668</v>
      </c>
      <c r="X37" s="466">
        <f t="shared" si="30"/>
        <v>0.55222222222222217</v>
      </c>
      <c r="Y37" s="466">
        <f t="shared" si="31"/>
        <v>33.25</v>
      </c>
      <c r="Z37" s="466">
        <f t="shared" si="32"/>
        <v>33.25</v>
      </c>
      <c r="AA37" s="466">
        <f t="shared" si="33"/>
        <v>2.7650000000000001</v>
      </c>
      <c r="AB37" s="242"/>
      <c r="AC37" s="466">
        <f t="shared" si="34"/>
        <v>0.55222222222222217</v>
      </c>
      <c r="AD37" s="466">
        <f t="shared" si="35"/>
        <v>2.7650000000000001</v>
      </c>
      <c r="AE37" s="466">
        <f t="shared" si="36"/>
        <v>3.3172222222222221</v>
      </c>
      <c r="AF37" s="466">
        <f t="shared" si="37"/>
        <v>33.25</v>
      </c>
      <c r="AG37" s="466">
        <f t="shared" si="38"/>
        <v>33.80222222222222</v>
      </c>
      <c r="AH37" s="466">
        <f t="shared" si="39"/>
        <v>36.015000000000001</v>
      </c>
      <c r="AI37" s="466">
        <f t="shared" si="40"/>
        <v>36.56722222222222</v>
      </c>
      <c r="AJ37" s="466">
        <f t="shared" si="41"/>
        <v>0</v>
      </c>
      <c r="AK37" s="466">
        <f t="shared" si="42"/>
        <v>0.55222222222222217</v>
      </c>
      <c r="AL37" s="466">
        <f t="shared" si="43"/>
        <v>2.7650000000000001</v>
      </c>
      <c r="AM37" s="466">
        <f t="shared" si="44"/>
        <v>3.3172222222222221</v>
      </c>
      <c r="AN37" s="466">
        <f t="shared" si="45"/>
        <v>33.25</v>
      </c>
      <c r="AO37" s="466">
        <f t="shared" si="46"/>
        <v>33.80222222222222</v>
      </c>
      <c r="AP37" s="466">
        <f t="shared" si="47"/>
        <v>36.015000000000001</v>
      </c>
      <c r="AQ37" s="466">
        <f t="shared" si="48"/>
        <v>36.56722222222222</v>
      </c>
      <c r="AR37" s="466">
        <f t="shared" si="49"/>
        <v>1.7066666666666668</v>
      </c>
      <c r="AS37" s="466">
        <f t="shared" si="50"/>
        <v>2.2588888888888889</v>
      </c>
      <c r="AT37" s="466">
        <f t="shared" si="51"/>
        <v>4.4716666666666667</v>
      </c>
      <c r="AU37" s="466">
        <f t="shared" si="52"/>
        <v>5.0238888888888891</v>
      </c>
      <c r="AV37" s="466">
        <f t="shared" si="53"/>
        <v>34.956666666666663</v>
      </c>
      <c r="AW37" s="466">
        <f t="shared" si="54"/>
        <v>35.508888888888883</v>
      </c>
      <c r="AX37" s="466">
        <f t="shared" si="55"/>
        <v>37.721666666666664</v>
      </c>
      <c r="AY37" s="466">
        <f t="shared" si="56"/>
        <v>38.273888888888884</v>
      </c>
      <c r="AZ37" s="466">
        <f t="shared" si="57"/>
        <v>1.7066666666666668</v>
      </c>
      <c r="BA37" s="466">
        <f t="shared" si="58"/>
        <v>2.2588888888888889</v>
      </c>
      <c r="BB37" s="466">
        <f t="shared" si="59"/>
        <v>4.4716666666666667</v>
      </c>
      <c r="BC37" s="466">
        <f t="shared" si="60"/>
        <v>5.0238888888888891</v>
      </c>
      <c r="BD37" s="466">
        <f t="shared" si="61"/>
        <v>34.956666666666663</v>
      </c>
      <c r="BE37" s="466">
        <f t="shared" si="62"/>
        <v>35.508888888888883</v>
      </c>
      <c r="BF37" s="466">
        <f t="shared" si="63"/>
        <v>37.721666666666664</v>
      </c>
      <c r="BG37" s="466">
        <f t="shared" si="64"/>
        <v>38.273888888888884</v>
      </c>
    </row>
    <row r="38" spans="1:59">
      <c r="A38" s="212" t="s">
        <v>5316</v>
      </c>
      <c r="B38" s="230">
        <v>644924995</v>
      </c>
      <c r="C38" s="209" t="s">
        <v>61</v>
      </c>
      <c r="D38" s="209">
        <v>360</v>
      </c>
      <c r="F38" s="238" t="str" cm="1">
        <f t="array" aca="1" ref="F38" ca="1">MID(met2utc(PEPSSI_Commanding[[#This Row],[MET]]),3,15)</f>
        <v>26-179/03:57:59</v>
      </c>
      <c r="G38" s="212" t="str">
        <f t="shared" si="15"/>
        <v>N2+360</v>
      </c>
      <c r="H38" s="213">
        <f t="shared" si="16"/>
        <v>644924995</v>
      </c>
      <c r="I38" s="213">
        <f t="shared" si="17"/>
        <v>646883515</v>
      </c>
      <c r="J38" s="212">
        <f t="shared" si="18"/>
        <v>10</v>
      </c>
      <c r="K38" s="212">
        <f t="shared" si="19"/>
        <v>7</v>
      </c>
      <c r="M38" s="209">
        <f t="shared" si="20"/>
        <v>3600</v>
      </c>
      <c r="N38" s="209">
        <f t="shared" si="21"/>
        <v>360</v>
      </c>
      <c r="O38" s="209">
        <f t="shared" si="22"/>
        <v>7200</v>
      </c>
      <c r="P38" s="209">
        <f t="shared" si="23"/>
        <v>300</v>
      </c>
      <c r="Q38" s="209" t="str">
        <f t="shared" si="24"/>
        <v/>
      </c>
      <c r="R38" s="209" t="str">
        <f t="shared" si="25"/>
        <v/>
      </c>
      <c r="S38" s="209" t="str">
        <f t="shared" si="26"/>
        <v/>
      </c>
      <c r="U38" s="466">
        <f t="shared" si="27"/>
        <v>0</v>
      </c>
      <c r="V38" s="466">
        <f t="shared" si="28"/>
        <v>0</v>
      </c>
      <c r="W38" s="466">
        <f t="shared" si="29"/>
        <v>1.7066666666666668</v>
      </c>
      <c r="X38" s="466">
        <f t="shared" si="30"/>
        <v>0.55222222222222217</v>
      </c>
      <c r="Y38" s="466">
        <f t="shared" si="31"/>
        <v>3.6944444444444446</v>
      </c>
      <c r="Z38" s="466">
        <f t="shared" si="32"/>
        <v>3.6944444444444446</v>
      </c>
      <c r="AA38" s="466">
        <f t="shared" si="33"/>
        <v>2.7650000000000001</v>
      </c>
      <c r="AB38" s="242"/>
      <c r="AC38" s="466">
        <f t="shared" si="34"/>
        <v>0.55222222222222217</v>
      </c>
      <c r="AD38" s="466">
        <f t="shared" si="35"/>
        <v>2.7650000000000001</v>
      </c>
      <c r="AE38" s="466">
        <f t="shared" si="36"/>
        <v>3.3172222222222221</v>
      </c>
      <c r="AF38" s="466">
        <f t="shared" si="37"/>
        <v>3.6944444444444446</v>
      </c>
      <c r="AG38" s="466">
        <f t="shared" si="38"/>
        <v>4.246666666666667</v>
      </c>
      <c r="AH38" s="466">
        <f t="shared" si="39"/>
        <v>6.4594444444444452</v>
      </c>
      <c r="AI38" s="466">
        <f t="shared" si="40"/>
        <v>7.0116666666666676</v>
      </c>
      <c r="AJ38" s="466">
        <f t="shared" si="41"/>
        <v>0</v>
      </c>
      <c r="AK38" s="466">
        <f t="shared" si="42"/>
        <v>0.55222222222222217</v>
      </c>
      <c r="AL38" s="466">
        <f t="shared" si="43"/>
        <v>2.7650000000000001</v>
      </c>
      <c r="AM38" s="466">
        <f t="shared" si="44"/>
        <v>3.3172222222222221</v>
      </c>
      <c r="AN38" s="466">
        <f t="shared" si="45"/>
        <v>3.6944444444444446</v>
      </c>
      <c r="AO38" s="466">
        <f t="shared" si="46"/>
        <v>4.246666666666667</v>
      </c>
      <c r="AP38" s="466">
        <f t="shared" si="47"/>
        <v>6.4594444444444452</v>
      </c>
      <c r="AQ38" s="466">
        <f t="shared" si="48"/>
        <v>7.0116666666666676</v>
      </c>
      <c r="AR38" s="466">
        <f t="shared" si="49"/>
        <v>1.7066666666666668</v>
      </c>
      <c r="AS38" s="466">
        <f t="shared" si="50"/>
        <v>2.2588888888888889</v>
      </c>
      <c r="AT38" s="466">
        <f t="shared" si="51"/>
        <v>4.4716666666666667</v>
      </c>
      <c r="AU38" s="466">
        <f t="shared" si="52"/>
        <v>5.0238888888888891</v>
      </c>
      <c r="AV38" s="466">
        <f t="shared" si="53"/>
        <v>5.4011111111111116</v>
      </c>
      <c r="AW38" s="466">
        <f t="shared" si="54"/>
        <v>5.953333333333334</v>
      </c>
      <c r="AX38" s="466">
        <f t="shared" si="55"/>
        <v>8.1661111111111122</v>
      </c>
      <c r="AY38" s="466">
        <f t="shared" si="56"/>
        <v>8.7183333333333337</v>
      </c>
      <c r="AZ38" s="466">
        <f t="shared" si="57"/>
        <v>1.7066666666666668</v>
      </c>
      <c r="BA38" s="466">
        <f t="shared" si="58"/>
        <v>2.2588888888888889</v>
      </c>
      <c r="BB38" s="466">
        <f t="shared" si="59"/>
        <v>4.4716666666666667</v>
      </c>
      <c r="BC38" s="466">
        <f t="shared" si="60"/>
        <v>5.0238888888888891</v>
      </c>
      <c r="BD38" s="466">
        <f t="shared" si="61"/>
        <v>5.4011111111111116</v>
      </c>
      <c r="BE38" s="466">
        <f t="shared" si="62"/>
        <v>5.953333333333334</v>
      </c>
      <c r="BF38" s="466">
        <f t="shared" si="63"/>
        <v>8.1661111111111122</v>
      </c>
      <c r="BG38" s="466">
        <f t="shared" si="64"/>
        <v>8.7183333333333337</v>
      </c>
    </row>
    <row r="39" spans="1:59">
      <c r="A39" s="212" t="s">
        <v>5316</v>
      </c>
      <c r="B39" s="230">
        <v>644924998</v>
      </c>
      <c r="C39" s="209" t="s">
        <v>1</v>
      </c>
      <c r="D39" s="209">
        <v>360</v>
      </c>
      <c r="F39" s="238" t="str" cm="1">
        <f t="array" aca="1" ref="F39" ca="1">MID(met2utc(PEPSSI_Commanding[[#This Row],[MET]]),3,15)</f>
        <v>26-179/03:58:02</v>
      </c>
      <c r="G39" s="212" t="str">
        <f t="shared" si="15"/>
        <v>N1+360</v>
      </c>
      <c r="H39" s="213">
        <f t="shared" si="16"/>
        <v>644924995</v>
      </c>
      <c r="I39" s="213">
        <f t="shared" si="17"/>
        <v>646883515</v>
      </c>
      <c r="J39" s="212">
        <f t="shared" si="18"/>
        <v>11</v>
      </c>
      <c r="K39" s="212">
        <f t="shared" si="19"/>
        <v>6</v>
      </c>
      <c r="M39" s="209">
        <f t="shared" si="20"/>
        <v>360</v>
      </c>
      <c r="N39" s="209">
        <f t="shared" si="21"/>
        <v>360</v>
      </c>
      <c r="O39" s="209">
        <f t="shared" si="22"/>
        <v>7200</v>
      </c>
      <c r="P39" s="209">
        <f t="shared" si="23"/>
        <v>300</v>
      </c>
      <c r="Q39" s="209" t="str">
        <f t="shared" si="24"/>
        <v/>
      </c>
      <c r="R39" s="209" t="str">
        <f t="shared" si="25"/>
        <v/>
      </c>
      <c r="S39" s="209" t="str">
        <f t="shared" si="26"/>
        <v/>
      </c>
      <c r="U39" s="466">
        <f t="shared" si="27"/>
        <v>0</v>
      </c>
      <c r="V39" s="466">
        <f t="shared" si="28"/>
        <v>0</v>
      </c>
      <c r="W39" s="466">
        <f t="shared" si="29"/>
        <v>1.7066666666666668</v>
      </c>
      <c r="X39" s="466">
        <f t="shared" si="30"/>
        <v>5.5222222222222221</v>
      </c>
      <c r="Y39" s="466">
        <f t="shared" si="31"/>
        <v>3.6944444444444446</v>
      </c>
      <c r="Z39" s="466">
        <f t="shared" si="32"/>
        <v>3.6944444444444446</v>
      </c>
      <c r="AA39" s="466">
        <f t="shared" si="33"/>
        <v>2.7650000000000001</v>
      </c>
      <c r="AB39" s="242"/>
      <c r="AC39" s="466">
        <f t="shared" si="34"/>
        <v>5.5222222222222221</v>
      </c>
      <c r="AD39" s="466">
        <f t="shared" si="35"/>
        <v>2.7650000000000001</v>
      </c>
      <c r="AE39" s="466">
        <f t="shared" si="36"/>
        <v>8.2872222222222227</v>
      </c>
      <c r="AF39" s="466">
        <f t="shared" si="37"/>
        <v>3.6944444444444446</v>
      </c>
      <c r="AG39" s="466">
        <f t="shared" si="38"/>
        <v>9.2166666666666668</v>
      </c>
      <c r="AH39" s="466">
        <f t="shared" si="39"/>
        <v>6.4594444444444452</v>
      </c>
      <c r="AI39" s="466">
        <f t="shared" si="40"/>
        <v>11.981666666666667</v>
      </c>
      <c r="AJ39" s="466">
        <f t="shared" si="41"/>
        <v>0</v>
      </c>
      <c r="AK39" s="466">
        <f t="shared" si="42"/>
        <v>5.5222222222222221</v>
      </c>
      <c r="AL39" s="466">
        <f t="shared" si="43"/>
        <v>2.7650000000000001</v>
      </c>
      <c r="AM39" s="466">
        <f t="shared" si="44"/>
        <v>8.2872222222222227</v>
      </c>
      <c r="AN39" s="466">
        <f t="shared" si="45"/>
        <v>3.6944444444444446</v>
      </c>
      <c r="AO39" s="466">
        <f t="shared" si="46"/>
        <v>9.2166666666666668</v>
      </c>
      <c r="AP39" s="466">
        <f t="shared" si="47"/>
        <v>6.4594444444444452</v>
      </c>
      <c r="AQ39" s="466">
        <f t="shared" si="48"/>
        <v>11.981666666666667</v>
      </c>
      <c r="AR39" s="466">
        <f t="shared" si="49"/>
        <v>1.7066666666666668</v>
      </c>
      <c r="AS39" s="466">
        <f t="shared" si="50"/>
        <v>7.2288888888888891</v>
      </c>
      <c r="AT39" s="466">
        <f t="shared" si="51"/>
        <v>4.4716666666666667</v>
      </c>
      <c r="AU39" s="466">
        <f t="shared" si="52"/>
        <v>9.9938888888888897</v>
      </c>
      <c r="AV39" s="466">
        <f t="shared" si="53"/>
        <v>5.4011111111111116</v>
      </c>
      <c r="AW39" s="466">
        <f t="shared" si="54"/>
        <v>10.923333333333334</v>
      </c>
      <c r="AX39" s="466">
        <f t="shared" si="55"/>
        <v>8.1661111111111122</v>
      </c>
      <c r="AY39" s="466">
        <f t="shared" si="56"/>
        <v>13.688333333333334</v>
      </c>
      <c r="AZ39" s="466">
        <f t="shared" si="57"/>
        <v>1.7066666666666668</v>
      </c>
      <c r="BA39" s="466">
        <f t="shared" si="58"/>
        <v>7.2288888888888891</v>
      </c>
      <c r="BB39" s="466">
        <f t="shared" si="59"/>
        <v>4.4716666666666667</v>
      </c>
      <c r="BC39" s="466">
        <f t="shared" si="60"/>
        <v>9.9938888888888897</v>
      </c>
      <c r="BD39" s="466">
        <f t="shared" si="61"/>
        <v>5.4011111111111116</v>
      </c>
      <c r="BE39" s="466">
        <f t="shared" si="62"/>
        <v>10.923333333333334</v>
      </c>
      <c r="BF39" s="466">
        <f t="shared" si="63"/>
        <v>8.1661111111111122</v>
      </c>
      <c r="BG39" s="466">
        <f t="shared" si="64"/>
        <v>13.688333333333334</v>
      </c>
    </row>
    <row r="40" spans="1:59">
      <c r="A40" s="212" t="s">
        <v>5316</v>
      </c>
      <c r="B40" s="230">
        <v>644925001</v>
      </c>
      <c r="C40" s="209" t="s">
        <v>58</v>
      </c>
      <c r="D40" s="209">
        <v>900</v>
      </c>
      <c r="F40" s="238" t="str" cm="1">
        <f t="array" aca="1" ref="F40" ca="1">MID(met2utc(PEPSSI_Commanding[[#This Row],[MET]]),3,15)</f>
        <v>26-179/03:58:05</v>
      </c>
      <c r="G40" s="212" t="str">
        <f t="shared" si="15"/>
        <v>N3+900</v>
      </c>
      <c r="H40" s="213">
        <f t="shared" si="16"/>
        <v>644924995</v>
      </c>
      <c r="I40" s="213">
        <f t="shared" si="17"/>
        <v>646883515</v>
      </c>
      <c r="J40" s="212">
        <f t="shared" si="18"/>
        <v>12</v>
      </c>
      <c r="K40" s="212">
        <f t="shared" si="19"/>
        <v>5</v>
      </c>
      <c r="M40" s="209">
        <f t="shared" si="20"/>
        <v>360</v>
      </c>
      <c r="N40" s="209">
        <f t="shared" si="21"/>
        <v>360</v>
      </c>
      <c r="O40" s="209">
        <f t="shared" si="22"/>
        <v>900</v>
      </c>
      <c r="P40" s="209">
        <f t="shared" si="23"/>
        <v>300</v>
      </c>
      <c r="Q40" s="209" t="str">
        <f t="shared" si="24"/>
        <v/>
      </c>
      <c r="R40" s="209" t="str">
        <f t="shared" si="25"/>
        <v/>
      </c>
      <c r="S40" s="209" t="str">
        <f t="shared" si="26"/>
        <v/>
      </c>
      <c r="U40" s="466">
        <f t="shared" si="27"/>
        <v>0</v>
      </c>
      <c r="V40" s="466">
        <f t="shared" si="28"/>
        <v>0</v>
      </c>
      <c r="W40" s="466">
        <f t="shared" si="29"/>
        <v>1.7066666666666668</v>
      </c>
      <c r="X40" s="466">
        <f t="shared" si="30"/>
        <v>5.5222222222222221</v>
      </c>
      <c r="Y40" s="466">
        <f t="shared" si="31"/>
        <v>3.6944444444444446</v>
      </c>
      <c r="Z40" s="466">
        <f t="shared" si="32"/>
        <v>3.6944444444444446</v>
      </c>
      <c r="AA40" s="466">
        <f t="shared" si="33"/>
        <v>22.12</v>
      </c>
      <c r="AB40" s="242"/>
      <c r="AC40" s="466">
        <f t="shared" si="34"/>
        <v>5.5222222222222221</v>
      </c>
      <c r="AD40" s="466">
        <f t="shared" si="35"/>
        <v>22.12</v>
      </c>
      <c r="AE40" s="466">
        <f t="shared" si="36"/>
        <v>27.642222222222223</v>
      </c>
      <c r="AF40" s="466">
        <f t="shared" si="37"/>
        <v>3.6944444444444446</v>
      </c>
      <c r="AG40" s="466">
        <f t="shared" si="38"/>
        <v>9.2166666666666668</v>
      </c>
      <c r="AH40" s="466">
        <f t="shared" si="39"/>
        <v>25.814444444444447</v>
      </c>
      <c r="AI40" s="466">
        <f t="shared" si="40"/>
        <v>31.33666666666667</v>
      </c>
      <c r="AJ40" s="466">
        <f t="shared" si="41"/>
        <v>0</v>
      </c>
      <c r="AK40" s="466">
        <f t="shared" si="42"/>
        <v>5.5222222222222221</v>
      </c>
      <c r="AL40" s="466">
        <f t="shared" si="43"/>
        <v>22.12</v>
      </c>
      <c r="AM40" s="466">
        <f t="shared" si="44"/>
        <v>27.642222222222223</v>
      </c>
      <c r="AN40" s="466">
        <f t="shared" si="45"/>
        <v>3.6944444444444446</v>
      </c>
      <c r="AO40" s="466">
        <f t="shared" si="46"/>
        <v>9.2166666666666668</v>
      </c>
      <c r="AP40" s="466">
        <f t="shared" si="47"/>
        <v>25.814444444444447</v>
      </c>
      <c r="AQ40" s="466">
        <f t="shared" si="48"/>
        <v>31.33666666666667</v>
      </c>
      <c r="AR40" s="466">
        <f t="shared" si="49"/>
        <v>1.7066666666666668</v>
      </c>
      <c r="AS40" s="466">
        <f t="shared" si="50"/>
        <v>7.2288888888888891</v>
      </c>
      <c r="AT40" s="466">
        <f t="shared" si="51"/>
        <v>23.826666666666668</v>
      </c>
      <c r="AU40" s="466">
        <f t="shared" si="52"/>
        <v>29.34888888888889</v>
      </c>
      <c r="AV40" s="466">
        <f t="shared" si="53"/>
        <v>5.4011111111111116</v>
      </c>
      <c r="AW40" s="466">
        <f t="shared" si="54"/>
        <v>10.923333333333334</v>
      </c>
      <c r="AX40" s="466">
        <f t="shared" si="55"/>
        <v>27.521111111111111</v>
      </c>
      <c r="AY40" s="466">
        <f t="shared" si="56"/>
        <v>33.043333333333337</v>
      </c>
      <c r="AZ40" s="466">
        <f t="shared" si="57"/>
        <v>1.7066666666666668</v>
      </c>
      <c r="BA40" s="466">
        <f t="shared" si="58"/>
        <v>7.2288888888888891</v>
      </c>
      <c r="BB40" s="466">
        <f t="shared" si="59"/>
        <v>23.826666666666668</v>
      </c>
      <c r="BC40" s="466">
        <f t="shared" si="60"/>
        <v>29.34888888888889</v>
      </c>
      <c r="BD40" s="466">
        <f t="shared" si="61"/>
        <v>5.4011111111111116</v>
      </c>
      <c r="BE40" s="466">
        <f t="shared" si="62"/>
        <v>10.923333333333334</v>
      </c>
      <c r="BF40" s="466">
        <f t="shared" si="63"/>
        <v>27.521111111111111</v>
      </c>
      <c r="BG40" s="466">
        <f t="shared" si="64"/>
        <v>33.043333333333337</v>
      </c>
    </row>
    <row r="41" spans="1:59">
      <c r="A41" s="212" t="s">
        <v>5317</v>
      </c>
      <c r="B41" s="230">
        <v>644925004</v>
      </c>
      <c r="C41" s="209" t="s">
        <v>5284</v>
      </c>
      <c r="D41" s="209">
        <v>1800</v>
      </c>
      <c r="F41" s="238" t="str" cm="1">
        <f t="array" aca="1" ref="F41" ca="1">MID(met2utc(PEPSSI_Commanding[[#This Row],[MET]]),3,15)</f>
        <v>26-179/03:58:08</v>
      </c>
      <c r="G41" s="212" t="str">
        <f t="shared" si="15"/>
        <v>STAT+1800</v>
      </c>
      <c r="H41" s="213">
        <f t="shared" si="16"/>
        <v>644924995</v>
      </c>
      <c r="I41" s="213">
        <f t="shared" si="17"/>
        <v>646883515</v>
      </c>
      <c r="J41" s="212">
        <f t="shared" si="18"/>
        <v>13</v>
      </c>
      <c r="K41" s="212">
        <f t="shared" si="19"/>
        <v>4</v>
      </c>
      <c r="M41" s="209">
        <f t="shared" si="20"/>
        <v>360</v>
      </c>
      <c r="N41" s="209">
        <f t="shared" si="21"/>
        <v>360</v>
      </c>
      <c r="O41" s="209">
        <f t="shared" si="22"/>
        <v>900</v>
      </c>
      <c r="P41" s="209">
        <f t="shared" si="23"/>
        <v>1800</v>
      </c>
      <c r="Q41" s="209" t="str">
        <f t="shared" si="24"/>
        <v/>
      </c>
      <c r="R41" s="209" t="str">
        <f t="shared" si="25"/>
        <v/>
      </c>
      <c r="S41" s="209" t="str">
        <f t="shared" si="26"/>
        <v/>
      </c>
      <c r="U41" s="466">
        <f t="shared" si="27"/>
        <v>0</v>
      </c>
      <c r="V41" s="466">
        <f t="shared" si="28"/>
        <v>0</v>
      </c>
      <c r="W41" s="466">
        <f t="shared" si="29"/>
        <v>0.28444444444444444</v>
      </c>
      <c r="X41" s="466">
        <f t="shared" si="30"/>
        <v>5.5222222222222221</v>
      </c>
      <c r="Y41" s="466">
        <f t="shared" si="31"/>
        <v>3.6944444444444446</v>
      </c>
      <c r="Z41" s="466">
        <f t="shared" si="32"/>
        <v>3.6944444444444446</v>
      </c>
      <c r="AA41" s="466">
        <f t="shared" si="33"/>
        <v>22.12</v>
      </c>
      <c r="AB41" s="242"/>
      <c r="AC41" s="466">
        <f t="shared" si="34"/>
        <v>5.5222222222222221</v>
      </c>
      <c r="AD41" s="466">
        <f t="shared" si="35"/>
        <v>22.12</v>
      </c>
      <c r="AE41" s="466">
        <f t="shared" si="36"/>
        <v>27.642222222222223</v>
      </c>
      <c r="AF41" s="466">
        <f t="shared" si="37"/>
        <v>3.6944444444444446</v>
      </c>
      <c r="AG41" s="466">
        <f t="shared" si="38"/>
        <v>9.2166666666666668</v>
      </c>
      <c r="AH41" s="466">
        <f t="shared" si="39"/>
        <v>25.814444444444447</v>
      </c>
      <c r="AI41" s="466">
        <f t="shared" si="40"/>
        <v>31.33666666666667</v>
      </c>
      <c r="AJ41" s="466">
        <f t="shared" si="41"/>
        <v>0</v>
      </c>
      <c r="AK41" s="466">
        <f t="shared" si="42"/>
        <v>5.5222222222222221</v>
      </c>
      <c r="AL41" s="466">
        <f t="shared" si="43"/>
        <v>22.12</v>
      </c>
      <c r="AM41" s="466">
        <f t="shared" si="44"/>
        <v>27.642222222222223</v>
      </c>
      <c r="AN41" s="466">
        <f t="shared" si="45"/>
        <v>3.6944444444444446</v>
      </c>
      <c r="AO41" s="466">
        <f t="shared" si="46"/>
        <v>9.2166666666666668</v>
      </c>
      <c r="AP41" s="466">
        <f t="shared" si="47"/>
        <v>25.814444444444447</v>
      </c>
      <c r="AQ41" s="466">
        <f t="shared" si="48"/>
        <v>31.33666666666667</v>
      </c>
      <c r="AR41" s="466">
        <f t="shared" si="49"/>
        <v>0.28444444444444444</v>
      </c>
      <c r="AS41" s="466">
        <f t="shared" si="50"/>
        <v>5.8066666666666666</v>
      </c>
      <c r="AT41" s="466">
        <f t="shared" si="51"/>
        <v>22.404444444444444</v>
      </c>
      <c r="AU41" s="466">
        <f t="shared" si="52"/>
        <v>27.926666666666666</v>
      </c>
      <c r="AV41" s="466">
        <f t="shared" si="53"/>
        <v>3.9788888888888891</v>
      </c>
      <c r="AW41" s="466">
        <f t="shared" si="54"/>
        <v>9.5011111111111113</v>
      </c>
      <c r="AX41" s="466">
        <f t="shared" si="55"/>
        <v>26.09888888888889</v>
      </c>
      <c r="AY41" s="466">
        <f t="shared" si="56"/>
        <v>31.621111111111112</v>
      </c>
      <c r="AZ41" s="466">
        <f t="shared" si="57"/>
        <v>0.28444444444444444</v>
      </c>
      <c r="BA41" s="466">
        <f t="shared" si="58"/>
        <v>5.8066666666666666</v>
      </c>
      <c r="BB41" s="466">
        <f t="shared" si="59"/>
        <v>22.404444444444444</v>
      </c>
      <c r="BC41" s="466">
        <f t="shared" si="60"/>
        <v>27.926666666666666</v>
      </c>
      <c r="BD41" s="466">
        <f t="shared" si="61"/>
        <v>3.9788888888888891</v>
      </c>
      <c r="BE41" s="466">
        <f t="shared" si="62"/>
        <v>9.5011111111111113</v>
      </c>
      <c r="BF41" s="466">
        <f t="shared" si="63"/>
        <v>26.09888888888889</v>
      </c>
      <c r="BG41" s="466">
        <f t="shared" si="64"/>
        <v>31.621111111111112</v>
      </c>
    </row>
    <row r="42" spans="1:59">
      <c r="A42" s="212" t="s">
        <v>5315</v>
      </c>
      <c r="B42" s="230">
        <v>644925055</v>
      </c>
      <c r="C42" s="209" t="s">
        <v>5285</v>
      </c>
      <c r="D42" s="209">
        <v>102</v>
      </c>
      <c r="F42" s="238" t="str" cm="1">
        <f t="array" aca="1" ref="F42" ca="1">MID(met2utc(PEPSSI_Commanding[[#This Row],[MET]]),3,15)</f>
        <v>26-179/03:58:59</v>
      </c>
      <c r="G42" s="212" t="str">
        <f t="shared" si="15"/>
        <v>MAC+102</v>
      </c>
      <c r="H42" s="213">
        <f t="shared" si="16"/>
        <v>644924995</v>
      </c>
      <c r="I42" s="213">
        <f t="shared" si="17"/>
        <v>646883515</v>
      </c>
      <c r="J42" s="212">
        <f t="shared" si="18"/>
        <v>14</v>
      </c>
      <c r="K42" s="212">
        <f t="shared" si="19"/>
        <v>3</v>
      </c>
      <c r="M42" s="209">
        <f t="shared" si="20"/>
        <v>360</v>
      </c>
      <c r="N42" s="209">
        <f t="shared" si="21"/>
        <v>360</v>
      </c>
      <c r="O42" s="209">
        <f t="shared" si="22"/>
        <v>900</v>
      </c>
      <c r="P42" s="209">
        <f t="shared" si="23"/>
        <v>1800</v>
      </c>
      <c r="Q42" s="209" t="str">
        <f t="shared" si="24"/>
        <v/>
      </c>
      <c r="R42" s="209" t="str">
        <f t="shared" si="25"/>
        <v/>
      </c>
      <c r="S42" s="209" t="str">
        <f t="shared" si="26"/>
        <v>102</v>
      </c>
      <c r="U42" s="466">
        <f t="shared" si="27"/>
        <v>0</v>
      </c>
      <c r="V42" s="466">
        <f t="shared" si="28"/>
        <v>0</v>
      </c>
      <c r="W42" s="466">
        <f t="shared" si="29"/>
        <v>0.28444444444444444</v>
      </c>
      <c r="X42" s="466">
        <f t="shared" si="30"/>
        <v>5.5222222222222221</v>
      </c>
      <c r="Y42" s="466">
        <f t="shared" si="31"/>
        <v>3.6944444444444446</v>
      </c>
      <c r="Z42" s="466">
        <f t="shared" si="32"/>
        <v>3.6944444444444446</v>
      </c>
      <c r="AA42" s="466">
        <f t="shared" si="33"/>
        <v>22.12</v>
      </c>
      <c r="AB42" s="242"/>
      <c r="AC42" s="466">
        <f t="shared" si="34"/>
        <v>5.5222222222222221</v>
      </c>
      <c r="AD42" s="466">
        <f t="shared" si="35"/>
        <v>22.12</v>
      </c>
      <c r="AE42" s="466">
        <f t="shared" si="36"/>
        <v>27.642222222222223</v>
      </c>
      <c r="AF42" s="466">
        <f t="shared" si="37"/>
        <v>3.6944444444444446</v>
      </c>
      <c r="AG42" s="466">
        <f t="shared" si="38"/>
        <v>9.2166666666666668</v>
      </c>
      <c r="AH42" s="466">
        <f t="shared" si="39"/>
        <v>25.814444444444447</v>
      </c>
      <c r="AI42" s="466">
        <f t="shared" si="40"/>
        <v>31.33666666666667</v>
      </c>
      <c r="AJ42" s="466">
        <f t="shared" si="41"/>
        <v>0</v>
      </c>
      <c r="AK42" s="466">
        <f t="shared" si="42"/>
        <v>5.5222222222222221</v>
      </c>
      <c r="AL42" s="466">
        <f t="shared" si="43"/>
        <v>22.12</v>
      </c>
      <c r="AM42" s="466">
        <f t="shared" si="44"/>
        <v>27.642222222222223</v>
      </c>
      <c r="AN42" s="466">
        <f t="shared" si="45"/>
        <v>3.6944444444444446</v>
      </c>
      <c r="AO42" s="466">
        <f t="shared" si="46"/>
        <v>9.2166666666666668</v>
      </c>
      <c r="AP42" s="466">
        <f t="shared" si="47"/>
        <v>25.814444444444447</v>
      </c>
      <c r="AQ42" s="466">
        <f t="shared" si="48"/>
        <v>31.33666666666667</v>
      </c>
      <c r="AR42" s="466">
        <f t="shared" si="49"/>
        <v>0.28444444444444444</v>
      </c>
      <c r="AS42" s="466">
        <f t="shared" si="50"/>
        <v>5.8066666666666666</v>
      </c>
      <c r="AT42" s="466">
        <f t="shared" si="51"/>
        <v>22.404444444444444</v>
      </c>
      <c r="AU42" s="466">
        <f t="shared" si="52"/>
        <v>27.926666666666666</v>
      </c>
      <c r="AV42" s="466">
        <f t="shared" si="53"/>
        <v>3.9788888888888891</v>
      </c>
      <c r="AW42" s="466">
        <f t="shared" si="54"/>
        <v>9.5011111111111113</v>
      </c>
      <c r="AX42" s="466">
        <f t="shared" si="55"/>
        <v>26.09888888888889</v>
      </c>
      <c r="AY42" s="466">
        <f t="shared" si="56"/>
        <v>31.621111111111112</v>
      </c>
      <c r="AZ42" s="466">
        <f t="shared" si="57"/>
        <v>0.28444444444444444</v>
      </c>
      <c r="BA42" s="466">
        <f t="shared" si="58"/>
        <v>5.8066666666666666</v>
      </c>
      <c r="BB42" s="466">
        <f t="shared" si="59"/>
        <v>22.404444444444444</v>
      </c>
      <c r="BC42" s="466">
        <f t="shared" si="60"/>
        <v>27.926666666666666</v>
      </c>
      <c r="BD42" s="466">
        <f t="shared" si="61"/>
        <v>3.9788888888888891</v>
      </c>
      <c r="BE42" s="466">
        <f t="shared" si="62"/>
        <v>9.5011111111111113</v>
      </c>
      <c r="BF42" s="466">
        <f t="shared" si="63"/>
        <v>26.09888888888889</v>
      </c>
      <c r="BG42" s="466">
        <f t="shared" si="64"/>
        <v>31.621111111111112</v>
      </c>
    </row>
    <row r="43" spans="1:59">
      <c r="A43" s="212" t="s">
        <v>5315</v>
      </c>
      <c r="B43" s="230">
        <v>644925655</v>
      </c>
      <c r="C43" s="209" t="s">
        <v>5285</v>
      </c>
      <c r="D43" s="209">
        <v>104</v>
      </c>
      <c r="F43" s="238" t="str" cm="1">
        <f t="array" aca="1" ref="F43" ca="1">MID(met2utc(PEPSSI_Commanding[[#This Row],[MET]]),3,15)</f>
        <v>26-179/04:08:59</v>
      </c>
      <c r="G43" s="212" t="str">
        <f t="shared" si="15"/>
        <v>MAC+104</v>
      </c>
      <c r="H43" s="213">
        <f t="shared" si="16"/>
        <v>644924995</v>
      </c>
      <c r="I43" s="213">
        <f t="shared" si="17"/>
        <v>646883515</v>
      </c>
      <c r="J43" s="212">
        <f t="shared" si="18"/>
        <v>15</v>
      </c>
      <c r="K43" s="212">
        <f t="shared" si="19"/>
        <v>2</v>
      </c>
      <c r="M43" s="209">
        <f t="shared" si="20"/>
        <v>360</v>
      </c>
      <c r="N43" s="209">
        <f t="shared" si="21"/>
        <v>2</v>
      </c>
      <c r="O43" s="209">
        <f t="shared" si="22"/>
        <v>900</v>
      </c>
      <c r="P43" s="209">
        <f t="shared" si="23"/>
        <v>1800</v>
      </c>
      <c r="Q43" s="209" t="str">
        <f t="shared" si="24"/>
        <v>disabled</v>
      </c>
      <c r="R43" s="209" t="str">
        <f t="shared" si="25"/>
        <v/>
      </c>
      <c r="S43" s="209" t="str">
        <f t="shared" si="26"/>
        <v>102</v>
      </c>
      <c r="U43" s="466">
        <f t="shared" si="27"/>
        <v>0</v>
      </c>
      <c r="V43" s="466">
        <f t="shared" si="28"/>
        <v>0</v>
      </c>
      <c r="W43" s="466">
        <f t="shared" si="29"/>
        <v>0.28444444444444444</v>
      </c>
      <c r="X43" s="466">
        <f t="shared" si="30"/>
        <v>5.5222222222222221</v>
      </c>
      <c r="Y43" s="466">
        <f t="shared" si="31"/>
        <v>0</v>
      </c>
      <c r="Z43" s="466">
        <f t="shared" si="32"/>
        <v>0</v>
      </c>
      <c r="AA43" s="466">
        <f t="shared" si="33"/>
        <v>22.12</v>
      </c>
      <c r="AB43" s="242"/>
      <c r="AC43" s="466">
        <f t="shared" si="34"/>
        <v>5.5222222222222221</v>
      </c>
      <c r="AD43" s="466">
        <f t="shared" si="35"/>
        <v>22.12</v>
      </c>
      <c r="AE43" s="466">
        <f t="shared" si="36"/>
        <v>27.642222222222223</v>
      </c>
      <c r="AF43" s="466">
        <f t="shared" si="37"/>
        <v>0</v>
      </c>
      <c r="AG43" s="466">
        <f t="shared" si="38"/>
        <v>5.5222222222222221</v>
      </c>
      <c r="AH43" s="466">
        <f t="shared" si="39"/>
        <v>22.12</v>
      </c>
      <c r="AI43" s="466">
        <f t="shared" si="40"/>
        <v>27.642222222222223</v>
      </c>
      <c r="AJ43" s="466">
        <f t="shared" si="41"/>
        <v>0</v>
      </c>
      <c r="AK43" s="466">
        <f t="shared" si="42"/>
        <v>5.5222222222222221</v>
      </c>
      <c r="AL43" s="466">
        <f t="shared" si="43"/>
        <v>22.12</v>
      </c>
      <c r="AM43" s="466">
        <f t="shared" si="44"/>
        <v>27.642222222222223</v>
      </c>
      <c r="AN43" s="466">
        <f t="shared" si="45"/>
        <v>0</v>
      </c>
      <c r="AO43" s="466">
        <f t="shared" si="46"/>
        <v>5.5222222222222221</v>
      </c>
      <c r="AP43" s="466">
        <f t="shared" si="47"/>
        <v>22.12</v>
      </c>
      <c r="AQ43" s="466">
        <f t="shared" si="48"/>
        <v>27.642222222222223</v>
      </c>
      <c r="AR43" s="466">
        <f t="shared" si="49"/>
        <v>0.28444444444444444</v>
      </c>
      <c r="AS43" s="466">
        <f t="shared" si="50"/>
        <v>5.8066666666666666</v>
      </c>
      <c r="AT43" s="466">
        <f t="shared" si="51"/>
        <v>22.404444444444444</v>
      </c>
      <c r="AU43" s="466">
        <f t="shared" si="52"/>
        <v>27.926666666666666</v>
      </c>
      <c r="AV43" s="466">
        <f t="shared" si="53"/>
        <v>0.28444444444444444</v>
      </c>
      <c r="AW43" s="466">
        <f t="shared" si="54"/>
        <v>5.8066666666666666</v>
      </c>
      <c r="AX43" s="466">
        <f t="shared" si="55"/>
        <v>22.404444444444444</v>
      </c>
      <c r="AY43" s="466">
        <f t="shared" si="56"/>
        <v>27.926666666666666</v>
      </c>
      <c r="AZ43" s="466">
        <f t="shared" si="57"/>
        <v>0.28444444444444444</v>
      </c>
      <c r="BA43" s="466">
        <f t="shared" si="58"/>
        <v>5.8066666666666666</v>
      </c>
      <c r="BB43" s="466">
        <f t="shared" si="59"/>
        <v>22.404444444444444</v>
      </c>
      <c r="BC43" s="466">
        <f t="shared" si="60"/>
        <v>27.926666666666666</v>
      </c>
      <c r="BD43" s="466">
        <f t="shared" si="61"/>
        <v>0.28444444444444444</v>
      </c>
      <c r="BE43" s="466">
        <f t="shared" si="62"/>
        <v>5.8066666666666666</v>
      </c>
      <c r="BF43" s="466">
        <f t="shared" si="63"/>
        <v>22.404444444444444</v>
      </c>
      <c r="BG43" s="466">
        <f t="shared" si="64"/>
        <v>27.926666666666666</v>
      </c>
    </row>
    <row r="44" spans="1:59">
      <c r="A44" s="212" t="s">
        <v>5315</v>
      </c>
      <c r="B44" s="230">
        <v>644926255</v>
      </c>
      <c r="C44" s="209" t="s">
        <v>5285</v>
      </c>
      <c r="D44" s="209">
        <v>105</v>
      </c>
      <c r="F44" s="238" t="str" cm="1">
        <f t="array" aca="1" ref="F44" ca="1">MID(met2utc(PEPSSI_Commanding[[#This Row],[MET]]),3,15)</f>
        <v>26-179/04:18:59</v>
      </c>
      <c r="G44" s="212" t="str">
        <f t="shared" si="15"/>
        <v>MAC+105</v>
      </c>
      <c r="H44" s="213">
        <f t="shared" si="16"/>
        <v>644924995</v>
      </c>
      <c r="I44" s="213">
        <f t="shared" si="17"/>
        <v>646883515</v>
      </c>
      <c r="J44" s="212">
        <f t="shared" si="18"/>
        <v>16</v>
      </c>
      <c r="K44" s="212">
        <f t="shared" si="19"/>
        <v>1</v>
      </c>
      <c r="M44" s="209">
        <f t="shared" si="20"/>
        <v>360</v>
      </c>
      <c r="N44" s="209">
        <f t="shared" si="21"/>
        <v>2</v>
      </c>
      <c r="O44" s="209">
        <f t="shared" si="22"/>
        <v>900</v>
      </c>
      <c r="P44" s="209">
        <f t="shared" si="23"/>
        <v>1800</v>
      </c>
      <c r="Q44" s="209" t="str">
        <f t="shared" si="24"/>
        <v/>
      </c>
      <c r="R44" s="209">
        <f t="shared" si="25"/>
        <v>300</v>
      </c>
      <c r="S44" s="209" t="str">
        <f t="shared" si="26"/>
        <v>102</v>
      </c>
      <c r="U44" s="466">
        <f t="shared" si="27"/>
        <v>4.40625</v>
      </c>
      <c r="V44" s="466">
        <f t="shared" si="28"/>
        <v>18.28125</v>
      </c>
      <c r="W44" s="466">
        <f t="shared" si="29"/>
        <v>0.28444444444444444</v>
      </c>
      <c r="X44" s="466">
        <f t="shared" si="30"/>
        <v>5.5222222222222221</v>
      </c>
      <c r="Y44" s="466">
        <f t="shared" si="31"/>
        <v>665</v>
      </c>
      <c r="Z44" s="466">
        <f t="shared" si="32"/>
        <v>4.6180555555555554</v>
      </c>
      <c r="AA44" s="466">
        <f t="shared" si="33"/>
        <v>22.12</v>
      </c>
      <c r="AB44" s="242"/>
      <c r="AC44" s="466">
        <f t="shared" si="34"/>
        <v>5.5222222222222221</v>
      </c>
      <c r="AD44" s="466">
        <f t="shared" si="35"/>
        <v>40.401250000000005</v>
      </c>
      <c r="AE44" s="466">
        <f t="shared" si="36"/>
        <v>45.92347222222223</v>
      </c>
      <c r="AF44" s="466">
        <f t="shared" si="37"/>
        <v>4.6180555555555554</v>
      </c>
      <c r="AG44" s="466">
        <f t="shared" si="38"/>
        <v>10.140277777777778</v>
      </c>
      <c r="AH44" s="466">
        <f t="shared" si="39"/>
        <v>45.019305555555562</v>
      </c>
      <c r="AI44" s="466">
        <f t="shared" si="40"/>
        <v>50.541527777777787</v>
      </c>
      <c r="AJ44" s="466">
        <f t="shared" si="41"/>
        <v>4.40625</v>
      </c>
      <c r="AK44" s="466">
        <f t="shared" si="42"/>
        <v>9.9284722222222221</v>
      </c>
      <c r="AL44" s="466">
        <f t="shared" si="43"/>
        <v>44.807500000000005</v>
      </c>
      <c r="AM44" s="466">
        <f t="shared" si="44"/>
        <v>50.32972222222223</v>
      </c>
      <c r="AN44" s="466">
        <f t="shared" si="45"/>
        <v>9.0243055555555554</v>
      </c>
      <c r="AO44" s="466">
        <f t="shared" si="46"/>
        <v>14.546527777777778</v>
      </c>
      <c r="AP44" s="466">
        <f t="shared" si="47"/>
        <v>49.425555555555562</v>
      </c>
      <c r="AQ44" s="466">
        <f t="shared" si="48"/>
        <v>54.947777777777787</v>
      </c>
      <c r="AR44" s="466">
        <f t="shared" si="49"/>
        <v>0.28444444444444444</v>
      </c>
      <c r="AS44" s="466">
        <f t="shared" si="50"/>
        <v>5.8066666666666666</v>
      </c>
      <c r="AT44" s="466">
        <f t="shared" si="51"/>
        <v>40.685694444444451</v>
      </c>
      <c r="AU44" s="466">
        <f t="shared" si="52"/>
        <v>46.207916666666677</v>
      </c>
      <c r="AV44" s="466">
        <f t="shared" si="53"/>
        <v>4.9024999999999999</v>
      </c>
      <c r="AW44" s="466">
        <f t="shared" si="54"/>
        <v>10.424722222222222</v>
      </c>
      <c r="AX44" s="466">
        <f t="shared" si="55"/>
        <v>45.303750000000008</v>
      </c>
      <c r="AY44" s="466">
        <f t="shared" si="56"/>
        <v>50.825972222222234</v>
      </c>
      <c r="AZ44" s="466">
        <f t="shared" si="57"/>
        <v>4.6906944444444445</v>
      </c>
      <c r="BA44" s="466">
        <f t="shared" si="58"/>
        <v>10.212916666666667</v>
      </c>
      <c r="BB44" s="466">
        <f t="shared" si="59"/>
        <v>45.091944444444451</v>
      </c>
      <c r="BC44" s="466">
        <f t="shared" si="60"/>
        <v>50.614166666666677</v>
      </c>
      <c r="BD44" s="466">
        <f t="shared" si="61"/>
        <v>9.3087499999999999</v>
      </c>
      <c r="BE44" s="466">
        <f t="shared" si="62"/>
        <v>14.830972222222222</v>
      </c>
      <c r="BF44" s="466">
        <f t="shared" si="63"/>
        <v>49.710000000000008</v>
      </c>
      <c r="BG44" s="466">
        <f t="shared" si="64"/>
        <v>55.232222222222234</v>
      </c>
    </row>
    <row r="45" spans="1:59">
      <c r="A45" s="212" t="s">
        <v>5315</v>
      </c>
      <c r="B45" s="230">
        <v>646883515</v>
      </c>
      <c r="C45" s="209" t="s">
        <v>5285</v>
      </c>
      <c r="D45" s="209">
        <v>111</v>
      </c>
      <c r="F45" s="238" t="str" cm="1">
        <f t="array" aca="1" ref="F45" ca="1">MID(met2utc(PEPSSI_Commanding[[#This Row],[MET]]),3,15)</f>
        <v>26-201/19:59:59</v>
      </c>
      <c r="G45" s="212" t="str">
        <f t="shared" si="15"/>
        <v>MAC+111</v>
      </c>
      <c r="H45" s="213">
        <f t="shared" si="16"/>
        <v>646883515</v>
      </c>
      <c r="I45" s="213">
        <f t="shared" si="17"/>
        <v>644923315</v>
      </c>
      <c r="J45" s="212">
        <f t="shared" si="18"/>
        <v>17</v>
      </c>
      <c r="K45" s="212">
        <f t="shared" si="19"/>
        <v>7</v>
      </c>
      <c r="M45" s="209">
        <f t="shared" si="20"/>
        <v>360</v>
      </c>
      <c r="N45" s="209">
        <f t="shared" si="21"/>
        <v>2</v>
      </c>
      <c r="O45" s="209">
        <f t="shared" si="22"/>
        <v>900</v>
      </c>
      <c r="P45" s="209">
        <f t="shared" si="23"/>
        <v>1800</v>
      </c>
      <c r="Q45" s="209" t="str">
        <f t="shared" si="24"/>
        <v>disabled</v>
      </c>
      <c r="R45" s="209" t="str">
        <f t="shared" si="25"/>
        <v/>
      </c>
      <c r="S45" s="209" t="str">
        <f t="shared" si="26"/>
        <v>102</v>
      </c>
      <c r="U45" s="466">
        <f t="shared" si="27"/>
        <v>0</v>
      </c>
      <c r="V45" s="466">
        <f t="shared" si="28"/>
        <v>0</v>
      </c>
      <c r="W45" s="466">
        <f t="shared" si="29"/>
        <v>0.28444444444444444</v>
      </c>
      <c r="X45" s="466">
        <f t="shared" si="30"/>
        <v>5.5222222222222221</v>
      </c>
      <c r="Y45" s="466">
        <f t="shared" si="31"/>
        <v>0</v>
      </c>
      <c r="Z45" s="466">
        <f t="shared" si="32"/>
        <v>0</v>
      </c>
      <c r="AA45" s="466">
        <f t="shared" si="33"/>
        <v>22.12</v>
      </c>
      <c r="AB45" s="242"/>
      <c r="AC45" s="466">
        <f t="shared" si="34"/>
        <v>5.5222222222222221</v>
      </c>
      <c r="AD45" s="466">
        <f t="shared" si="35"/>
        <v>22.12</v>
      </c>
      <c r="AE45" s="466">
        <f t="shared" si="36"/>
        <v>27.642222222222223</v>
      </c>
      <c r="AF45" s="466">
        <f t="shared" si="37"/>
        <v>0</v>
      </c>
      <c r="AG45" s="466">
        <f t="shared" si="38"/>
        <v>5.5222222222222221</v>
      </c>
      <c r="AH45" s="466">
        <f t="shared" si="39"/>
        <v>22.12</v>
      </c>
      <c r="AI45" s="466">
        <f t="shared" si="40"/>
        <v>27.642222222222223</v>
      </c>
      <c r="AJ45" s="466">
        <f t="shared" si="41"/>
        <v>0</v>
      </c>
      <c r="AK45" s="466">
        <f t="shared" si="42"/>
        <v>5.5222222222222221</v>
      </c>
      <c r="AL45" s="466">
        <f t="shared" si="43"/>
        <v>22.12</v>
      </c>
      <c r="AM45" s="466">
        <f t="shared" si="44"/>
        <v>27.642222222222223</v>
      </c>
      <c r="AN45" s="466">
        <f t="shared" si="45"/>
        <v>0</v>
      </c>
      <c r="AO45" s="466">
        <f t="shared" si="46"/>
        <v>5.5222222222222221</v>
      </c>
      <c r="AP45" s="466">
        <f t="shared" si="47"/>
        <v>22.12</v>
      </c>
      <c r="AQ45" s="466">
        <f t="shared" si="48"/>
        <v>27.642222222222223</v>
      </c>
      <c r="AR45" s="466">
        <f t="shared" si="49"/>
        <v>0.28444444444444444</v>
      </c>
      <c r="AS45" s="466">
        <f t="shared" si="50"/>
        <v>5.8066666666666666</v>
      </c>
      <c r="AT45" s="466">
        <f t="shared" si="51"/>
        <v>22.404444444444444</v>
      </c>
      <c r="AU45" s="466">
        <f t="shared" si="52"/>
        <v>27.926666666666666</v>
      </c>
      <c r="AV45" s="466">
        <f t="shared" si="53"/>
        <v>0.28444444444444444</v>
      </c>
      <c r="AW45" s="466">
        <f t="shared" si="54"/>
        <v>5.8066666666666666</v>
      </c>
      <c r="AX45" s="466">
        <f t="shared" si="55"/>
        <v>22.404444444444444</v>
      </c>
      <c r="AY45" s="466">
        <f t="shared" si="56"/>
        <v>27.926666666666666</v>
      </c>
      <c r="AZ45" s="466">
        <f t="shared" si="57"/>
        <v>0.28444444444444444</v>
      </c>
      <c r="BA45" s="466">
        <f t="shared" si="58"/>
        <v>5.8066666666666666</v>
      </c>
      <c r="BB45" s="466">
        <f t="shared" si="59"/>
        <v>22.404444444444444</v>
      </c>
      <c r="BC45" s="466">
        <f t="shared" si="60"/>
        <v>27.926666666666666</v>
      </c>
      <c r="BD45" s="466">
        <f t="shared" si="61"/>
        <v>0.28444444444444444</v>
      </c>
      <c r="BE45" s="466">
        <f t="shared" si="62"/>
        <v>5.8066666666666666</v>
      </c>
      <c r="BF45" s="466">
        <f t="shared" si="63"/>
        <v>22.404444444444444</v>
      </c>
      <c r="BG45" s="466">
        <f t="shared" si="64"/>
        <v>27.926666666666666</v>
      </c>
    </row>
    <row r="46" spans="1:59">
      <c r="A46" s="212" t="s">
        <v>5316</v>
      </c>
      <c r="B46" s="230">
        <v>646884115</v>
      </c>
      <c r="C46" s="209" t="s">
        <v>61</v>
      </c>
      <c r="D46" s="209">
        <v>360</v>
      </c>
      <c r="F46" s="238" t="str" cm="1">
        <f t="array" aca="1" ref="F46" ca="1">MID(met2utc(PEPSSI_Commanding[[#This Row],[MET]]),3,15)</f>
        <v>26-201/20:09:59</v>
      </c>
      <c r="G46" s="212" t="str">
        <f t="shared" ref="G46:G68" si="65">_xlfn.TEXTJOIN("+",TRUE,$C46:$D46)</f>
        <v>N2+360</v>
      </c>
      <c r="H46" s="213">
        <f t="shared" ref="H46:H68" si="66">IF($C46="ON",$B46,IF(RIGHT($H45,9)="MET Start","",IF(AND($K46&lt;&gt;0,$K45=1),$B46,$H45)))</f>
        <v>646883515</v>
      </c>
      <c r="I46" s="213">
        <f t="shared" ref="I46:I68" si="67">IF($C46="OFF",$B46,IF($B47="",$B46+31500000,IF($K46=1,$B47,I47)))</f>
        <v>644923315</v>
      </c>
      <c r="J46" s="212">
        <f t="shared" ref="J46:J68" si="68">IF($G46="ON",0,IF(OR(J45="",LEFT(J45,6)="Offset"),"",J45+1))</f>
        <v>18</v>
      </c>
      <c r="K46" s="212">
        <f t="shared" ref="K46:K68" si="69">IF($G46="OFF",0,IF(AND($J47&lt;&gt;0,$J46&lt;&gt;9,$G47&lt;&gt;"MAC+111",($B47-$B46)&lt;7200),K47+1,1))</f>
        <v>6</v>
      </c>
      <c r="M46" s="209">
        <f t="shared" ref="M46:M68" si="70">IF($C46="ON","",IF($C46="N1",$D46,IF(M45="N1","",M45)))</f>
        <v>360</v>
      </c>
      <c r="N46" s="209">
        <f t="shared" ref="N46:N68" si="71">IF($C46="ON","",IF($C46="N2",$D46,IF($G46="MAC+103",3,IF($G46="MAC+104",2,IF(N45="N2","",N45)))))</f>
        <v>360</v>
      </c>
      <c r="O46" s="209">
        <f t="shared" ref="O46:O68" si="72">IF($C46="ON","",IF($C46="N3",$D46,IF(O45="N3","",O45)))</f>
        <v>900</v>
      </c>
      <c r="P46" s="209">
        <f t="shared" ref="P46:P68" si="73">IF($C46="ON","",IF($C46="STAT",$D46,IF(P45="STAT","",P45)))</f>
        <v>1800</v>
      </c>
      <c r="Q46" s="209" t="str">
        <f t="shared" ref="Q46:Q68" si="74">IF(OR($C46="ON",$G46="MAC+101",AND($C46="MAC",105&lt;=$D46,$D46&lt;=110)),"",IF(OR($G46="MAC+103",$G46="MAC+104",$G46="MAC+111"),"disabled",IF(Q45="N2 disabled","",Q45)))</f>
        <v>disabled</v>
      </c>
      <c r="R46" s="209" t="str">
        <f t="shared" ref="R46:R68" si="75">IF(OR($G46="ON",$G46="MAC+111"),"",IF($G46="MAC+105",300,IF(OR($G46="MAC+106",$G46="MAC+101"),600,IF($G46="MAC+107",840,IF($G46="MAC+108",1200,IF($G46="MAC+109",1800,IF($G46="MAC+110",43200,IF(LEFT(R45,4)="105-","",R45))))))))</f>
        <v/>
      </c>
      <c r="S46" s="209" t="str">
        <f t="shared" ref="S46:S68" si="76">IF($C46="ON","",IF($G46="MAC+102","102",IF(RIGHT(S45,1)="?","",S45)))</f>
        <v>102</v>
      </c>
      <c r="U46" s="466">
        <f t="shared" ref="U46:U68" si="77">IF(OR($N46="",$R46=""),0,U$1/64/$N46)</f>
        <v>0</v>
      </c>
      <c r="V46" s="466">
        <f t="shared" ref="V46:V68" si="78">IF(OR($N46="",$R46=""),0,V$1/64/$N46)</f>
        <v>0</v>
      </c>
      <c r="W46" s="466">
        <f t="shared" ref="W46:W68" si="79">IF($P46="",0,W$1/$P46)</f>
        <v>0.28444444444444444</v>
      </c>
      <c r="X46" s="466">
        <f t="shared" ref="X46:X68" si="80">IF($M46="",0,X$1/$M46)</f>
        <v>5.5222222222222221</v>
      </c>
      <c r="Y46" s="466">
        <f t="shared" ref="Y46:Y68" si="81">IF(OR($N46="",$Q46&lt;&gt;""),0,Y$1/$N46)</f>
        <v>0</v>
      </c>
      <c r="Z46" s="466">
        <f t="shared" ref="Z46:Z68" si="82">IF($N46="",0,IF($R46="",1,R46/43200)*Y46)</f>
        <v>0</v>
      </c>
      <c r="AA46" s="466">
        <f t="shared" ref="AA46:AA68" si="83">IF($O46="",0,AA$1/$O46)</f>
        <v>22.12</v>
      </c>
      <c r="AB46" s="242"/>
      <c r="AC46" s="466">
        <f t="shared" ref="AC46:AC68" si="84">IF(AC$3&lt;&gt;"",$W46,0)+IF(AC$4&lt;&gt;"",$U46,0)+IF(AC$5&lt;&gt;"",$Z46+IF($S46&lt;&gt;"102",$V46,0),0)+IF(AC$6&lt;&gt;"",$AA46+IF($S46="102",$V46,0),0)+IF(AC$7&lt;&gt;"",$X46,0)</f>
        <v>5.5222222222222221</v>
      </c>
      <c r="AD46" s="466">
        <f t="shared" ref="AD46:AD68" si="85">IF(AD$3&lt;&gt;"",$W46,0)+IF(AD$4&lt;&gt;"",$U46,0)+IF(AD$5&lt;&gt;"",$Z46+IF($S46&lt;&gt;"102",$V46,0),0)+IF(AD$6&lt;&gt;"",$AA46+IF($S46="102",$V46,0),0)+IF(AD$7&lt;&gt;"",$X46,0)</f>
        <v>22.12</v>
      </c>
      <c r="AE46" s="466">
        <f t="shared" ref="AE46:AE68" si="86">IF(AE$3&lt;&gt;"",$W46,0)+IF(AE$4&lt;&gt;"",$U46,0)+IF(AE$5&lt;&gt;"",$Z46+IF($S46&lt;&gt;"102",$V46,0),0)+IF(AE$6&lt;&gt;"",$AA46+IF($S46="102",$V46,0),0)+IF(AE$7&lt;&gt;"",$X46,0)</f>
        <v>27.642222222222223</v>
      </c>
      <c r="AF46" s="466">
        <f t="shared" ref="AF46:AF68" si="87">IF(AF$3&lt;&gt;"",$W46,0)+IF(AF$4&lt;&gt;"",$U46,0)+IF(AF$5&lt;&gt;"",$Z46+IF($S46&lt;&gt;"102",$V46,0),0)+IF(AF$6&lt;&gt;"",$AA46+IF($S46="102",$V46,0),0)+IF(AF$7&lt;&gt;"",$X46,0)</f>
        <v>0</v>
      </c>
      <c r="AG46" s="466">
        <f t="shared" ref="AG46:AG68" si="88">IF(AG$3&lt;&gt;"",$W46,0)+IF(AG$4&lt;&gt;"",$U46,0)+IF(AG$5&lt;&gt;"",$Z46+IF($S46&lt;&gt;"102",$V46,0),0)+IF(AG$6&lt;&gt;"",$AA46+IF($S46="102",$V46,0),0)+IF(AG$7&lt;&gt;"",$X46,0)</f>
        <v>5.5222222222222221</v>
      </c>
      <c r="AH46" s="466">
        <f t="shared" ref="AH46:AH68" si="89">IF(AH$3&lt;&gt;"",$W46,0)+IF(AH$4&lt;&gt;"",$U46,0)+IF(AH$5&lt;&gt;"",$Z46+IF($S46&lt;&gt;"102",$V46,0),0)+IF(AH$6&lt;&gt;"",$AA46+IF($S46="102",$V46,0),0)+IF(AH$7&lt;&gt;"",$X46,0)</f>
        <v>22.12</v>
      </c>
      <c r="AI46" s="466">
        <f t="shared" ref="AI46:AI68" si="90">IF(AI$3&lt;&gt;"",$W46,0)+IF(AI$4&lt;&gt;"",$U46,0)+IF(AI$5&lt;&gt;"",$Z46+IF($S46&lt;&gt;"102",$V46,0),0)+IF(AI$6&lt;&gt;"",$AA46+IF($S46="102",$V46,0),0)+IF(AI$7&lt;&gt;"",$X46,0)</f>
        <v>27.642222222222223</v>
      </c>
      <c r="AJ46" s="466">
        <f t="shared" ref="AJ46:AJ68" si="91">IF(AJ$3&lt;&gt;"",$W46,0)+IF(AJ$4&lt;&gt;"",$U46,0)+IF(AJ$5&lt;&gt;"",$Z46+IF($S46&lt;&gt;"102",$V46,0),0)+IF(AJ$6&lt;&gt;"",$AA46+IF($S46="102",$V46,0),0)+IF(AJ$7&lt;&gt;"",$X46,0)</f>
        <v>0</v>
      </c>
      <c r="AK46" s="466">
        <f t="shared" ref="AK46:AK68" si="92">IF(AK$3&lt;&gt;"",$W46,0)+IF(AK$4&lt;&gt;"",$U46,0)+IF(AK$5&lt;&gt;"",$Z46+IF($S46&lt;&gt;"102",$V46,0),0)+IF(AK$6&lt;&gt;"",$AA46+IF($S46="102",$V46,0),0)+IF(AK$7&lt;&gt;"",$X46,0)</f>
        <v>5.5222222222222221</v>
      </c>
      <c r="AL46" s="466">
        <f t="shared" ref="AL46:AL68" si="93">IF(AL$3&lt;&gt;"",$W46,0)+IF(AL$4&lt;&gt;"",$U46,0)+IF(AL$5&lt;&gt;"",$Z46+IF($S46&lt;&gt;"102",$V46,0),0)+IF(AL$6&lt;&gt;"",$AA46+IF($S46="102",$V46,0),0)+IF(AL$7&lt;&gt;"",$X46,0)</f>
        <v>22.12</v>
      </c>
      <c r="AM46" s="466">
        <f t="shared" ref="AM46:AM68" si="94">IF(AM$3&lt;&gt;"",$W46,0)+IF(AM$4&lt;&gt;"",$U46,0)+IF(AM$5&lt;&gt;"",$Z46+IF($S46&lt;&gt;"102",$V46,0),0)+IF(AM$6&lt;&gt;"",$AA46+IF($S46="102",$V46,0),0)+IF(AM$7&lt;&gt;"",$X46,0)</f>
        <v>27.642222222222223</v>
      </c>
      <c r="AN46" s="466">
        <f t="shared" ref="AN46:AN68" si="95">IF(AN$3&lt;&gt;"",$W46,0)+IF(AN$4&lt;&gt;"",$U46,0)+IF(AN$5&lt;&gt;"",$Z46+IF($S46&lt;&gt;"102",$V46,0),0)+IF(AN$6&lt;&gt;"",$AA46+IF($S46="102",$V46,0),0)+IF(AN$7&lt;&gt;"",$X46,0)</f>
        <v>0</v>
      </c>
      <c r="AO46" s="466">
        <f t="shared" ref="AO46:AO68" si="96">IF(AO$3&lt;&gt;"",$W46,0)+IF(AO$4&lt;&gt;"",$U46,0)+IF(AO$5&lt;&gt;"",$Z46+IF($S46&lt;&gt;"102",$V46,0),0)+IF(AO$6&lt;&gt;"",$AA46+IF($S46="102",$V46,0),0)+IF(AO$7&lt;&gt;"",$X46,0)</f>
        <v>5.5222222222222221</v>
      </c>
      <c r="AP46" s="466">
        <f t="shared" ref="AP46:AP68" si="97">IF(AP$3&lt;&gt;"",$W46,0)+IF(AP$4&lt;&gt;"",$U46,0)+IF(AP$5&lt;&gt;"",$Z46+IF($S46&lt;&gt;"102",$V46,0),0)+IF(AP$6&lt;&gt;"",$AA46+IF($S46="102",$V46,0),0)+IF(AP$7&lt;&gt;"",$X46,0)</f>
        <v>22.12</v>
      </c>
      <c r="AQ46" s="466">
        <f t="shared" ref="AQ46:AQ68" si="98">IF(AQ$3&lt;&gt;"",$W46,0)+IF(AQ$4&lt;&gt;"",$U46,0)+IF(AQ$5&lt;&gt;"",$Z46+IF($S46&lt;&gt;"102",$V46,0),0)+IF(AQ$6&lt;&gt;"",$AA46+IF($S46="102",$V46,0),0)+IF(AQ$7&lt;&gt;"",$X46,0)</f>
        <v>27.642222222222223</v>
      </c>
      <c r="AR46" s="466">
        <f t="shared" ref="AR46:AR68" si="99">IF(AR$3&lt;&gt;"",$W46,0)+IF(AR$4&lt;&gt;"",$U46,0)+IF(AR$5&lt;&gt;"",$Z46+IF($S46&lt;&gt;"102",$V46,0),0)+IF(AR$6&lt;&gt;"",$AA46+IF($S46="102",$V46,0),0)+IF(AR$7&lt;&gt;"",$X46,0)</f>
        <v>0.28444444444444444</v>
      </c>
      <c r="AS46" s="466">
        <f t="shared" ref="AS46:AS68" si="100">IF(AS$3&lt;&gt;"",$W46,0)+IF(AS$4&lt;&gt;"",$U46,0)+IF(AS$5&lt;&gt;"",$Z46+IF($S46&lt;&gt;"102",$V46,0),0)+IF(AS$6&lt;&gt;"",$AA46+IF($S46="102",$V46,0),0)+IF(AS$7&lt;&gt;"",$X46,0)</f>
        <v>5.8066666666666666</v>
      </c>
      <c r="AT46" s="466">
        <f t="shared" ref="AT46:AT68" si="101">IF(AT$3&lt;&gt;"",$W46,0)+IF(AT$4&lt;&gt;"",$U46,0)+IF(AT$5&lt;&gt;"",$Z46+IF($S46&lt;&gt;"102",$V46,0),0)+IF(AT$6&lt;&gt;"",$AA46+IF($S46="102",$V46,0),0)+IF(AT$7&lt;&gt;"",$X46,0)</f>
        <v>22.404444444444444</v>
      </c>
      <c r="AU46" s="466">
        <f t="shared" ref="AU46:AU68" si="102">IF(AU$3&lt;&gt;"",$W46,0)+IF(AU$4&lt;&gt;"",$U46,0)+IF(AU$5&lt;&gt;"",$Z46+IF($S46&lt;&gt;"102",$V46,0),0)+IF(AU$6&lt;&gt;"",$AA46+IF($S46="102",$V46,0),0)+IF(AU$7&lt;&gt;"",$X46,0)</f>
        <v>27.926666666666666</v>
      </c>
      <c r="AV46" s="466">
        <f t="shared" ref="AV46:AV68" si="103">IF(AV$3&lt;&gt;"",$W46,0)+IF(AV$4&lt;&gt;"",$U46,0)+IF(AV$5&lt;&gt;"",$Z46+IF($S46&lt;&gt;"102",$V46,0),0)+IF(AV$6&lt;&gt;"",$AA46+IF($S46="102",$V46,0),0)+IF(AV$7&lt;&gt;"",$X46,0)</f>
        <v>0.28444444444444444</v>
      </c>
      <c r="AW46" s="466">
        <f t="shared" ref="AW46:AW68" si="104">IF(AW$3&lt;&gt;"",$W46,0)+IF(AW$4&lt;&gt;"",$U46,0)+IF(AW$5&lt;&gt;"",$Z46+IF($S46&lt;&gt;"102",$V46,0),0)+IF(AW$6&lt;&gt;"",$AA46+IF($S46="102",$V46,0),0)+IF(AW$7&lt;&gt;"",$X46,0)</f>
        <v>5.8066666666666666</v>
      </c>
      <c r="AX46" s="466">
        <f t="shared" ref="AX46:AX68" si="105">IF(AX$3&lt;&gt;"",$W46,0)+IF(AX$4&lt;&gt;"",$U46,0)+IF(AX$5&lt;&gt;"",$Z46+IF($S46&lt;&gt;"102",$V46,0),0)+IF(AX$6&lt;&gt;"",$AA46+IF($S46="102",$V46,0),0)+IF(AX$7&lt;&gt;"",$X46,0)</f>
        <v>22.404444444444444</v>
      </c>
      <c r="AY46" s="466">
        <f t="shared" ref="AY46:AY68" si="106">IF(AY$3&lt;&gt;"",$W46,0)+IF(AY$4&lt;&gt;"",$U46,0)+IF(AY$5&lt;&gt;"",$Z46+IF($S46&lt;&gt;"102",$V46,0),0)+IF(AY$6&lt;&gt;"",$AA46+IF($S46="102",$V46,0),0)+IF(AY$7&lt;&gt;"",$X46,0)</f>
        <v>27.926666666666666</v>
      </c>
      <c r="AZ46" s="466">
        <f t="shared" ref="AZ46:AZ68" si="107">IF(AZ$3&lt;&gt;"",$W46,0)+IF(AZ$4&lt;&gt;"",$U46,0)+IF(AZ$5&lt;&gt;"",$Z46+IF($S46&lt;&gt;"102",$V46,0),0)+IF(AZ$6&lt;&gt;"",$AA46+IF($S46="102",$V46,0),0)+IF(AZ$7&lt;&gt;"",$X46,0)</f>
        <v>0.28444444444444444</v>
      </c>
      <c r="BA46" s="466">
        <f t="shared" ref="BA46:BA68" si="108">IF(BA$3&lt;&gt;"",$W46,0)+IF(BA$4&lt;&gt;"",$U46,0)+IF(BA$5&lt;&gt;"",$Z46+IF($S46&lt;&gt;"102",$V46,0),0)+IF(BA$6&lt;&gt;"",$AA46+IF($S46="102",$V46,0),0)+IF(BA$7&lt;&gt;"",$X46,0)</f>
        <v>5.8066666666666666</v>
      </c>
      <c r="BB46" s="466">
        <f t="shared" ref="BB46:BB68" si="109">IF(BB$3&lt;&gt;"",$W46,0)+IF(BB$4&lt;&gt;"",$U46,0)+IF(BB$5&lt;&gt;"",$Z46+IF($S46&lt;&gt;"102",$V46,0),0)+IF(BB$6&lt;&gt;"",$AA46+IF($S46="102",$V46,0),0)+IF(BB$7&lt;&gt;"",$X46,0)</f>
        <v>22.404444444444444</v>
      </c>
      <c r="BC46" s="466">
        <f t="shared" ref="BC46:BC68" si="110">IF(BC$3&lt;&gt;"",$W46,0)+IF(BC$4&lt;&gt;"",$U46,0)+IF(BC$5&lt;&gt;"",$Z46+IF($S46&lt;&gt;"102",$V46,0),0)+IF(BC$6&lt;&gt;"",$AA46+IF($S46="102",$V46,0),0)+IF(BC$7&lt;&gt;"",$X46,0)</f>
        <v>27.926666666666666</v>
      </c>
      <c r="BD46" s="466">
        <f t="shared" ref="BD46:BD68" si="111">IF(BD$3&lt;&gt;"",$W46,0)+IF(BD$4&lt;&gt;"",$U46,0)+IF(BD$5&lt;&gt;"",$Z46+IF($S46&lt;&gt;"102",$V46,0),0)+IF(BD$6&lt;&gt;"",$AA46+IF($S46="102",$V46,0),0)+IF(BD$7&lt;&gt;"",$X46,0)</f>
        <v>0.28444444444444444</v>
      </c>
      <c r="BE46" s="466">
        <f t="shared" ref="BE46:BE68" si="112">IF(BE$3&lt;&gt;"",$W46,0)+IF(BE$4&lt;&gt;"",$U46,0)+IF(BE$5&lt;&gt;"",$Z46+IF($S46&lt;&gt;"102",$V46,0),0)+IF(BE$6&lt;&gt;"",$AA46+IF($S46="102",$V46,0),0)+IF(BE$7&lt;&gt;"",$X46,0)</f>
        <v>5.8066666666666666</v>
      </c>
      <c r="BF46" s="466">
        <f t="shared" ref="BF46:BF68" si="113">IF(BF$3&lt;&gt;"",$W46,0)+IF(BF$4&lt;&gt;"",$U46,0)+IF(BF$5&lt;&gt;"",$Z46+IF($S46&lt;&gt;"102",$V46,0),0)+IF(BF$6&lt;&gt;"",$AA46+IF($S46="102",$V46,0),0)+IF(BF$7&lt;&gt;"",$X46,0)</f>
        <v>22.404444444444444</v>
      </c>
      <c r="BG46" s="466">
        <f t="shared" ref="BG46:BG68" si="114">IF(BG$3&lt;&gt;"",$W46,0)+IF(BG$4&lt;&gt;"",$U46,0)+IF(BG$5&lt;&gt;"",$Z46+IF($S46&lt;&gt;"102",$V46,0),0)+IF(BG$6&lt;&gt;"",$AA46+IF($S46="102",$V46,0),0)+IF(BG$7&lt;&gt;"",$X46,0)</f>
        <v>27.926666666666666</v>
      </c>
    </row>
    <row r="47" spans="1:59">
      <c r="A47" s="212" t="s">
        <v>5316</v>
      </c>
      <c r="B47" s="230">
        <v>646884118</v>
      </c>
      <c r="C47" s="209" t="s">
        <v>1</v>
      </c>
      <c r="D47" s="209">
        <v>360</v>
      </c>
      <c r="F47" s="238" t="str" cm="1">
        <f t="array" aca="1" ref="F47" ca="1">MID(met2utc(PEPSSI_Commanding[[#This Row],[MET]]),3,15)</f>
        <v>26-201/20:10:02</v>
      </c>
      <c r="G47" s="212" t="str">
        <f t="shared" si="65"/>
        <v>N1+360</v>
      </c>
      <c r="H47" s="213">
        <f t="shared" si="66"/>
        <v>646883515</v>
      </c>
      <c r="I47" s="213">
        <f t="shared" si="67"/>
        <v>644923315</v>
      </c>
      <c r="J47" s="212">
        <f t="shared" si="68"/>
        <v>19</v>
      </c>
      <c r="K47" s="212">
        <f t="shared" si="69"/>
        <v>5</v>
      </c>
      <c r="M47" s="209">
        <f t="shared" si="70"/>
        <v>360</v>
      </c>
      <c r="N47" s="209">
        <f t="shared" si="71"/>
        <v>360</v>
      </c>
      <c r="O47" s="209">
        <f t="shared" si="72"/>
        <v>900</v>
      </c>
      <c r="P47" s="209">
        <f t="shared" si="73"/>
        <v>1800</v>
      </c>
      <c r="Q47" s="209" t="str">
        <f t="shared" si="74"/>
        <v>disabled</v>
      </c>
      <c r="R47" s="209" t="str">
        <f t="shared" si="75"/>
        <v/>
      </c>
      <c r="S47" s="209" t="str">
        <f t="shared" si="76"/>
        <v>102</v>
      </c>
      <c r="U47" s="466">
        <f t="shared" si="77"/>
        <v>0</v>
      </c>
      <c r="V47" s="466">
        <f t="shared" si="78"/>
        <v>0</v>
      </c>
      <c r="W47" s="466">
        <f t="shared" si="79"/>
        <v>0.28444444444444444</v>
      </c>
      <c r="X47" s="466">
        <f t="shared" si="80"/>
        <v>5.5222222222222221</v>
      </c>
      <c r="Y47" s="466">
        <f t="shared" si="81"/>
        <v>0</v>
      </c>
      <c r="Z47" s="466">
        <f t="shared" si="82"/>
        <v>0</v>
      </c>
      <c r="AA47" s="466">
        <f t="shared" si="83"/>
        <v>22.12</v>
      </c>
      <c r="AB47" s="242"/>
      <c r="AC47" s="466">
        <f t="shared" si="84"/>
        <v>5.5222222222222221</v>
      </c>
      <c r="AD47" s="466">
        <f t="shared" si="85"/>
        <v>22.12</v>
      </c>
      <c r="AE47" s="466">
        <f t="shared" si="86"/>
        <v>27.642222222222223</v>
      </c>
      <c r="AF47" s="466">
        <f t="shared" si="87"/>
        <v>0</v>
      </c>
      <c r="AG47" s="466">
        <f t="shared" si="88"/>
        <v>5.5222222222222221</v>
      </c>
      <c r="AH47" s="466">
        <f t="shared" si="89"/>
        <v>22.12</v>
      </c>
      <c r="AI47" s="466">
        <f t="shared" si="90"/>
        <v>27.642222222222223</v>
      </c>
      <c r="AJ47" s="466">
        <f t="shared" si="91"/>
        <v>0</v>
      </c>
      <c r="AK47" s="466">
        <f t="shared" si="92"/>
        <v>5.5222222222222221</v>
      </c>
      <c r="AL47" s="466">
        <f t="shared" si="93"/>
        <v>22.12</v>
      </c>
      <c r="AM47" s="466">
        <f t="shared" si="94"/>
        <v>27.642222222222223</v>
      </c>
      <c r="AN47" s="466">
        <f t="shared" si="95"/>
        <v>0</v>
      </c>
      <c r="AO47" s="466">
        <f t="shared" si="96"/>
        <v>5.5222222222222221</v>
      </c>
      <c r="AP47" s="466">
        <f t="shared" si="97"/>
        <v>22.12</v>
      </c>
      <c r="AQ47" s="466">
        <f t="shared" si="98"/>
        <v>27.642222222222223</v>
      </c>
      <c r="AR47" s="466">
        <f t="shared" si="99"/>
        <v>0.28444444444444444</v>
      </c>
      <c r="AS47" s="466">
        <f t="shared" si="100"/>
        <v>5.8066666666666666</v>
      </c>
      <c r="AT47" s="466">
        <f t="shared" si="101"/>
        <v>22.404444444444444</v>
      </c>
      <c r="AU47" s="466">
        <f t="shared" si="102"/>
        <v>27.926666666666666</v>
      </c>
      <c r="AV47" s="466">
        <f t="shared" si="103"/>
        <v>0.28444444444444444</v>
      </c>
      <c r="AW47" s="466">
        <f t="shared" si="104"/>
        <v>5.8066666666666666</v>
      </c>
      <c r="AX47" s="466">
        <f t="shared" si="105"/>
        <v>22.404444444444444</v>
      </c>
      <c r="AY47" s="466">
        <f t="shared" si="106"/>
        <v>27.926666666666666</v>
      </c>
      <c r="AZ47" s="466">
        <f t="shared" si="107"/>
        <v>0.28444444444444444</v>
      </c>
      <c r="BA47" s="466">
        <f t="shared" si="108"/>
        <v>5.8066666666666666</v>
      </c>
      <c r="BB47" s="466">
        <f t="shared" si="109"/>
        <v>22.404444444444444</v>
      </c>
      <c r="BC47" s="466">
        <f t="shared" si="110"/>
        <v>27.926666666666666</v>
      </c>
      <c r="BD47" s="466">
        <f t="shared" si="111"/>
        <v>0.28444444444444444</v>
      </c>
      <c r="BE47" s="466">
        <f t="shared" si="112"/>
        <v>5.8066666666666666</v>
      </c>
      <c r="BF47" s="466">
        <f t="shared" si="113"/>
        <v>22.404444444444444</v>
      </c>
      <c r="BG47" s="466">
        <f t="shared" si="114"/>
        <v>27.926666666666666</v>
      </c>
    </row>
    <row r="48" spans="1:59">
      <c r="A48" s="212" t="s">
        <v>5316</v>
      </c>
      <c r="B48" s="230">
        <v>646884121</v>
      </c>
      <c r="C48" s="209" t="s">
        <v>58</v>
      </c>
      <c r="D48" s="209">
        <v>7200</v>
      </c>
      <c r="F48" s="238" t="str" cm="1">
        <f t="array" aca="1" ref="F48" ca="1">MID(met2utc(PEPSSI_Commanding[[#This Row],[MET]]),3,15)</f>
        <v>26-201/20:10:05</v>
      </c>
      <c r="G48" s="212" t="str">
        <f t="shared" si="65"/>
        <v>N3+7200</v>
      </c>
      <c r="H48" s="213">
        <f t="shared" si="66"/>
        <v>646883515</v>
      </c>
      <c r="I48" s="213">
        <f t="shared" si="67"/>
        <v>644923315</v>
      </c>
      <c r="J48" s="212">
        <f t="shared" si="68"/>
        <v>20</v>
      </c>
      <c r="K48" s="212">
        <f t="shared" si="69"/>
        <v>4</v>
      </c>
      <c r="M48" s="209">
        <f t="shared" si="70"/>
        <v>360</v>
      </c>
      <c r="N48" s="209">
        <f t="shared" si="71"/>
        <v>360</v>
      </c>
      <c r="O48" s="209">
        <f t="shared" si="72"/>
        <v>7200</v>
      </c>
      <c r="P48" s="209">
        <f t="shared" si="73"/>
        <v>1800</v>
      </c>
      <c r="Q48" s="209" t="str">
        <f t="shared" si="74"/>
        <v>disabled</v>
      </c>
      <c r="R48" s="209" t="str">
        <f t="shared" si="75"/>
        <v/>
      </c>
      <c r="S48" s="209" t="str">
        <f t="shared" si="76"/>
        <v>102</v>
      </c>
      <c r="U48" s="466">
        <f t="shared" si="77"/>
        <v>0</v>
      </c>
      <c r="V48" s="466">
        <f t="shared" si="78"/>
        <v>0</v>
      </c>
      <c r="W48" s="466">
        <f t="shared" si="79"/>
        <v>0.28444444444444444</v>
      </c>
      <c r="X48" s="466">
        <f t="shared" si="80"/>
        <v>5.5222222222222221</v>
      </c>
      <c r="Y48" s="466">
        <f t="shared" si="81"/>
        <v>0</v>
      </c>
      <c r="Z48" s="466">
        <f t="shared" si="82"/>
        <v>0</v>
      </c>
      <c r="AA48" s="466">
        <f t="shared" si="83"/>
        <v>2.7650000000000001</v>
      </c>
      <c r="AB48" s="242"/>
      <c r="AC48" s="466">
        <f t="shared" si="84"/>
        <v>5.5222222222222221</v>
      </c>
      <c r="AD48" s="466">
        <f t="shared" si="85"/>
        <v>2.7650000000000001</v>
      </c>
      <c r="AE48" s="466">
        <f t="shared" si="86"/>
        <v>8.2872222222222227</v>
      </c>
      <c r="AF48" s="466">
        <f t="shared" si="87"/>
        <v>0</v>
      </c>
      <c r="AG48" s="466">
        <f t="shared" si="88"/>
        <v>5.5222222222222221</v>
      </c>
      <c r="AH48" s="466">
        <f t="shared" si="89"/>
        <v>2.7650000000000001</v>
      </c>
      <c r="AI48" s="466">
        <f t="shared" si="90"/>
        <v>8.2872222222222227</v>
      </c>
      <c r="AJ48" s="466">
        <f t="shared" si="91"/>
        <v>0</v>
      </c>
      <c r="AK48" s="466">
        <f t="shared" si="92"/>
        <v>5.5222222222222221</v>
      </c>
      <c r="AL48" s="466">
        <f t="shared" si="93"/>
        <v>2.7650000000000001</v>
      </c>
      <c r="AM48" s="466">
        <f t="shared" si="94"/>
        <v>8.2872222222222227</v>
      </c>
      <c r="AN48" s="466">
        <f t="shared" si="95"/>
        <v>0</v>
      </c>
      <c r="AO48" s="466">
        <f t="shared" si="96"/>
        <v>5.5222222222222221</v>
      </c>
      <c r="AP48" s="466">
        <f t="shared" si="97"/>
        <v>2.7650000000000001</v>
      </c>
      <c r="AQ48" s="466">
        <f t="shared" si="98"/>
        <v>8.2872222222222227</v>
      </c>
      <c r="AR48" s="466">
        <f t="shared" si="99"/>
        <v>0.28444444444444444</v>
      </c>
      <c r="AS48" s="466">
        <f t="shared" si="100"/>
        <v>5.8066666666666666</v>
      </c>
      <c r="AT48" s="466">
        <f t="shared" si="101"/>
        <v>3.0494444444444446</v>
      </c>
      <c r="AU48" s="466">
        <f t="shared" si="102"/>
        <v>8.5716666666666672</v>
      </c>
      <c r="AV48" s="466">
        <f t="shared" si="103"/>
        <v>0.28444444444444444</v>
      </c>
      <c r="AW48" s="466">
        <f t="shared" si="104"/>
        <v>5.8066666666666666</v>
      </c>
      <c r="AX48" s="466">
        <f t="shared" si="105"/>
        <v>3.0494444444444446</v>
      </c>
      <c r="AY48" s="466">
        <f t="shared" si="106"/>
        <v>8.5716666666666672</v>
      </c>
      <c r="AZ48" s="466">
        <f t="shared" si="107"/>
        <v>0.28444444444444444</v>
      </c>
      <c r="BA48" s="466">
        <f t="shared" si="108"/>
        <v>5.8066666666666666</v>
      </c>
      <c r="BB48" s="466">
        <f t="shared" si="109"/>
        <v>3.0494444444444446</v>
      </c>
      <c r="BC48" s="466">
        <f t="shared" si="110"/>
        <v>8.5716666666666672</v>
      </c>
      <c r="BD48" s="466">
        <f t="shared" si="111"/>
        <v>0.28444444444444444</v>
      </c>
      <c r="BE48" s="466">
        <f t="shared" si="112"/>
        <v>5.8066666666666666</v>
      </c>
      <c r="BF48" s="466">
        <f t="shared" si="113"/>
        <v>3.0494444444444446</v>
      </c>
      <c r="BG48" s="466">
        <f t="shared" si="114"/>
        <v>8.5716666666666672</v>
      </c>
    </row>
    <row r="49" spans="1:59">
      <c r="A49" s="212" t="s">
        <v>5317</v>
      </c>
      <c r="B49" s="230">
        <v>646884124</v>
      </c>
      <c r="C49" s="209" t="s">
        <v>5284</v>
      </c>
      <c r="D49" s="209">
        <v>1800</v>
      </c>
      <c r="F49" s="238" t="str" cm="1">
        <f t="array" aca="1" ref="F49" ca="1">MID(met2utc(PEPSSI_Commanding[[#This Row],[MET]]),3,15)</f>
        <v>26-201/20:10:08</v>
      </c>
      <c r="G49" s="212" t="str">
        <f t="shared" si="65"/>
        <v>STAT+1800</v>
      </c>
      <c r="H49" s="213">
        <f t="shared" si="66"/>
        <v>646883515</v>
      </c>
      <c r="I49" s="213">
        <f t="shared" si="67"/>
        <v>644923315</v>
      </c>
      <c r="J49" s="212">
        <f t="shared" si="68"/>
        <v>21</v>
      </c>
      <c r="K49" s="212">
        <f t="shared" si="69"/>
        <v>3</v>
      </c>
      <c r="M49" s="209">
        <f t="shared" si="70"/>
        <v>360</v>
      </c>
      <c r="N49" s="209">
        <f t="shared" si="71"/>
        <v>360</v>
      </c>
      <c r="O49" s="209">
        <f t="shared" si="72"/>
        <v>7200</v>
      </c>
      <c r="P49" s="209">
        <f t="shared" si="73"/>
        <v>1800</v>
      </c>
      <c r="Q49" s="209" t="str">
        <f t="shared" si="74"/>
        <v>disabled</v>
      </c>
      <c r="R49" s="209" t="str">
        <f t="shared" si="75"/>
        <v/>
      </c>
      <c r="S49" s="209" t="str">
        <f t="shared" si="76"/>
        <v>102</v>
      </c>
      <c r="U49" s="466">
        <f t="shared" si="77"/>
        <v>0</v>
      </c>
      <c r="V49" s="466">
        <f t="shared" si="78"/>
        <v>0</v>
      </c>
      <c r="W49" s="466">
        <f t="shared" si="79"/>
        <v>0.28444444444444444</v>
      </c>
      <c r="X49" s="466">
        <f t="shared" si="80"/>
        <v>5.5222222222222221</v>
      </c>
      <c r="Y49" s="466">
        <f t="shared" si="81"/>
        <v>0</v>
      </c>
      <c r="Z49" s="466">
        <f t="shared" si="82"/>
        <v>0</v>
      </c>
      <c r="AA49" s="466">
        <f t="shared" si="83"/>
        <v>2.7650000000000001</v>
      </c>
      <c r="AB49" s="242"/>
      <c r="AC49" s="466">
        <f t="shared" si="84"/>
        <v>5.5222222222222221</v>
      </c>
      <c r="AD49" s="466">
        <f t="shared" si="85"/>
        <v>2.7650000000000001</v>
      </c>
      <c r="AE49" s="466">
        <f t="shared" si="86"/>
        <v>8.2872222222222227</v>
      </c>
      <c r="AF49" s="466">
        <f t="shared" si="87"/>
        <v>0</v>
      </c>
      <c r="AG49" s="466">
        <f t="shared" si="88"/>
        <v>5.5222222222222221</v>
      </c>
      <c r="AH49" s="466">
        <f t="shared" si="89"/>
        <v>2.7650000000000001</v>
      </c>
      <c r="AI49" s="466">
        <f t="shared" si="90"/>
        <v>8.2872222222222227</v>
      </c>
      <c r="AJ49" s="466">
        <f t="shared" si="91"/>
        <v>0</v>
      </c>
      <c r="AK49" s="466">
        <f t="shared" si="92"/>
        <v>5.5222222222222221</v>
      </c>
      <c r="AL49" s="466">
        <f t="shared" si="93"/>
        <v>2.7650000000000001</v>
      </c>
      <c r="AM49" s="466">
        <f t="shared" si="94"/>
        <v>8.2872222222222227</v>
      </c>
      <c r="AN49" s="466">
        <f t="shared" si="95"/>
        <v>0</v>
      </c>
      <c r="AO49" s="466">
        <f t="shared" si="96"/>
        <v>5.5222222222222221</v>
      </c>
      <c r="AP49" s="466">
        <f t="shared" si="97"/>
        <v>2.7650000000000001</v>
      </c>
      <c r="AQ49" s="466">
        <f t="shared" si="98"/>
        <v>8.2872222222222227</v>
      </c>
      <c r="AR49" s="466">
        <f t="shared" si="99"/>
        <v>0.28444444444444444</v>
      </c>
      <c r="AS49" s="466">
        <f t="shared" si="100"/>
        <v>5.8066666666666666</v>
      </c>
      <c r="AT49" s="466">
        <f t="shared" si="101"/>
        <v>3.0494444444444446</v>
      </c>
      <c r="AU49" s="466">
        <f t="shared" si="102"/>
        <v>8.5716666666666672</v>
      </c>
      <c r="AV49" s="466">
        <f t="shared" si="103"/>
        <v>0.28444444444444444</v>
      </c>
      <c r="AW49" s="466">
        <f t="shared" si="104"/>
        <v>5.8066666666666666</v>
      </c>
      <c r="AX49" s="466">
        <f t="shared" si="105"/>
        <v>3.0494444444444446</v>
      </c>
      <c r="AY49" s="466">
        <f t="shared" si="106"/>
        <v>8.5716666666666672</v>
      </c>
      <c r="AZ49" s="466">
        <f t="shared" si="107"/>
        <v>0.28444444444444444</v>
      </c>
      <c r="BA49" s="466">
        <f t="shared" si="108"/>
        <v>5.8066666666666666</v>
      </c>
      <c r="BB49" s="466">
        <f t="shared" si="109"/>
        <v>3.0494444444444446</v>
      </c>
      <c r="BC49" s="466">
        <f t="shared" si="110"/>
        <v>8.5716666666666672</v>
      </c>
      <c r="BD49" s="466">
        <f t="shared" si="111"/>
        <v>0.28444444444444444</v>
      </c>
      <c r="BE49" s="466">
        <f t="shared" si="112"/>
        <v>5.8066666666666666</v>
      </c>
      <c r="BF49" s="466">
        <f t="shared" si="113"/>
        <v>3.0494444444444446</v>
      </c>
      <c r="BG49" s="466">
        <f t="shared" si="114"/>
        <v>8.5716666666666672</v>
      </c>
    </row>
    <row r="50" spans="1:59">
      <c r="A50" s="212" t="s">
        <v>5315</v>
      </c>
      <c r="B50" s="230">
        <v>646884715</v>
      </c>
      <c r="C50" s="209" t="s">
        <v>5285</v>
      </c>
      <c r="D50" s="209">
        <v>103</v>
      </c>
      <c r="F50" s="238" t="str" cm="1">
        <f t="array" aca="1" ref="F50" ca="1">MID(met2utc(PEPSSI_Commanding[[#This Row],[MET]]),3,15)</f>
        <v>26-201/20:19:59</v>
      </c>
      <c r="G50" s="212" t="str">
        <f t="shared" si="65"/>
        <v>MAC+103</v>
      </c>
      <c r="H50" s="213">
        <f t="shared" si="66"/>
        <v>646883515</v>
      </c>
      <c r="I50" s="213">
        <f t="shared" si="67"/>
        <v>644923315</v>
      </c>
      <c r="J50" s="212">
        <f t="shared" si="68"/>
        <v>22</v>
      </c>
      <c r="K50" s="212">
        <f t="shared" si="69"/>
        <v>2</v>
      </c>
      <c r="M50" s="209">
        <f t="shared" si="70"/>
        <v>360</v>
      </c>
      <c r="N50" s="209">
        <f t="shared" si="71"/>
        <v>3</v>
      </c>
      <c r="O50" s="209">
        <f t="shared" si="72"/>
        <v>7200</v>
      </c>
      <c r="P50" s="209">
        <f t="shared" si="73"/>
        <v>1800</v>
      </c>
      <c r="Q50" s="209" t="str">
        <f t="shared" si="74"/>
        <v>disabled</v>
      </c>
      <c r="R50" s="209" t="str">
        <f t="shared" si="75"/>
        <v/>
      </c>
      <c r="S50" s="209" t="str">
        <f t="shared" si="76"/>
        <v>102</v>
      </c>
      <c r="U50" s="466">
        <f t="shared" si="77"/>
        <v>0</v>
      </c>
      <c r="V50" s="466">
        <f t="shared" si="78"/>
        <v>0</v>
      </c>
      <c r="W50" s="466">
        <f t="shared" si="79"/>
        <v>0.28444444444444444</v>
      </c>
      <c r="X50" s="466">
        <f t="shared" si="80"/>
        <v>5.5222222222222221</v>
      </c>
      <c r="Y50" s="466">
        <f t="shared" si="81"/>
        <v>0</v>
      </c>
      <c r="Z50" s="466">
        <f t="shared" si="82"/>
        <v>0</v>
      </c>
      <c r="AA50" s="466">
        <f t="shared" si="83"/>
        <v>2.7650000000000001</v>
      </c>
      <c r="AB50" s="242"/>
      <c r="AC50" s="466">
        <f t="shared" si="84"/>
        <v>5.5222222222222221</v>
      </c>
      <c r="AD50" s="466">
        <f t="shared" si="85"/>
        <v>2.7650000000000001</v>
      </c>
      <c r="AE50" s="466">
        <f t="shared" si="86"/>
        <v>8.2872222222222227</v>
      </c>
      <c r="AF50" s="466">
        <f t="shared" si="87"/>
        <v>0</v>
      </c>
      <c r="AG50" s="466">
        <f t="shared" si="88"/>
        <v>5.5222222222222221</v>
      </c>
      <c r="AH50" s="466">
        <f t="shared" si="89"/>
        <v>2.7650000000000001</v>
      </c>
      <c r="AI50" s="466">
        <f t="shared" si="90"/>
        <v>8.2872222222222227</v>
      </c>
      <c r="AJ50" s="466">
        <f t="shared" si="91"/>
        <v>0</v>
      </c>
      <c r="AK50" s="466">
        <f t="shared" si="92"/>
        <v>5.5222222222222221</v>
      </c>
      <c r="AL50" s="466">
        <f t="shared" si="93"/>
        <v>2.7650000000000001</v>
      </c>
      <c r="AM50" s="466">
        <f t="shared" si="94"/>
        <v>8.2872222222222227</v>
      </c>
      <c r="AN50" s="466">
        <f t="shared" si="95"/>
        <v>0</v>
      </c>
      <c r="AO50" s="466">
        <f t="shared" si="96"/>
        <v>5.5222222222222221</v>
      </c>
      <c r="AP50" s="466">
        <f t="shared" si="97"/>
        <v>2.7650000000000001</v>
      </c>
      <c r="AQ50" s="466">
        <f t="shared" si="98"/>
        <v>8.2872222222222227</v>
      </c>
      <c r="AR50" s="466">
        <f t="shared" si="99"/>
        <v>0.28444444444444444</v>
      </c>
      <c r="AS50" s="466">
        <f t="shared" si="100"/>
        <v>5.8066666666666666</v>
      </c>
      <c r="AT50" s="466">
        <f t="shared" si="101"/>
        <v>3.0494444444444446</v>
      </c>
      <c r="AU50" s="466">
        <f t="shared" si="102"/>
        <v>8.5716666666666672</v>
      </c>
      <c r="AV50" s="466">
        <f t="shared" si="103"/>
        <v>0.28444444444444444</v>
      </c>
      <c r="AW50" s="466">
        <f t="shared" si="104"/>
        <v>5.8066666666666666</v>
      </c>
      <c r="AX50" s="466">
        <f t="shared" si="105"/>
        <v>3.0494444444444446</v>
      </c>
      <c r="AY50" s="466">
        <f t="shared" si="106"/>
        <v>8.5716666666666672</v>
      </c>
      <c r="AZ50" s="466">
        <f t="shared" si="107"/>
        <v>0.28444444444444444</v>
      </c>
      <c r="BA50" s="466">
        <f t="shared" si="108"/>
        <v>5.8066666666666666</v>
      </c>
      <c r="BB50" s="466">
        <f t="shared" si="109"/>
        <v>3.0494444444444446</v>
      </c>
      <c r="BC50" s="466">
        <f t="shared" si="110"/>
        <v>8.5716666666666672</v>
      </c>
      <c r="BD50" s="466">
        <f t="shared" si="111"/>
        <v>0.28444444444444444</v>
      </c>
      <c r="BE50" s="466">
        <f t="shared" si="112"/>
        <v>5.8066666666666666</v>
      </c>
      <c r="BF50" s="466">
        <f t="shared" si="113"/>
        <v>3.0494444444444446</v>
      </c>
      <c r="BG50" s="466">
        <f t="shared" si="114"/>
        <v>8.5716666666666672</v>
      </c>
    </row>
    <row r="51" spans="1:59">
      <c r="A51" s="212" t="s">
        <v>5315</v>
      </c>
      <c r="B51" s="230">
        <v>646885315</v>
      </c>
      <c r="C51" s="209" t="s">
        <v>5285</v>
      </c>
      <c r="D51" s="209">
        <v>109</v>
      </c>
      <c r="F51" s="238" t="str" cm="1">
        <f t="array" aca="1" ref="F51" ca="1">MID(met2utc(PEPSSI_Commanding[[#This Row],[MET]]),3,15)</f>
        <v>26-201/20:29:59</v>
      </c>
      <c r="G51" s="212" t="str">
        <f t="shared" si="65"/>
        <v>MAC+109</v>
      </c>
      <c r="H51" s="213">
        <f t="shared" si="66"/>
        <v>646883515</v>
      </c>
      <c r="I51" s="213">
        <f t="shared" si="67"/>
        <v>644923315</v>
      </c>
      <c r="J51" s="212">
        <f t="shared" si="68"/>
        <v>23</v>
      </c>
      <c r="K51" s="212">
        <f t="shared" si="69"/>
        <v>1</v>
      </c>
      <c r="M51" s="209">
        <f t="shared" si="70"/>
        <v>360</v>
      </c>
      <c r="N51" s="209">
        <f t="shared" si="71"/>
        <v>3</v>
      </c>
      <c r="O51" s="209">
        <f t="shared" si="72"/>
        <v>7200</v>
      </c>
      <c r="P51" s="209">
        <f t="shared" si="73"/>
        <v>1800</v>
      </c>
      <c r="Q51" s="209" t="str">
        <f t="shared" si="74"/>
        <v/>
      </c>
      <c r="R51" s="209">
        <f t="shared" si="75"/>
        <v>1800</v>
      </c>
      <c r="S51" s="209" t="str">
        <f t="shared" si="76"/>
        <v>102</v>
      </c>
      <c r="U51" s="466">
        <f t="shared" si="77"/>
        <v>2.9375</v>
      </c>
      <c r="V51" s="466">
        <f t="shared" si="78"/>
        <v>12.1875</v>
      </c>
      <c r="W51" s="466">
        <f t="shared" si="79"/>
        <v>0.28444444444444444</v>
      </c>
      <c r="X51" s="466">
        <f t="shared" si="80"/>
        <v>5.5222222222222221</v>
      </c>
      <c r="Y51" s="466">
        <f t="shared" si="81"/>
        <v>443.33333333333331</v>
      </c>
      <c r="Z51" s="466">
        <f t="shared" si="82"/>
        <v>18.472222222222221</v>
      </c>
      <c r="AA51" s="466">
        <f t="shared" si="83"/>
        <v>2.7650000000000001</v>
      </c>
      <c r="AB51" s="242"/>
      <c r="AC51" s="466">
        <f t="shared" si="84"/>
        <v>5.5222222222222221</v>
      </c>
      <c r="AD51" s="466">
        <f t="shared" si="85"/>
        <v>14.952500000000001</v>
      </c>
      <c r="AE51" s="466">
        <f t="shared" si="86"/>
        <v>20.474722222222223</v>
      </c>
      <c r="AF51" s="466">
        <f t="shared" si="87"/>
        <v>18.472222222222221</v>
      </c>
      <c r="AG51" s="466">
        <f t="shared" si="88"/>
        <v>23.994444444444444</v>
      </c>
      <c r="AH51" s="466">
        <f t="shared" si="89"/>
        <v>33.424722222222222</v>
      </c>
      <c r="AI51" s="466">
        <f t="shared" si="90"/>
        <v>38.946944444444441</v>
      </c>
      <c r="AJ51" s="466">
        <f t="shared" si="91"/>
        <v>2.9375</v>
      </c>
      <c r="AK51" s="466">
        <f t="shared" si="92"/>
        <v>8.4597222222222221</v>
      </c>
      <c r="AL51" s="466">
        <f t="shared" si="93"/>
        <v>17.89</v>
      </c>
      <c r="AM51" s="466">
        <f t="shared" si="94"/>
        <v>23.412222222222223</v>
      </c>
      <c r="AN51" s="466">
        <f t="shared" si="95"/>
        <v>21.409722222222221</v>
      </c>
      <c r="AO51" s="466">
        <f t="shared" si="96"/>
        <v>26.931944444444444</v>
      </c>
      <c r="AP51" s="466">
        <f t="shared" si="97"/>
        <v>36.362222222222222</v>
      </c>
      <c r="AQ51" s="466">
        <f t="shared" si="98"/>
        <v>41.884444444444441</v>
      </c>
      <c r="AR51" s="466">
        <f t="shared" si="99"/>
        <v>0.28444444444444444</v>
      </c>
      <c r="AS51" s="466">
        <f t="shared" si="100"/>
        <v>5.8066666666666666</v>
      </c>
      <c r="AT51" s="466">
        <f t="shared" si="101"/>
        <v>15.236944444444445</v>
      </c>
      <c r="AU51" s="466">
        <f t="shared" si="102"/>
        <v>20.759166666666665</v>
      </c>
      <c r="AV51" s="466">
        <f t="shared" si="103"/>
        <v>18.756666666666664</v>
      </c>
      <c r="AW51" s="466">
        <f t="shared" si="104"/>
        <v>24.278888888888886</v>
      </c>
      <c r="AX51" s="466">
        <f t="shared" si="105"/>
        <v>33.709166666666661</v>
      </c>
      <c r="AY51" s="466">
        <f t="shared" si="106"/>
        <v>39.231388888888887</v>
      </c>
      <c r="AZ51" s="466">
        <f t="shared" si="107"/>
        <v>3.2219444444444445</v>
      </c>
      <c r="BA51" s="466">
        <f t="shared" si="108"/>
        <v>8.7441666666666666</v>
      </c>
      <c r="BB51" s="466">
        <f t="shared" si="109"/>
        <v>18.174444444444447</v>
      </c>
      <c r="BC51" s="466">
        <f t="shared" si="110"/>
        <v>23.696666666666669</v>
      </c>
      <c r="BD51" s="466">
        <f t="shared" si="111"/>
        <v>21.694166666666668</v>
      </c>
      <c r="BE51" s="466">
        <f t="shared" si="112"/>
        <v>27.21638888888889</v>
      </c>
      <c r="BF51" s="466">
        <f t="shared" si="113"/>
        <v>36.646666666666668</v>
      </c>
      <c r="BG51" s="466">
        <f t="shared" si="114"/>
        <v>42.168888888888887</v>
      </c>
    </row>
    <row r="52" spans="1:59">
      <c r="A52" s="212" t="s">
        <v>5314</v>
      </c>
      <c r="B52" s="230">
        <v>644923315</v>
      </c>
      <c r="C52" s="209" t="s">
        <v>433</v>
      </c>
      <c r="F52" s="238" t="str" cm="1">
        <f t="array" aca="1" ref="F52" ca="1">MID(met2utc(PEPSSI_Commanding[[#This Row],[MET]]),3,15)</f>
        <v>26-179/03:29:59</v>
      </c>
      <c r="G52" s="212" t="str">
        <f t="shared" si="65"/>
        <v>ON</v>
      </c>
      <c r="H52" s="213">
        <f t="shared" si="66"/>
        <v>644923315</v>
      </c>
      <c r="I52" s="213">
        <f t="shared" si="67"/>
        <v>644924995</v>
      </c>
      <c r="J52" s="212">
        <f t="shared" si="68"/>
        <v>0</v>
      </c>
      <c r="K52" s="212">
        <f t="shared" si="69"/>
        <v>10</v>
      </c>
      <c r="M52" s="209" t="str">
        <f t="shared" si="70"/>
        <v/>
      </c>
      <c r="N52" s="209" t="str">
        <f t="shared" si="71"/>
        <v/>
      </c>
      <c r="O52" s="209" t="str">
        <f t="shared" si="72"/>
        <v/>
      </c>
      <c r="P52" s="209" t="str">
        <f t="shared" si="73"/>
        <v/>
      </c>
      <c r="Q52" s="209" t="str">
        <f t="shared" si="74"/>
        <v/>
      </c>
      <c r="R52" s="209" t="str">
        <f t="shared" si="75"/>
        <v/>
      </c>
      <c r="S52" s="209" t="str">
        <f t="shared" si="76"/>
        <v/>
      </c>
      <c r="U52" s="466">
        <f t="shared" si="77"/>
        <v>0</v>
      </c>
      <c r="V52" s="466">
        <f t="shared" si="78"/>
        <v>0</v>
      </c>
      <c r="W52" s="466">
        <f t="shared" si="79"/>
        <v>0</v>
      </c>
      <c r="X52" s="466">
        <f t="shared" si="80"/>
        <v>0</v>
      </c>
      <c r="Y52" s="466">
        <f t="shared" si="81"/>
        <v>0</v>
      </c>
      <c r="Z52" s="466">
        <f t="shared" si="82"/>
        <v>0</v>
      </c>
      <c r="AA52" s="466">
        <f t="shared" si="83"/>
        <v>0</v>
      </c>
      <c r="AB52" s="242"/>
      <c r="AC52" s="466">
        <f t="shared" si="84"/>
        <v>0</v>
      </c>
      <c r="AD52" s="466">
        <f t="shared" si="85"/>
        <v>0</v>
      </c>
      <c r="AE52" s="466">
        <f t="shared" si="86"/>
        <v>0</v>
      </c>
      <c r="AF52" s="466">
        <f t="shared" si="87"/>
        <v>0</v>
      </c>
      <c r="AG52" s="466">
        <f t="shared" si="88"/>
        <v>0</v>
      </c>
      <c r="AH52" s="466">
        <f t="shared" si="89"/>
        <v>0</v>
      </c>
      <c r="AI52" s="466">
        <f t="shared" si="90"/>
        <v>0</v>
      </c>
      <c r="AJ52" s="466">
        <f t="shared" si="91"/>
        <v>0</v>
      </c>
      <c r="AK52" s="466">
        <f t="shared" si="92"/>
        <v>0</v>
      </c>
      <c r="AL52" s="466">
        <f t="shared" si="93"/>
        <v>0</v>
      </c>
      <c r="AM52" s="466">
        <f t="shared" si="94"/>
        <v>0</v>
      </c>
      <c r="AN52" s="466">
        <f t="shared" si="95"/>
        <v>0</v>
      </c>
      <c r="AO52" s="466">
        <f t="shared" si="96"/>
        <v>0</v>
      </c>
      <c r="AP52" s="466">
        <f t="shared" si="97"/>
        <v>0</v>
      </c>
      <c r="AQ52" s="466">
        <f t="shared" si="98"/>
        <v>0</v>
      </c>
      <c r="AR52" s="466">
        <f t="shared" si="99"/>
        <v>0</v>
      </c>
      <c r="AS52" s="466">
        <f t="shared" si="100"/>
        <v>0</v>
      </c>
      <c r="AT52" s="466">
        <f t="shared" si="101"/>
        <v>0</v>
      </c>
      <c r="AU52" s="466">
        <f t="shared" si="102"/>
        <v>0</v>
      </c>
      <c r="AV52" s="466">
        <f t="shared" si="103"/>
        <v>0</v>
      </c>
      <c r="AW52" s="466">
        <f t="shared" si="104"/>
        <v>0</v>
      </c>
      <c r="AX52" s="466">
        <f t="shared" si="105"/>
        <v>0</v>
      </c>
      <c r="AY52" s="466">
        <f t="shared" si="106"/>
        <v>0</v>
      </c>
      <c r="AZ52" s="466">
        <f t="shared" si="107"/>
        <v>0</v>
      </c>
      <c r="BA52" s="466">
        <f t="shared" si="108"/>
        <v>0</v>
      </c>
      <c r="BB52" s="466">
        <f t="shared" si="109"/>
        <v>0</v>
      </c>
      <c r="BC52" s="466">
        <f t="shared" si="110"/>
        <v>0</v>
      </c>
      <c r="BD52" s="466">
        <f t="shared" si="111"/>
        <v>0</v>
      </c>
      <c r="BE52" s="466">
        <f t="shared" si="112"/>
        <v>0</v>
      </c>
      <c r="BF52" s="466">
        <f t="shared" si="113"/>
        <v>0</v>
      </c>
      <c r="BG52" s="466">
        <f t="shared" si="114"/>
        <v>0</v>
      </c>
    </row>
    <row r="53" spans="1:59">
      <c r="A53" s="212" t="s">
        <v>5315</v>
      </c>
      <c r="B53" s="230">
        <v>644923360</v>
      </c>
      <c r="C53" s="209" t="s">
        <v>5285</v>
      </c>
      <c r="D53" s="209">
        <v>10</v>
      </c>
      <c r="F53" s="238" t="str" cm="1">
        <f t="array" aca="1" ref="F53" ca="1">MID(met2utc(PEPSSI_Commanding[[#This Row],[MET]]),3,15)</f>
        <v>26-179/03:30:44</v>
      </c>
      <c r="G53" s="212" t="str">
        <f t="shared" si="65"/>
        <v>MAC+10</v>
      </c>
      <c r="H53" s="213">
        <f t="shared" si="66"/>
        <v>644923315</v>
      </c>
      <c r="I53" s="213">
        <f t="shared" si="67"/>
        <v>644924995</v>
      </c>
      <c r="J53" s="212">
        <f t="shared" si="68"/>
        <v>1</v>
      </c>
      <c r="K53" s="212">
        <f t="shared" si="69"/>
        <v>9</v>
      </c>
      <c r="M53" s="209" t="str">
        <f t="shared" si="70"/>
        <v/>
      </c>
      <c r="N53" s="209" t="str">
        <f t="shared" si="71"/>
        <v/>
      </c>
      <c r="O53" s="209" t="str">
        <f t="shared" si="72"/>
        <v/>
      </c>
      <c r="P53" s="209" t="str">
        <f t="shared" si="73"/>
        <v/>
      </c>
      <c r="Q53" s="209" t="str">
        <f t="shared" si="74"/>
        <v/>
      </c>
      <c r="R53" s="209" t="str">
        <f t="shared" si="75"/>
        <v/>
      </c>
      <c r="S53" s="209" t="str">
        <f t="shared" si="76"/>
        <v/>
      </c>
      <c r="U53" s="466">
        <f t="shared" si="77"/>
        <v>0</v>
      </c>
      <c r="V53" s="466">
        <f t="shared" si="78"/>
        <v>0</v>
      </c>
      <c r="W53" s="466">
        <f t="shared" si="79"/>
        <v>0</v>
      </c>
      <c r="X53" s="466">
        <f t="shared" si="80"/>
        <v>0</v>
      </c>
      <c r="Y53" s="466">
        <f t="shared" si="81"/>
        <v>0</v>
      </c>
      <c r="Z53" s="466">
        <f t="shared" si="82"/>
        <v>0</v>
      </c>
      <c r="AA53" s="466">
        <f t="shared" si="83"/>
        <v>0</v>
      </c>
      <c r="AB53" s="242"/>
      <c r="AC53" s="466">
        <f t="shared" si="84"/>
        <v>0</v>
      </c>
      <c r="AD53" s="466">
        <f t="shared" si="85"/>
        <v>0</v>
      </c>
      <c r="AE53" s="466">
        <f t="shared" si="86"/>
        <v>0</v>
      </c>
      <c r="AF53" s="466">
        <f t="shared" si="87"/>
        <v>0</v>
      </c>
      <c r="AG53" s="466">
        <f t="shared" si="88"/>
        <v>0</v>
      </c>
      <c r="AH53" s="466">
        <f t="shared" si="89"/>
        <v>0</v>
      </c>
      <c r="AI53" s="466">
        <f t="shared" si="90"/>
        <v>0</v>
      </c>
      <c r="AJ53" s="466">
        <f t="shared" si="91"/>
        <v>0</v>
      </c>
      <c r="AK53" s="466">
        <f t="shared" si="92"/>
        <v>0</v>
      </c>
      <c r="AL53" s="466">
        <f t="shared" si="93"/>
        <v>0</v>
      </c>
      <c r="AM53" s="466">
        <f t="shared" si="94"/>
        <v>0</v>
      </c>
      <c r="AN53" s="466">
        <f t="shared" si="95"/>
        <v>0</v>
      </c>
      <c r="AO53" s="466">
        <f t="shared" si="96"/>
        <v>0</v>
      </c>
      <c r="AP53" s="466">
        <f t="shared" si="97"/>
        <v>0</v>
      </c>
      <c r="AQ53" s="466">
        <f t="shared" si="98"/>
        <v>0</v>
      </c>
      <c r="AR53" s="466">
        <f t="shared" si="99"/>
        <v>0</v>
      </c>
      <c r="AS53" s="466">
        <f t="shared" si="100"/>
        <v>0</v>
      </c>
      <c r="AT53" s="466">
        <f t="shared" si="101"/>
        <v>0</v>
      </c>
      <c r="AU53" s="466">
        <f t="shared" si="102"/>
        <v>0</v>
      </c>
      <c r="AV53" s="466">
        <f t="shared" si="103"/>
        <v>0</v>
      </c>
      <c r="AW53" s="466">
        <f t="shared" si="104"/>
        <v>0</v>
      </c>
      <c r="AX53" s="466">
        <f t="shared" si="105"/>
        <v>0</v>
      </c>
      <c r="AY53" s="466">
        <f t="shared" si="106"/>
        <v>0</v>
      </c>
      <c r="AZ53" s="466">
        <f t="shared" si="107"/>
        <v>0</v>
      </c>
      <c r="BA53" s="466">
        <f t="shared" si="108"/>
        <v>0</v>
      </c>
      <c r="BB53" s="466">
        <f t="shared" si="109"/>
        <v>0</v>
      </c>
      <c r="BC53" s="466">
        <f t="shared" si="110"/>
        <v>0</v>
      </c>
      <c r="BD53" s="466">
        <f t="shared" si="111"/>
        <v>0</v>
      </c>
      <c r="BE53" s="466">
        <f t="shared" si="112"/>
        <v>0</v>
      </c>
      <c r="BF53" s="466">
        <f t="shared" si="113"/>
        <v>0</v>
      </c>
      <c r="BG53" s="466">
        <f t="shared" si="114"/>
        <v>0</v>
      </c>
    </row>
    <row r="54" spans="1:59">
      <c r="A54" s="212" t="s">
        <v>5316</v>
      </c>
      <c r="B54" s="230">
        <v>644923360</v>
      </c>
      <c r="C54" s="209" t="s">
        <v>61</v>
      </c>
      <c r="D54" s="209">
        <v>10</v>
      </c>
      <c r="F54" s="238" t="str" cm="1">
        <f t="array" aca="1" ref="F54" ca="1">MID(met2utc(PEPSSI_Commanding[[#This Row],[MET]]),3,15)</f>
        <v>26-179/03:30:44</v>
      </c>
      <c r="G54" s="212" t="str">
        <f t="shared" si="65"/>
        <v>N2+10</v>
      </c>
      <c r="H54" s="213">
        <f t="shared" si="66"/>
        <v>644923315</v>
      </c>
      <c r="I54" s="213">
        <f t="shared" si="67"/>
        <v>644924995</v>
      </c>
      <c r="J54" s="212">
        <f t="shared" si="68"/>
        <v>2</v>
      </c>
      <c r="K54" s="212">
        <f t="shared" si="69"/>
        <v>8</v>
      </c>
      <c r="M54" s="209" t="str">
        <f t="shared" si="70"/>
        <v/>
      </c>
      <c r="N54" s="209">
        <f t="shared" si="71"/>
        <v>10</v>
      </c>
      <c r="O54" s="209" t="str">
        <f t="shared" si="72"/>
        <v/>
      </c>
      <c r="P54" s="209" t="str">
        <f t="shared" si="73"/>
        <v/>
      </c>
      <c r="Q54" s="209" t="str">
        <f t="shared" si="74"/>
        <v/>
      </c>
      <c r="R54" s="209" t="str">
        <f t="shared" si="75"/>
        <v/>
      </c>
      <c r="S54" s="209" t="str">
        <f t="shared" si="76"/>
        <v/>
      </c>
      <c r="U54" s="466">
        <f t="shared" si="77"/>
        <v>0</v>
      </c>
      <c r="V54" s="466">
        <f t="shared" si="78"/>
        <v>0</v>
      </c>
      <c r="W54" s="466">
        <f t="shared" si="79"/>
        <v>0</v>
      </c>
      <c r="X54" s="466">
        <f t="shared" si="80"/>
        <v>0</v>
      </c>
      <c r="Y54" s="466">
        <f t="shared" si="81"/>
        <v>133</v>
      </c>
      <c r="Z54" s="466">
        <f t="shared" si="82"/>
        <v>133</v>
      </c>
      <c r="AA54" s="466">
        <f t="shared" si="83"/>
        <v>0</v>
      </c>
      <c r="AB54" s="242"/>
      <c r="AC54" s="466">
        <f t="shared" si="84"/>
        <v>0</v>
      </c>
      <c r="AD54" s="466">
        <f t="shared" si="85"/>
        <v>0</v>
      </c>
      <c r="AE54" s="466">
        <f t="shared" si="86"/>
        <v>0</v>
      </c>
      <c r="AF54" s="466">
        <f t="shared" si="87"/>
        <v>133</v>
      </c>
      <c r="AG54" s="466">
        <f t="shared" si="88"/>
        <v>133</v>
      </c>
      <c r="AH54" s="466">
        <f t="shared" si="89"/>
        <v>133</v>
      </c>
      <c r="AI54" s="466">
        <f t="shared" si="90"/>
        <v>133</v>
      </c>
      <c r="AJ54" s="466">
        <f t="shared" si="91"/>
        <v>0</v>
      </c>
      <c r="AK54" s="466">
        <f t="shared" si="92"/>
        <v>0</v>
      </c>
      <c r="AL54" s="466">
        <f t="shared" si="93"/>
        <v>0</v>
      </c>
      <c r="AM54" s="466">
        <f t="shared" si="94"/>
        <v>0</v>
      </c>
      <c r="AN54" s="466">
        <f t="shared" si="95"/>
        <v>133</v>
      </c>
      <c r="AO54" s="466">
        <f t="shared" si="96"/>
        <v>133</v>
      </c>
      <c r="AP54" s="466">
        <f t="shared" si="97"/>
        <v>133</v>
      </c>
      <c r="AQ54" s="466">
        <f t="shared" si="98"/>
        <v>133</v>
      </c>
      <c r="AR54" s="466">
        <f t="shared" si="99"/>
        <v>0</v>
      </c>
      <c r="AS54" s="466">
        <f t="shared" si="100"/>
        <v>0</v>
      </c>
      <c r="AT54" s="466">
        <f t="shared" si="101"/>
        <v>0</v>
      </c>
      <c r="AU54" s="466">
        <f t="shared" si="102"/>
        <v>0</v>
      </c>
      <c r="AV54" s="466">
        <f t="shared" si="103"/>
        <v>133</v>
      </c>
      <c r="AW54" s="466">
        <f t="shared" si="104"/>
        <v>133</v>
      </c>
      <c r="AX54" s="466">
        <f t="shared" si="105"/>
        <v>133</v>
      </c>
      <c r="AY54" s="466">
        <f t="shared" si="106"/>
        <v>133</v>
      </c>
      <c r="AZ54" s="466">
        <f t="shared" si="107"/>
        <v>0</v>
      </c>
      <c r="BA54" s="466">
        <f t="shared" si="108"/>
        <v>0</v>
      </c>
      <c r="BB54" s="466">
        <f t="shared" si="109"/>
        <v>0</v>
      </c>
      <c r="BC54" s="466">
        <f t="shared" si="110"/>
        <v>0</v>
      </c>
      <c r="BD54" s="466">
        <f t="shared" si="111"/>
        <v>133</v>
      </c>
      <c r="BE54" s="466">
        <f t="shared" si="112"/>
        <v>133</v>
      </c>
      <c r="BF54" s="466">
        <f t="shared" si="113"/>
        <v>133</v>
      </c>
      <c r="BG54" s="466">
        <f t="shared" si="114"/>
        <v>133</v>
      </c>
    </row>
    <row r="55" spans="1:59">
      <c r="A55" s="212" t="s">
        <v>5316</v>
      </c>
      <c r="B55" s="230">
        <v>644923361</v>
      </c>
      <c r="C55" s="209" t="s">
        <v>58</v>
      </c>
      <c r="D55" s="209">
        <v>300</v>
      </c>
      <c r="F55" s="238" t="str" cm="1">
        <f t="array" aca="1" ref="F55" ca="1">MID(met2utc(PEPSSI_Commanding[[#This Row],[MET]]),3,15)</f>
        <v>26-179/03:30:45</v>
      </c>
      <c r="G55" s="212" t="str">
        <f t="shared" si="65"/>
        <v>N3+300</v>
      </c>
      <c r="H55" s="213">
        <f t="shared" si="66"/>
        <v>644923315</v>
      </c>
      <c r="I55" s="213">
        <f t="shared" si="67"/>
        <v>644924995</v>
      </c>
      <c r="J55" s="212">
        <f t="shared" si="68"/>
        <v>3</v>
      </c>
      <c r="K55" s="212">
        <f t="shared" si="69"/>
        <v>7</v>
      </c>
      <c r="M55" s="209" t="str">
        <f t="shared" si="70"/>
        <v/>
      </c>
      <c r="N55" s="209">
        <f t="shared" si="71"/>
        <v>10</v>
      </c>
      <c r="O55" s="209">
        <f t="shared" si="72"/>
        <v>300</v>
      </c>
      <c r="P55" s="209" t="str">
        <f t="shared" si="73"/>
        <v/>
      </c>
      <c r="Q55" s="209" t="str">
        <f t="shared" si="74"/>
        <v/>
      </c>
      <c r="R55" s="209" t="str">
        <f t="shared" si="75"/>
        <v/>
      </c>
      <c r="S55" s="209" t="str">
        <f t="shared" si="76"/>
        <v/>
      </c>
      <c r="U55" s="466">
        <f t="shared" si="77"/>
        <v>0</v>
      </c>
      <c r="V55" s="466">
        <f t="shared" si="78"/>
        <v>0</v>
      </c>
      <c r="W55" s="466">
        <f t="shared" si="79"/>
        <v>0</v>
      </c>
      <c r="X55" s="466">
        <f t="shared" si="80"/>
        <v>0</v>
      </c>
      <c r="Y55" s="466">
        <f t="shared" si="81"/>
        <v>133</v>
      </c>
      <c r="Z55" s="466">
        <f t="shared" si="82"/>
        <v>133</v>
      </c>
      <c r="AA55" s="466">
        <f t="shared" si="83"/>
        <v>66.36</v>
      </c>
      <c r="AB55" s="242"/>
      <c r="AC55" s="466">
        <f t="shared" si="84"/>
        <v>0</v>
      </c>
      <c r="AD55" s="466">
        <f t="shared" si="85"/>
        <v>66.36</v>
      </c>
      <c r="AE55" s="466">
        <f t="shared" si="86"/>
        <v>66.36</v>
      </c>
      <c r="AF55" s="466">
        <f t="shared" si="87"/>
        <v>133</v>
      </c>
      <c r="AG55" s="466">
        <f t="shared" si="88"/>
        <v>133</v>
      </c>
      <c r="AH55" s="466">
        <f t="shared" si="89"/>
        <v>199.36</v>
      </c>
      <c r="AI55" s="466">
        <f t="shared" si="90"/>
        <v>199.36</v>
      </c>
      <c r="AJ55" s="466">
        <f t="shared" si="91"/>
        <v>0</v>
      </c>
      <c r="AK55" s="466">
        <f t="shared" si="92"/>
        <v>0</v>
      </c>
      <c r="AL55" s="466">
        <f t="shared" si="93"/>
        <v>66.36</v>
      </c>
      <c r="AM55" s="466">
        <f t="shared" si="94"/>
        <v>66.36</v>
      </c>
      <c r="AN55" s="466">
        <f t="shared" si="95"/>
        <v>133</v>
      </c>
      <c r="AO55" s="466">
        <f t="shared" si="96"/>
        <v>133</v>
      </c>
      <c r="AP55" s="466">
        <f t="shared" si="97"/>
        <v>199.36</v>
      </c>
      <c r="AQ55" s="466">
        <f t="shared" si="98"/>
        <v>199.36</v>
      </c>
      <c r="AR55" s="466">
        <f t="shared" si="99"/>
        <v>0</v>
      </c>
      <c r="AS55" s="466">
        <f t="shared" si="100"/>
        <v>0</v>
      </c>
      <c r="AT55" s="466">
        <f t="shared" si="101"/>
        <v>66.36</v>
      </c>
      <c r="AU55" s="466">
        <f t="shared" si="102"/>
        <v>66.36</v>
      </c>
      <c r="AV55" s="466">
        <f t="shared" si="103"/>
        <v>133</v>
      </c>
      <c r="AW55" s="466">
        <f t="shared" si="104"/>
        <v>133</v>
      </c>
      <c r="AX55" s="466">
        <f t="shared" si="105"/>
        <v>199.36</v>
      </c>
      <c r="AY55" s="466">
        <f t="shared" si="106"/>
        <v>199.36</v>
      </c>
      <c r="AZ55" s="466">
        <f t="shared" si="107"/>
        <v>0</v>
      </c>
      <c r="BA55" s="466">
        <f t="shared" si="108"/>
        <v>0</v>
      </c>
      <c r="BB55" s="466">
        <f t="shared" si="109"/>
        <v>66.36</v>
      </c>
      <c r="BC55" s="466">
        <f t="shared" si="110"/>
        <v>66.36</v>
      </c>
      <c r="BD55" s="466">
        <f t="shared" si="111"/>
        <v>133</v>
      </c>
      <c r="BE55" s="466">
        <f t="shared" si="112"/>
        <v>133</v>
      </c>
      <c r="BF55" s="466">
        <f t="shared" si="113"/>
        <v>199.36</v>
      </c>
      <c r="BG55" s="466">
        <f t="shared" si="114"/>
        <v>199.36</v>
      </c>
    </row>
    <row r="56" spans="1:59">
      <c r="A56" s="212" t="s">
        <v>5316</v>
      </c>
      <c r="B56" s="230">
        <v>644923362</v>
      </c>
      <c r="C56" s="209" t="s">
        <v>1</v>
      </c>
      <c r="D56" s="209">
        <v>10</v>
      </c>
      <c r="F56" s="238" t="str" cm="1">
        <f t="array" aca="1" ref="F56" ca="1">MID(met2utc(PEPSSI_Commanding[[#This Row],[MET]]),3,15)</f>
        <v>26-179/03:30:46</v>
      </c>
      <c r="G56" s="212" t="str">
        <f t="shared" si="65"/>
        <v>N1+10</v>
      </c>
      <c r="H56" s="213">
        <f t="shared" si="66"/>
        <v>644923315</v>
      </c>
      <c r="I56" s="213">
        <f t="shared" si="67"/>
        <v>644924995</v>
      </c>
      <c r="J56" s="212">
        <f t="shared" si="68"/>
        <v>4</v>
      </c>
      <c r="K56" s="212">
        <f t="shared" si="69"/>
        <v>6</v>
      </c>
      <c r="M56" s="209">
        <f t="shared" si="70"/>
        <v>10</v>
      </c>
      <c r="N56" s="209">
        <f t="shared" si="71"/>
        <v>10</v>
      </c>
      <c r="O56" s="209">
        <f t="shared" si="72"/>
        <v>300</v>
      </c>
      <c r="P56" s="209" t="str">
        <f t="shared" si="73"/>
        <v/>
      </c>
      <c r="Q56" s="209" t="str">
        <f t="shared" si="74"/>
        <v/>
      </c>
      <c r="R56" s="209" t="str">
        <f t="shared" si="75"/>
        <v/>
      </c>
      <c r="S56" s="209" t="str">
        <f t="shared" si="76"/>
        <v/>
      </c>
      <c r="U56" s="466">
        <f t="shared" si="77"/>
        <v>0</v>
      </c>
      <c r="V56" s="466">
        <f t="shared" si="78"/>
        <v>0</v>
      </c>
      <c r="W56" s="466">
        <f t="shared" si="79"/>
        <v>0</v>
      </c>
      <c r="X56" s="466">
        <f t="shared" si="80"/>
        <v>198.8</v>
      </c>
      <c r="Y56" s="466">
        <f t="shared" si="81"/>
        <v>133</v>
      </c>
      <c r="Z56" s="466">
        <f t="shared" si="82"/>
        <v>133</v>
      </c>
      <c r="AA56" s="466">
        <f t="shared" si="83"/>
        <v>66.36</v>
      </c>
      <c r="AB56" s="242"/>
      <c r="AC56" s="466">
        <f t="shared" si="84"/>
        <v>198.8</v>
      </c>
      <c r="AD56" s="466">
        <f t="shared" si="85"/>
        <v>66.36</v>
      </c>
      <c r="AE56" s="466">
        <f t="shared" si="86"/>
        <v>265.16000000000003</v>
      </c>
      <c r="AF56" s="466">
        <f t="shared" si="87"/>
        <v>133</v>
      </c>
      <c r="AG56" s="466">
        <f t="shared" si="88"/>
        <v>331.8</v>
      </c>
      <c r="AH56" s="466">
        <f t="shared" si="89"/>
        <v>199.36</v>
      </c>
      <c r="AI56" s="466">
        <f t="shared" si="90"/>
        <v>398.16</v>
      </c>
      <c r="AJ56" s="466">
        <f t="shared" si="91"/>
        <v>0</v>
      </c>
      <c r="AK56" s="466">
        <f t="shared" si="92"/>
        <v>198.8</v>
      </c>
      <c r="AL56" s="466">
        <f t="shared" si="93"/>
        <v>66.36</v>
      </c>
      <c r="AM56" s="466">
        <f t="shared" si="94"/>
        <v>265.16000000000003</v>
      </c>
      <c r="AN56" s="466">
        <f t="shared" si="95"/>
        <v>133</v>
      </c>
      <c r="AO56" s="466">
        <f t="shared" si="96"/>
        <v>331.8</v>
      </c>
      <c r="AP56" s="466">
        <f t="shared" si="97"/>
        <v>199.36</v>
      </c>
      <c r="AQ56" s="466">
        <f t="shared" si="98"/>
        <v>398.16</v>
      </c>
      <c r="AR56" s="466">
        <f t="shared" si="99"/>
        <v>0</v>
      </c>
      <c r="AS56" s="466">
        <f t="shared" si="100"/>
        <v>198.8</v>
      </c>
      <c r="AT56" s="466">
        <f t="shared" si="101"/>
        <v>66.36</v>
      </c>
      <c r="AU56" s="466">
        <f t="shared" si="102"/>
        <v>265.16000000000003</v>
      </c>
      <c r="AV56" s="466">
        <f t="shared" si="103"/>
        <v>133</v>
      </c>
      <c r="AW56" s="466">
        <f t="shared" si="104"/>
        <v>331.8</v>
      </c>
      <c r="AX56" s="466">
        <f t="shared" si="105"/>
        <v>199.36</v>
      </c>
      <c r="AY56" s="466">
        <f t="shared" si="106"/>
        <v>398.16</v>
      </c>
      <c r="AZ56" s="466">
        <f t="shared" si="107"/>
        <v>0</v>
      </c>
      <c r="BA56" s="466">
        <f t="shared" si="108"/>
        <v>198.8</v>
      </c>
      <c r="BB56" s="466">
        <f t="shared" si="109"/>
        <v>66.36</v>
      </c>
      <c r="BC56" s="466">
        <f t="shared" si="110"/>
        <v>265.16000000000003</v>
      </c>
      <c r="BD56" s="466">
        <f t="shared" si="111"/>
        <v>133</v>
      </c>
      <c r="BE56" s="466">
        <f t="shared" si="112"/>
        <v>331.8</v>
      </c>
      <c r="BF56" s="466">
        <f t="shared" si="113"/>
        <v>199.36</v>
      </c>
      <c r="BG56" s="466">
        <f t="shared" si="114"/>
        <v>398.16</v>
      </c>
    </row>
    <row r="57" spans="1:59">
      <c r="A57" s="212" t="s">
        <v>5317</v>
      </c>
      <c r="B57" s="230">
        <v>644923363</v>
      </c>
      <c r="C57" s="209" t="s">
        <v>5284</v>
      </c>
      <c r="D57" s="209">
        <v>1</v>
      </c>
      <c r="F57" s="238" t="str" cm="1">
        <f t="array" aca="1" ref="F57" ca="1">MID(met2utc(PEPSSI_Commanding[[#This Row],[MET]]),3,15)</f>
        <v>26-179/03:30:47</v>
      </c>
      <c r="G57" s="212" t="str">
        <f t="shared" si="65"/>
        <v>STAT+1</v>
      </c>
      <c r="H57" s="213">
        <f t="shared" si="66"/>
        <v>644923315</v>
      </c>
      <c r="I57" s="213">
        <f t="shared" si="67"/>
        <v>644924995</v>
      </c>
      <c r="J57" s="212">
        <f t="shared" si="68"/>
        <v>5</v>
      </c>
      <c r="K57" s="212">
        <f t="shared" si="69"/>
        <v>5</v>
      </c>
      <c r="M57" s="209">
        <f t="shared" si="70"/>
        <v>10</v>
      </c>
      <c r="N57" s="209">
        <f t="shared" si="71"/>
        <v>10</v>
      </c>
      <c r="O57" s="209">
        <f t="shared" si="72"/>
        <v>300</v>
      </c>
      <c r="P57" s="209">
        <f t="shared" si="73"/>
        <v>1</v>
      </c>
      <c r="Q57" s="209" t="str">
        <f t="shared" si="74"/>
        <v/>
      </c>
      <c r="R57" s="209" t="str">
        <f t="shared" si="75"/>
        <v/>
      </c>
      <c r="S57" s="209" t="str">
        <f t="shared" si="76"/>
        <v/>
      </c>
      <c r="U57" s="466">
        <f t="shared" si="77"/>
        <v>0</v>
      </c>
      <c r="V57" s="466">
        <f t="shared" si="78"/>
        <v>0</v>
      </c>
      <c r="W57" s="466">
        <f t="shared" si="79"/>
        <v>512</v>
      </c>
      <c r="X57" s="466">
        <f t="shared" si="80"/>
        <v>198.8</v>
      </c>
      <c r="Y57" s="466">
        <f t="shared" si="81"/>
        <v>133</v>
      </c>
      <c r="Z57" s="466">
        <f t="shared" si="82"/>
        <v>133</v>
      </c>
      <c r="AA57" s="466">
        <f t="shared" si="83"/>
        <v>66.36</v>
      </c>
      <c r="AB57" s="242"/>
      <c r="AC57" s="466">
        <f t="shared" si="84"/>
        <v>198.8</v>
      </c>
      <c r="AD57" s="466">
        <f t="shared" si="85"/>
        <v>66.36</v>
      </c>
      <c r="AE57" s="466">
        <f t="shared" si="86"/>
        <v>265.16000000000003</v>
      </c>
      <c r="AF57" s="466">
        <f t="shared" si="87"/>
        <v>133</v>
      </c>
      <c r="AG57" s="466">
        <f t="shared" si="88"/>
        <v>331.8</v>
      </c>
      <c r="AH57" s="466">
        <f t="shared" si="89"/>
        <v>199.36</v>
      </c>
      <c r="AI57" s="466">
        <f t="shared" si="90"/>
        <v>398.16</v>
      </c>
      <c r="AJ57" s="466">
        <f t="shared" si="91"/>
        <v>0</v>
      </c>
      <c r="AK57" s="466">
        <f t="shared" si="92"/>
        <v>198.8</v>
      </c>
      <c r="AL57" s="466">
        <f t="shared" si="93"/>
        <v>66.36</v>
      </c>
      <c r="AM57" s="466">
        <f t="shared" si="94"/>
        <v>265.16000000000003</v>
      </c>
      <c r="AN57" s="466">
        <f t="shared" si="95"/>
        <v>133</v>
      </c>
      <c r="AO57" s="466">
        <f t="shared" si="96"/>
        <v>331.8</v>
      </c>
      <c r="AP57" s="466">
        <f t="shared" si="97"/>
        <v>199.36</v>
      </c>
      <c r="AQ57" s="466">
        <f t="shared" si="98"/>
        <v>398.16</v>
      </c>
      <c r="AR57" s="466">
        <f t="shared" si="99"/>
        <v>512</v>
      </c>
      <c r="AS57" s="466">
        <f t="shared" si="100"/>
        <v>710.8</v>
      </c>
      <c r="AT57" s="466">
        <f t="shared" si="101"/>
        <v>578.36</v>
      </c>
      <c r="AU57" s="466">
        <f t="shared" si="102"/>
        <v>777.16000000000008</v>
      </c>
      <c r="AV57" s="466">
        <f t="shared" si="103"/>
        <v>645</v>
      </c>
      <c r="AW57" s="466">
        <f t="shared" si="104"/>
        <v>843.8</v>
      </c>
      <c r="AX57" s="466">
        <f t="shared" si="105"/>
        <v>711.36</v>
      </c>
      <c r="AY57" s="466">
        <f t="shared" si="106"/>
        <v>910.16000000000008</v>
      </c>
      <c r="AZ57" s="466">
        <f t="shared" si="107"/>
        <v>512</v>
      </c>
      <c r="BA57" s="466">
        <f t="shared" si="108"/>
        <v>710.8</v>
      </c>
      <c r="BB57" s="466">
        <f t="shared" si="109"/>
        <v>578.36</v>
      </c>
      <c r="BC57" s="466">
        <f t="shared" si="110"/>
        <v>777.16000000000008</v>
      </c>
      <c r="BD57" s="466">
        <f t="shared" si="111"/>
        <v>645</v>
      </c>
      <c r="BE57" s="466">
        <f t="shared" si="112"/>
        <v>843.8</v>
      </c>
      <c r="BF57" s="466">
        <f t="shared" si="113"/>
        <v>711.36</v>
      </c>
      <c r="BG57" s="466">
        <f t="shared" si="114"/>
        <v>910.16000000000008</v>
      </c>
    </row>
    <row r="58" spans="1:59">
      <c r="A58" s="212" t="s">
        <v>5316</v>
      </c>
      <c r="B58" s="230">
        <v>644924846</v>
      </c>
      <c r="C58" s="209" t="s">
        <v>61</v>
      </c>
      <c r="D58" s="209">
        <v>40</v>
      </c>
      <c r="F58" s="238" t="str" cm="1">
        <f t="array" aca="1" ref="F58" ca="1">MID(met2utc(PEPSSI_Commanding[[#This Row],[MET]]),3,15)</f>
        <v>26-179/03:55:30</v>
      </c>
      <c r="G58" s="212" t="str">
        <f t="shared" si="65"/>
        <v>N2+40</v>
      </c>
      <c r="H58" s="213">
        <f t="shared" si="66"/>
        <v>644923315</v>
      </c>
      <c r="I58" s="213">
        <f t="shared" si="67"/>
        <v>644924995</v>
      </c>
      <c r="J58" s="212">
        <f t="shared" si="68"/>
        <v>6</v>
      </c>
      <c r="K58" s="212">
        <f t="shared" si="69"/>
        <v>4</v>
      </c>
      <c r="M58" s="209">
        <f t="shared" si="70"/>
        <v>10</v>
      </c>
      <c r="N58" s="209">
        <f t="shared" si="71"/>
        <v>40</v>
      </c>
      <c r="O58" s="209">
        <f t="shared" si="72"/>
        <v>300</v>
      </c>
      <c r="P58" s="209">
        <f t="shared" si="73"/>
        <v>1</v>
      </c>
      <c r="Q58" s="209" t="str">
        <f t="shared" si="74"/>
        <v/>
      </c>
      <c r="R58" s="209" t="str">
        <f t="shared" si="75"/>
        <v/>
      </c>
      <c r="S58" s="209" t="str">
        <f t="shared" si="76"/>
        <v/>
      </c>
      <c r="U58" s="466">
        <f t="shared" si="77"/>
        <v>0</v>
      </c>
      <c r="V58" s="466">
        <f t="shared" si="78"/>
        <v>0</v>
      </c>
      <c r="W58" s="466">
        <f t="shared" si="79"/>
        <v>512</v>
      </c>
      <c r="X58" s="466">
        <f t="shared" si="80"/>
        <v>198.8</v>
      </c>
      <c r="Y58" s="466">
        <f t="shared" si="81"/>
        <v>33.25</v>
      </c>
      <c r="Z58" s="466">
        <f t="shared" si="82"/>
        <v>33.25</v>
      </c>
      <c r="AA58" s="466">
        <f t="shared" si="83"/>
        <v>66.36</v>
      </c>
      <c r="AB58" s="242"/>
      <c r="AC58" s="466">
        <f t="shared" si="84"/>
        <v>198.8</v>
      </c>
      <c r="AD58" s="466">
        <f t="shared" si="85"/>
        <v>66.36</v>
      </c>
      <c r="AE58" s="466">
        <f t="shared" si="86"/>
        <v>265.16000000000003</v>
      </c>
      <c r="AF58" s="466">
        <f t="shared" si="87"/>
        <v>33.25</v>
      </c>
      <c r="AG58" s="466">
        <f t="shared" si="88"/>
        <v>232.05</v>
      </c>
      <c r="AH58" s="466">
        <f t="shared" si="89"/>
        <v>99.61</v>
      </c>
      <c r="AI58" s="466">
        <f t="shared" si="90"/>
        <v>298.41000000000003</v>
      </c>
      <c r="AJ58" s="466">
        <f t="shared" si="91"/>
        <v>0</v>
      </c>
      <c r="AK58" s="466">
        <f t="shared" si="92"/>
        <v>198.8</v>
      </c>
      <c r="AL58" s="466">
        <f t="shared" si="93"/>
        <v>66.36</v>
      </c>
      <c r="AM58" s="466">
        <f t="shared" si="94"/>
        <v>265.16000000000003</v>
      </c>
      <c r="AN58" s="466">
        <f t="shared" si="95"/>
        <v>33.25</v>
      </c>
      <c r="AO58" s="466">
        <f t="shared" si="96"/>
        <v>232.05</v>
      </c>
      <c r="AP58" s="466">
        <f t="shared" si="97"/>
        <v>99.61</v>
      </c>
      <c r="AQ58" s="466">
        <f t="shared" si="98"/>
        <v>298.41000000000003</v>
      </c>
      <c r="AR58" s="466">
        <f t="shared" si="99"/>
        <v>512</v>
      </c>
      <c r="AS58" s="466">
        <f t="shared" si="100"/>
        <v>710.8</v>
      </c>
      <c r="AT58" s="466">
        <f t="shared" si="101"/>
        <v>578.36</v>
      </c>
      <c r="AU58" s="466">
        <f t="shared" si="102"/>
        <v>777.16000000000008</v>
      </c>
      <c r="AV58" s="466">
        <f t="shared" si="103"/>
        <v>545.25</v>
      </c>
      <c r="AW58" s="466">
        <f t="shared" si="104"/>
        <v>744.05</v>
      </c>
      <c r="AX58" s="466">
        <f t="shared" si="105"/>
        <v>611.61</v>
      </c>
      <c r="AY58" s="466">
        <f t="shared" si="106"/>
        <v>810.41000000000008</v>
      </c>
      <c r="AZ58" s="466">
        <f t="shared" si="107"/>
        <v>512</v>
      </c>
      <c r="BA58" s="466">
        <f t="shared" si="108"/>
        <v>710.8</v>
      </c>
      <c r="BB58" s="466">
        <f t="shared" si="109"/>
        <v>578.36</v>
      </c>
      <c r="BC58" s="466">
        <f t="shared" si="110"/>
        <v>777.16000000000008</v>
      </c>
      <c r="BD58" s="466">
        <f t="shared" si="111"/>
        <v>545.25</v>
      </c>
      <c r="BE58" s="466">
        <f t="shared" si="112"/>
        <v>744.05</v>
      </c>
      <c r="BF58" s="466">
        <f t="shared" si="113"/>
        <v>611.61</v>
      </c>
      <c r="BG58" s="466">
        <f t="shared" si="114"/>
        <v>810.41000000000008</v>
      </c>
    </row>
    <row r="59" spans="1:59">
      <c r="A59" s="212" t="s">
        <v>5316</v>
      </c>
      <c r="B59" s="230">
        <v>644924847</v>
      </c>
      <c r="C59" s="209" t="s">
        <v>58</v>
      </c>
      <c r="D59" s="209">
        <v>7200</v>
      </c>
      <c r="F59" s="238" t="str" cm="1">
        <f t="array" aca="1" ref="F59" ca="1">MID(met2utc(PEPSSI_Commanding[[#This Row],[MET]]),3,15)</f>
        <v>26-179/03:55:31</v>
      </c>
      <c r="G59" s="212" t="str">
        <f t="shared" si="65"/>
        <v>N3+7200</v>
      </c>
      <c r="H59" s="213">
        <f t="shared" si="66"/>
        <v>644923315</v>
      </c>
      <c r="I59" s="213">
        <f t="shared" si="67"/>
        <v>644924995</v>
      </c>
      <c r="J59" s="212">
        <f t="shared" si="68"/>
        <v>7</v>
      </c>
      <c r="K59" s="212">
        <f t="shared" si="69"/>
        <v>3</v>
      </c>
      <c r="M59" s="209">
        <f t="shared" si="70"/>
        <v>10</v>
      </c>
      <c r="N59" s="209">
        <f t="shared" si="71"/>
        <v>40</v>
      </c>
      <c r="O59" s="209">
        <f t="shared" si="72"/>
        <v>7200</v>
      </c>
      <c r="P59" s="209">
        <f t="shared" si="73"/>
        <v>1</v>
      </c>
      <c r="Q59" s="209" t="str">
        <f t="shared" si="74"/>
        <v/>
      </c>
      <c r="R59" s="209" t="str">
        <f t="shared" si="75"/>
        <v/>
      </c>
      <c r="S59" s="209" t="str">
        <f t="shared" si="76"/>
        <v/>
      </c>
      <c r="U59" s="466">
        <f t="shared" si="77"/>
        <v>0</v>
      </c>
      <c r="V59" s="466">
        <f t="shared" si="78"/>
        <v>0</v>
      </c>
      <c r="W59" s="466">
        <f t="shared" si="79"/>
        <v>512</v>
      </c>
      <c r="X59" s="466">
        <f t="shared" si="80"/>
        <v>198.8</v>
      </c>
      <c r="Y59" s="466">
        <f t="shared" si="81"/>
        <v>33.25</v>
      </c>
      <c r="Z59" s="466">
        <f t="shared" si="82"/>
        <v>33.25</v>
      </c>
      <c r="AA59" s="466">
        <f t="shared" si="83"/>
        <v>2.7650000000000001</v>
      </c>
      <c r="AB59" s="242"/>
      <c r="AC59" s="466">
        <f t="shared" si="84"/>
        <v>198.8</v>
      </c>
      <c r="AD59" s="466">
        <f t="shared" si="85"/>
        <v>2.7650000000000001</v>
      </c>
      <c r="AE59" s="466">
        <f t="shared" si="86"/>
        <v>201.565</v>
      </c>
      <c r="AF59" s="466">
        <f t="shared" si="87"/>
        <v>33.25</v>
      </c>
      <c r="AG59" s="466">
        <f t="shared" si="88"/>
        <v>232.05</v>
      </c>
      <c r="AH59" s="466">
        <f t="shared" si="89"/>
        <v>36.015000000000001</v>
      </c>
      <c r="AI59" s="466">
        <f t="shared" si="90"/>
        <v>234.815</v>
      </c>
      <c r="AJ59" s="466">
        <f t="shared" si="91"/>
        <v>0</v>
      </c>
      <c r="AK59" s="466">
        <f t="shared" si="92"/>
        <v>198.8</v>
      </c>
      <c r="AL59" s="466">
        <f t="shared" si="93"/>
        <v>2.7650000000000001</v>
      </c>
      <c r="AM59" s="466">
        <f t="shared" si="94"/>
        <v>201.565</v>
      </c>
      <c r="AN59" s="466">
        <f t="shared" si="95"/>
        <v>33.25</v>
      </c>
      <c r="AO59" s="466">
        <f t="shared" si="96"/>
        <v>232.05</v>
      </c>
      <c r="AP59" s="466">
        <f t="shared" si="97"/>
        <v>36.015000000000001</v>
      </c>
      <c r="AQ59" s="466">
        <f t="shared" si="98"/>
        <v>234.815</v>
      </c>
      <c r="AR59" s="466">
        <f t="shared" si="99"/>
        <v>512</v>
      </c>
      <c r="AS59" s="466">
        <f t="shared" si="100"/>
        <v>710.8</v>
      </c>
      <c r="AT59" s="466">
        <f t="shared" si="101"/>
        <v>514.76499999999999</v>
      </c>
      <c r="AU59" s="466">
        <f t="shared" si="102"/>
        <v>713.56500000000005</v>
      </c>
      <c r="AV59" s="466">
        <f t="shared" si="103"/>
        <v>545.25</v>
      </c>
      <c r="AW59" s="466">
        <f t="shared" si="104"/>
        <v>744.05</v>
      </c>
      <c r="AX59" s="466">
        <f t="shared" si="105"/>
        <v>548.01499999999999</v>
      </c>
      <c r="AY59" s="466">
        <f t="shared" si="106"/>
        <v>746.81500000000005</v>
      </c>
      <c r="AZ59" s="466">
        <f t="shared" si="107"/>
        <v>512</v>
      </c>
      <c r="BA59" s="466">
        <f t="shared" si="108"/>
        <v>710.8</v>
      </c>
      <c r="BB59" s="466">
        <f t="shared" si="109"/>
        <v>514.76499999999999</v>
      </c>
      <c r="BC59" s="466">
        <f t="shared" si="110"/>
        <v>713.56500000000005</v>
      </c>
      <c r="BD59" s="466">
        <f t="shared" si="111"/>
        <v>545.25</v>
      </c>
      <c r="BE59" s="466">
        <f t="shared" si="112"/>
        <v>744.05</v>
      </c>
      <c r="BF59" s="466">
        <f t="shared" si="113"/>
        <v>548.01499999999999</v>
      </c>
      <c r="BG59" s="466">
        <f t="shared" si="114"/>
        <v>746.81500000000005</v>
      </c>
    </row>
    <row r="60" spans="1:59">
      <c r="A60" s="212" t="s">
        <v>5316</v>
      </c>
      <c r="B60" s="230">
        <v>644924848</v>
      </c>
      <c r="C60" s="209" t="s">
        <v>1</v>
      </c>
      <c r="D60" s="209">
        <v>3600</v>
      </c>
      <c r="F60" s="238" t="str" cm="1">
        <f t="array" aca="1" ref="F60" ca="1">MID(met2utc(PEPSSI_Commanding[[#This Row],[MET]]),3,15)</f>
        <v>26-179/03:55:32</v>
      </c>
      <c r="G60" s="212" t="str">
        <f t="shared" si="65"/>
        <v>N1+3600</v>
      </c>
      <c r="H60" s="213">
        <f t="shared" si="66"/>
        <v>644923315</v>
      </c>
      <c r="I60" s="213">
        <f t="shared" si="67"/>
        <v>644924995</v>
      </c>
      <c r="J60" s="212">
        <f t="shared" si="68"/>
        <v>8</v>
      </c>
      <c r="K60" s="212">
        <f t="shared" si="69"/>
        <v>2</v>
      </c>
      <c r="M60" s="209">
        <f t="shared" si="70"/>
        <v>3600</v>
      </c>
      <c r="N60" s="209">
        <f t="shared" si="71"/>
        <v>40</v>
      </c>
      <c r="O60" s="209">
        <f t="shared" si="72"/>
        <v>7200</v>
      </c>
      <c r="P60" s="209">
        <f t="shared" si="73"/>
        <v>1</v>
      </c>
      <c r="Q60" s="209" t="str">
        <f t="shared" si="74"/>
        <v/>
      </c>
      <c r="R60" s="209" t="str">
        <f t="shared" si="75"/>
        <v/>
      </c>
      <c r="S60" s="209" t="str">
        <f t="shared" si="76"/>
        <v/>
      </c>
      <c r="U60" s="466">
        <f t="shared" si="77"/>
        <v>0</v>
      </c>
      <c r="V60" s="466">
        <f t="shared" si="78"/>
        <v>0</v>
      </c>
      <c r="W60" s="466">
        <f t="shared" si="79"/>
        <v>512</v>
      </c>
      <c r="X60" s="466">
        <f t="shared" si="80"/>
        <v>0.55222222222222217</v>
      </c>
      <c r="Y60" s="466">
        <f t="shared" si="81"/>
        <v>33.25</v>
      </c>
      <c r="Z60" s="466">
        <f t="shared" si="82"/>
        <v>33.25</v>
      </c>
      <c r="AA60" s="466">
        <f t="shared" si="83"/>
        <v>2.7650000000000001</v>
      </c>
      <c r="AB60" s="242"/>
      <c r="AC60" s="466">
        <f t="shared" si="84"/>
        <v>0.55222222222222217</v>
      </c>
      <c r="AD60" s="466">
        <f t="shared" si="85"/>
        <v>2.7650000000000001</v>
      </c>
      <c r="AE60" s="466">
        <f t="shared" si="86"/>
        <v>3.3172222222222221</v>
      </c>
      <c r="AF60" s="466">
        <f t="shared" si="87"/>
        <v>33.25</v>
      </c>
      <c r="AG60" s="466">
        <f t="shared" si="88"/>
        <v>33.80222222222222</v>
      </c>
      <c r="AH60" s="466">
        <f t="shared" si="89"/>
        <v>36.015000000000001</v>
      </c>
      <c r="AI60" s="466">
        <f t="shared" si="90"/>
        <v>36.56722222222222</v>
      </c>
      <c r="AJ60" s="466">
        <f t="shared" si="91"/>
        <v>0</v>
      </c>
      <c r="AK60" s="466">
        <f t="shared" si="92"/>
        <v>0.55222222222222217</v>
      </c>
      <c r="AL60" s="466">
        <f t="shared" si="93"/>
        <v>2.7650000000000001</v>
      </c>
      <c r="AM60" s="466">
        <f t="shared" si="94"/>
        <v>3.3172222222222221</v>
      </c>
      <c r="AN60" s="466">
        <f t="shared" si="95"/>
        <v>33.25</v>
      </c>
      <c r="AO60" s="466">
        <f t="shared" si="96"/>
        <v>33.80222222222222</v>
      </c>
      <c r="AP60" s="466">
        <f t="shared" si="97"/>
        <v>36.015000000000001</v>
      </c>
      <c r="AQ60" s="466">
        <f t="shared" si="98"/>
        <v>36.56722222222222</v>
      </c>
      <c r="AR60" s="466">
        <f t="shared" si="99"/>
        <v>512</v>
      </c>
      <c r="AS60" s="466">
        <f t="shared" si="100"/>
        <v>512.55222222222221</v>
      </c>
      <c r="AT60" s="466">
        <f t="shared" si="101"/>
        <v>514.76499999999999</v>
      </c>
      <c r="AU60" s="466">
        <f t="shared" si="102"/>
        <v>515.3172222222222</v>
      </c>
      <c r="AV60" s="466">
        <f t="shared" si="103"/>
        <v>545.25</v>
      </c>
      <c r="AW60" s="466">
        <f t="shared" si="104"/>
        <v>545.80222222222221</v>
      </c>
      <c r="AX60" s="466">
        <f t="shared" si="105"/>
        <v>548.01499999999999</v>
      </c>
      <c r="AY60" s="466">
        <f t="shared" si="106"/>
        <v>548.5672222222222</v>
      </c>
      <c r="AZ60" s="466">
        <f t="shared" si="107"/>
        <v>512</v>
      </c>
      <c r="BA60" s="466">
        <f t="shared" si="108"/>
        <v>512.55222222222221</v>
      </c>
      <c r="BB60" s="466">
        <f t="shared" si="109"/>
        <v>514.76499999999999</v>
      </c>
      <c r="BC60" s="466">
        <f t="shared" si="110"/>
        <v>515.3172222222222</v>
      </c>
      <c r="BD60" s="466">
        <f t="shared" si="111"/>
        <v>545.25</v>
      </c>
      <c r="BE60" s="466">
        <f t="shared" si="112"/>
        <v>545.80222222222221</v>
      </c>
      <c r="BF60" s="466">
        <f t="shared" si="113"/>
        <v>548.01499999999999</v>
      </c>
      <c r="BG60" s="466">
        <f t="shared" si="114"/>
        <v>548.5672222222222</v>
      </c>
    </row>
    <row r="61" spans="1:59">
      <c r="A61" s="212" t="s">
        <v>5317</v>
      </c>
      <c r="B61" s="230">
        <v>644924849</v>
      </c>
      <c r="C61" s="209" t="s">
        <v>5284</v>
      </c>
      <c r="D61" s="209">
        <v>300</v>
      </c>
      <c r="F61" s="238" t="str" cm="1">
        <f t="array" aca="1" ref="F61" ca="1">MID(met2utc(PEPSSI_Commanding[[#This Row],[MET]]),3,15)</f>
        <v>26-179/03:55:33</v>
      </c>
      <c r="G61" s="212" t="str">
        <f t="shared" si="65"/>
        <v>STAT+300</v>
      </c>
      <c r="H61" s="213">
        <f t="shared" si="66"/>
        <v>644923315</v>
      </c>
      <c r="I61" s="213">
        <f t="shared" si="67"/>
        <v>644924995</v>
      </c>
      <c r="J61" s="212">
        <f t="shared" si="68"/>
        <v>9</v>
      </c>
      <c r="K61" s="212">
        <f t="shared" si="69"/>
        <v>1</v>
      </c>
      <c r="M61" s="209">
        <f t="shared" si="70"/>
        <v>3600</v>
      </c>
      <c r="N61" s="209">
        <f t="shared" si="71"/>
        <v>40</v>
      </c>
      <c r="O61" s="209">
        <f t="shared" si="72"/>
        <v>7200</v>
      </c>
      <c r="P61" s="209">
        <f t="shared" si="73"/>
        <v>300</v>
      </c>
      <c r="Q61" s="209" t="str">
        <f t="shared" si="74"/>
        <v/>
      </c>
      <c r="R61" s="209" t="str">
        <f t="shared" si="75"/>
        <v/>
      </c>
      <c r="S61" s="209" t="str">
        <f t="shared" si="76"/>
        <v/>
      </c>
      <c r="U61" s="466">
        <f t="shared" si="77"/>
        <v>0</v>
      </c>
      <c r="V61" s="466">
        <f t="shared" si="78"/>
        <v>0</v>
      </c>
      <c r="W61" s="466">
        <f t="shared" si="79"/>
        <v>1.7066666666666668</v>
      </c>
      <c r="X61" s="466">
        <f t="shared" si="80"/>
        <v>0.55222222222222217</v>
      </c>
      <c r="Y61" s="466">
        <f t="shared" si="81"/>
        <v>33.25</v>
      </c>
      <c r="Z61" s="466">
        <f t="shared" si="82"/>
        <v>33.25</v>
      </c>
      <c r="AA61" s="466">
        <f t="shared" si="83"/>
        <v>2.7650000000000001</v>
      </c>
      <c r="AB61" s="242"/>
      <c r="AC61" s="466">
        <f t="shared" si="84"/>
        <v>0.55222222222222217</v>
      </c>
      <c r="AD61" s="466">
        <f t="shared" si="85"/>
        <v>2.7650000000000001</v>
      </c>
      <c r="AE61" s="466">
        <f t="shared" si="86"/>
        <v>3.3172222222222221</v>
      </c>
      <c r="AF61" s="466">
        <f t="shared" si="87"/>
        <v>33.25</v>
      </c>
      <c r="AG61" s="466">
        <f t="shared" si="88"/>
        <v>33.80222222222222</v>
      </c>
      <c r="AH61" s="466">
        <f t="shared" si="89"/>
        <v>36.015000000000001</v>
      </c>
      <c r="AI61" s="466">
        <f t="shared" si="90"/>
        <v>36.56722222222222</v>
      </c>
      <c r="AJ61" s="466">
        <f t="shared" si="91"/>
        <v>0</v>
      </c>
      <c r="AK61" s="466">
        <f t="shared" si="92"/>
        <v>0.55222222222222217</v>
      </c>
      <c r="AL61" s="466">
        <f t="shared" si="93"/>
        <v>2.7650000000000001</v>
      </c>
      <c r="AM61" s="466">
        <f t="shared" si="94"/>
        <v>3.3172222222222221</v>
      </c>
      <c r="AN61" s="466">
        <f t="shared" si="95"/>
        <v>33.25</v>
      </c>
      <c r="AO61" s="466">
        <f t="shared" si="96"/>
        <v>33.80222222222222</v>
      </c>
      <c r="AP61" s="466">
        <f t="shared" si="97"/>
        <v>36.015000000000001</v>
      </c>
      <c r="AQ61" s="466">
        <f t="shared" si="98"/>
        <v>36.56722222222222</v>
      </c>
      <c r="AR61" s="466">
        <f t="shared" si="99"/>
        <v>1.7066666666666668</v>
      </c>
      <c r="AS61" s="466">
        <f t="shared" si="100"/>
        <v>2.2588888888888889</v>
      </c>
      <c r="AT61" s="466">
        <f t="shared" si="101"/>
        <v>4.4716666666666667</v>
      </c>
      <c r="AU61" s="466">
        <f t="shared" si="102"/>
        <v>5.0238888888888891</v>
      </c>
      <c r="AV61" s="466">
        <f t="shared" si="103"/>
        <v>34.956666666666663</v>
      </c>
      <c r="AW61" s="466">
        <f t="shared" si="104"/>
        <v>35.508888888888883</v>
      </c>
      <c r="AX61" s="466">
        <f t="shared" si="105"/>
        <v>37.721666666666664</v>
      </c>
      <c r="AY61" s="466">
        <f t="shared" si="106"/>
        <v>38.273888888888884</v>
      </c>
      <c r="AZ61" s="466">
        <f t="shared" si="107"/>
        <v>1.7066666666666668</v>
      </c>
      <c r="BA61" s="466">
        <f t="shared" si="108"/>
        <v>2.2588888888888889</v>
      </c>
      <c r="BB61" s="466">
        <f t="shared" si="109"/>
        <v>4.4716666666666667</v>
      </c>
      <c r="BC61" s="466">
        <f t="shared" si="110"/>
        <v>5.0238888888888891</v>
      </c>
      <c r="BD61" s="466">
        <f t="shared" si="111"/>
        <v>34.956666666666663</v>
      </c>
      <c r="BE61" s="466">
        <f t="shared" si="112"/>
        <v>35.508888888888883</v>
      </c>
      <c r="BF61" s="466">
        <f t="shared" si="113"/>
        <v>37.721666666666664</v>
      </c>
      <c r="BG61" s="466">
        <f t="shared" si="114"/>
        <v>38.273888888888884</v>
      </c>
    </row>
    <row r="62" spans="1:59">
      <c r="A62" s="212" t="s">
        <v>5316</v>
      </c>
      <c r="B62" s="230">
        <v>644924995</v>
      </c>
      <c r="C62" s="209" t="s">
        <v>61</v>
      </c>
      <c r="D62" s="209">
        <v>360</v>
      </c>
      <c r="F62" s="238" t="str" cm="1">
        <f t="array" aca="1" ref="F62" ca="1">MID(met2utc(PEPSSI_Commanding[[#This Row],[MET]]),3,15)</f>
        <v>26-179/03:57:59</v>
      </c>
      <c r="G62" s="212" t="str">
        <f t="shared" si="65"/>
        <v>N2+360</v>
      </c>
      <c r="H62" s="213">
        <f t="shared" si="66"/>
        <v>644924995</v>
      </c>
      <c r="I62" s="213">
        <f t="shared" si="67"/>
        <v>676426255</v>
      </c>
      <c r="J62" s="212">
        <f t="shared" si="68"/>
        <v>10</v>
      </c>
      <c r="K62" s="212">
        <f t="shared" si="69"/>
        <v>7</v>
      </c>
      <c r="M62" s="209">
        <f t="shared" si="70"/>
        <v>3600</v>
      </c>
      <c r="N62" s="209">
        <f t="shared" si="71"/>
        <v>360</v>
      </c>
      <c r="O62" s="209">
        <f t="shared" si="72"/>
        <v>7200</v>
      </c>
      <c r="P62" s="209">
        <f t="shared" si="73"/>
        <v>300</v>
      </c>
      <c r="Q62" s="209" t="str">
        <f t="shared" si="74"/>
        <v/>
      </c>
      <c r="R62" s="209" t="str">
        <f t="shared" si="75"/>
        <v/>
      </c>
      <c r="S62" s="209" t="str">
        <f t="shared" si="76"/>
        <v/>
      </c>
      <c r="U62" s="466">
        <f t="shared" si="77"/>
        <v>0</v>
      </c>
      <c r="V62" s="466">
        <f t="shared" si="78"/>
        <v>0</v>
      </c>
      <c r="W62" s="466">
        <f t="shared" si="79"/>
        <v>1.7066666666666668</v>
      </c>
      <c r="X62" s="466">
        <f t="shared" si="80"/>
        <v>0.55222222222222217</v>
      </c>
      <c r="Y62" s="466">
        <f t="shared" si="81"/>
        <v>3.6944444444444446</v>
      </c>
      <c r="Z62" s="466">
        <f t="shared" si="82"/>
        <v>3.6944444444444446</v>
      </c>
      <c r="AA62" s="466">
        <f t="shared" si="83"/>
        <v>2.7650000000000001</v>
      </c>
      <c r="AB62" s="242"/>
      <c r="AC62" s="466">
        <f t="shared" si="84"/>
        <v>0.55222222222222217</v>
      </c>
      <c r="AD62" s="466">
        <f t="shared" si="85"/>
        <v>2.7650000000000001</v>
      </c>
      <c r="AE62" s="466">
        <f t="shared" si="86"/>
        <v>3.3172222222222221</v>
      </c>
      <c r="AF62" s="466">
        <f t="shared" si="87"/>
        <v>3.6944444444444446</v>
      </c>
      <c r="AG62" s="466">
        <f t="shared" si="88"/>
        <v>4.246666666666667</v>
      </c>
      <c r="AH62" s="466">
        <f t="shared" si="89"/>
        <v>6.4594444444444452</v>
      </c>
      <c r="AI62" s="466">
        <f t="shared" si="90"/>
        <v>7.0116666666666676</v>
      </c>
      <c r="AJ62" s="466">
        <f t="shared" si="91"/>
        <v>0</v>
      </c>
      <c r="AK62" s="466">
        <f t="shared" si="92"/>
        <v>0.55222222222222217</v>
      </c>
      <c r="AL62" s="466">
        <f t="shared" si="93"/>
        <v>2.7650000000000001</v>
      </c>
      <c r="AM62" s="466">
        <f t="shared" si="94"/>
        <v>3.3172222222222221</v>
      </c>
      <c r="AN62" s="466">
        <f t="shared" si="95"/>
        <v>3.6944444444444446</v>
      </c>
      <c r="AO62" s="466">
        <f t="shared" si="96"/>
        <v>4.246666666666667</v>
      </c>
      <c r="AP62" s="466">
        <f t="shared" si="97"/>
        <v>6.4594444444444452</v>
      </c>
      <c r="AQ62" s="466">
        <f t="shared" si="98"/>
        <v>7.0116666666666676</v>
      </c>
      <c r="AR62" s="466">
        <f t="shared" si="99"/>
        <v>1.7066666666666668</v>
      </c>
      <c r="AS62" s="466">
        <f t="shared" si="100"/>
        <v>2.2588888888888889</v>
      </c>
      <c r="AT62" s="466">
        <f t="shared" si="101"/>
        <v>4.4716666666666667</v>
      </c>
      <c r="AU62" s="466">
        <f t="shared" si="102"/>
        <v>5.0238888888888891</v>
      </c>
      <c r="AV62" s="466">
        <f t="shared" si="103"/>
        <v>5.4011111111111116</v>
      </c>
      <c r="AW62" s="466">
        <f t="shared" si="104"/>
        <v>5.953333333333334</v>
      </c>
      <c r="AX62" s="466">
        <f t="shared" si="105"/>
        <v>8.1661111111111122</v>
      </c>
      <c r="AY62" s="466">
        <f t="shared" si="106"/>
        <v>8.7183333333333337</v>
      </c>
      <c r="AZ62" s="466">
        <f t="shared" si="107"/>
        <v>1.7066666666666668</v>
      </c>
      <c r="BA62" s="466">
        <f t="shared" si="108"/>
        <v>2.2588888888888889</v>
      </c>
      <c r="BB62" s="466">
        <f t="shared" si="109"/>
        <v>4.4716666666666667</v>
      </c>
      <c r="BC62" s="466">
        <f t="shared" si="110"/>
        <v>5.0238888888888891</v>
      </c>
      <c r="BD62" s="466">
        <f t="shared" si="111"/>
        <v>5.4011111111111116</v>
      </c>
      <c r="BE62" s="466">
        <f t="shared" si="112"/>
        <v>5.953333333333334</v>
      </c>
      <c r="BF62" s="466">
        <f t="shared" si="113"/>
        <v>8.1661111111111122</v>
      </c>
      <c r="BG62" s="466">
        <f t="shared" si="114"/>
        <v>8.7183333333333337</v>
      </c>
    </row>
    <row r="63" spans="1:59">
      <c r="A63" s="212" t="s">
        <v>5316</v>
      </c>
      <c r="B63" s="230">
        <v>644924998</v>
      </c>
      <c r="C63" s="209" t="s">
        <v>1</v>
      </c>
      <c r="D63" s="209">
        <v>360</v>
      </c>
      <c r="F63" s="238" t="str" cm="1">
        <f t="array" aca="1" ref="F63" ca="1">MID(met2utc(PEPSSI_Commanding[[#This Row],[MET]]),3,15)</f>
        <v>26-179/03:58:02</v>
      </c>
      <c r="G63" s="212" t="str">
        <f t="shared" si="65"/>
        <v>N1+360</v>
      </c>
      <c r="H63" s="213">
        <f t="shared" si="66"/>
        <v>644924995</v>
      </c>
      <c r="I63" s="213">
        <f t="shared" si="67"/>
        <v>676426255</v>
      </c>
      <c r="J63" s="212">
        <f t="shared" si="68"/>
        <v>11</v>
      </c>
      <c r="K63" s="212">
        <f t="shared" si="69"/>
        <v>6</v>
      </c>
      <c r="M63" s="209">
        <f t="shared" si="70"/>
        <v>360</v>
      </c>
      <c r="N63" s="209">
        <f t="shared" si="71"/>
        <v>360</v>
      </c>
      <c r="O63" s="209">
        <f t="shared" si="72"/>
        <v>7200</v>
      </c>
      <c r="P63" s="209">
        <f t="shared" si="73"/>
        <v>300</v>
      </c>
      <c r="Q63" s="209" t="str">
        <f t="shared" si="74"/>
        <v/>
      </c>
      <c r="R63" s="209" t="str">
        <f t="shared" si="75"/>
        <v/>
      </c>
      <c r="S63" s="209" t="str">
        <f t="shared" si="76"/>
        <v/>
      </c>
      <c r="U63" s="466">
        <f t="shared" si="77"/>
        <v>0</v>
      </c>
      <c r="V63" s="466">
        <f t="shared" si="78"/>
        <v>0</v>
      </c>
      <c r="W63" s="466">
        <f t="shared" si="79"/>
        <v>1.7066666666666668</v>
      </c>
      <c r="X63" s="466">
        <f t="shared" si="80"/>
        <v>5.5222222222222221</v>
      </c>
      <c r="Y63" s="466">
        <f t="shared" si="81"/>
        <v>3.6944444444444446</v>
      </c>
      <c r="Z63" s="466">
        <f t="shared" si="82"/>
        <v>3.6944444444444446</v>
      </c>
      <c r="AA63" s="466">
        <f t="shared" si="83"/>
        <v>2.7650000000000001</v>
      </c>
      <c r="AB63" s="242"/>
      <c r="AC63" s="466">
        <f t="shared" si="84"/>
        <v>5.5222222222222221</v>
      </c>
      <c r="AD63" s="466">
        <f t="shared" si="85"/>
        <v>2.7650000000000001</v>
      </c>
      <c r="AE63" s="466">
        <f t="shared" si="86"/>
        <v>8.2872222222222227</v>
      </c>
      <c r="AF63" s="466">
        <f t="shared" si="87"/>
        <v>3.6944444444444446</v>
      </c>
      <c r="AG63" s="466">
        <f t="shared" si="88"/>
        <v>9.2166666666666668</v>
      </c>
      <c r="AH63" s="466">
        <f t="shared" si="89"/>
        <v>6.4594444444444452</v>
      </c>
      <c r="AI63" s="466">
        <f t="shared" si="90"/>
        <v>11.981666666666667</v>
      </c>
      <c r="AJ63" s="466">
        <f t="shared" si="91"/>
        <v>0</v>
      </c>
      <c r="AK63" s="466">
        <f t="shared" si="92"/>
        <v>5.5222222222222221</v>
      </c>
      <c r="AL63" s="466">
        <f t="shared" si="93"/>
        <v>2.7650000000000001</v>
      </c>
      <c r="AM63" s="466">
        <f t="shared" si="94"/>
        <v>8.2872222222222227</v>
      </c>
      <c r="AN63" s="466">
        <f t="shared" si="95"/>
        <v>3.6944444444444446</v>
      </c>
      <c r="AO63" s="466">
        <f t="shared" si="96"/>
        <v>9.2166666666666668</v>
      </c>
      <c r="AP63" s="466">
        <f t="shared" si="97"/>
        <v>6.4594444444444452</v>
      </c>
      <c r="AQ63" s="466">
        <f t="shared" si="98"/>
        <v>11.981666666666667</v>
      </c>
      <c r="AR63" s="466">
        <f t="shared" si="99"/>
        <v>1.7066666666666668</v>
      </c>
      <c r="AS63" s="466">
        <f t="shared" si="100"/>
        <v>7.2288888888888891</v>
      </c>
      <c r="AT63" s="466">
        <f t="shared" si="101"/>
        <v>4.4716666666666667</v>
      </c>
      <c r="AU63" s="466">
        <f t="shared" si="102"/>
        <v>9.9938888888888897</v>
      </c>
      <c r="AV63" s="466">
        <f t="shared" si="103"/>
        <v>5.4011111111111116</v>
      </c>
      <c r="AW63" s="466">
        <f t="shared" si="104"/>
        <v>10.923333333333334</v>
      </c>
      <c r="AX63" s="466">
        <f t="shared" si="105"/>
        <v>8.1661111111111122</v>
      </c>
      <c r="AY63" s="466">
        <f t="shared" si="106"/>
        <v>13.688333333333334</v>
      </c>
      <c r="AZ63" s="466">
        <f t="shared" si="107"/>
        <v>1.7066666666666668</v>
      </c>
      <c r="BA63" s="466">
        <f t="shared" si="108"/>
        <v>7.2288888888888891</v>
      </c>
      <c r="BB63" s="466">
        <f t="shared" si="109"/>
        <v>4.4716666666666667</v>
      </c>
      <c r="BC63" s="466">
        <f t="shared" si="110"/>
        <v>9.9938888888888897</v>
      </c>
      <c r="BD63" s="466">
        <f t="shared" si="111"/>
        <v>5.4011111111111116</v>
      </c>
      <c r="BE63" s="466">
        <f t="shared" si="112"/>
        <v>10.923333333333334</v>
      </c>
      <c r="BF63" s="466">
        <f t="shared" si="113"/>
        <v>8.1661111111111122</v>
      </c>
      <c r="BG63" s="466">
        <f t="shared" si="114"/>
        <v>13.688333333333334</v>
      </c>
    </row>
    <row r="64" spans="1:59">
      <c r="A64" s="212" t="s">
        <v>5316</v>
      </c>
      <c r="B64" s="230">
        <v>644925001</v>
      </c>
      <c r="C64" s="209" t="s">
        <v>58</v>
      </c>
      <c r="D64" s="209">
        <v>900</v>
      </c>
      <c r="F64" s="238" t="str" cm="1">
        <f t="array" aca="1" ref="F64" ca="1">MID(met2utc(PEPSSI_Commanding[[#This Row],[MET]]),3,15)</f>
        <v>26-179/03:58:05</v>
      </c>
      <c r="G64" s="212" t="str">
        <f t="shared" si="65"/>
        <v>N3+900</v>
      </c>
      <c r="H64" s="213">
        <f t="shared" si="66"/>
        <v>644924995</v>
      </c>
      <c r="I64" s="213">
        <f t="shared" si="67"/>
        <v>676426255</v>
      </c>
      <c r="J64" s="212">
        <f t="shared" si="68"/>
        <v>12</v>
      </c>
      <c r="K64" s="212">
        <f t="shared" si="69"/>
        <v>5</v>
      </c>
      <c r="M64" s="209">
        <f t="shared" si="70"/>
        <v>360</v>
      </c>
      <c r="N64" s="209">
        <f t="shared" si="71"/>
        <v>360</v>
      </c>
      <c r="O64" s="209">
        <f t="shared" si="72"/>
        <v>900</v>
      </c>
      <c r="P64" s="209">
        <f t="shared" si="73"/>
        <v>300</v>
      </c>
      <c r="Q64" s="209" t="str">
        <f t="shared" si="74"/>
        <v/>
      </c>
      <c r="R64" s="209" t="str">
        <f t="shared" si="75"/>
        <v/>
      </c>
      <c r="S64" s="209" t="str">
        <f t="shared" si="76"/>
        <v/>
      </c>
      <c r="U64" s="466">
        <f t="shared" si="77"/>
        <v>0</v>
      </c>
      <c r="V64" s="466">
        <f t="shared" si="78"/>
        <v>0</v>
      </c>
      <c r="W64" s="466">
        <f t="shared" si="79"/>
        <v>1.7066666666666668</v>
      </c>
      <c r="X64" s="466">
        <f t="shared" si="80"/>
        <v>5.5222222222222221</v>
      </c>
      <c r="Y64" s="466">
        <f t="shared" si="81"/>
        <v>3.6944444444444446</v>
      </c>
      <c r="Z64" s="466">
        <f t="shared" si="82"/>
        <v>3.6944444444444446</v>
      </c>
      <c r="AA64" s="466">
        <f t="shared" si="83"/>
        <v>22.12</v>
      </c>
      <c r="AB64" s="242"/>
      <c r="AC64" s="466">
        <f t="shared" si="84"/>
        <v>5.5222222222222221</v>
      </c>
      <c r="AD64" s="466">
        <f t="shared" si="85"/>
        <v>22.12</v>
      </c>
      <c r="AE64" s="466">
        <f t="shared" si="86"/>
        <v>27.642222222222223</v>
      </c>
      <c r="AF64" s="466">
        <f t="shared" si="87"/>
        <v>3.6944444444444446</v>
      </c>
      <c r="AG64" s="466">
        <f t="shared" si="88"/>
        <v>9.2166666666666668</v>
      </c>
      <c r="AH64" s="466">
        <f t="shared" si="89"/>
        <v>25.814444444444447</v>
      </c>
      <c r="AI64" s="466">
        <f t="shared" si="90"/>
        <v>31.33666666666667</v>
      </c>
      <c r="AJ64" s="466">
        <f t="shared" si="91"/>
        <v>0</v>
      </c>
      <c r="AK64" s="466">
        <f t="shared" si="92"/>
        <v>5.5222222222222221</v>
      </c>
      <c r="AL64" s="466">
        <f t="shared" si="93"/>
        <v>22.12</v>
      </c>
      <c r="AM64" s="466">
        <f t="shared" si="94"/>
        <v>27.642222222222223</v>
      </c>
      <c r="AN64" s="466">
        <f t="shared" si="95"/>
        <v>3.6944444444444446</v>
      </c>
      <c r="AO64" s="466">
        <f t="shared" si="96"/>
        <v>9.2166666666666668</v>
      </c>
      <c r="AP64" s="466">
        <f t="shared" si="97"/>
        <v>25.814444444444447</v>
      </c>
      <c r="AQ64" s="466">
        <f t="shared" si="98"/>
        <v>31.33666666666667</v>
      </c>
      <c r="AR64" s="466">
        <f t="shared" si="99"/>
        <v>1.7066666666666668</v>
      </c>
      <c r="AS64" s="466">
        <f t="shared" si="100"/>
        <v>7.2288888888888891</v>
      </c>
      <c r="AT64" s="466">
        <f t="shared" si="101"/>
        <v>23.826666666666668</v>
      </c>
      <c r="AU64" s="466">
        <f t="shared" si="102"/>
        <v>29.34888888888889</v>
      </c>
      <c r="AV64" s="466">
        <f t="shared" si="103"/>
        <v>5.4011111111111116</v>
      </c>
      <c r="AW64" s="466">
        <f t="shared" si="104"/>
        <v>10.923333333333334</v>
      </c>
      <c r="AX64" s="466">
        <f t="shared" si="105"/>
        <v>27.521111111111111</v>
      </c>
      <c r="AY64" s="466">
        <f t="shared" si="106"/>
        <v>33.043333333333337</v>
      </c>
      <c r="AZ64" s="466">
        <f t="shared" si="107"/>
        <v>1.7066666666666668</v>
      </c>
      <c r="BA64" s="466">
        <f t="shared" si="108"/>
        <v>7.2288888888888891</v>
      </c>
      <c r="BB64" s="466">
        <f t="shared" si="109"/>
        <v>23.826666666666668</v>
      </c>
      <c r="BC64" s="466">
        <f t="shared" si="110"/>
        <v>29.34888888888889</v>
      </c>
      <c r="BD64" s="466">
        <f t="shared" si="111"/>
        <v>5.4011111111111116</v>
      </c>
      <c r="BE64" s="466">
        <f t="shared" si="112"/>
        <v>10.923333333333334</v>
      </c>
      <c r="BF64" s="466">
        <f t="shared" si="113"/>
        <v>27.521111111111111</v>
      </c>
      <c r="BG64" s="466">
        <f t="shared" si="114"/>
        <v>33.043333333333337</v>
      </c>
    </row>
    <row r="65" spans="1:59">
      <c r="A65" s="212" t="s">
        <v>5317</v>
      </c>
      <c r="B65" s="230">
        <v>644925004</v>
      </c>
      <c r="C65" s="209" t="s">
        <v>5284</v>
      </c>
      <c r="D65" s="209">
        <v>1800</v>
      </c>
      <c r="F65" s="238" t="str" cm="1">
        <f t="array" aca="1" ref="F65" ca="1">MID(met2utc(PEPSSI_Commanding[[#This Row],[MET]]),3,15)</f>
        <v>26-179/03:58:08</v>
      </c>
      <c r="G65" s="212" t="str">
        <f t="shared" si="65"/>
        <v>STAT+1800</v>
      </c>
      <c r="H65" s="213">
        <f t="shared" si="66"/>
        <v>644924995</v>
      </c>
      <c r="I65" s="213">
        <f t="shared" si="67"/>
        <v>676426255</v>
      </c>
      <c r="J65" s="212">
        <f t="shared" si="68"/>
        <v>13</v>
      </c>
      <c r="K65" s="212">
        <f t="shared" si="69"/>
        <v>4</v>
      </c>
      <c r="M65" s="209">
        <f t="shared" si="70"/>
        <v>360</v>
      </c>
      <c r="N65" s="209">
        <f t="shared" si="71"/>
        <v>360</v>
      </c>
      <c r="O65" s="209">
        <f t="shared" si="72"/>
        <v>900</v>
      </c>
      <c r="P65" s="209">
        <f t="shared" si="73"/>
        <v>1800</v>
      </c>
      <c r="Q65" s="209" t="str">
        <f t="shared" si="74"/>
        <v/>
      </c>
      <c r="R65" s="209" t="str">
        <f t="shared" si="75"/>
        <v/>
      </c>
      <c r="S65" s="209" t="str">
        <f t="shared" si="76"/>
        <v/>
      </c>
      <c r="U65" s="466">
        <f t="shared" si="77"/>
        <v>0</v>
      </c>
      <c r="V65" s="466">
        <f t="shared" si="78"/>
        <v>0</v>
      </c>
      <c r="W65" s="466">
        <f t="shared" si="79"/>
        <v>0.28444444444444444</v>
      </c>
      <c r="X65" s="466">
        <f t="shared" si="80"/>
        <v>5.5222222222222221</v>
      </c>
      <c r="Y65" s="466">
        <f t="shared" si="81"/>
        <v>3.6944444444444446</v>
      </c>
      <c r="Z65" s="466">
        <f t="shared" si="82"/>
        <v>3.6944444444444446</v>
      </c>
      <c r="AA65" s="466">
        <f t="shared" si="83"/>
        <v>22.12</v>
      </c>
      <c r="AB65" s="242"/>
      <c r="AC65" s="466">
        <f t="shared" si="84"/>
        <v>5.5222222222222221</v>
      </c>
      <c r="AD65" s="466">
        <f t="shared" si="85"/>
        <v>22.12</v>
      </c>
      <c r="AE65" s="466">
        <f t="shared" si="86"/>
        <v>27.642222222222223</v>
      </c>
      <c r="AF65" s="466">
        <f t="shared" si="87"/>
        <v>3.6944444444444446</v>
      </c>
      <c r="AG65" s="466">
        <f t="shared" si="88"/>
        <v>9.2166666666666668</v>
      </c>
      <c r="AH65" s="466">
        <f t="shared" si="89"/>
        <v>25.814444444444447</v>
      </c>
      <c r="AI65" s="466">
        <f t="shared" si="90"/>
        <v>31.33666666666667</v>
      </c>
      <c r="AJ65" s="466">
        <f t="shared" si="91"/>
        <v>0</v>
      </c>
      <c r="AK65" s="466">
        <f t="shared" si="92"/>
        <v>5.5222222222222221</v>
      </c>
      <c r="AL65" s="466">
        <f t="shared" si="93"/>
        <v>22.12</v>
      </c>
      <c r="AM65" s="466">
        <f t="shared" si="94"/>
        <v>27.642222222222223</v>
      </c>
      <c r="AN65" s="466">
        <f t="shared" si="95"/>
        <v>3.6944444444444446</v>
      </c>
      <c r="AO65" s="466">
        <f t="shared" si="96"/>
        <v>9.2166666666666668</v>
      </c>
      <c r="AP65" s="466">
        <f t="shared" si="97"/>
        <v>25.814444444444447</v>
      </c>
      <c r="AQ65" s="466">
        <f t="shared" si="98"/>
        <v>31.33666666666667</v>
      </c>
      <c r="AR65" s="466">
        <f t="shared" si="99"/>
        <v>0.28444444444444444</v>
      </c>
      <c r="AS65" s="466">
        <f t="shared" si="100"/>
        <v>5.8066666666666666</v>
      </c>
      <c r="AT65" s="466">
        <f t="shared" si="101"/>
        <v>22.404444444444444</v>
      </c>
      <c r="AU65" s="466">
        <f t="shared" si="102"/>
        <v>27.926666666666666</v>
      </c>
      <c r="AV65" s="466">
        <f t="shared" si="103"/>
        <v>3.9788888888888891</v>
      </c>
      <c r="AW65" s="466">
        <f t="shared" si="104"/>
        <v>9.5011111111111113</v>
      </c>
      <c r="AX65" s="466">
        <f t="shared" si="105"/>
        <v>26.09888888888889</v>
      </c>
      <c r="AY65" s="466">
        <f t="shared" si="106"/>
        <v>31.621111111111112</v>
      </c>
      <c r="AZ65" s="466">
        <f t="shared" si="107"/>
        <v>0.28444444444444444</v>
      </c>
      <c r="BA65" s="466">
        <f t="shared" si="108"/>
        <v>5.8066666666666666</v>
      </c>
      <c r="BB65" s="466">
        <f t="shared" si="109"/>
        <v>22.404444444444444</v>
      </c>
      <c r="BC65" s="466">
        <f t="shared" si="110"/>
        <v>27.926666666666666</v>
      </c>
      <c r="BD65" s="466">
        <f t="shared" si="111"/>
        <v>3.9788888888888891</v>
      </c>
      <c r="BE65" s="466">
        <f t="shared" si="112"/>
        <v>9.5011111111111113</v>
      </c>
      <c r="BF65" s="466">
        <f t="shared" si="113"/>
        <v>26.09888888888889</v>
      </c>
      <c r="BG65" s="466">
        <f t="shared" si="114"/>
        <v>31.621111111111112</v>
      </c>
    </row>
    <row r="66" spans="1:59">
      <c r="A66" s="212" t="s">
        <v>5315</v>
      </c>
      <c r="B66" s="230">
        <v>644925055</v>
      </c>
      <c r="C66" s="209" t="s">
        <v>5285</v>
      </c>
      <c r="D66" s="209">
        <v>102</v>
      </c>
      <c r="F66" s="238" t="str" cm="1">
        <f t="array" aca="1" ref="F66" ca="1">MID(met2utc(PEPSSI_Commanding[[#This Row],[MET]]),3,15)</f>
        <v>26-179/03:58:59</v>
      </c>
      <c r="G66" s="212" t="str">
        <f t="shared" si="65"/>
        <v>MAC+102</v>
      </c>
      <c r="H66" s="213">
        <f t="shared" si="66"/>
        <v>644924995</v>
      </c>
      <c r="I66" s="213">
        <f t="shared" si="67"/>
        <v>676426255</v>
      </c>
      <c r="J66" s="212">
        <f t="shared" si="68"/>
        <v>14</v>
      </c>
      <c r="K66" s="212">
        <f t="shared" si="69"/>
        <v>3</v>
      </c>
      <c r="M66" s="209">
        <f t="shared" si="70"/>
        <v>360</v>
      </c>
      <c r="N66" s="209">
        <f t="shared" si="71"/>
        <v>360</v>
      </c>
      <c r="O66" s="209">
        <f t="shared" si="72"/>
        <v>900</v>
      </c>
      <c r="P66" s="209">
        <f t="shared" si="73"/>
        <v>1800</v>
      </c>
      <c r="Q66" s="209" t="str">
        <f t="shared" si="74"/>
        <v/>
      </c>
      <c r="R66" s="209" t="str">
        <f t="shared" si="75"/>
        <v/>
      </c>
      <c r="S66" s="209" t="str">
        <f t="shared" si="76"/>
        <v>102</v>
      </c>
      <c r="U66" s="466">
        <f t="shared" si="77"/>
        <v>0</v>
      </c>
      <c r="V66" s="466">
        <f t="shared" si="78"/>
        <v>0</v>
      </c>
      <c r="W66" s="466">
        <f t="shared" si="79"/>
        <v>0.28444444444444444</v>
      </c>
      <c r="X66" s="466">
        <f t="shared" si="80"/>
        <v>5.5222222222222221</v>
      </c>
      <c r="Y66" s="466">
        <f t="shared" si="81"/>
        <v>3.6944444444444446</v>
      </c>
      <c r="Z66" s="466">
        <f t="shared" si="82"/>
        <v>3.6944444444444446</v>
      </c>
      <c r="AA66" s="466">
        <f t="shared" si="83"/>
        <v>22.12</v>
      </c>
      <c r="AB66" s="242"/>
      <c r="AC66" s="466">
        <f t="shared" si="84"/>
        <v>5.5222222222222221</v>
      </c>
      <c r="AD66" s="466">
        <f t="shared" si="85"/>
        <v>22.12</v>
      </c>
      <c r="AE66" s="466">
        <f t="shared" si="86"/>
        <v>27.642222222222223</v>
      </c>
      <c r="AF66" s="466">
        <f t="shared" si="87"/>
        <v>3.6944444444444446</v>
      </c>
      <c r="AG66" s="466">
        <f t="shared" si="88"/>
        <v>9.2166666666666668</v>
      </c>
      <c r="AH66" s="466">
        <f t="shared" si="89"/>
        <v>25.814444444444447</v>
      </c>
      <c r="AI66" s="466">
        <f t="shared" si="90"/>
        <v>31.33666666666667</v>
      </c>
      <c r="AJ66" s="466">
        <f t="shared" si="91"/>
        <v>0</v>
      </c>
      <c r="AK66" s="466">
        <f t="shared" si="92"/>
        <v>5.5222222222222221</v>
      </c>
      <c r="AL66" s="466">
        <f t="shared" si="93"/>
        <v>22.12</v>
      </c>
      <c r="AM66" s="466">
        <f t="shared" si="94"/>
        <v>27.642222222222223</v>
      </c>
      <c r="AN66" s="466">
        <f t="shared" si="95"/>
        <v>3.6944444444444446</v>
      </c>
      <c r="AO66" s="466">
        <f t="shared" si="96"/>
        <v>9.2166666666666668</v>
      </c>
      <c r="AP66" s="466">
        <f t="shared" si="97"/>
        <v>25.814444444444447</v>
      </c>
      <c r="AQ66" s="466">
        <f t="shared" si="98"/>
        <v>31.33666666666667</v>
      </c>
      <c r="AR66" s="466">
        <f t="shared" si="99"/>
        <v>0.28444444444444444</v>
      </c>
      <c r="AS66" s="466">
        <f t="shared" si="100"/>
        <v>5.8066666666666666</v>
      </c>
      <c r="AT66" s="466">
        <f t="shared" si="101"/>
        <v>22.404444444444444</v>
      </c>
      <c r="AU66" s="466">
        <f t="shared" si="102"/>
        <v>27.926666666666666</v>
      </c>
      <c r="AV66" s="466">
        <f t="shared" si="103"/>
        <v>3.9788888888888891</v>
      </c>
      <c r="AW66" s="466">
        <f t="shared" si="104"/>
        <v>9.5011111111111113</v>
      </c>
      <c r="AX66" s="466">
        <f t="shared" si="105"/>
        <v>26.09888888888889</v>
      </c>
      <c r="AY66" s="466">
        <f t="shared" si="106"/>
        <v>31.621111111111112</v>
      </c>
      <c r="AZ66" s="466">
        <f t="shared" si="107"/>
        <v>0.28444444444444444</v>
      </c>
      <c r="BA66" s="466">
        <f t="shared" si="108"/>
        <v>5.8066666666666666</v>
      </c>
      <c r="BB66" s="466">
        <f t="shared" si="109"/>
        <v>22.404444444444444</v>
      </c>
      <c r="BC66" s="466">
        <f t="shared" si="110"/>
        <v>27.926666666666666</v>
      </c>
      <c r="BD66" s="466">
        <f t="shared" si="111"/>
        <v>3.9788888888888891</v>
      </c>
      <c r="BE66" s="466">
        <f t="shared" si="112"/>
        <v>9.5011111111111113</v>
      </c>
      <c r="BF66" s="466">
        <f t="shared" si="113"/>
        <v>26.09888888888889</v>
      </c>
      <c r="BG66" s="466">
        <f t="shared" si="114"/>
        <v>31.621111111111112</v>
      </c>
    </row>
    <row r="67" spans="1:59">
      <c r="A67" s="212" t="s">
        <v>5315</v>
      </c>
      <c r="B67" s="230">
        <v>644925655</v>
      </c>
      <c r="C67" s="209" t="s">
        <v>5285</v>
      </c>
      <c r="D67" s="209">
        <v>104</v>
      </c>
      <c r="F67" s="238" t="str" cm="1">
        <f t="array" aca="1" ref="F67" ca="1">MID(met2utc(PEPSSI_Commanding[[#This Row],[MET]]),3,15)</f>
        <v>26-179/04:08:59</v>
      </c>
      <c r="G67" s="212" t="str">
        <f t="shared" si="65"/>
        <v>MAC+104</v>
      </c>
      <c r="H67" s="213">
        <f t="shared" si="66"/>
        <v>644924995</v>
      </c>
      <c r="I67" s="213">
        <f t="shared" si="67"/>
        <v>676426255</v>
      </c>
      <c r="J67" s="212">
        <f t="shared" si="68"/>
        <v>15</v>
      </c>
      <c r="K67" s="212">
        <f t="shared" si="69"/>
        <v>2</v>
      </c>
      <c r="M67" s="209">
        <f t="shared" si="70"/>
        <v>360</v>
      </c>
      <c r="N67" s="209">
        <f t="shared" si="71"/>
        <v>2</v>
      </c>
      <c r="O67" s="209">
        <f t="shared" si="72"/>
        <v>900</v>
      </c>
      <c r="P67" s="209">
        <f t="shared" si="73"/>
        <v>1800</v>
      </c>
      <c r="Q67" s="209" t="str">
        <f t="shared" si="74"/>
        <v>disabled</v>
      </c>
      <c r="R67" s="209" t="str">
        <f t="shared" si="75"/>
        <v/>
      </c>
      <c r="S67" s="209" t="str">
        <f t="shared" si="76"/>
        <v>102</v>
      </c>
      <c r="U67" s="466">
        <f t="shared" si="77"/>
        <v>0</v>
      </c>
      <c r="V67" s="466">
        <f t="shared" si="78"/>
        <v>0</v>
      </c>
      <c r="W67" s="466">
        <f t="shared" si="79"/>
        <v>0.28444444444444444</v>
      </c>
      <c r="X67" s="466">
        <f t="shared" si="80"/>
        <v>5.5222222222222221</v>
      </c>
      <c r="Y67" s="466">
        <f t="shared" si="81"/>
        <v>0</v>
      </c>
      <c r="Z67" s="466">
        <f t="shared" si="82"/>
        <v>0</v>
      </c>
      <c r="AA67" s="466">
        <f t="shared" si="83"/>
        <v>22.12</v>
      </c>
      <c r="AB67" s="242"/>
      <c r="AC67" s="466">
        <f t="shared" si="84"/>
        <v>5.5222222222222221</v>
      </c>
      <c r="AD67" s="466">
        <f t="shared" si="85"/>
        <v>22.12</v>
      </c>
      <c r="AE67" s="466">
        <f t="shared" si="86"/>
        <v>27.642222222222223</v>
      </c>
      <c r="AF67" s="466">
        <f t="shared" si="87"/>
        <v>0</v>
      </c>
      <c r="AG67" s="466">
        <f t="shared" si="88"/>
        <v>5.5222222222222221</v>
      </c>
      <c r="AH67" s="466">
        <f t="shared" si="89"/>
        <v>22.12</v>
      </c>
      <c r="AI67" s="466">
        <f t="shared" si="90"/>
        <v>27.642222222222223</v>
      </c>
      <c r="AJ67" s="466">
        <f t="shared" si="91"/>
        <v>0</v>
      </c>
      <c r="AK67" s="466">
        <f t="shared" si="92"/>
        <v>5.5222222222222221</v>
      </c>
      <c r="AL67" s="466">
        <f t="shared" si="93"/>
        <v>22.12</v>
      </c>
      <c r="AM67" s="466">
        <f t="shared" si="94"/>
        <v>27.642222222222223</v>
      </c>
      <c r="AN67" s="466">
        <f t="shared" si="95"/>
        <v>0</v>
      </c>
      <c r="AO67" s="466">
        <f t="shared" si="96"/>
        <v>5.5222222222222221</v>
      </c>
      <c r="AP67" s="466">
        <f t="shared" si="97"/>
        <v>22.12</v>
      </c>
      <c r="AQ67" s="466">
        <f t="shared" si="98"/>
        <v>27.642222222222223</v>
      </c>
      <c r="AR67" s="466">
        <f t="shared" si="99"/>
        <v>0.28444444444444444</v>
      </c>
      <c r="AS67" s="466">
        <f t="shared" si="100"/>
        <v>5.8066666666666666</v>
      </c>
      <c r="AT67" s="466">
        <f t="shared" si="101"/>
        <v>22.404444444444444</v>
      </c>
      <c r="AU67" s="466">
        <f t="shared" si="102"/>
        <v>27.926666666666666</v>
      </c>
      <c r="AV67" s="466">
        <f t="shared" si="103"/>
        <v>0.28444444444444444</v>
      </c>
      <c r="AW67" s="466">
        <f t="shared" si="104"/>
        <v>5.8066666666666666</v>
      </c>
      <c r="AX67" s="466">
        <f t="shared" si="105"/>
        <v>22.404444444444444</v>
      </c>
      <c r="AY67" s="466">
        <f t="shared" si="106"/>
        <v>27.926666666666666</v>
      </c>
      <c r="AZ67" s="466">
        <f t="shared" si="107"/>
        <v>0.28444444444444444</v>
      </c>
      <c r="BA67" s="466">
        <f t="shared" si="108"/>
        <v>5.8066666666666666</v>
      </c>
      <c r="BB67" s="466">
        <f t="shared" si="109"/>
        <v>22.404444444444444</v>
      </c>
      <c r="BC67" s="466">
        <f t="shared" si="110"/>
        <v>27.926666666666666</v>
      </c>
      <c r="BD67" s="466">
        <f t="shared" si="111"/>
        <v>0.28444444444444444</v>
      </c>
      <c r="BE67" s="466">
        <f t="shared" si="112"/>
        <v>5.8066666666666666</v>
      </c>
      <c r="BF67" s="466">
        <f t="shared" si="113"/>
        <v>22.404444444444444</v>
      </c>
      <c r="BG67" s="466">
        <f t="shared" si="114"/>
        <v>27.926666666666666</v>
      </c>
    </row>
    <row r="68" spans="1:59">
      <c r="A68" s="212" t="s">
        <v>5315</v>
      </c>
      <c r="B68" s="230">
        <v>644926255</v>
      </c>
      <c r="C68" s="209" t="s">
        <v>5285</v>
      </c>
      <c r="D68" s="209">
        <v>105</v>
      </c>
      <c r="F68" s="238" t="str" cm="1">
        <f t="array" aca="1" ref="F68" ca="1">MID(met2utc(PEPSSI_Commanding[[#This Row],[MET]]),3,15)</f>
        <v>26-179/04:18:59</v>
      </c>
      <c r="G68" s="212" t="str">
        <f t="shared" si="65"/>
        <v>MAC+105</v>
      </c>
      <c r="H68" s="213">
        <f t="shared" si="66"/>
        <v>644924995</v>
      </c>
      <c r="I68" s="213">
        <f t="shared" si="67"/>
        <v>676426255</v>
      </c>
      <c r="J68" s="212">
        <f t="shared" si="68"/>
        <v>16</v>
      </c>
      <c r="K68" s="212">
        <f t="shared" si="69"/>
        <v>1</v>
      </c>
      <c r="M68" s="209">
        <f t="shared" si="70"/>
        <v>360</v>
      </c>
      <c r="N68" s="209">
        <f t="shared" si="71"/>
        <v>2</v>
      </c>
      <c r="O68" s="209">
        <f t="shared" si="72"/>
        <v>900</v>
      </c>
      <c r="P68" s="209">
        <f t="shared" si="73"/>
        <v>1800</v>
      </c>
      <c r="Q68" s="209" t="str">
        <f t="shared" si="74"/>
        <v/>
      </c>
      <c r="R68" s="209">
        <f t="shared" si="75"/>
        <v>300</v>
      </c>
      <c r="S68" s="209" t="str">
        <f t="shared" si="76"/>
        <v>102</v>
      </c>
      <c r="U68" s="466">
        <f t="shared" si="77"/>
        <v>4.40625</v>
      </c>
      <c r="V68" s="466">
        <f t="shared" si="78"/>
        <v>18.28125</v>
      </c>
      <c r="W68" s="466">
        <f t="shared" si="79"/>
        <v>0.28444444444444444</v>
      </c>
      <c r="X68" s="466">
        <f t="shared" si="80"/>
        <v>5.5222222222222221</v>
      </c>
      <c r="Y68" s="466">
        <f t="shared" si="81"/>
        <v>665</v>
      </c>
      <c r="Z68" s="466">
        <f t="shared" si="82"/>
        <v>4.6180555555555554</v>
      </c>
      <c r="AA68" s="466">
        <f t="shared" si="83"/>
        <v>22.12</v>
      </c>
      <c r="AB68" s="242"/>
      <c r="AC68" s="466">
        <f t="shared" si="84"/>
        <v>5.5222222222222221</v>
      </c>
      <c r="AD68" s="466">
        <f t="shared" si="85"/>
        <v>40.401250000000005</v>
      </c>
      <c r="AE68" s="466">
        <f t="shared" si="86"/>
        <v>45.92347222222223</v>
      </c>
      <c r="AF68" s="466">
        <f t="shared" si="87"/>
        <v>4.6180555555555554</v>
      </c>
      <c r="AG68" s="466">
        <f t="shared" si="88"/>
        <v>10.140277777777778</v>
      </c>
      <c r="AH68" s="466">
        <f t="shared" si="89"/>
        <v>45.019305555555562</v>
      </c>
      <c r="AI68" s="466">
        <f t="shared" si="90"/>
        <v>50.541527777777787</v>
      </c>
      <c r="AJ68" s="466">
        <f t="shared" si="91"/>
        <v>4.40625</v>
      </c>
      <c r="AK68" s="466">
        <f t="shared" si="92"/>
        <v>9.9284722222222221</v>
      </c>
      <c r="AL68" s="466">
        <f t="shared" si="93"/>
        <v>44.807500000000005</v>
      </c>
      <c r="AM68" s="466">
        <f t="shared" si="94"/>
        <v>50.32972222222223</v>
      </c>
      <c r="AN68" s="466">
        <f t="shared" si="95"/>
        <v>9.0243055555555554</v>
      </c>
      <c r="AO68" s="466">
        <f t="shared" si="96"/>
        <v>14.546527777777778</v>
      </c>
      <c r="AP68" s="466">
        <f t="shared" si="97"/>
        <v>49.425555555555562</v>
      </c>
      <c r="AQ68" s="466">
        <f t="shared" si="98"/>
        <v>54.947777777777787</v>
      </c>
      <c r="AR68" s="466">
        <f t="shared" si="99"/>
        <v>0.28444444444444444</v>
      </c>
      <c r="AS68" s="466">
        <f t="shared" si="100"/>
        <v>5.8066666666666666</v>
      </c>
      <c r="AT68" s="466">
        <f t="shared" si="101"/>
        <v>40.685694444444451</v>
      </c>
      <c r="AU68" s="466">
        <f t="shared" si="102"/>
        <v>46.207916666666677</v>
      </c>
      <c r="AV68" s="466">
        <f t="shared" si="103"/>
        <v>4.9024999999999999</v>
      </c>
      <c r="AW68" s="466">
        <f t="shared" si="104"/>
        <v>10.424722222222222</v>
      </c>
      <c r="AX68" s="466">
        <f t="shared" si="105"/>
        <v>45.303750000000008</v>
      </c>
      <c r="AY68" s="466">
        <f t="shared" si="106"/>
        <v>50.825972222222234</v>
      </c>
      <c r="AZ68" s="466">
        <f t="shared" si="107"/>
        <v>4.6906944444444445</v>
      </c>
      <c r="BA68" s="466">
        <f t="shared" si="108"/>
        <v>10.212916666666667</v>
      </c>
      <c r="BB68" s="466">
        <f t="shared" si="109"/>
        <v>45.091944444444451</v>
      </c>
      <c r="BC68" s="466">
        <f t="shared" si="110"/>
        <v>50.614166666666677</v>
      </c>
      <c r="BD68" s="466">
        <f t="shared" si="111"/>
        <v>9.3087499999999999</v>
      </c>
      <c r="BE68" s="466">
        <f t="shared" si="112"/>
        <v>14.830972222222222</v>
      </c>
      <c r="BF68" s="466">
        <f t="shared" si="113"/>
        <v>49.710000000000008</v>
      </c>
      <c r="BG68" s="466">
        <f t="shared" si="114"/>
        <v>55.232222222222234</v>
      </c>
    </row>
    <row r="101" spans="81:81">
      <c r="CC101" s="247"/>
    </row>
  </sheetData>
  <conditionalFormatting sqref="AC1:BG1048576">
    <cfRule type="expression" dxfId="34" priority="4">
      <formula>AC$12&lt;&gt;""</formula>
    </cfRule>
  </conditionalFormatting>
  <conditionalFormatting sqref="AD8:BG8">
    <cfRule type="expression" dxfId="33" priority="5">
      <formula>AD8&lt;&gt;(AC8+1)</formula>
    </cfRule>
  </conditionalFormatting>
  <conditionalFormatting sqref="A14:BG1048576">
    <cfRule type="expression" dxfId="32" priority="6">
      <formula>OR($C14="ON",FALSE)</formula>
    </cfRule>
  </conditionalFormatting>
  <conditionalFormatting sqref="A68:BG1048422 A14:BG66">
    <cfRule type="expression" dxfId="31" priority="3">
      <formula>OR($G14="OFF",AND($G15&lt;&gt;"OFF",$K14=1))</formula>
    </cfRule>
  </conditionalFormatting>
  <conditionalFormatting sqref="A14:D1048576">
    <cfRule type="expression" dxfId="30" priority="7">
      <formula>AND($J14&lt;&gt;"",$J14&lt;=9)</formula>
    </cfRule>
  </conditionalFormatting>
  <conditionalFormatting sqref="A67:BG67">
    <cfRule type="expression" dxfId="29" priority="139">
      <formula>OR($G67="OFF",AND(#REF!&lt;&gt;"OFF",$K67=1))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RefreshQueries">
                <anchor moveWithCells="1" sizeWithCells="1">
                  <from>
                    <xdr:col>0</xdr:col>
                    <xdr:colOff>276225</xdr:colOff>
                    <xdr:row>7</xdr:row>
                    <xdr:rowOff>104775</xdr:rowOff>
                  </from>
                  <to>
                    <xdr:col>1</xdr:col>
                    <xdr:colOff>676275</xdr:colOff>
                    <xdr:row>11</xdr:row>
                    <xdr:rowOff>76200</xdr:rowOff>
                  </to>
                </anchor>
              </controlPr>
            </control>
          </mc:Choice>
        </mc:AlternateContent>
        <mc:AlternateContent xmlns:mc="http://schemas.openxmlformats.org/markup-compatibility/2006">
          <mc:Choice Requires="x14">
            <control shapeId="21506" r:id="rId4" name="Button 2">
              <controlPr defaultSize="0" print="0" autoFill="0" autoPict="0" macro="[0]!pep_ssf_new_timelines">
                <anchor moveWithCells="1" sizeWithCells="1">
                  <from>
                    <xdr:col>6</xdr:col>
                    <xdr:colOff>66675</xdr:colOff>
                    <xdr:row>7</xdr:row>
                    <xdr:rowOff>142875</xdr:rowOff>
                  </from>
                  <to>
                    <xdr:col>8</xdr:col>
                    <xdr:colOff>47625</xdr:colOff>
                    <xdr:row>11</xdr:row>
                    <xdr:rowOff>9525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63EA7-151C-4071-AA50-C5E1330C5A19}">
  <sheetPr codeName="Sheet1"/>
  <dimension ref="A1:AN70"/>
  <sheetViews>
    <sheetView zoomScaleNormal="100" workbookViewId="0">
      <pane ySplit="12" topLeftCell="A15" activePane="bottomLeft" state="frozen"/>
      <selection pane="bottomLeft" activeCell="W31" sqref="W31"/>
    </sheetView>
  </sheetViews>
  <sheetFormatPr defaultRowHeight="15"/>
  <cols>
    <col min="1" max="1" width="19" style="20" customWidth="1"/>
    <col min="2" max="4" width="4" style="20" bestFit="1" customWidth="1"/>
    <col min="5" max="5" width="5.42578125" style="20" bestFit="1" customWidth="1"/>
    <col min="6" max="9" width="4.28515625" style="20" bestFit="1" customWidth="1"/>
    <col min="10" max="10" width="9.7109375" style="3" bestFit="1" customWidth="1"/>
    <col min="11" max="11" width="13.7109375" style="18" bestFit="1" customWidth="1"/>
    <col min="12" max="13" width="12.5703125" style="20" bestFit="1" customWidth="1"/>
    <col min="14" max="14" width="11.5703125" style="3" bestFit="1" customWidth="1"/>
    <col min="15" max="15" width="13.140625" style="20" bestFit="1" customWidth="1"/>
    <col min="16" max="16" width="6" style="3" bestFit="1" customWidth="1"/>
    <col min="17" max="17" width="10.7109375" style="515" bestFit="1" customWidth="1"/>
    <col min="18" max="18" width="10" style="515" bestFit="1" customWidth="1"/>
    <col min="19" max="19" width="8.140625" style="515" bestFit="1" customWidth="1"/>
    <col min="20" max="20" width="15.42578125" style="515" bestFit="1" customWidth="1"/>
    <col min="21" max="21" width="7.140625" style="515" bestFit="1" customWidth="1"/>
    <col min="22" max="22" width="14.42578125" style="515" customWidth="1"/>
    <col min="23" max="23" width="10.7109375" style="515" bestFit="1" customWidth="1"/>
    <col min="24" max="24" width="10.28515625" style="515" bestFit="1" customWidth="1"/>
    <col min="25" max="25" width="5.140625" style="20" bestFit="1" customWidth="1"/>
    <col min="26" max="26" width="3" style="20" customWidth="1"/>
    <col min="27" max="27" width="7.140625" style="3" customWidth="1"/>
    <col min="28" max="28" width="5.5703125" style="524" bestFit="1" customWidth="1"/>
    <col min="29" max="29" width="6.140625" style="524" bestFit="1" customWidth="1"/>
    <col min="30" max="30" width="3.42578125" style="20" customWidth="1"/>
    <col min="31" max="31" width="3.7109375" style="20" customWidth="1"/>
    <col min="32" max="32" width="3" style="20" customWidth="1"/>
    <col min="33" max="33" width="3.42578125" style="20" customWidth="1"/>
    <col min="34" max="34" width="11.28515625" style="512" customWidth="1"/>
    <col min="35" max="35" width="13.42578125" style="512" customWidth="1"/>
    <col min="36" max="38" width="11.5703125" style="6" bestFit="1" customWidth="1"/>
    <col min="39" max="39" width="12" style="6" bestFit="1" customWidth="1"/>
    <col min="40" max="40" width="11.5703125" style="6" bestFit="1" customWidth="1"/>
  </cols>
  <sheetData>
    <row r="1" spans="1:40" ht="15.75" thickBot="1">
      <c r="A1"/>
      <c r="B1" s="3">
        <v>102</v>
      </c>
      <c r="C1" s="3"/>
      <c r="D1" s="3"/>
      <c r="E1" s="3" t="s">
        <v>51</v>
      </c>
      <c r="F1" s="3" t="s">
        <v>49</v>
      </c>
      <c r="G1" s="3" t="s">
        <v>50</v>
      </c>
      <c r="H1" s="3" t="s">
        <v>53</v>
      </c>
      <c r="I1" s="3" t="s">
        <v>54</v>
      </c>
      <c r="J1" s="3" t="s">
        <v>5842</v>
      </c>
      <c r="L1" s="3"/>
      <c r="N1" s="20"/>
      <c r="O1" s="3"/>
      <c r="P1" s="3" t="s">
        <v>122</v>
      </c>
      <c r="Q1" s="514" t="s">
        <v>5</v>
      </c>
      <c r="R1" s="515" t="s">
        <v>6</v>
      </c>
      <c r="S1" s="515" t="s">
        <v>7</v>
      </c>
      <c r="T1" s="515" t="s">
        <v>8</v>
      </c>
      <c r="U1" s="515" t="s">
        <v>19</v>
      </c>
      <c r="V1" s="515" t="s">
        <v>25</v>
      </c>
      <c r="W1" s="515" t="s">
        <v>26</v>
      </c>
      <c r="X1" s="515" t="s">
        <v>9</v>
      </c>
      <c r="Y1"/>
      <c r="Z1"/>
      <c r="AA1"/>
      <c r="AC1" s="99"/>
      <c r="AD1"/>
      <c r="AE1"/>
      <c r="AF1"/>
      <c r="AG1"/>
      <c r="AH1" s="18"/>
      <c r="AI1" s="18"/>
    </row>
    <row r="2" spans="1:40" ht="15.75" thickBot="1">
      <c r="A2"/>
      <c r="B2" s="3"/>
      <c r="C2" s="3"/>
      <c r="D2" s="3"/>
      <c r="E2" s="3"/>
      <c r="F2" s="3"/>
      <c r="G2" s="3"/>
      <c r="H2" s="3"/>
      <c r="I2" s="3"/>
      <c r="L2" s="3"/>
      <c r="N2" s="20"/>
      <c r="O2" s="3"/>
      <c r="R2" s="6" t="s">
        <v>1166</v>
      </c>
      <c r="S2" s="269">
        <f>'SWAP Data Volumns'!K108</f>
        <v>0.5056665308181959</v>
      </c>
      <c r="T2" s="18" t="s">
        <v>5875</v>
      </c>
      <c r="U2" s="518">
        <f>1.579/0.000008</f>
        <v>197375</v>
      </c>
      <c r="V2" s="519" t="s">
        <v>5831</v>
      </c>
      <c r="Y2"/>
      <c r="Z2"/>
      <c r="AA2"/>
      <c r="AC2" s="99"/>
      <c r="AD2"/>
      <c r="AE2"/>
      <c r="AF2"/>
      <c r="AG2"/>
      <c r="AH2" s="18"/>
      <c r="AI2" s="18"/>
    </row>
    <row r="3" spans="1:40">
      <c r="A3"/>
      <c r="B3" s="3"/>
      <c r="C3" s="3"/>
      <c r="D3" s="3"/>
      <c r="E3" s="3"/>
      <c r="F3" s="3"/>
      <c r="G3" s="3"/>
      <c r="H3" s="3"/>
      <c r="I3" s="3"/>
      <c r="L3" s="3"/>
      <c r="N3" s="20"/>
      <c r="O3" s="3"/>
      <c r="R3" s="6" t="s">
        <v>1196</v>
      </c>
      <c r="S3" s="269">
        <f>'SWAP Data Volumns'!K99</f>
        <v>0.80996710526315774</v>
      </c>
      <c r="T3" s="18" t="s">
        <v>5844</v>
      </c>
      <c r="Y3"/>
      <c r="Z3"/>
      <c r="AA3"/>
      <c r="AC3" s="99"/>
      <c r="AD3"/>
      <c r="AE3"/>
      <c r="AF3"/>
      <c r="AG3"/>
      <c r="AH3" s="18"/>
      <c r="AI3" s="18"/>
    </row>
    <row r="4" spans="1:40">
      <c r="A4"/>
      <c r="B4" s="3"/>
      <c r="C4" s="3"/>
      <c r="D4" s="3"/>
      <c r="E4" s="3"/>
      <c r="F4" s="3"/>
      <c r="G4" s="3"/>
      <c r="H4" s="3"/>
      <c r="I4" s="3"/>
      <c r="L4" s="3"/>
      <c r="N4" s="20"/>
      <c r="O4" s="3"/>
      <c r="R4" s="6" t="s">
        <v>1068</v>
      </c>
      <c r="S4" s="269">
        <f>'SWAP Data Volumns'!K90</f>
        <v>1.4028285692679976</v>
      </c>
      <c r="T4" s="18" t="s">
        <v>5876</v>
      </c>
      <c r="Y4"/>
      <c r="Z4"/>
      <c r="AA4"/>
      <c r="AC4" s="99"/>
      <c r="AD4"/>
      <c r="AE4"/>
      <c r="AF4"/>
      <c r="AG4"/>
      <c r="AH4" s="18"/>
      <c r="AI4" s="18"/>
    </row>
    <row r="5" spans="1:40">
      <c r="A5"/>
      <c r="B5" s="3"/>
      <c r="C5" s="3"/>
      <c r="D5" s="3"/>
      <c r="E5" s="3"/>
      <c r="F5" s="3"/>
      <c r="G5" s="3"/>
      <c r="H5" s="3"/>
      <c r="I5" s="3"/>
      <c r="L5" s="3"/>
      <c r="N5" s="20"/>
      <c r="O5" s="3"/>
      <c r="R5" s="6" t="s">
        <v>1165</v>
      </c>
      <c r="S5" s="269">
        <f>'SWAP Data Volumns'!K72</f>
        <v>3.6959320175438592</v>
      </c>
      <c r="T5" s="18" t="s">
        <v>5877</v>
      </c>
      <c r="Y5"/>
      <c r="Z5"/>
      <c r="AA5"/>
      <c r="AC5" s="99"/>
      <c r="AD5"/>
      <c r="AE5"/>
      <c r="AF5"/>
      <c r="AG5"/>
      <c r="AH5" s="18"/>
      <c r="AI5" s="18"/>
    </row>
    <row r="6" spans="1:40">
      <c r="A6"/>
      <c r="B6" s="3"/>
      <c r="C6" s="3"/>
      <c r="D6" s="3"/>
      <c r="E6" s="3"/>
      <c r="F6" s="3"/>
      <c r="G6" s="3"/>
      <c r="H6" s="3"/>
      <c r="I6" s="3"/>
      <c r="L6" s="3"/>
      <c r="N6" s="20"/>
      <c r="O6" s="3"/>
      <c r="S6" s="526">
        <f>$S2-(0.0144*1000000/(8*86400))</f>
        <v>0.48483319748486259</v>
      </c>
      <c r="T6" s="18" t="s">
        <v>5874</v>
      </c>
      <c r="Y6"/>
      <c r="Z6"/>
      <c r="AA6"/>
      <c r="AC6" s="99"/>
      <c r="AD6"/>
      <c r="AE6"/>
      <c r="AF6"/>
      <c r="AG6"/>
      <c r="AH6" s="18"/>
      <c r="AI6" s="18"/>
    </row>
    <row r="7" spans="1:40">
      <c r="A7"/>
      <c r="B7" s="3"/>
      <c r="C7" s="3"/>
      <c r="D7" s="3"/>
      <c r="E7" s="3"/>
      <c r="F7" s="3"/>
      <c r="G7" s="3"/>
      <c r="H7" s="3"/>
      <c r="I7" s="3"/>
      <c r="L7" s="3"/>
      <c r="N7" s="20"/>
      <c r="O7" s="3"/>
      <c r="S7" s="526">
        <f t="shared" ref="S7:S9" si="0">$S3-(0.0144*1000000/(8*86400))</f>
        <v>0.78913377192982437</v>
      </c>
      <c r="T7" s="18" t="s">
        <v>5871</v>
      </c>
      <c r="Y7"/>
      <c r="Z7"/>
      <c r="AA7"/>
      <c r="AC7" s="99"/>
      <c r="AD7"/>
      <c r="AE7"/>
      <c r="AF7"/>
      <c r="AG7"/>
      <c r="AH7" s="18"/>
      <c r="AI7" s="18"/>
    </row>
    <row r="8" spans="1:40">
      <c r="A8"/>
      <c r="B8" s="3"/>
      <c r="C8" s="3"/>
      <c r="D8" s="3"/>
      <c r="E8" s="3"/>
      <c r="F8" s="3"/>
      <c r="G8" s="3"/>
      <c r="H8" s="3"/>
      <c r="I8" s="3"/>
      <c r="L8" s="3"/>
      <c r="N8" s="20"/>
      <c r="O8" s="3"/>
      <c r="S8" s="526">
        <f t="shared" si="0"/>
        <v>1.3819952359346643</v>
      </c>
      <c r="T8" s="18" t="s">
        <v>5873</v>
      </c>
      <c r="Y8"/>
      <c r="Z8"/>
      <c r="AA8"/>
      <c r="AC8" s="99"/>
      <c r="AD8"/>
      <c r="AE8"/>
      <c r="AF8"/>
      <c r="AG8"/>
      <c r="AH8" s="18"/>
      <c r="AI8" s="18"/>
    </row>
    <row r="9" spans="1:40">
      <c r="A9"/>
      <c r="B9" s="3"/>
      <c r="C9" s="3"/>
      <c r="D9" s="3"/>
      <c r="E9" s="3"/>
      <c r="F9" s="3"/>
      <c r="G9" s="3"/>
      <c r="H9" s="3"/>
      <c r="I9" s="3"/>
      <c r="L9" s="3"/>
      <c r="N9" s="20"/>
      <c r="O9" s="3"/>
      <c r="S9" s="526">
        <f t="shared" si="0"/>
        <v>3.6750986842105258</v>
      </c>
      <c r="T9" s="18" t="s">
        <v>5872</v>
      </c>
      <c r="Y9"/>
      <c r="Z9"/>
      <c r="AA9"/>
      <c r="AC9" s="99"/>
      <c r="AD9"/>
      <c r="AE9"/>
      <c r="AF9"/>
      <c r="AG9"/>
      <c r="AH9" s="18"/>
      <c r="AI9" s="18"/>
    </row>
    <row r="10" spans="1:40">
      <c r="A10"/>
      <c r="B10" s="3"/>
      <c r="C10" s="3"/>
      <c r="D10" s="3"/>
      <c r="E10" s="3"/>
      <c r="F10" s="3"/>
      <c r="G10" s="3"/>
      <c r="H10" s="3"/>
      <c r="I10" s="3"/>
      <c r="L10" s="3"/>
      <c r="N10" s="20"/>
      <c r="O10" s="3"/>
      <c r="S10" s="515" t="s">
        <v>5843</v>
      </c>
      <c r="T10" s="526" t="str">
        <f>""</f>
        <v/>
      </c>
      <c r="Y10"/>
      <c r="Z10"/>
      <c r="AA10"/>
      <c r="AC10" s="99"/>
      <c r="AD10"/>
      <c r="AE10"/>
      <c r="AF10"/>
      <c r="AG10"/>
      <c r="AH10" s="18"/>
      <c r="AI10" s="18"/>
    </row>
    <row r="11" spans="1:40">
      <c r="A11"/>
      <c r="B11" s="3"/>
      <c r="C11" s="3"/>
      <c r="D11" s="3"/>
      <c r="E11" s="3"/>
      <c r="F11" s="3"/>
      <c r="G11" s="3"/>
      <c r="H11" s="3"/>
      <c r="I11" s="3"/>
      <c r="K11" s="18" t="str">
        <f>$T$10</f>
        <v/>
      </c>
      <c r="L11" s="3"/>
      <c r="N11" s="20"/>
      <c r="O11" s="3"/>
      <c r="P11" s="6" t="s">
        <v>5851</v>
      </c>
      <c r="Q11" s="515">
        <f>$R11-$W11/devrate($E11:$K11,$R11)</f>
        <v>-1</v>
      </c>
      <c r="R11" s="525">
        <v>-1</v>
      </c>
      <c r="Y11" t="s">
        <v>5839</v>
      </c>
      <c r="Z11" t="s">
        <v>5852</v>
      </c>
      <c r="AA11"/>
      <c r="AC11" s="99"/>
      <c r="AD11"/>
      <c r="AE11"/>
      <c r="AF11"/>
      <c r="AG11"/>
      <c r="AH11" s="18"/>
      <c r="AI11" s="18"/>
    </row>
    <row r="12" spans="1:40">
      <c r="A12"/>
      <c r="B12" s="3"/>
      <c r="C12" s="3"/>
      <c r="D12" s="3"/>
      <c r="E12" s="3"/>
      <c r="F12" s="3"/>
      <c r="G12" s="3"/>
      <c r="H12" s="3"/>
      <c r="I12" s="3"/>
      <c r="L12" s="3"/>
      <c r="N12" s="20"/>
      <c r="O12" s="3"/>
      <c r="Q12" s="525">
        <v>-1</v>
      </c>
      <c r="R12" s="525">
        <f>$Q12+$W12/devrate($E12:$K12,$Q12)</f>
        <v>-1</v>
      </c>
      <c r="S12" s="512" t="s">
        <v>5850</v>
      </c>
      <c r="Y12" t="s">
        <v>5839</v>
      </c>
      <c r="Z12" t="s">
        <v>5845</v>
      </c>
      <c r="AA12"/>
      <c r="AC12" s="99"/>
      <c r="AD12"/>
      <c r="AE12"/>
      <c r="AF12"/>
      <c r="AG12"/>
      <c r="AH12" s="18"/>
      <c r="AI12" s="18"/>
    </row>
    <row r="15" spans="1:40">
      <c r="P15" s="3">
        <v>25207</v>
      </c>
      <c r="AH15" s="512" t="s">
        <v>5810</v>
      </c>
      <c r="AN15" s="6" t="s">
        <v>5789</v>
      </c>
    </row>
    <row r="16" spans="1:40" s="453" customFormat="1" ht="45">
      <c r="A16" s="522"/>
      <c r="B16" s="522"/>
      <c r="C16" s="522"/>
      <c r="D16" s="522"/>
      <c r="E16" s="522" t="str">
        <f>$E$1</f>
        <v>HSK3</v>
      </c>
      <c r="F16" s="522" t="str">
        <f>$F$1</f>
        <v>DT1</v>
      </c>
      <c r="G16" s="522" t="str">
        <f>$G$1</f>
        <v>DT2</v>
      </c>
      <c r="H16" s="522" t="str">
        <f>$H$1</f>
        <v>DT3</v>
      </c>
      <c r="I16" s="522" t="str">
        <f>$I$1</f>
        <v>DT4</v>
      </c>
      <c r="J16" s="513" t="str">
        <f>$J$1</f>
        <v>SDT1HSK4</v>
      </c>
      <c r="K16" s="527"/>
      <c r="L16" s="522"/>
      <c r="M16" s="522"/>
      <c r="N16" s="513"/>
      <c r="O16" s="522"/>
      <c r="P16" s="513" t="str">
        <f t="shared" ref="P16:X16" si="1">P$1</f>
        <v>track</v>
      </c>
      <c r="Q16" s="516" t="str">
        <f t="shared" si="1"/>
        <v>start met</v>
      </c>
      <c r="R16" s="516" t="str">
        <f t="shared" si="1"/>
        <v>end met</v>
      </c>
      <c r="S16" s="516" t="str">
        <f t="shared" si="1"/>
        <v>seconds</v>
      </c>
      <c r="T16" s="516" t="str">
        <f t="shared" si="1"/>
        <v>calculated bytes</v>
      </c>
      <c r="U16" s="516" t="str">
        <f t="shared" si="1"/>
        <v>pwr on</v>
      </c>
      <c r="V16" s="516" t="str">
        <f t="shared" si="1"/>
        <v>total calc bytes</v>
      </c>
      <c r="W16" s="516" t="str">
        <f t="shared" si="1"/>
        <v>bytes avail</v>
      </c>
      <c r="X16" s="516" t="str">
        <f t="shared" si="1"/>
        <v>difference</v>
      </c>
      <c r="Y16" s="522"/>
      <c r="Z16" s="522"/>
      <c r="AA16" s="528" t="s">
        <v>5888</v>
      </c>
      <c r="AB16" s="523" t="str">
        <f ca="1">_xlfn.CONCAT("PEP",CHAR(10),"Mbit",CHAR(10),TEXT(SUM(AB17:AB35),"0.00"))</f>
        <v>PEP
Mbit
56.70</v>
      </c>
      <c r="AC16" s="523" t="str">
        <f ca="1">_xlfn.CONCAT("SWA",CHAR(10),"Mbit",CHAR(10),TEXT(SUM(AC17:AC35),"0.00"))</f>
        <v>SWA
Mbit
16.50</v>
      </c>
      <c r="AD16" s="522"/>
      <c r="AE16" s="522"/>
      <c r="AF16" s="522"/>
      <c r="AG16" s="522"/>
      <c r="AH16" s="520" t="s">
        <v>5790</v>
      </c>
      <c r="AI16" s="520" t="s">
        <v>5791</v>
      </c>
      <c r="AJ16" s="521" t="s">
        <v>5792</v>
      </c>
      <c r="AK16" s="521" t="s">
        <v>5793</v>
      </c>
      <c r="AL16" s="521" t="s">
        <v>5794</v>
      </c>
      <c r="AM16" s="521" t="s">
        <v>5795</v>
      </c>
      <c r="AN16" s="521">
        <v>5</v>
      </c>
    </row>
    <row r="17" spans="5:40">
      <c r="E17" s="20" t="s">
        <v>51</v>
      </c>
      <c r="F17" s="20" t="s">
        <v>49</v>
      </c>
      <c r="J17" s="3" t="str">
        <f t="shared" ref="J17:J24" si="2">IF(LEFT($K17,4)="&lt;=RT",IF(RIGHT($K17,4)="noHK",LEFT(J$1,4),J$1),IF($K17="","","???=&gt;"))</f>
        <v/>
      </c>
      <c r="K17" s="18" t="str">
        <f>$T$10</f>
        <v/>
      </c>
      <c r="L17" s="20" t="str">
        <f t="shared" ref="L17:L31" ca="1" si="3">IF(ISNUMBER(Q17),IF(Q17&gt;400000000,MID(met2utc(Q17),3,12),""),"")</f>
        <v>25-289/15:53</v>
      </c>
      <c r="M17" s="20" t="str">
        <f t="shared" ref="M17:M31" ca="1" si="4">IF(ISNUMBER(R17),IF(R17&gt;400000000,MID(met2utc(R17),3,12),""),"")</f>
        <v>25-291/01:00</v>
      </c>
      <c r="N17" s="3" t="s">
        <v>5863</v>
      </c>
      <c r="O17" s="20" t="str">
        <f>MID(deltautc($AI17),6,9)</f>
        <v>209/22:54</v>
      </c>
      <c r="P17" s="3" t="str">
        <f>MID(AH17,5,5)</f>
        <v>209_2</v>
      </c>
      <c r="Q17" s="517">
        <v>622935950.93747699</v>
      </c>
      <c r="R17" s="20">
        <f>$Q17+$W17/devrate($E17:$K17,$Q17)</f>
        <v>623055140.86369443</v>
      </c>
      <c r="S17" s="20">
        <f t="shared" ref="S17:S30" si="5">R17-Q17</f>
        <v>119189.92621743679</v>
      </c>
      <c r="T17" s="20">
        <f t="shared" ref="T17:T30" ca="1" si="6">S17*IF(OR(EXACT($Y17,"PEP"),EXACT($Y17,"SWA")),devrate(E17:K17,$Q17),0)</f>
        <v>33654.600000006809</v>
      </c>
      <c r="U17" s="20">
        <f>0</f>
        <v>0</v>
      </c>
      <c r="V17" s="20">
        <f t="shared" ref="V17:V30" ca="1" si="7">T17+IF($Y17="PEP",$U17*$U$2,0)</f>
        <v>33654.600000006809</v>
      </c>
      <c r="W17" s="20">
        <f>AN17*1000000/8</f>
        <v>33654.6</v>
      </c>
      <c r="X17" s="20">
        <f t="shared" ref="X17:X30" ca="1" si="8">W17-V17</f>
        <v>-6.8102963268756866E-9</v>
      </c>
      <c r="Y17" s="20" t="str">
        <f t="shared" ref="Y17:Y30" ca="1" si="9">IF($L17&lt;&gt;"",IF($M17&lt;&gt;"",IF(_xlfn.XOR(_xlfn.TEXTJOIN("",TRUE,$E17:$I17)&lt;&gt;"",_xlfn.TEXTJOIN("",TRUE,$J17:$K17)&lt;&gt;""),IF(_xlfn.TEXTJOIN("",TRUE,$J17:$K17)="","PEP","SWA"),""),""),"")</f>
        <v>PEP</v>
      </c>
      <c r="Z17" s="20" t="s">
        <v>5852</v>
      </c>
      <c r="AA17" s="3">
        <f>IF(ISNUMBER($AN17),AN17,"")</f>
        <v>0.2692368</v>
      </c>
      <c r="AB17" s="524">
        <f t="shared" ref="AB17:AB30" ca="1" si="10">IF(AND(ISNUMBER(V17),EXACT(Y17,"PEP")),V17*8/1000000,"")</f>
        <v>0.26923680000005445</v>
      </c>
      <c r="AC17" s="524" t="str">
        <f t="shared" ref="AC17:AC30" ca="1" si="11">IF(AND(ISNUMBER(V17),EXACT(Y17,"SWA")),V17*8/1000000,"")</f>
        <v/>
      </c>
      <c r="AH17" s="512" t="s">
        <v>766</v>
      </c>
      <c r="AI17" s="512" t="s">
        <v>5798</v>
      </c>
      <c r="AJ17" s="6">
        <v>0.674759</v>
      </c>
      <c r="AK17" s="6">
        <v>0.70681099999999997</v>
      </c>
      <c r="AL17" s="6">
        <v>3.2051999999999997E-2</v>
      </c>
      <c r="AM17" s="6">
        <v>0.282059</v>
      </c>
      <c r="AN17" s="3">
        <f>AL17*8*(100+AN$16)/100</f>
        <v>0.2692368</v>
      </c>
    </row>
    <row r="18" spans="5:40">
      <c r="F18" s="20" t="s">
        <v>49</v>
      </c>
      <c r="G18" s="20" t="s">
        <v>50</v>
      </c>
      <c r="J18" s="3" t="str">
        <f t="shared" si="2"/>
        <v/>
      </c>
      <c r="L18" s="20" t="str">
        <f t="shared" ca="1" si="3"/>
        <v>25-291/01:00</v>
      </c>
      <c r="M18" s="20" t="str">
        <f t="shared" ca="1" si="4"/>
        <v>25-291/16:11</v>
      </c>
      <c r="N18" s="3" t="s">
        <v>5864</v>
      </c>
      <c r="O18" s="20" t="str">
        <f>MID(deltautc($AI18),6,9)</f>
        <v>210/20:49</v>
      </c>
      <c r="P18" s="3" t="str">
        <f>MID(AH18,5,5)</f>
        <v>210_2</v>
      </c>
      <c r="Q18" s="517">
        <f>R17+(-1)</f>
        <v>623055139.86369443</v>
      </c>
      <c r="R18" s="20">
        <f>$Q18+54677</f>
        <v>623109816.86369443</v>
      </c>
      <c r="S18" s="20">
        <f t="shared" si="5"/>
        <v>54677</v>
      </c>
      <c r="T18" s="20">
        <f t="shared" ca="1" si="6"/>
        <v>22671.969930555555</v>
      </c>
      <c r="U18" s="20">
        <f>0</f>
        <v>0</v>
      </c>
      <c r="V18" s="20">
        <f t="shared" ca="1" si="7"/>
        <v>22671.969930555555</v>
      </c>
      <c r="W18" s="20">
        <f>AN18*1000000/8</f>
        <v>887912.55</v>
      </c>
      <c r="X18" s="20">
        <f t="shared" ca="1" si="8"/>
        <v>865240.58006944449</v>
      </c>
      <c r="Y18" s="20" t="str">
        <f t="shared" ca="1" si="9"/>
        <v>PEP</v>
      </c>
      <c r="Z18" s="20" t="s">
        <v>5845</v>
      </c>
      <c r="AA18" s="3">
        <f t="shared" ref="AA18:AA31" si="12">IF(ISNUMBER($AN18),AN18,"")</f>
        <v>7.1033004000000002</v>
      </c>
      <c r="AB18" s="524">
        <f t="shared" ca="1" si="10"/>
        <v>0.18137575944444445</v>
      </c>
      <c r="AC18" s="524" t="str">
        <f t="shared" ca="1" si="11"/>
        <v/>
      </c>
      <c r="AH18" s="512" t="s">
        <v>772</v>
      </c>
      <c r="AI18" s="512" t="s">
        <v>5799</v>
      </c>
      <c r="AJ18" s="6">
        <v>0.55793700000000002</v>
      </c>
      <c r="AK18" s="6">
        <v>1.4035679999999999</v>
      </c>
      <c r="AL18" s="6">
        <v>0.84563100000000002</v>
      </c>
      <c r="AM18" s="6">
        <v>7.4415480000000001</v>
      </c>
      <c r="AN18" s="3">
        <f>AL18*8*(100+AN$16)/100</f>
        <v>7.1033004000000002</v>
      </c>
    </row>
    <row r="19" spans="5:40">
      <c r="F19" s="20" t="s">
        <v>49</v>
      </c>
      <c r="G19" s="20" t="s">
        <v>50</v>
      </c>
      <c r="J19" s="3" t="str">
        <f t="shared" si="2"/>
        <v/>
      </c>
      <c r="L19" s="20" t="str">
        <f t="shared" ca="1" si="3"/>
        <v>25-291/16:11</v>
      </c>
      <c r="M19" s="20" t="str">
        <f t="shared" ca="1" si="4"/>
        <v>25-292/06:05</v>
      </c>
      <c r="N19" s="3" t="s">
        <v>5865</v>
      </c>
      <c r="O19" s="20" t="s">
        <v>5846</v>
      </c>
      <c r="Q19" s="517">
        <f t="shared" ref="Q19:Q24" si="13">R18+(-1)</f>
        <v>623109815.86369443</v>
      </c>
      <c r="R19" s="20">
        <f>Q19+50000</f>
        <v>623159815.86369443</v>
      </c>
      <c r="S19" s="20">
        <f t="shared" si="5"/>
        <v>50000</v>
      </c>
      <c r="T19" s="20">
        <f t="shared" ca="1" si="6"/>
        <v>20732.638888888887</v>
      </c>
      <c r="U19" s="20">
        <f>0</f>
        <v>0</v>
      </c>
      <c r="V19" s="20">
        <f t="shared" ca="1" si="7"/>
        <v>20732.638888888887</v>
      </c>
      <c r="W19" s="20">
        <f ca="1">X18</f>
        <v>865240.58006944449</v>
      </c>
      <c r="X19" s="20">
        <f t="shared" ca="1" si="8"/>
        <v>844507.94118055562</v>
      </c>
      <c r="Y19" s="20" t="str">
        <f t="shared" ca="1" si="9"/>
        <v>PEP</v>
      </c>
      <c r="Z19" s="20" t="s">
        <v>5845</v>
      </c>
      <c r="AA19" s="3" t="str">
        <f t="shared" si="12"/>
        <v/>
      </c>
      <c r="AB19" s="524">
        <f t="shared" ca="1" si="10"/>
        <v>0.1658611111111111</v>
      </c>
      <c r="AC19" s="524" t="str">
        <f t="shared" ca="1" si="11"/>
        <v/>
      </c>
      <c r="AN19" s="3"/>
    </row>
    <row r="20" spans="5:40">
      <c r="F20" s="20" t="s">
        <v>49</v>
      </c>
      <c r="G20" s="20" t="s">
        <v>50</v>
      </c>
      <c r="J20" s="3" t="str">
        <f t="shared" si="2"/>
        <v/>
      </c>
      <c r="L20" s="20" t="str">
        <f t="shared" ca="1" si="3"/>
        <v>25-292/06:04</v>
      </c>
      <c r="M20" s="20" t="str">
        <f t="shared" ca="1" si="4"/>
        <v>25-292/13:01</v>
      </c>
      <c r="N20" s="3" t="s">
        <v>5866</v>
      </c>
      <c r="O20" s="20" t="s">
        <v>5846</v>
      </c>
      <c r="Q20" s="517">
        <f t="shared" si="13"/>
        <v>623159814.86369443</v>
      </c>
      <c r="R20" s="20">
        <f>Q20+25000</f>
        <v>623184814.86369443</v>
      </c>
      <c r="S20" s="20">
        <f t="shared" si="5"/>
        <v>25000</v>
      </c>
      <c r="T20" s="20">
        <f t="shared" ca="1" si="6"/>
        <v>10366.319444444443</v>
      </c>
      <c r="U20" s="20">
        <f>0</f>
        <v>0</v>
      </c>
      <c r="V20" s="20">
        <f t="shared" ca="1" si="7"/>
        <v>10366.319444444443</v>
      </c>
      <c r="W20" s="20">
        <f ca="1">X19</f>
        <v>844507.94118055562</v>
      </c>
      <c r="X20" s="20">
        <f t="shared" ca="1" si="8"/>
        <v>834141.62173611112</v>
      </c>
      <c r="Y20" s="20" t="str">
        <f t="shared" ca="1" si="9"/>
        <v>PEP</v>
      </c>
      <c r="Z20" s="20" t="s">
        <v>5845</v>
      </c>
      <c r="AA20" s="3" t="str">
        <f t="shared" si="12"/>
        <v/>
      </c>
      <c r="AB20" s="524">
        <f t="shared" ca="1" si="10"/>
        <v>8.2930555555555549E-2</v>
      </c>
      <c r="AC20" s="524" t="str">
        <f t="shared" ca="1" si="11"/>
        <v/>
      </c>
      <c r="AN20" s="3"/>
    </row>
    <row r="21" spans="5:40">
      <c r="F21" s="20" t="s">
        <v>49</v>
      </c>
      <c r="G21" s="20" t="s">
        <v>50</v>
      </c>
      <c r="J21" s="3" t="str">
        <f t="shared" si="2"/>
        <v/>
      </c>
      <c r="L21" s="20" t="str">
        <f t="shared" ca="1" si="3"/>
        <v>25-292/13:01</v>
      </c>
      <c r="M21" s="20" t="str">
        <f t="shared" ca="1" si="4"/>
        <v>25-292/16:29</v>
      </c>
      <c r="N21" s="3" t="s">
        <v>5867</v>
      </c>
      <c r="O21" s="20" t="s">
        <v>5846</v>
      </c>
      <c r="Q21" s="517">
        <f t="shared" si="13"/>
        <v>623184813.86369443</v>
      </c>
      <c r="R21" s="20">
        <f>Q21+12500</f>
        <v>623197313.86369443</v>
      </c>
      <c r="S21" s="20">
        <f t="shared" si="5"/>
        <v>12500</v>
      </c>
      <c r="T21" s="20">
        <f t="shared" ca="1" si="6"/>
        <v>5183.1597222222217</v>
      </c>
      <c r="U21" s="20">
        <f>0</f>
        <v>0</v>
      </c>
      <c r="V21" s="20">
        <f t="shared" ca="1" si="7"/>
        <v>5183.1597222222217</v>
      </c>
      <c r="W21" s="20">
        <f ca="1">X20+(0)</f>
        <v>834141.62173611112</v>
      </c>
      <c r="X21" s="20">
        <f t="shared" ca="1" si="8"/>
        <v>828958.46201388887</v>
      </c>
      <c r="Y21" s="20" t="str">
        <f t="shared" ca="1" si="9"/>
        <v>PEP</v>
      </c>
      <c r="Z21" s="20" t="s">
        <v>5845</v>
      </c>
      <c r="AA21" s="3" t="str">
        <f t="shared" si="12"/>
        <v/>
      </c>
      <c r="AB21" s="524">
        <f t="shared" ca="1" si="10"/>
        <v>4.1465277777777775E-2</v>
      </c>
      <c r="AC21" s="524" t="str">
        <f t="shared" ca="1" si="11"/>
        <v/>
      </c>
      <c r="AN21" s="3"/>
    </row>
    <row r="22" spans="5:40">
      <c r="F22" s="20" t="s">
        <v>49</v>
      </c>
      <c r="G22" s="20" t="s">
        <v>50</v>
      </c>
      <c r="J22" s="3" t="str">
        <f t="shared" si="2"/>
        <v/>
      </c>
      <c r="L22" s="20" t="str">
        <f t="shared" ca="1" si="3"/>
        <v>25-292/16:29</v>
      </c>
      <c r="M22" s="20" t="str">
        <f t="shared" ca="1" si="4"/>
        <v>25-315/19:49</v>
      </c>
      <c r="N22" s="3" t="s">
        <v>5868</v>
      </c>
      <c r="O22" s="20" t="s">
        <v>5846</v>
      </c>
      <c r="Q22" s="517">
        <f t="shared" si="13"/>
        <v>623197312.86369443</v>
      </c>
      <c r="R22" s="20">
        <f ca="1">$Q22+$W22/devrate($E22:$K22,$Q22)</f>
        <v>625196475.79335451</v>
      </c>
      <c r="S22" s="20">
        <f t="shared" ca="1" si="5"/>
        <v>1999162.9296600819</v>
      </c>
      <c r="T22" s="20">
        <f t="shared" ca="1" si="6"/>
        <v>828958.46201391309</v>
      </c>
      <c r="U22" s="20">
        <f>0</f>
        <v>0</v>
      </c>
      <c r="V22" s="20">
        <f t="shared" ca="1" si="7"/>
        <v>828958.46201391309</v>
      </c>
      <c r="W22" s="20">
        <f ca="1">X21</f>
        <v>828958.46201388887</v>
      </c>
      <c r="X22" s="20">
        <f t="shared" ca="1" si="8"/>
        <v>-2.4214386940002441E-8</v>
      </c>
      <c r="Y22" s="20" t="str">
        <f t="shared" ca="1" si="9"/>
        <v>PEP</v>
      </c>
      <c r="AA22" s="3" t="str">
        <f t="shared" si="12"/>
        <v/>
      </c>
      <c r="AB22" s="524">
        <f t="shared" ca="1" si="10"/>
        <v>6.6316676961113048</v>
      </c>
      <c r="AC22" s="524" t="str">
        <f t="shared" ca="1" si="11"/>
        <v/>
      </c>
      <c r="AN22" s="3"/>
    </row>
    <row r="23" spans="5:40">
      <c r="G23" s="20" t="s">
        <v>50</v>
      </c>
      <c r="H23" s="20" t="s">
        <v>53</v>
      </c>
      <c r="J23" s="3" t="str">
        <f t="shared" si="2"/>
        <v/>
      </c>
      <c r="L23" s="20" t="str">
        <f t="shared" ca="1" si="3"/>
        <v>25-315/19:49</v>
      </c>
      <c r="M23" s="20" t="str">
        <f t="shared" ca="1" si="4"/>
        <v>25-320/09:20</v>
      </c>
      <c r="N23" s="3" t="s">
        <v>5863</v>
      </c>
      <c r="O23" s="20" t="str">
        <f t="shared" ref="O23:O30" si="14">MID(deltautc($AI23),6,9)</f>
        <v>211/13:39</v>
      </c>
      <c r="P23" s="3" t="str">
        <f t="shared" ref="P23:P30" si="15">MID(AH23,5,5)</f>
        <v>211_1</v>
      </c>
      <c r="Q23" s="517">
        <f t="shared" ca="1" si="13"/>
        <v>625196474.79335451</v>
      </c>
      <c r="R23" s="20">
        <f ca="1">$Q23+$W23/devrate($E23:$K23,$Q23)</f>
        <v>625590728.1828469</v>
      </c>
      <c r="S23" s="20">
        <f t="shared" ca="1" si="5"/>
        <v>394253.38949239254</v>
      </c>
      <c r="T23" s="20">
        <f t="shared" ca="1" si="6"/>
        <v>864537.45000008889</v>
      </c>
      <c r="U23" s="20">
        <f>0</f>
        <v>0</v>
      </c>
      <c r="V23" s="20">
        <f t="shared" ca="1" si="7"/>
        <v>864537.45000008889</v>
      </c>
      <c r="W23" s="20">
        <f t="shared" ref="W23:W30" si="16">AN23*1000000/8</f>
        <v>864537.45</v>
      </c>
      <c r="X23" s="20">
        <f t="shared" ca="1" si="8"/>
        <v>-8.8941305875778198E-8</v>
      </c>
      <c r="Y23" s="20" t="str">
        <f t="shared" ca="1" si="9"/>
        <v>PEP</v>
      </c>
      <c r="AA23" s="3">
        <f t="shared" si="12"/>
        <v>6.9162995999999994</v>
      </c>
      <c r="AB23" s="524">
        <f t="shared" ca="1" si="10"/>
        <v>6.9162996000007109</v>
      </c>
      <c r="AC23" s="524" t="str">
        <f t="shared" ca="1" si="11"/>
        <v/>
      </c>
      <c r="AH23" s="512" t="s">
        <v>39</v>
      </c>
      <c r="AI23" s="512" t="s">
        <v>5800</v>
      </c>
      <c r="AJ23" s="6">
        <v>0.24687999999999999</v>
      </c>
      <c r="AK23" s="6">
        <v>1.070249</v>
      </c>
      <c r="AL23" s="6">
        <v>0.82336900000000002</v>
      </c>
      <c r="AM23" s="6">
        <v>7.2456469999999999</v>
      </c>
      <c r="AN23" s="3">
        <f t="shared" ref="AN23:AN30" si="17">AL23*8*(100+AN$16)/100</f>
        <v>6.9162995999999994</v>
      </c>
    </row>
    <row r="24" spans="5:40">
      <c r="H24" s="20" t="s">
        <v>53</v>
      </c>
      <c r="I24" s="20" t="s">
        <v>54</v>
      </c>
      <c r="J24" s="3" t="str">
        <f t="shared" si="2"/>
        <v/>
      </c>
      <c r="L24" s="20" t="str">
        <f t="shared" ca="1" si="3"/>
        <v>25-320/09:20</v>
      </c>
      <c r="M24" s="20" t="str">
        <f t="shared" ca="1" si="4"/>
        <v>25-321/02:55</v>
      </c>
      <c r="N24" s="3" t="s">
        <v>5863</v>
      </c>
      <c r="O24" s="20" t="str">
        <f t="shared" si="14"/>
        <v>212/08:19</v>
      </c>
      <c r="P24" s="3" t="str">
        <f t="shared" si="15"/>
        <v>212_1</v>
      </c>
      <c r="Q24" s="517">
        <f t="shared" ca="1" si="13"/>
        <v>625590727.1828469</v>
      </c>
      <c r="R24" s="20">
        <f ca="1">$Q24+$W24/devrate($E24:$K24,$Q24)</f>
        <v>625654024.27758372</v>
      </c>
      <c r="S24" s="20">
        <f t="shared" ca="1" si="5"/>
        <v>63297.094736814499</v>
      </c>
      <c r="T24" s="20">
        <f t="shared" ca="1" si="6"/>
        <v>116923.79999994901</v>
      </c>
      <c r="U24" s="20">
        <f>0</f>
        <v>0</v>
      </c>
      <c r="V24" s="20">
        <f t="shared" ca="1" si="7"/>
        <v>116923.79999994901</v>
      </c>
      <c r="W24" s="20">
        <f t="shared" si="16"/>
        <v>116923.79999999999</v>
      </c>
      <c r="X24" s="20">
        <f t="shared" ca="1" si="8"/>
        <v>5.0975359044969082E-8</v>
      </c>
      <c r="Y24" s="20" t="str">
        <f t="shared" ca="1" si="9"/>
        <v>PEP</v>
      </c>
      <c r="AA24" s="3">
        <f t="shared" si="12"/>
        <v>0.93539039999999996</v>
      </c>
      <c r="AB24" s="524">
        <f t="shared" ca="1" si="10"/>
        <v>0.93539039999959206</v>
      </c>
      <c r="AC24" s="524" t="str">
        <f t="shared" ca="1" si="11"/>
        <v/>
      </c>
      <c r="AH24" s="512" t="s">
        <v>779</v>
      </c>
      <c r="AI24" s="512" t="s">
        <v>5801</v>
      </c>
      <c r="AJ24" s="6">
        <v>0.26269700000000001</v>
      </c>
      <c r="AK24" s="6">
        <v>0.37405300000000002</v>
      </c>
      <c r="AL24" s="6">
        <v>0.111356</v>
      </c>
      <c r="AM24" s="6">
        <v>0.97992999999999997</v>
      </c>
      <c r="AN24" s="3">
        <f t="shared" si="17"/>
        <v>0.93539039999999996</v>
      </c>
    </row>
    <row r="25" spans="5:40">
      <c r="J25" s="3" t="str">
        <f>IF(LEFT($K25,4)="&lt;=RT",IF(RIGHT($K25,4)="noHK",LEFT(J$1,4),J$1),IF($K25="","","???=&gt;"))</f>
        <v>SDT1HSK4</v>
      </c>
      <c r="K25" s="18" t="str">
        <f>$T$2</f>
        <v>&lt;=RT2H</v>
      </c>
      <c r="L25" s="20" t="str">
        <f t="shared" ca="1" si="3"/>
        <v>25-289/15:53</v>
      </c>
      <c r="M25" s="20" t="str">
        <f t="shared" ca="1" si="4"/>
        <v>25-315/23:44</v>
      </c>
      <c r="N25" s="3" t="s">
        <v>5863</v>
      </c>
      <c r="O25" s="20" t="str">
        <f t="shared" si="14"/>
        <v>212/20:54</v>
      </c>
      <c r="P25" s="3" t="str">
        <f t="shared" si="15"/>
        <v>212_2</v>
      </c>
      <c r="Q25" s="525">
        <v>622935950.93747699</v>
      </c>
      <c r="R25" s="20">
        <f t="shared" ref="R25:R29" si="18">$Q25+$W25/devrate($E25:$K25,$Q25)</f>
        <v>625210581.70676863</v>
      </c>
      <c r="S25" s="20">
        <f t="shared" si="5"/>
        <v>2274630.7692916393</v>
      </c>
      <c r="T25" s="20">
        <f t="shared" ca="1" si="6"/>
        <v>1150204.6500000274</v>
      </c>
      <c r="U25" s="20">
        <f>0</f>
        <v>0</v>
      </c>
      <c r="V25" s="20">
        <f t="shared" ca="1" si="7"/>
        <v>1150204.6500000274</v>
      </c>
      <c r="W25" s="20">
        <f t="shared" si="16"/>
        <v>1150204.6500000001</v>
      </c>
      <c r="X25" s="20">
        <f t="shared" ca="1" si="8"/>
        <v>-2.7241185307502747E-8</v>
      </c>
      <c r="Y25" s="20" t="str">
        <f t="shared" ca="1" si="9"/>
        <v>SWA</v>
      </c>
      <c r="AA25" s="3">
        <f t="shared" si="12"/>
        <v>9.2016372000000004</v>
      </c>
      <c r="AB25" s="524" t="str">
        <f t="shared" ca="1" si="10"/>
        <v/>
      </c>
      <c r="AC25" s="524">
        <f t="shared" ca="1" si="11"/>
        <v>9.2016372000002189</v>
      </c>
      <c r="AH25" s="512" t="s">
        <v>783</v>
      </c>
      <c r="AI25" s="512" t="s">
        <v>5802</v>
      </c>
      <c r="AJ25" s="6">
        <v>0.227911</v>
      </c>
      <c r="AK25" s="6">
        <v>1.3233440000000001</v>
      </c>
      <c r="AL25" s="6">
        <v>1.0954330000000001</v>
      </c>
      <c r="AM25" s="6">
        <v>9.6398080000000004</v>
      </c>
      <c r="AN25" s="3">
        <f t="shared" si="17"/>
        <v>9.2016372000000004</v>
      </c>
    </row>
    <row r="26" spans="5:40">
      <c r="E26" s="20" t="s">
        <v>51</v>
      </c>
      <c r="F26" s="20" t="s">
        <v>49</v>
      </c>
      <c r="G26" s="20" t="s">
        <v>50</v>
      </c>
      <c r="J26" s="3" t="str">
        <f t="shared" ref="J26:J31" si="19">IF(LEFT($K26,4)="&lt;=RT",IF(RIGHT($K26,4)="noHK",LEFT(J$1,4),J$1),IF($K26="","","???=&gt;"))</f>
        <v/>
      </c>
      <c r="K26" s="18" t="str">
        <f>$T$10</f>
        <v/>
      </c>
      <c r="L26" s="20" t="str">
        <f t="shared" ca="1" si="3"/>
        <v>25-321/02:55</v>
      </c>
      <c r="M26" s="20" t="str">
        <f t="shared" ca="1" si="4"/>
        <v>25-341/19:01</v>
      </c>
      <c r="N26" s="3" t="s">
        <v>5863</v>
      </c>
      <c r="O26" s="20" t="str">
        <f t="shared" si="14"/>
        <v>213/11:49</v>
      </c>
      <c r="P26" s="3" t="str">
        <f t="shared" si="15"/>
        <v>213_1</v>
      </c>
      <c r="Q26" s="517">
        <f ca="1">R24+(-1)</f>
        <v>625654023.27758372</v>
      </c>
      <c r="R26" s="20">
        <f t="shared" ca="1" si="18"/>
        <v>627440015.8021884</v>
      </c>
      <c r="S26" s="20">
        <f t="shared" ca="1" si="5"/>
        <v>1785992.5246046782</v>
      </c>
      <c r="T26" s="20">
        <f t="shared" ca="1" si="6"/>
        <v>1121578.5000000072</v>
      </c>
      <c r="U26" s="20">
        <f>0</f>
        <v>0</v>
      </c>
      <c r="V26" s="20">
        <f t="shared" ca="1" si="7"/>
        <v>1121578.5000000072</v>
      </c>
      <c r="W26" s="20">
        <f t="shared" si="16"/>
        <v>1121578.5</v>
      </c>
      <c r="X26" s="20">
        <f t="shared" ca="1" si="8"/>
        <v>-7.2177499532699585E-9</v>
      </c>
      <c r="Y26" s="20" t="str">
        <f t="shared" ca="1" si="9"/>
        <v>PEP</v>
      </c>
      <c r="AA26" s="3">
        <f t="shared" si="12"/>
        <v>8.9726280000000003</v>
      </c>
      <c r="AB26" s="524">
        <f t="shared" ca="1" si="10"/>
        <v>8.9726280000000571</v>
      </c>
      <c r="AC26" s="524" t="str">
        <f t="shared" ca="1" si="11"/>
        <v/>
      </c>
      <c r="AH26" s="512" t="s">
        <v>40</v>
      </c>
      <c r="AI26" s="512" t="s">
        <v>5803</v>
      </c>
      <c r="AJ26" s="6">
        <v>0.386322</v>
      </c>
      <c r="AK26" s="6">
        <v>1.4544919999999999</v>
      </c>
      <c r="AL26" s="6">
        <v>1.0681700000000001</v>
      </c>
      <c r="AM26" s="6">
        <v>9.3998989999999996</v>
      </c>
      <c r="AN26" s="3">
        <f t="shared" si="17"/>
        <v>8.9726280000000003</v>
      </c>
    </row>
    <row r="27" spans="5:40">
      <c r="F27" s="20" t="s">
        <v>49</v>
      </c>
      <c r="G27" s="20" t="s">
        <v>50</v>
      </c>
      <c r="H27" s="20" t="s">
        <v>53</v>
      </c>
      <c r="J27" s="3" t="str">
        <f t="shared" si="19"/>
        <v/>
      </c>
      <c r="K27" s="18" t="str">
        <f>$T$10</f>
        <v/>
      </c>
      <c r="L27" s="20" t="str">
        <f t="shared" ca="1" si="3"/>
        <v>25-341/19:01</v>
      </c>
      <c r="M27" s="20" t="str">
        <f t="shared" ca="1" si="4"/>
        <v>25-347/18:50</v>
      </c>
      <c r="N27" s="3" t="s">
        <v>5863</v>
      </c>
      <c r="O27" s="20" t="str">
        <f t="shared" si="14"/>
        <v>215/17:43</v>
      </c>
      <c r="P27" s="3" t="str">
        <f t="shared" si="15"/>
        <v>215_1</v>
      </c>
      <c r="Q27" s="517">
        <f t="shared" ref="Q27:Q28" ca="1" si="20">R26+(-1)</f>
        <v>627440014.8021884</v>
      </c>
      <c r="R27" s="20">
        <f t="shared" ca="1" si="18"/>
        <v>627957743.0807184</v>
      </c>
      <c r="S27" s="20">
        <f t="shared" ca="1" si="5"/>
        <v>517728.27853000164</v>
      </c>
      <c r="T27" s="20">
        <f t="shared" ca="1" si="6"/>
        <v>1171036.6500000476</v>
      </c>
      <c r="U27" s="20">
        <f>0</f>
        <v>0</v>
      </c>
      <c r="V27" s="20">
        <f t="shared" ca="1" si="7"/>
        <v>1171036.6500000476</v>
      </c>
      <c r="W27" s="20">
        <f t="shared" si="16"/>
        <v>1171036.6499999999</v>
      </c>
      <c r="X27" s="20">
        <f t="shared" ca="1" si="8"/>
        <v>-4.7730281949043274E-8</v>
      </c>
      <c r="Y27" s="20" t="str">
        <f t="shared" ca="1" si="9"/>
        <v>PEP</v>
      </c>
      <c r="AA27" s="3">
        <f t="shared" si="12"/>
        <v>9.3682932000000001</v>
      </c>
      <c r="AB27" s="524">
        <f t="shared" ca="1" si="10"/>
        <v>9.3682932000003802</v>
      </c>
      <c r="AC27" s="524" t="str">
        <f t="shared" ca="1" si="11"/>
        <v/>
      </c>
      <c r="AH27" s="512" t="s">
        <v>795</v>
      </c>
      <c r="AI27" s="512" t="s">
        <v>5804</v>
      </c>
      <c r="AJ27" s="6">
        <v>0.97636599999999996</v>
      </c>
      <c r="AK27" s="6">
        <v>2.0916389999999998</v>
      </c>
      <c r="AL27" s="6">
        <v>1.115273</v>
      </c>
      <c r="AM27" s="6">
        <v>9.8144030000000004</v>
      </c>
      <c r="AN27" s="3">
        <f t="shared" si="17"/>
        <v>9.3682932000000001</v>
      </c>
    </row>
    <row r="28" spans="5:40">
      <c r="G28" s="20" t="s">
        <v>50</v>
      </c>
      <c r="H28" s="20" t="s">
        <v>53</v>
      </c>
      <c r="I28" s="20" t="s">
        <v>54</v>
      </c>
      <c r="J28" s="3" t="str">
        <f t="shared" si="19"/>
        <v/>
      </c>
      <c r="K28" s="18" t="str">
        <f>$T$10</f>
        <v/>
      </c>
      <c r="L28" s="20" t="str">
        <f t="shared" ca="1" si="3"/>
        <v>25-347/18:50</v>
      </c>
      <c r="M28" s="20" t="str">
        <f t="shared" ca="1" si="4"/>
        <v>25-362/21:37</v>
      </c>
      <c r="N28" s="3" t="s">
        <v>5863</v>
      </c>
      <c r="O28" s="20" t="str">
        <f t="shared" si="14"/>
        <v>216/11:48</v>
      </c>
      <c r="P28" s="3" t="str">
        <f t="shared" si="15"/>
        <v>216_1</v>
      </c>
      <c r="Q28" s="517">
        <f t="shared" ca="1" si="20"/>
        <v>627957742.0807184</v>
      </c>
      <c r="R28" s="20">
        <f t="shared" ca="1" si="18"/>
        <v>629263750.57550895</v>
      </c>
      <c r="S28" s="20">
        <f t="shared" ca="1" si="5"/>
        <v>1306008.494790554</v>
      </c>
      <c r="T28" s="20">
        <f t="shared" ca="1" si="6"/>
        <v>2863877.1000000923</v>
      </c>
      <c r="U28" s="20">
        <f>0</f>
        <v>0</v>
      </c>
      <c r="V28" s="20">
        <f t="shared" ca="1" si="7"/>
        <v>2863877.1000000923</v>
      </c>
      <c r="W28" s="20">
        <f t="shared" si="16"/>
        <v>2863877.0999999996</v>
      </c>
      <c r="X28" s="20">
        <f t="shared" ca="1" si="8"/>
        <v>-9.2666596174240112E-8</v>
      </c>
      <c r="Y28" s="20" t="str">
        <f t="shared" ca="1" si="9"/>
        <v>PEP</v>
      </c>
      <c r="AA28" s="3">
        <f t="shared" si="12"/>
        <v>22.911016799999999</v>
      </c>
      <c r="AB28" s="524">
        <f t="shared" ca="1" si="10"/>
        <v>22.911016800000738</v>
      </c>
      <c r="AC28" s="524" t="str">
        <f t="shared" ca="1" si="11"/>
        <v/>
      </c>
      <c r="AH28" s="512" t="s">
        <v>797</v>
      </c>
      <c r="AI28" s="512" t="s">
        <v>5805</v>
      </c>
      <c r="AJ28" s="6">
        <v>0.246971</v>
      </c>
      <c r="AK28" s="6">
        <v>2.9744730000000001</v>
      </c>
      <c r="AL28" s="6">
        <v>2.7275019999999999</v>
      </c>
      <c r="AM28" s="6">
        <v>24.002020000000002</v>
      </c>
      <c r="AN28" s="3">
        <f t="shared" si="17"/>
        <v>22.911016799999999</v>
      </c>
    </row>
    <row r="29" spans="5:40">
      <c r="J29" s="3" t="str">
        <f t="shared" si="19"/>
        <v>SDT1</v>
      </c>
      <c r="K29" s="18" t="str">
        <f>$T$6</f>
        <v>&lt;=RT2HnoHK</v>
      </c>
      <c r="L29" s="20" t="str">
        <f t="shared" ca="1" si="3"/>
        <v>25-315/23:44</v>
      </c>
      <c r="M29" s="20" t="str">
        <f t="shared" ca="1" si="4"/>
        <v>25-337/02:13</v>
      </c>
      <c r="N29" s="3" t="s">
        <v>5863</v>
      </c>
      <c r="O29" s="20" t="str">
        <f t="shared" si="14"/>
        <v>217/20:13</v>
      </c>
      <c r="P29" s="3" t="str">
        <f t="shared" si="15"/>
        <v>217_2</v>
      </c>
      <c r="Q29" s="525">
        <f>R25+(-3)</f>
        <v>625210578.70676863</v>
      </c>
      <c r="R29" s="20">
        <f t="shared" si="18"/>
        <v>627033940.85396898</v>
      </c>
      <c r="S29" s="20">
        <f t="shared" si="5"/>
        <v>1823362.147200346</v>
      </c>
      <c r="T29" s="20">
        <f t="shared" ca="1" si="6"/>
        <v>884026.50000000838</v>
      </c>
      <c r="U29" s="20">
        <f>0</f>
        <v>0</v>
      </c>
      <c r="V29" s="20">
        <f t="shared" ca="1" si="7"/>
        <v>884026.50000000838</v>
      </c>
      <c r="W29" s="20">
        <f t="shared" si="16"/>
        <v>884026.49999999988</v>
      </c>
      <c r="X29" s="20">
        <f t="shared" ca="1" si="8"/>
        <v>-8.4983184933662415E-9</v>
      </c>
      <c r="Y29" s="20" t="str">
        <f t="shared" ca="1" si="9"/>
        <v>SWA</v>
      </c>
      <c r="AA29" s="3">
        <f t="shared" si="12"/>
        <v>7.0722119999999995</v>
      </c>
      <c r="AB29" s="524" t="str">
        <f t="shared" ca="1" si="10"/>
        <v/>
      </c>
      <c r="AC29" s="524">
        <f t="shared" ca="1" si="11"/>
        <v>7.072212000000067</v>
      </c>
      <c r="AH29" s="512" t="s">
        <v>804</v>
      </c>
      <c r="AI29" s="512" t="s">
        <v>5806</v>
      </c>
      <c r="AJ29" s="6">
        <v>0.52772699999999995</v>
      </c>
      <c r="AK29" s="6">
        <v>1.3696569999999999</v>
      </c>
      <c r="AL29" s="6">
        <v>0.84192999999999996</v>
      </c>
      <c r="AM29" s="6">
        <v>7.4089850000000004</v>
      </c>
      <c r="AN29" s="3">
        <f t="shared" si="17"/>
        <v>7.0722119999999995</v>
      </c>
    </row>
    <row r="30" spans="5:40">
      <c r="J30" s="3" t="str">
        <f t="shared" si="19"/>
        <v>SDT1</v>
      </c>
      <c r="K30" s="18" t="str">
        <f>$T$9</f>
        <v>&lt;=RT10MnoHK</v>
      </c>
      <c r="L30" s="20" t="str">
        <f t="shared" ca="1" si="3"/>
        <v>25-337/02:13</v>
      </c>
      <c r="M30" s="20" t="str">
        <f t="shared" ca="1" si="4"/>
        <v>25-337/04:22</v>
      </c>
      <c r="N30" s="3" t="s">
        <v>5870</v>
      </c>
      <c r="O30" s="20" t="str">
        <f t="shared" si="14"/>
        <v>218/19:43</v>
      </c>
      <c r="P30" s="3" t="str">
        <f t="shared" si="15"/>
        <v>218_1</v>
      </c>
      <c r="Q30" s="525">
        <f>R29+(-3)</f>
        <v>627033937.85396898</v>
      </c>
      <c r="R30" s="20">
        <f>$Q30+$W30/devrate($E30:$K30,$Q30)/2</f>
        <v>627041658.21808374</v>
      </c>
      <c r="S30" s="20">
        <f t="shared" si="5"/>
        <v>7720.3641147613525</v>
      </c>
      <c r="T30" s="20">
        <f t="shared" ca="1" si="6"/>
        <v>28373.099999785609</v>
      </c>
      <c r="U30" s="20">
        <f>0</f>
        <v>0</v>
      </c>
      <c r="V30" s="20">
        <f t="shared" ca="1" si="7"/>
        <v>28373.099999785609</v>
      </c>
      <c r="W30" s="20">
        <f t="shared" si="16"/>
        <v>56746.2</v>
      </c>
      <c r="X30" s="20">
        <f t="shared" ca="1" si="8"/>
        <v>28373.100000214388</v>
      </c>
      <c r="Y30" s="20" t="str">
        <f t="shared" ca="1" si="9"/>
        <v>SWA</v>
      </c>
      <c r="Z30" s="20" t="s">
        <v>5845</v>
      </c>
      <c r="AA30" s="3">
        <f t="shared" si="12"/>
        <v>0.45396959999999997</v>
      </c>
      <c r="AB30" s="524" t="str">
        <f t="shared" ca="1" si="10"/>
        <v/>
      </c>
      <c r="AC30" s="524">
        <f t="shared" ca="1" si="11"/>
        <v>0.22698479999828486</v>
      </c>
      <c r="AH30" s="512" t="s">
        <v>809</v>
      </c>
      <c r="AI30" s="512" t="s">
        <v>5807</v>
      </c>
      <c r="AJ30" s="6">
        <v>0.27238099999999998</v>
      </c>
      <c r="AK30" s="6">
        <v>0.32642500000000002</v>
      </c>
      <c r="AL30" s="6">
        <v>5.4044000000000002E-2</v>
      </c>
      <c r="AM30" s="6">
        <v>0.47558499999999998</v>
      </c>
      <c r="AN30" s="3">
        <f t="shared" si="17"/>
        <v>0.45396959999999997</v>
      </c>
    </row>
    <row r="31" spans="5:40">
      <c r="E31" s="20" t="s">
        <v>51</v>
      </c>
      <c r="F31" s="20" t="s">
        <v>49</v>
      </c>
      <c r="G31" s="20" t="s">
        <v>50</v>
      </c>
      <c r="H31" s="20" t="s">
        <v>53</v>
      </c>
      <c r="I31" s="20" t="s">
        <v>54</v>
      </c>
      <c r="J31" s="3" t="str">
        <f t="shared" si="19"/>
        <v/>
      </c>
      <c r="L31" s="20" t="str">
        <f t="shared" ca="1" si="3"/>
        <v>25-362/21:37</v>
      </c>
      <c r="M31" s="20" t="str">
        <f t="shared" ca="1" si="4"/>
        <v>25-363/00:48</v>
      </c>
      <c r="N31" s="3" t="s">
        <v>5869</v>
      </c>
      <c r="O31" s="20" t="s">
        <v>5846</v>
      </c>
      <c r="Q31" s="517">
        <f ca="1">R28+(-1)</f>
        <v>629263749.57550895</v>
      </c>
      <c r="R31" s="20">
        <f ca="1">Q31+W31/devrate(E31:K31,Q31)</f>
        <v>629275212.48940516</v>
      </c>
      <c r="S31" s="20">
        <f ca="1">R31-Q31</f>
        <v>11462.913896203041</v>
      </c>
      <c r="T31" s="20">
        <f ca="1">S31*IF(OR(EXACT($Y31,"PEP"),EXACT($Y31,"SWA")),devrate(E31:K31,$Q31),0)</f>
        <v>28373.100000164239</v>
      </c>
      <c r="U31" s="20">
        <f>0</f>
        <v>0</v>
      </c>
      <c r="V31" s="20">
        <f ca="1">T31+IF($Y31="PEP",$U31*$U$2,0)</f>
        <v>28373.100000164239</v>
      </c>
      <c r="W31" s="20">
        <f ca="1">X30</f>
        <v>28373.100000214388</v>
      </c>
      <c r="X31" s="20">
        <f ca="1">W31-V31</f>
        <v>5.0149537855759263E-8</v>
      </c>
      <c r="Y31" s="20" t="str">
        <f ca="1">IF($L31&lt;&gt;"",IF($M31&lt;&gt;"",IF(_xlfn.XOR(_xlfn.TEXTJOIN("",TRUE,$E31:$I31)&lt;&gt;"",_xlfn.TEXTJOIN("",TRUE,$J31:$K31)&lt;&gt;""),IF(_xlfn.TEXTJOIN("",TRUE,$J31:$K31)="","PEP","SWA"),""),""),"")</f>
        <v>PEP</v>
      </c>
      <c r="AA31" s="3" t="str">
        <f t="shared" si="12"/>
        <v/>
      </c>
      <c r="AB31" s="524">
        <f ca="1">IF(AND(ISNUMBER(V31),EXACT(Y31,"PEP")),V31*8/1000000,"")</f>
        <v>0.22698480000131391</v>
      </c>
      <c r="AC31" s="524" t="str">
        <f ca="1">IF(AND(ISNUMBER(V31),EXACT(Y31,"SWA")),V31*8/1000000,"")</f>
        <v/>
      </c>
      <c r="AN31" s="3"/>
    </row>
    <row r="32" spans="5:40">
      <c r="AH32" s="512" t="s">
        <v>5796</v>
      </c>
    </row>
    <row r="33" spans="1:40">
      <c r="AH33" s="512" t="s">
        <v>5808</v>
      </c>
    </row>
    <row r="34" spans="1:40">
      <c r="AH34" s="512" t="s">
        <v>5809</v>
      </c>
    </row>
    <row r="35" spans="1:40">
      <c r="AH35" s="512" t="s">
        <v>5797</v>
      </c>
    </row>
    <row r="39" spans="1:40" s="453" customFormat="1">
      <c r="A39" s="522"/>
      <c r="B39" s="20"/>
      <c r="C39" s="20"/>
      <c r="D39" s="20"/>
      <c r="E39" s="20"/>
      <c r="F39" s="20"/>
      <c r="G39" s="20"/>
      <c r="H39" s="20"/>
      <c r="I39" s="20"/>
      <c r="J39" s="3"/>
      <c r="K39" s="18"/>
      <c r="L39" s="20"/>
      <c r="M39" s="20"/>
      <c r="N39" s="3"/>
      <c r="O39" s="20"/>
      <c r="P39" s="3"/>
      <c r="Q39" s="515"/>
      <c r="R39" s="515"/>
      <c r="S39" s="515"/>
      <c r="T39" s="515"/>
      <c r="U39" s="515"/>
      <c r="V39" s="515"/>
      <c r="W39" s="515"/>
      <c r="X39" s="515"/>
      <c r="Y39" s="20"/>
      <c r="Z39" s="20"/>
      <c r="AA39" s="3"/>
      <c r="AB39" s="531"/>
      <c r="AC39" s="531"/>
      <c r="AD39" s="20"/>
      <c r="AE39" s="20"/>
      <c r="AF39" s="20"/>
      <c r="AG39" s="20"/>
      <c r="AH39" s="512"/>
      <c r="AI39" s="512"/>
      <c r="AJ39" s="6"/>
      <c r="AK39" s="6"/>
      <c r="AL39" s="6"/>
      <c r="AM39" s="6"/>
      <c r="AN39" s="6"/>
    </row>
    <row r="40" spans="1:40" s="453" customFormat="1">
      <c r="A40" s="522"/>
      <c r="B40" s="522"/>
      <c r="C40" s="522"/>
      <c r="D40" s="522"/>
      <c r="E40" s="522"/>
      <c r="F40" s="522"/>
      <c r="G40" s="522"/>
      <c r="H40" s="522"/>
      <c r="I40" s="522"/>
      <c r="J40" s="513"/>
      <c r="K40" s="527"/>
      <c r="L40" s="522"/>
      <c r="M40" s="522"/>
      <c r="N40" s="513"/>
      <c r="O40" s="522"/>
      <c r="P40" s="513"/>
      <c r="Q40" s="516"/>
      <c r="R40" s="522"/>
      <c r="S40" s="522"/>
      <c r="T40" s="522"/>
      <c r="U40" s="522"/>
      <c r="V40" s="522"/>
      <c r="W40" s="522"/>
      <c r="X40" s="522"/>
      <c r="Y40" s="522"/>
      <c r="Z40" s="522"/>
      <c r="AA40" s="529"/>
      <c r="AB40" s="530"/>
      <c r="AC40" s="530"/>
      <c r="AD40" s="522"/>
      <c r="AE40" s="522"/>
      <c r="AF40" s="522"/>
      <c r="AG40" s="522"/>
      <c r="AH40" s="520"/>
      <c r="AI40" s="520"/>
      <c r="AJ40" s="521"/>
      <c r="AK40" s="521"/>
      <c r="AL40" s="521"/>
      <c r="AM40" s="521"/>
      <c r="AN40" s="513"/>
    </row>
    <row r="41" spans="1:40" s="453" customFormat="1">
      <c r="A41" s="522"/>
      <c r="B41" s="20"/>
      <c r="C41" s="20"/>
      <c r="D41" s="20"/>
      <c r="E41" s="20"/>
      <c r="F41" s="20"/>
      <c r="G41" s="20"/>
      <c r="H41" s="20"/>
      <c r="I41" s="20"/>
      <c r="J41" s="3"/>
      <c r="K41" s="18"/>
      <c r="L41" s="20"/>
      <c r="M41" s="20"/>
      <c r="N41" s="3"/>
      <c r="O41" s="20"/>
      <c r="P41" s="3"/>
      <c r="Q41" s="515"/>
      <c r="R41" s="20"/>
      <c r="S41" s="20"/>
      <c r="T41" s="20"/>
      <c r="U41" s="20"/>
      <c r="V41" s="20"/>
      <c r="W41" s="20"/>
      <c r="X41" s="20"/>
      <c r="Y41" s="20"/>
      <c r="Z41" s="20"/>
      <c r="AA41" s="3"/>
      <c r="AB41" s="531"/>
      <c r="AC41" s="531"/>
      <c r="AD41" s="20"/>
      <c r="AE41" s="20"/>
      <c r="AF41" s="20"/>
      <c r="AG41" s="20"/>
      <c r="AH41" s="512"/>
      <c r="AI41" s="512"/>
      <c r="AJ41" s="6"/>
      <c r="AK41" s="6"/>
      <c r="AL41" s="6"/>
      <c r="AM41" s="6"/>
      <c r="AN41" s="3"/>
    </row>
    <row r="42" spans="1:40">
      <c r="Q42" s="517"/>
      <c r="R42" s="20"/>
      <c r="S42" s="20"/>
      <c r="T42" s="20"/>
      <c r="U42" s="20"/>
      <c r="V42" s="20"/>
      <c r="W42" s="20"/>
      <c r="X42" s="20"/>
      <c r="AN42" s="3"/>
    </row>
    <row r="43" spans="1:40">
      <c r="Q43" s="525"/>
      <c r="R43" s="20"/>
      <c r="S43" s="20"/>
      <c r="T43" s="20"/>
      <c r="U43" s="20"/>
      <c r="V43" s="20"/>
      <c r="W43" s="20"/>
      <c r="X43" s="20"/>
      <c r="AN43" s="3"/>
    </row>
    <row r="44" spans="1:40">
      <c r="Q44" s="525"/>
      <c r="R44" s="20"/>
      <c r="S44" s="20"/>
      <c r="T44" s="20"/>
      <c r="U44" s="20"/>
      <c r="V44" s="20"/>
      <c r="W44" s="20"/>
      <c r="X44" s="20"/>
      <c r="AN44" s="3"/>
    </row>
    <row r="45" spans="1:40">
      <c r="R45" s="20"/>
      <c r="S45" s="20"/>
      <c r="T45" s="20"/>
      <c r="U45" s="20"/>
      <c r="V45" s="20"/>
      <c r="W45" s="20"/>
      <c r="X45" s="20"/>
      <c r="AN45" s="3"/>
    </row>
    <row r="46" spans="1:40">
      <c r="R46" s="20"/>
      <c r="S46" s="20"/>
      <c r="T46" s="20"/>
      <c r="U46" s="20"/>
      <c r="V46" s="20"/>
      <c r="W46" s="20"/>
      <c r="X46" s="20"/>
      <c r="AN46" s="3"/>
    </row>
    <row r="47" spans="1:40">
      <c r="R47" s="20"/>
      <c r="S47" s="20"/>
      <c r="T47" s="20"/>
      <c r="U47" s="20"/>
      <c r="V47" s="20"/>
      <c r="W47" s="20"/>
      <c r="X47" s="20"/>
      <c r="AN47" s="3"/>
    </row>
    <row r="48" spans="1:40">
      <c r="R48" s="20"/>
      <c r="S48" s="20"/>
      <c r="T48" s="20"/>
      <c r="U48" s="20"/>
      <c r="V48" s="20"/>
      <c r="W48" s="20"/>
      <c r="X48" s="20"/>
      <c r="AN48" s="3"/>
    </row>
    <row r="49" spans="18:40">
      <c r="R49" s="20"/>
      <c r="S49" s="20"/>
      <c r="T49" s="20"/>
      <c r="U49" s="20"/>
      <c r="V49" s="20"/>
      <c r="W49" s="20"/>
      <c r="X49" s="20"/>
      <c r="AN49" s="3"/>
    </row>
    <row r="50" spans="18:40">
      <c r="R50" s="20"/>
      <c r="S50" s="20"/>
      <c r="T50" s="20"/>
      <c r="U50" s="20"/>
      <c r="V50" s="20"/>
      <c r="W50" s="20"/>
      <c r="X50" s="20"/>
      <c r="AN50" s="3"/>
    </row>
    <row r="51" spans="18:40">
      <c r="R51" s="20"/>
      <c r="S51" s="20"/>
      <c r="T51" s="20"/>
      <c r="U51" s="20"/>
      <c r="V51" s="20"/>
      <c r="W51" s="20"/>
      <c r="X51" s="20"/>
      <c r="AN51" s="3"/>
    </row>
    <row r="52" spans="18:40">
      <c r="R52" s="20"/>
      <c r="S52" s="20"/>
      <c r="T52" s="20"/>
      <c r="U52" s="20"/>
      <c r="V52" s="20"/>
      <c r="W52" s="20"/>
      <c r="X52" s="20"/>
      <c r="AN52" s="3"/>
    </row>
    <row r="53" spans="18:40">
      <c r="R53" s="20"/>
      <c r="S53" s="20"/>
      <c r="T53" s="20"/>
      <c r="U53" s="20"/>
      <c r="V53" s="20"/>
      <c r="W53" s="20"/>
      <c r="X53" s="20"/>
      <c r="AN53" s="3"/>
    </row>
    <row r="54" spans="18:40">
      <c r="R54" s="20"/>
      <c r="S54" s="20"/>
      <c r="T54" s="20"/>
      <c r="U54" s="20"/>
      <c r="V54" s="20"/>
      <c r="W54" s="20"/>
      <c r="X54" s="20"/>
      <c r="AN54" s="3"/>
    </row>
    <row r="55" spans="18:40">
      <c r="R55" s="20"/>
      <c r="S55" s="20"/>
      <c r="T55" s="20"/>
      <c r="U55" s="20"/>
      <c r="V55" s="20"/>
      <c r="W55" s="20"/>
      <c r="X55" s="20"/>
      <c r="AN55" s="3"/>
    </row>
    <row r="56" spans="18:40">
      <c r="R56" s="20"/>
      <c r="S56" s="20"/>
      <c r="T56" s="20"/>
      <c r="U56" s="20"/>
      <c r="V56" s="20"/>
      <c r="W56" s="20"/>
      <c r="X56" s="20"/>
      <c r="AN56" s="3"/>
    </row>
    <row r="57" spans="18:40">
      <c r="R57" s="20"/>
      <c r="S57" s="20"/>
      <c r="T57" s="20"/>
      <c r="U57" s="20"/>
      <c r="V57" s="20"/>
      <c r="W57" s="20"/>
      <c r="X57" s="20"/>
      <c r="AN57" s="3"/>
    </row>
    <row r="58" spans="18:40">
      <c r="R58" s="20"/>
      <c r="S58" s="20"/>
      <c r="T58" s="20"/>
      <c r="U58" s="20"/>
      <c r="V58" s="20"/>
      <c r="W58" s="20"/>
      <c r="X58" s="20"/>
      <c r="AN58" s="3"/>
    </row>
    <row r="59" spans="18:40">
      <c r="R59" s="20"/>
      <c r="S59" s="20"/>
      <c r="T59" s="20"/>
      <c r="U59" s="20"/>
      <c r="V59" s="20"/>
      <c r="W59" s="20"/>
      <c r="X59" s="20"/>
      <c r="AN59" s="3"/>
    </row>
    <row r="60" spans="18:40">
      <c r="R60" s="20"/>
      <c r="S60" s="20"/>
      <c r="T60" s="20"/>
      <c r="U60" s="20"/>
      <c r="V60" s="20"/>
      <c r="W60" s="20"/>
      <c r="X60" s="20"/>
      <c r="AN60" s="3"/>
    </row>
    <row r="61" spans="18:40">
      <c r="R61" s="20"/>
      <c r="S61" s="20"/>
      <c r="T61" s="20"/>
      <c r="U61" s="20"/>
      <c r="V61" s="20"/>
      <c r="W61" s="20"/>
      <c r="X61" s="20"/>
      <c r="AN61" s="3"/>
    </row>
    <row r="62" spans="18:40">
      <c r="R62" s="20"/>
      <c r="S62" s="20"/>
      <c r="T62" s="20"/>
      <c r="U62" s="20"/>
      <c r="V62" s="20"/>
      <c r="W62" s="20"/>
      <c r="X62" s="20"/>
      <c r="AN62" s="3"/>
    </row>
    <row r="63" spans="18:40">
      <c r="R63" s="20"/>
      <c r="S63" s="20"/>
      <c r="T63" s="20"/>
      <c r="U63" s="20"/>
      <c r="V63" s="20"/>
      <c r="W63" s="20"/>
      <c r="X63" s="20"/>
      <c r="AN63" s="3"/>
    </row>
    <row r="64" spans="18:40">
      <c r="R64" s="20"/>
      <c r="S64" s="20"/>
      <c r="T64" s="20"/>
      <c r="U64" s="20"/>
      <c r="V64" s="20"/>
      <c r="W64" s="20"/>
      <c r="X64" s="20"/>
      <c r="AN64" s="3"/>
    </row>
    <row r="65" spans="18:40">
      <c r="R65" s="20"/>
      <c r="S65" s="20"/>
      <c r="T65" s="20"/>
      <c r="U65" s="20"/>
      <c r="V65" s="20"/>
      <c r="W65" s="20"/>
      <c r="X65" s="20"/>
      <c r="AN65" s="3"/>
    </row>
    <row r="66" spans="18:40">
      <c r="R66" s="20"/>
      <c r="S66" s="20"/>
      <c r="T66" s="20"/>
      <c r="U66" s="20"/>
      <c r="V66" s="20"/>
      <c r="W66" s="20"/>
      <c r="X66" s="20"/>
      <c r="AN66" s="3"/>
    </row>
    <row r="67" spans="18:40">
      <c r="R67" s="20"/>
      <c r="S67" s="20"/>
      <c r="T67" s="20"/>
      <c r="U67" s="20"/>
      <c r="V67" s="20"/>
      <c r="W67" s="20"/>
      <c r="X67" s="20"/>
      <c r="AN67" s="3"/>
    </row>
    <row r="68" spans="18:40">
      <c r="R68" s="20"/>
      <c r="S68" s="20"/>
      <c r="T68" s="20"/>
      <c r="U68" s="20"/>
      <c r="V68" s="20"/>
      <c r="W68" s="20"/>
      <c r="X68" s="20"/>
      <c r="AN68" s="3"/>
    </row>
    <row r="69" spans="18:40">
      <c r="R69" s="20"/>
      <c r="S69" s="20"/>
      <c r="T69" s="20"/>
      <c r="U69" s="20"/>
      <c r="V69" s="20"/>
      <c r="W69" s="20"/>
      <c r="X69" s="20"/>
      <c r="AN69" s="3"/>
    </row>
    <row r="70" spans="18:40">
      <c r="R70" s="20"/>
      <c r="S70" s="20"/>
      <c r="T70" s="20"/>
      <c r="U70" s="20"/>
      <c r="V70" s="20"/>
      <c r="W70" s="20"/>
      <c r="X70" s="20"/>
      <c r="AN70" s="3"/>
    </row>
  </sheetData>
  <conditionalFormatting sqref="E1:J1048576">
    <cfRule type="expression" dxfId="28" priority="6" stopIfTrue="1">
      <formula>IF($A1&lt;&gt;"=$E:$J",NOT(OR(EXACT(E1,""),EXACT(E1,E$1),EXACT(E1,LEFT(E$1,4)))))</formula>
    </cfRule>
  </conditionalFormatting>
  <conditionalFormatting sqref="P1:X1048576">
    <cfRule type="expression" dxfId="27" priority="9" stopIfTrue="1">
      <formula>IF($A1&lt;&gt;"=$P:$X",EXACT(P$1,P1))</formula>
    </cfRule>
  </conditionalFormatting>
  <conditionalFormatting sqref="X1:X1048576">
    <cfRule type="expression" dxfId="26" priority="11">
      <formula>IF($A1&lt;&gt;"=$X:$X",IF(ISNUMBER(X1),IF(X1&gt;0.1,TRUE)))</formula>
    </cfRule>
  </conditionalFormatting>
  <conditionalFormatting sqref="O1:P1048576 E1:K1048576">
    <cfRule type="expression" dxfId="25" priority="5" stopIfTrue="1">
      <formula>IF($A1&lt;&gt;"=$O:$P,E:$K",AND(_xlfn.XOR(_xlfn.TEXTJOIN("",TRUE,$E1:$I1)&lt;&gt;"",_xlfn.TEXTJOIN("",TRUE,$J1:$K1)&lt;&gt;""),$O1="",$P1=""))</formula>
    </cfRule>
  </conditionalFormatting>
  <conditionalFormatting sqref="X1:X1048576 Q1:T1048576">
    <cfRule type="expression" dxfId="24" priority="19">
      <formula>IF($A1&lt;&gt;"=$X:$X,$Q:$T",OR(EXACT($Y1,"SWA"),EXACT($Y1,"PEP")))</formula>
    </cfRule>
  </conditionalFormatting>
  <conditionalFormatting sqref="P1:P1048576">
    <cfRule type="expression" dxfId="23" priority="1" stopIfTrue="1">
      <formula>IF($A1&lt;&gt;"=$P:$P",AND(ISNUMBER(P1),P1&gt;20000,P1&lt;100000))</formula>
    </cfRule>
    <cfRule type="expression" dxfId="22" priority="32">
      <formula>IF($A1&lt;&gt;"=$P:$P",OR(EXACT($Y1,"SWA"),EXACT($Y1,"PEP")))</formula>
    </cfRule>
  </conditionalFormatting>
  <conditionalFormatting sqref="O1:O1048576 Y1:Y1048576">
    <cfRule type="expression" dxfId="21" priority="10">
      <formula>IF($A1&lt;&gt;"=$O:$O,$Y:$Y",OR(EXACT($Y1,"PEP"),EXACT($Y1,"SWA")))</formula>
    </cfRule>
  </conditionalFormatting>
  <conditionalFormatting sqref="Q1:Q1048576">
    <cfRule type="expression" dxfId="20" priority="12">
      <formula>IF($A1&lt;&gt;"=$Q:$Q",AND(OR(EXACT($Y1,"SWA"),EXACT($Y1,"PEP")),EXACT(LEFT($Z1,1),"S")))</formula>
    </cfRule>
  </conditionalFormatting>
  <conditionalFormatting sqref="R1:R1048576">
    <cfRule type="expression" dxfId="19" priority="18">
      <formula>IF($A1&lt;&gt;"=$R:$R",AND(OR(EXACT($Y1,"SWA"),EXACT($Y1,"PEP")),EXACT(RIGHT($Z1,1),"E")))</formula>
    </cfRule>
  </conditionalFormatting>
  <conditionalFormatting sqref="L1:M1048576">
    <cfRule type="expression" dxfId="18" priority="7" stopIfTrue="1">
      <formula>IF($A1&lt;&gt;"=$L:$M",EXACT($Y1,"PEP"))</formula>
    </cfRule>
    <cfRule type="expression" dxfId="17" priority="8" stopIfTrue="1">
      <formula>IF($A1&lt;&gt;"=$L:$M",EXACT($Y1,"SWA"))</formula>
    </cfRule>
  </conditionalFormatting>
  <conditionalFormatting sqref="C1:K1048576">
    <cfRule type="expression" dxfId="16" priority="3" stopIfTrue="1">
      <formula>IF($A1&lt;&gt;"=$C:$K",_xlfn.TEXTJOIN("",FALSE,$E1:$J1)="HSK3DT1DT2DT3DT4SDT1HSK4")</formula>
    </cfRule>
    <cfRule type="expression" dxfId="15" priority="4" stopIfTrue="1">
      <formula>IF($A1&lt;&gt;"=$C:$K",AND(_xlfn.TEXTJOIN("",FALSE,$E1:$I1) &lt;&gt;"",_xlfn.TEXTJOIN("",FALSE,$J1:$K1) &lt;&gt; ""))</formula>
    </cfRule>
  </conditionalFormatting>
  <conditionalFormatting sqref="AA1:AA1048576">
    <cfRule type="expression" dxfId="14" priority="131">
      <formula>IF($A1&lt;&gt;"=$AA:$AA",ISNUMBER($AA1))</formula>
    </cfRule>
  </conditionalFormatting>
  <conditionalFormatting sqref="W1:W1048576">
    <cfRule type="expression" dxfId="13" priority="96">
      <formula>IF($A1&lt;&gt;"=$W:$W",IF(ISNUMBER(W1),IF(W1&gt;0.5,IF(X1048576=W1,TRUE))))</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8498" r:id="rId3" name="Button 194">
              <controlPr defaultSize="0" print="0" autoFill="0" autoPict="0" macro="[0]!ExportToSASF" altText="Write SASF">
                <anchor moveWithCells="1">
                  <from>
                    <xdr:col>11</xdr:col>
                    <xdr:colOff>9525</xdr:colOff>
                    <xdr:row>0</xdr:row>
                    <xdr:rowOff>0</xdr:rowOff>
                  </from>
                  <to>
                    <xdr:col>12</xdr:col>
                    <xdr:colOff>819150</xdr:colOff>
                    <xdr:row>1</xdr:row>
                    <xdr:rowOff>180975</xdr:rowOff>
                  </to>
                </anchor>
              </controlPr>
            </control>
          </mc:Choice>
        </mc:AlternateContent>
        <mc:AlternateContent xmlns:mc="http://schemas.openxmlformats.org/markup-compatibility/2006">
          <mc:Choice Requires="x14">
            <control shapeId="98305" r:id="rId4" name="Button 1">
              <controlPr defaultSize="0" print="0" autoFill="0" autoPict="0" macro="[0]!add_dldv">
                <anchor moveWithCells="1" sizeWithCells="1">
                  <from>
                    <xdr:col>11</xdr:col>
                    <xdr:colOff>9525</xdr:colOff>
                    <xdr:row>1</xdr:row>
                    <xdr:rowOff>190500</xdr:rowOff>
                  </from>
                  <to>
                    <xdr:col>12</xdr:col>
                    <xdr:colOff>819150</xdr:colOff>
                    <xdr:row>3</xdr:row>
                    <xdr:rowOff>180975</xdr:rowOff>
                  </to>
                </anchor>
              </controlPr>
            </control>
          </mc:Choice>
        </mc:AlternateContent>
        <mc:AlternateContent xmlns:mc="http://schemas.openxmlformats.org/markup-compatibility/2006">
          <mc:Choice Requires="x14">
            <control shapeId="98497" r:id="rId5" name="Button 193">
              <controlPr defaultSize="0" print="0" autoFill="0" autoPict="0" macro="[0]!ToogleBlue_METs">
                <anchor moveWithCells="1" sizeWithCells="1">
                  <from>
                    <xdr:col>12</xdr:col>
                    <xdr:colOff>828675</xdr:colOff>
                    <xdr:row>4</xdr:row>
                    <xdr:rowOff>0</xdr:rowOff>
                  </from>
                  <to>
                    <xdr:col>14</xdr:col>
                    <xdr:colOff>866775</xdr:colOff>
                    <xdr:row>6</xdr:row>
                    <xdr:rowOff>0</xdr:rowOff>
                  </to>
                </anchor>
              </controlPr>
            </control>
          </mc:Choice>
        </mc:AlternateContent>
        <mc:AlternateContent xmlns:mc="http://schemas.openxmlformats.org/markup-compatibility/2006">
          <mc:Choice Requires="x14">
            <control shapeId="98504" r:id="rId6" name="Button 200">
              <controlPr defaultSize="0" print="0" autoFill="0" autoPict="0" macro="[0]!TriggerFormMacro">
                <anchor moveWithCells="1" sizeWithCells="1">
                  <from>
                    <xdr:col>11</xdr:col>
                    <xdr:colOff>9525</xdr:colOff>
                    <xdr:row>4</xdr:row>
                    <xdr:rowOff>0</xdr:rowOff>
                  </from>
                  <to>
                    <xdr:col>12</xdr:col>
                    <xdr:colOff>819150</xdr:colOff>
                    <xdr:row>6</xdr:row>
                    <xdr:rowOff>0</xdr:rowOff>
                  </to>
                </anchor>
              </controlPr>
            </control>
          </mc:Choice>
        </mc:AlternateContent>
        <mc:AlternateContent xmlns:mc="http://schemas.openxmlformats.org/markup-compatibility/2006">
          <mc:Choice Requires="x14">
            <control shapeId="98506" r:id="rId7" name="Button 202">
              <controlPr defaultSize="0" print="0" autoFill="0" autoPict="0" macro="[0]!tl_update_from_pbws" altText="Write SASF">
                <anchor moveWithCells="1">
                  <from>
                    <xdr:col>12</xdr:col>
                    <xdr:colOff>828675</xdr:colOff>
                    <xdr:row>0</xdr:row>
                    <xdr:rowOff>0</xdr:rowOff>
                  </from>
                  <to>
                    <xdr:col>14</xdr:col>
                    <xdr:colOff>866775</xdr:colOff>
                    <xdr:row>1</xdr:row>
                    <xdr:rowOff>180975</xdr:rowOff>
                  </to>
                </anchor>
              </controlPr>
            </control>
          </mc:Choice>
        </mc:AlternateContent>
        <mc:AlternateContent xmlns:mc="http://schemas.openxmlformats.org/markup-compatibility/2006">
          <mc:Choice Requires="x14">
            <control shapeId="98596" r:id="rId8" name="Button 292">
              <controlPr defaultSize="0" print="0" autoFill="0" autoPict="0" macro="[0]!insertRow_dldv" altText="Write SASF">
                <anchor moveWithCells="1">
                  <from>
                    <xdr:col>12</xdr:col>
                    <xdr:colOff>828675</xdr:colOff>
                    <xdr:row>1</xdr:row>
                    <xdr:rowOff>190500</xdr:rowOff>
                  </from>
                  <to>
                    <xdr:col>14</xdr:col>
                    <xdr:colOff>866775</xdr:colOff>
                    <xdr:row>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E415AE-623C-4486-A625-DDE7CAF7E9A8}">
  <sheetPr codeName="Sheet21"/>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1" t="s">
        <v>5415</v>
      </c>
      <c r="E1" s="6"/>
    </row>
    <row r="2" spans="1:10">
      <c r="A2" s="5" t="s">
        <v>5814</v>
      </c>
      <c r="B2" s="311" t="s">
        <v>5417</v>
      </c>
      <c r="E2" s="6"/>
    </row>
    <row r="10" spans="1:10" s="3" customFormat="1">
      <c r="A10" s="312" t="s">
        <v>5304</v>
      </c>
      <c r="B10" s="2" t="s">
        <v>5411</v>
      </c>
      <c r="C10" s="2" t="s">
        <v>5412</v>
      </c>
      <c r="D10" s="2" t="s">
        <v>5413</v>
      </c>
      <c r="E10" s="2" t="s">
        <v>5420</v>
      </c>
      <c r="F10" s="2" t="s">
        <v>51</v>
      </c>
      <c r="G10" s="2" t="s">
        <v>49</v>
      </c>
      <c r="H10" s="2" t="s">
        <v>50</v>
      </c>
      <c r="I10" s="2" t="s">
        <v>53</v>
      </c>
      <c r="J10" s="2" t="s">
        <v>54</v>
      </c>
    </row>
    <row r="11" spans="1:10">
      <c r="A11" s="5">
        <v>590247716</v>
      </c>
      <c r="B11" s="5">
        <v>590249566</v>
      </c>
      <c r="C11" s="3" t="str">
        <f ca="1">MID(met2utc(A11),3,15)</f>
        <v>24-277/07:50:00</v>
      </c>
      <c r="D11" s="3" t="str">
        <f ca="1">MID(met2utc(B11),3,15)</f>
        <v>24-277/08:20:50</v>
      </c>
      <c r="E11" s="6" t="str">
        <f>FormatDuration(B11-A11)</f>
        <v>30:50</v>
      </c>
    </row>
    <row r="12" spans="1:10">
      <c r="A12" s="5">
        <v>590249566</v>
      </c>
      <c r="B12" s="5">
        <v>605076786</v>
      </c>
      <c r="C12" s="3" t="str">
        <f ca="1">MID(met2utc(A12),3,15)</f>
        <v>24-277/08:20:50</v>
      </c>
      <c r="D12" s="3" t="str">
        <f ca="1">MID(met2utc(B12),3,15)</f>
        <v>25-082/23:01:10</v>
      </c>
      <c r="E12" s="6" t="str">
        <f>FormatDuration(B12-A12)</f>
        <v>171-14:40:20</v>
      </c>
    </row>
  </sheetData>
  <conditionalFormatting sqref="F10:J1048576">
    <cfRule type="expression" dxfId="12"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0465"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FC58B-F058-4B59-B889-27DF29D0345C}">
  <sheetPr codeName="Sheet22"/>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1" t="s">
        <v>5415</v>
      </c>
      <c r="E1" s="6"/>
    </row>
    <row r="2" spans="1:10">
      <c r="A2" s="5" t="s">
        <v>5814</v>
      </c>
      <c r="B2" s="311" t="s">
        <v>5417</v>
      </c>
      <c r="E2" s="6"/>
    </row>
    <row r="10" spans="1:10" s="3" customFormat="1">
      <c r="A10" s="312" t="s">
        <v>5304</v>
      </c>
      <c r="B10" s="2" t="s">
        <v>5411</v>
      </c>
      <c r="C10" s="2" t="s">
        <v>5412</v>
      </c>
      <c r="D10" s="2" t="s">
        <v>5413</v>
      </c>
      <c r="E10" s="2" t="s">
        <v>5420</v>
      </c>
      <c r="F10" s="2" t="s">
        <v>51</v>
      </c>
      <c r="G10" s="2" t="s">
        <v>49</v>
      </c>
      <c r="H10" s="2" t="s">
        <v>50</v>
      </c>
      <c r="I10" s="2" t="s">
        <v>53</v>
      </c>
      <c r="J10" s="2" t="s">
        <v>54</v>
      </c>
    </row>
    <row r="11" spans="1:10">
      <c r="A11" s="5">
        <v>606263216</v>
      </c>
      <c r="B11" s="5">
        <v>606265066</v>
      </c>
      <c r="C11" s="3" t="str">
        <f ca="1">MID(met2utc(A11),3,15)</f>
        <v>25-096/16:35:00</v>
      </c>
      <c r="D11" s="3" t="str">
        <f ca="1">MID(met2utc(B11),3,15)</f>
        <v>25-096/17:05:50</v>
      </c>
      <c r="E11" s="6" t="str">
        <f>FormatDuration(B11-A11)</f>
        <v>30:50</v>
      </c>
    </row>
    <row r="12" spans="1:10">
      <c r="A12" s="5">
        <v>606265066</v>
      </c>
      <c r="B12" s="5">
        <v>607931286</v>
      </c>
      <c r="C12" s="3" t="str">
        <f ca="1">MID(met2utc(A12),3,15)</f>
        <v>25-096/17:05:50</v>
      </c>
      <c r="D12" s="3" t="str">
        <f ca="1">MID(met2utc(B12),3,15)</f>
        <v>25-115/23:56:10</v>
      </c>
      <c r="E12" s="6" t="str">
        <f>FormatDuration(B12-A12)</f>
        <v>19-06:50:20</v>
      </c>
    </row>
  </sheetData>
  <conditionalFormatting sqref="F10:J1048576">
    <cfRule type="expression" dxfId="11"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1489"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0255-F4CC-449E-99EE-0926B01EF238}">
  <sheetPr codeName="Sheet23"/>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1" t="s">
        <v>5415</v>
      </c>
      <c r="E1" s="6"/>
    </row>
    <row r="2" spans="1:10">
      <c r="A2" s="5" t="s">
        <v>5814</v>
      </c>
      <c r="B2" s="311" t="s">
        <v>5417</v>
      </c>
      <c r="E2" s="6"/>
    </row>
    <row r="10" spans="1:10" s="3" customFormat="1">
      <c r="A10" s="312" t="s">
        <v>5304</v>
      </c>
      <c r="B10" s="2" t="s">
        <v>5411</v>
      </c>
      <c r="C10" s="2" t="s">
        <v>5412</v>
      </c>
      <c r="D10" s="2" t="s">
        <v>5413</v>
      </c>
      <c r="E10" s="2" t="s">
        <v>5420</v>
      </c>
      <c r="F10" s="2" t="s">
        <v>51</v>
      </c>
      <c r="G10" s="2" t="s">
        <v>49</v>
      </c>
      <c r="H10" s="2" t="s">
        <v>50</v>
      </c>
      <c r="I10" s="2" t="s">
        <v>53</v>
      </c>
      <c r="J10" s="2" t="s">
        <v>54</v>
      </c>
    </row>
    <row r="11" spans="1:10">
      <c r="A11" s="5">
        <v>607961216</v>
      </c>
      <c r="B11" s="5">
        <v>607963066</v>
      </c>
      <c r="C11" s="3" t="str">
        <f ca="1">MID(met2utc(A11),3,15)</f>
        <v>25-116/08:15:00</v>
      </c>
      <c r="D11" s="3" t="str">
        <f ca="1">MID(met2utc(B11),3,15)</f>
        <v>25-116/08:45:50</v>
      </c>
      <c r="E11" s="6" t="str">
        <f>FormatDuration(B11-A11)</f>
        <v>30:50</v>
      </c>
    </row>
    <row r="12" spans="1:10">
      <c r="A12" s="5">
        <v>607963066</v>
      </c>
      <c r="B12" s="5">
        <v>608130186</v>
      </c>
      <c r="C12" s="3" t="str">
        <f ca="1">MID(met2utc(A12),3,15)</f>
        <v>25-116/08:45:50</v>
      </c>
      <c r="D12" s="3" t="str">
        <f ca="1">MID(met2utc(B12),3,15)</f>
        <v>25-118/07:11:10</v>
      </c>
      <c r="E12" s="6" t="str">
        <f>FormatDuration(B12-A12)</f>
        <v>1-22:25:20</v>
      </c>
    </row>
  </sheetData>
  <conditionalFormatting sqref="F10:J1048576">
    <cfRule type="expression" dxfId="10"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2513"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1A0A21-4BFB-41ED-B62C-680520235287}">
  <sheetPr codeName="Sheet24"/>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1" t="s">
        <v>5415</v>
      </c>
      <c r="E1" s="6"/>
    </row>
    <row r="2" spans="1:10">
      <c r="A2" s="5" t="s">
        <v>5814</v>
      </c>
      <c r="B2" s="311" t="s">
        <v>5417</v>
      </c>
      <c r="E2" s="6"/>
    </row>
    <row r="10" spans="1:10" s="3" customFormat="1">
      <c r="A10" s="312" t="s">
        <v>5304</v>
      </c>
      <c r="B10" s="2" t="s">
        <v>5411</v>
      </c>
      <c r="C10" s="2" t="s">
        <v>5412</v>
      </c>
      <c r="D10" s="2" t="s">
        <v>5413</v>
      </c>
      <c r="E10" s="2" t="s">
        <v>5420</v>
      </c>
      <c r="F10" s="2" t="s">
        <v>51</v>
      </c>
      <c r="G10" s="2" t="s">
        <v>49</v>
      </c>
      <c r="H10" s="2" t="s">
        <v>50</v>
      </c>
      <c r="I10" s="2" t="s">
        <v>53</v>
      </c>
      <c r="J10" s="2" t="s">
        <v>54</v>
      </c>
    </row>
    <row r="11" spans="1:10">
      <c r="A11" s="5">
        <v>608131016</v>
      </c>
      <c r="B11" s="5">
        <v>608132866</v>
      </c>
      <c r="C11" s="3" t="str">
        <f ca="1">MID(met2utc(A11),3,15)</f>
        <v>25-118/07:25:00</v>
      </c>
      <c r="D11" s="3" t="str">
        <f ca="1">MID(met2utc(B11),3,15)</f>
        <v>25-118/07:55:50</v>
      </c>
      <c r="E11" s="6" t="str">
        <f>FormatDuration(B11-A11)</f>
        <v>30:50</v>
      </c>
    </row>
    <row r="12" spans="1:10">
      <c r="A12" s="5">
        <v>608132866</v>
      </c>
      <c r="B12" s="5">
        <v>608536086</v>
      </c>
      <c r="C12" s="3" t="str">
        <f ca="1">MID(met2utc(A12),3,15)</f>
        <v>25-118/07:55:50</v>
      </c>
      <c r="D12" s="3" t="str">
        <f ca="1">MID(met2utc(B12),3,15)</f>
        <v>25-122/23:56:10</v>
      </c>
      <c r="E12" s="6" t="str">
        <f>FormatDuration(B12-A12)</f>
        <v>4-16:00:20</v>
      </c>
    </row>
  </sheetData>
  <conditionalFormatting sqref="F10:J1048576">
    <cfRule type="expression" dxfId="9"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3537"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6B085-9978-4127-812E-37F67E2210BD}">
  <sheetPr codeName="Sheet25"/>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1" t="s">
        <v>5415</v>
      </c>
      <c r="E1" s="6"/>
    </row>
    <row r="2" spans="1:10">
      <c r="A2" s="5" t="s">
        <v>5814</v>
      </c>
      <c r="B2" s="311" t="s">
        <v>5417</v>
      </c>
      <c r="E2" s="6"/>
    </row>
    <row r="10" spans="1:10" s="3" customFormat="1">
      <c r="A10" s="312" t="s">
        <v>5304</v>
      </c>
      <c r="B10" s="2" t="s">
        <v>5411</v>
      </c>
      <c r="C10" s="2" t="s">
        <v>5412</v>
      </c>
      <c r="D10" s="2" t="s">
        <v>5413</v>
      </c>
      <c r="E10" s="2" t="s">
        <v>5420</v>
      </c>
      <c r="F10" s="2" t="s">
        <v>51</v>
      </c>
      <c r="G10" s="2" t="s">
        <v>49</v>
      </c>
      <c r="H10" s="2" t="s">
        <v>50</v>
      </c>
      <c r="I10" s="2" t="s">
        <v>53</v>
      </c>
      <c r="J10" s="2" t="s">
        <v>54</v>
      </c>
    </row>
    <row r="11" spans="1:10">
      <c r="A11" s="5">
        <v>608566016</v>
      </c>
      <c r="B11" s="5">
        <v>608567866</v>
      </c>
      <c r="C11" s="3" t="str">
        <f ca="1">MID(met2utc(A11),3,15)</f>
        <v>25-123/08:15:00</v>
      </c>
      <c r="D11" s="3" t="str">
        <f ca="1">MID(met2utc(B11),3,15)</f>
        <v>25-123/08:45:50</v>
      </c>
      <c r="E11" s="6" t="str">
        <f>FormatDuration(B11-A11)</f>
        <v>30:50</v>
      </c>
    </row>
    <row r="12" spans="1:10">
      <c r="A12" s="5">
        <v>608567866</v>
      </c>
      <c r="B12" s="5">
        <v>609911766</v>
      </c>
      <c r="C12" s="3" t="str">
        <f ca="1">MID(met2utc(A12),3,15)</f>
        <v>25-123/08:45:50</v>
      </c>
      <c r="D12" s="3" t="str">
        <f ca="1">MID(met2utc(B12),3,15)</f>
        <v>25-138/22:04:10</v>
      </c>
      <c r="E12" s="6" t="str">
        <f>FormatDuration(B12-A12)</f>
        <v>15-13:18:20</v>
      </c>
    </row>
  </sheetData>
  <conditionalFormatting sqref="F10:J1048576">
    <cfRule type="expression" dxfId="8"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61"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F037CB-8744-4F2F-81DB-AB5A955AB5EB}">
  <sheetPr codeName="Sheet26"/>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1" t="s">
        <v>5415</v>
      </c>
      <c r="E1" s="6"/>
    </row>
    <row r="2" spans="1:10">
      <c r="A2" s="5" t="s">
        <v>5814</v>
      </c>
      <c r="B2" s="311" t="s">
        <v>5417</v>
      </c>
      <c r="E2" s="6"/>
    </row>
    <row r="10" spans="1:10" s="3" customFormat="1">
      <c r="A10" s="312" t="s">
        <v>5304</v>
      </c>
      <c r="B10" s="2" t="s">
        <v>5411</v>
      </c>
      <c r="C10" s="2" t="s">
        <v>5412</v>
      </c>
      <c r="D10" s="2" t="s">
        <v>5413</v>
      </c>
      <c r="E10" s="2" t="s">
        <v>5420</v>
      </c>
      <c r="F10" s="2" t="s">
        <v>51</v>
      </c>
      <c r="G10" s="2" t="s">
        <v>49</v>
      </c>
      <c r="H10" s="2" t="s">
        <v>50</v>
      </c>
      <c r="I10" s="2" t="s">
        <v>53</v>
      </c>
      <c r="J10" s="2" t="s">
        <v>54</v>
      </c>
    </row>
    <row r="11" spans="1:10">
      <c r="A11" s="5">
        <v>609912716</v>
      </c>
      <c r="B11" s="5">
        <v>609914566</v>
      </c>
      <c r="C11" s="3" t="str">
        <f ca="1">MID(met2utc(A11),3,15)</f>
        <v>25-138/22:20:00</v>
      </c>
      <c r="D11" s="3" t="str">
        <f ca="1">MID(met2utc(B11),3,15)</f>
        <v>25-138/22:50:50</v>
      </c>
      <c r="E11" s="6" t="str">
        <f>FormatDuration(B11-A11)</f>
        <v>30:50</v>
      </c>
    </row>
    <row r="12" spans="1:10">
      <c r="A12" s="5">
        <v>609914566</v>
      </c>
      <c r="B12" s="5">
        <v>611743986</v>
      </c>
      <c r="C12" s="3" t="str">
        <f ca="1">MID(met2utc(A12),3,15)</f>
        <v>25-138/22:50:50</v>
      </c>
      <c r="D12" s="3" t="str">
        <f ca="1">MID(met2utc(B12),3,15)</f>
        <v>25-160/03:01:10</v>
      </c>
      <c r="E12" s="6" t="str">
        <f>FormatDuration(B12-A12)</f>
        <v>21-04:10:20</v>
      </c>
    </row>
  </sheetData>
  <conditionalFormatting sqref="F10:J1048576">
    <cfRule type="expression" dxfId="7"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5585"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03A29-9C65-477B-8959-B8B2C475AB69}">
  <sheetPr codeName="Sheet27"/>
  <dimension ref="A1:J14"/>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1" t="s">
        <v>5415</v>
      </c>
      <c r="E1" s="6"/>
    </row>
    <row r="2" spans="1:10">
      <c r="A2" s="5" t="s">
        <v>5816</v>
      </c>
      <c r="B2" s="311" t="s">
        <v>5417</v>
      </c>
      <c r="E2" s="6"/>
    </row>
    <row r="10" spans="1:10" s="3" customFormat="1">
      <c r="A10" s="312" t="s">
        <v>5304</v>
      </c>
      <c r="B10" s="2" t="s">
        <v>5411</v>
      </c>
      <c r="C10" s="2" t="s">
        <v>5412</v>
      </c>
      <c r="D10" s="2" t="s">
        <v>5413</v>
      </c>
      <c r="E10" s="2" t="s">
        <v>5420</v>
      </c>
      <c r="F10" s="2" t="s">
        <v>51</v>
      </c>
      <c r="G10" s="2" t="s">
        <v>49</v>
      </c>
      <c r="H10" s="2" t="s">
        <v>50</v>
      </c>
      <c r="I10" s="2" t="s">
        <v>53</v>
      </c>
      <c r="J10" s="2" t="s">
        <v>54</v>
      </c>
    </row>
    <row r="11" spans="1:10">
      <c r="A11" s="5">
        <v>611744576</v>
      </c>
      <c r="B11" s="5">
        <v>611746256</v>
      </c>
      <c r="C11" s="3" t="str">
        <f t="shared" ref="C11:D14" ca="1" si="0">MID(met2utc(A11),3,15)</f>
        <v>25-160/03:11:00</v>
      </c>
      <c r="D11" s="3" t="str">
        <f t="shared" ca="1" si="0"/>
        <v>25-160/03:39:00</v>
      </c>
      <c r="E11" s="6" t="str">
        <f>FormatDuration(B11-A11)</f>
        <v>28:00</v>
      </c>
    </row>
    <row r="12" spans="1:10">
      <c r="A12" s="5">
        <v>611746256</v>
      </c>
      <c r="B12" s="5">
        <v>613555316</v>
      </c>
      <c r="C12" s="3" t="str">
        <f t="shared" ca="1" si="0"/>
        <v>25-160/03:39:00</v>
      </c>
      <c r="D12" s="3" t="str">
        <f t="shared" ca="1" si="0"/>
        <v>25-181/02:10:00</v>
      </c>
      <c r="E12" s="6" t="str">
        <f>FormatDuration(B12-A12)</f>
        <v>20-22:31:00</v>
      </c>
    </row>
    <row r="13" spans="1:10">
      <c r="A13" s="5">
        <v>613555316</v>
      </c>
      <c r="B13" s="5">
        <v>615857156</v>
      </c>
      <c r="C13" s="3" t="str">
        <f t="shared" ca="1" si="0"/>
        <v>25-181/02:10:00</v>
      </c>
      <c r="D13" s="3" t="str">
        <f t="shared" ca="1" si="0"/>
        <v>25-207/17:34:00</v>
      </c>
      <c r="E13" s="6" t="str">
        <f>FormatDuration(B13-A13)</f>
        <v>26-15:24:00</v>
      </c>
    </row>
    <row r="14" spans="1:10">
      <c r="A14" s="5">
        <v>615857156</v>
      </c>
      <c r="B14" s="5">
        <v>616807206</v>
      </c>
      <c r="C14" s="3" t="str">
        <f t="shared" ca="1" si="0"/>
        <v>25-207/17:34:00</v>
      </c>
      <c r="D14" s="3" t="str">
        <f t="shared" ca="1" si="0"/>
        <v>25-218/17:28:10</v>
      </c>
      <c r="E14" s="6" t="str">
        <f>FormatDuration(B14-A14)</f>
        <v>10-23:54:10</v>
      </c>
    </row>
  </sheetData>
  <conditionalFormatting sqref="F10:J1048576">
    <cfRule type="expression" dxfId="6"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6609"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AAE57-FDDE-4793-B3E6-8103F09CCF80}">
  <sheetPr codeName="Sheet28"/>
  <dimension ref="A1:J20"/>
  <sheetViews>
    <sheetView workbookViewId="0">
      <selection activeCell="A22" sqref="A22:G22"/>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1" t="s">
        <v>5415</v>
      </c>
      <c r="E1" s="6"/>
    </row>
    <row r="2" spans="1:10">
      <c r="A2" s="5" t="s">
        <v>5817</v>
      </c>
      <c r="B2" s="311" t="s">
        <v>5417</v>
      </c>
      <c r="E2" s="6"/>
    </row>
    <row r="10" spans="1:10" s="3" customFormat="1">
      <c r="A10" s="312" t="s">
        <v>5304</v>
      </c>
      <c r="B10" s="2" t="s">
        <v>5411</v>
      </c>
      <c r="C10" s="2" t="s">
        <v>5412</v>
      </c>
      <c r="D10" s="2" t="s">
        <v>5413</v>
      </c>
      <c r="E10" s="2" t="s">
        <v>5420</v>
      </c>
      <c r="F10" s="2" t="s">
        <v>51</v>
      </c>
      <c r="G10" s="2" t="s">
        <v>49</v>
      </c>
      <c r="H10" s="2" t="s">
        <v>50</v>
      </c>
      <c r="I10" s="2" t="s">
        <v>53</v>
      </c>
      <c r="J10" s="2" t="s">
        <v>54</v>
      </c>
    </row>
    <row r="11" spans="1:10">
      <c r="A11" s="5">
        <v>616843136</v>
      </c>
      <c r="B11" s="5">
        <v>616844816</v>
      </c>
      <c r="C11" s="3" t="str">
        <f t="shared" ref="C11:C20" ca="1" si="0">MID(met2utc(A11),3,15)</f>
        <v>25-219/03:27:00</v>
      </c>
      <c r="D11" s="3" t="str">
        <f t="shared" ref="D11:D20" ca="1" si="1">MID(met2utc(B11),3,15)</f>
        <v>25-219/03:55:00</v>
      </c>
      <c r="E11" s="6" t="str">
        <f t="shared" ref="E11:E20" si="2">FormatDuration(B11-A11)</f>
        <v>28:00</v>
      </c>
    </row>
    <row r="12" spans="1:10">
      <c r="A12" s="5">
        <v>616844816</v>
      </c>
      <c r="B12" s="5">
        <v>622845951</v>
      </c>
      <c r="C12" s="3" t="str">
        <f t="shared" ca="1" si="0"/>
        <v>25-219/03:55:00</v>
      </c>
      <c r="D12" s="3" t="str">
        <f t="shared" ca="1" si="1"/>
        <v>25-288/14:53:55</v>
      </c>
      <c r="E12" s="6" t="str">
        <f t="shared" si="2"/>
        <v>69-10:58:55</v>
      </c>
    </row>
    <row r="13" spans="1:10">
      <c r="A13" s="5">
        <v>622845951</v>
      </c>
      <c r="B13" s="5">
        <v>622855951</v>
      </c>
      <c r="C13" s="3" t="str">
        <f t="shared" ca="1" si="0"/>
        <v>25-288/14:53:55</v>
      </c>
      <c r="D13" s="3" t="str">
        <f t="shared" ca="1" si="1"/>
        <v>25-288/17:40:35</v>
      </c>
      <c r="E13" s="6" t="str">
        <f t="shared" si="2"/>
        <v>02:46:40</v>
      </c>
      <c r="F13" s="3" t="s">
        <v>51</v>
      </c>
    </row>
    <row r="14" spans="1:10">
      <c r="A14" s="5">
        <v>622855951</v>
      </c>
      <c r="B14" s="5">
        <v>622865951</v>
      </c>
      <c r="C14" s="3" t="str">
        <f t="shared" ca="1" si="0"/>
        <v>25-288/17:40:35</v>
      </c>
      <c r="D14" s="3" t="str">
        <f t="shared" ca="1" si="1"/>
        <v>25-288/20:27:15</v>
      </c>
      <c r="E14" s="6" t="str">
        <f t="shared" si="2"/>
        <v>02:46:40</v>
      </c>
      <c r="F14" s="3" t="s">
        <v>51</v>
      </c>
      <c r="G14" s="3" t="s">
        <v>49</v>
      </c>
    </row>
    <row r="15" spans="1:10">
      <c r="A15" s="5">
        <v>622865951</v>
      </c>
      <c r="B15" s="5">
        <v>622875951</v>
      </c>
      <c r="C15" s="3" t="str">
        <f t="shared" ca="1" si="0"/>
        <v>25-288/20:27:15</v>
      </c>
      <c r="D15" s="3" t="str">
        <f t="shared" ca="1" si="1"/>
        <v>25-288/23:13:55</v>
      </c>
      <c r="E15" s="6" t="str">
        <f t="shared" si="2"/>
        <v>02:46:40</v>
      </c>
      <c r="F15" s="3" t="s">
        <v>51</v>
      </c>
      <c r="G15" s="3" t="s">
        <v>49</v>
      </c>
      <c r="H15" s="3" t="s">
        <v>50</v>
      </c>
    </row>
    <row r="16" spans="1:10">
      <c r="A16" s="5">
        <v>622875951</v>
      </c>
      <c r="B16" s="5">
        <v>622892887</v>
      </c>
      <c r="C16" s="3" t="str">
        <f t="shared" ca="1" si="0"/>
        <v>25-288/23:13:55</v>
      </c>
      <c r="D16" s="3" t="str">
        <f t="shared" ca="1" si="1"/>
        <v>25-289/03:56:11</v>
      </c>
      <c r="E16" s="6" t="str">
        <f t="shared" si="2"/>
        <v>04:42:16</v>
      </c>
      <c r="F16" s="3" t="s">
        <v>51</v>
      </c>
      <c r="G16" s="3" t="s">
        <v>49</v>
      </c>
      <c r="H16" s="3" t="s">
        <v>50</v>
      </c>
      <c r="I16" s="3" t="s">
        <v>53</v>
      </c>
      <c r="J16" s="3" t="s">
        <v>54</v>
      </c>
    </row>
    <row r="17" spans="1:8">
      <c r="A17" s="5">
        <v>622892887</v>
      </c>
      <c r="B17" s="5">
        <v>623037141</v>
      </c>
      <c r="C17" s="3" t="str">
        <f t="shared" ca="1" si="0"/>
        <v>25-289/03:56:11</v>
      </c>
      <c r="D17" s="3" t="str">
        <f t="shared" ca="1" si="1"/>
        <v>25-290/20:00:25</v>
      </c>
      <c r="E17" s="6" t="str">
        <f t="shared" si="2"/>
        <v>1-16:04:14</v>
      </c>
      <c r="F17" s="3" t="s">
        <v>51</v>
      </c>
      <c r="G17" s="3" t="s">
        <v>49</v>
      </c>
      <c r="H17" s="3" t="s">
        <v>50</v>
      </c>
    </row>
    <row r="18" spans="1:8">
      <c r="A18" s="5">
        <v>623037141</v>
      </c>
      <c r="B18" s="5">
        <v>623792487</v>
      </c>
      <c r="C18" s="3" t="str">
        <f t="shared" ca="1" si="0"/>
        <v>25-290/20:00:25</v>
      </c>
      <c r="D18" s="3" t="str">
        <f t="shared" ca="1" si="1"/>
        <v>25-299/13:49:31</v>
      </c>
      <c r="E18" s="6" t="str">
        <f t="shared" si="2"/>
        <v>8-17:49:06</v>
      </c>
      <c r="F18" s="3" t="s">
        <v>51</v>
      </c>
      <c r="G18" s="3" t="s">
        <v>49</v>
      </c>
    </row>
    <row r="19" spans="1:8">
      <c r="A19" s="5">
        <v>623792487</v>
      </c>
      <c r="B19" s="5">
        <v>624142263</v>
      </c>
      <c r="C19" s="3" t="str">
        <f t="shared" ca="1" si="0"/>
        <v>25-299/13:49:31</v>
      </c>
      <c r="D19" s="3" t="str">
        <f t="shared" ca="1" si="1"/>
        <v>25-303/14:59:07</v>
      </c>
      <c r="E19" s="6" t="str">
        <f t="shared" si="2"/>
        <v>4-01:09:36</v>
      </c>
      <c r="G19" s="3" t="s">
        <v>49</v>
      </c>
    </row>
    <row r="20" spans="1:8">
      <c r="A20" s="5">
        <v>624142263</v>
      </c>
      <c r="B20" s="5">
        <v>644287985</v>
      </c>
      <c r="C20" s="3" t="str">
        <f t="shared" ca="1" si="0"/>
        <v>25-303/14:59:07</v>
      </c>
      <c r="D20" s="3" t="str">
        <f t="shared" ca="1" si="1"/>
        <v>26-171/19:01:09</v>
      </c>
      <c r="E20" s="6" t="str">
        <f t="shared" si="2"/>
        <v>233-04:02:02</v>
      </c>
    </row>
  </sheetData>
  <conditionalFormatting sqref="F10:J1048576">
    <cfRule type="expression" dxfId="5"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7633"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3F794E-1D17-4A69-9934-A1B78A135FC3}">
  <sheetPr codeName="Sheet29"/>
  <dimension ref="A1:J13"/>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1" t="s">
        <v>5415</v>
      </c>
      <c r="E1" s="6"/>
    </row>
    <row r="2" spans="1:10">
      <c r="A2" s="5" t="s">
        <v>5815</v>
      </c>
      <c r="B2" s="311" t="s">
        <v>5417</v>
      </c>
      <c r="E2" s="6"/>
    </row>
    <row r="10" spans="1:10" s="3" customFormat="1">
      <c r="A10" s="312" t="s">
        <v>5304</v>
      </c>
      <c r="B10" s="2" t="s">
        <v>5411</v>
      </c>
      <c r="C10" s="2" t="s">
        <v>5412</v>
      </c>
      <c r="D10" s="2" t="s">
        <v>5413</v>
      </c>
      <c r="E10" s="2" t="s">
        <v>5420</v>
      </c>
      <c r="F10" s="2" t="s">
        <v>51</v>
      </c>
      <c r="G10" s="2" t="s">
        <v>49</v>
      </c>
      <c r="H10" s="2" t="s">
        <v>50</v>
      </c>
      <c r="I10" s="2" t="s">
        <v>53</v>
      </c>
      <c r="J10" s="2" t="s">
        <v>54</v>
      </c>
    </row>
    <row r="11" spans="1:10">
      <c r="A11" s="5">
        <v>644923315</v>
      </c>
      <c r="B11" s="5">
        <v>644924995</v>
      </c>
      <c r="C11" s="3" t="str">
        <f t="shared" ref="C11:D13" ca="1" si="0">MID(met2utc(A11),3,15)</f>
        <v>26-179/03:29:59</v>
      </c>
      <c r="D11" s="3" t="str">
        <f t="shared" ca="1" si="0"/>
        <v>26-179/03:57:59</v>
      </c>
      <c r="E11" s="6" t="str">
        <f>FormatDuration(B11-A11)</f>
        <v>28:00</v>
      </c>
    </row>
    <row r="12" spans="1:10">
      <c r="A12" s="5">
        <v>644924995</v>
      </c>
      <c r="B12" s="5">
        <v>646883515</v>
      </c>
      <c r="C12" s="3" t="str">
        <f t="shared" ca="1" si="0"/>
        <v>26-179/03:57:59</v>
      </c>
      <c r="D12" s="3" t="str">
        <f t="shared" ca="1" si="0"/>
        <v>26-201/19:59:59</v>
      </c>
      <c r="E12" s="6" t="str">
        <f>FormatDuration(B12-A12)</f>
        <v>22-16:02:00</v>
      </c>
    </row>
    <row r="13" spans="1:10">
      <c r="A13" s="5">
        <v>646883515</v>
      </c>
      <c r="B13" s="5">
        <v>678385315</v>
      </c>
      <c r="C13" s="3" t="str">
        <f t="shared" ca="1" si="0"/>
        <v>26-201/19:59:59</v>
      </c>
      <c r="D13" s="3" t="str">
        <f t="shared" ca="1" si="0"/>
        <v>27-201/10:30:00</v>
      </c>
      <c r="E13" s="6" t="str">
        <f>FormatDuration(B13-A13)</f>
        <v>364-14:30:00</v>
      </c>
    </row>
  </sheetData>
  <conditionalFormatting sqref="F10:J1048576">
    <cfRule type="expression" dxfId="4"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8657"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86554-F1DA-4769-BC65-5F412252F1D0}">
  <sheetPr codeName="Sheet20"/>
  <dimension ref="A1:J11"/>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1" t="s">
        <v>5415</v>
      </c>
      <c r="E1" s="6" t="s">
        <v>5418</v>
      </c>
      <c r="F1" s="3" t="s">
        <v>51</v>
      </c>
      <c r="G1" s="3" t="s">
        <v>49</v>
      </c>
    </row>
    <row r="2" spans="1:10">
      <c r="A2" s="5" t="s">
        <v>5416</v>
      </c>
      <c r="B2" s="311" t="s">
        <v>5417</v>
      </c>
      <c r="E2" s="6" t="s">
        <v>5418</v>
      </c>
      <c r="H2" s="3" t="s">
        <v>50</v>
      </c>
      <c r="I2" s="3" t="s">
        <v>53</v>
      </c>
      <c r="J2" s="3" t="s">
        <v>54</v>
      </c>
    </row>
    <row r="10" spans="1:10" s="3" customFormat="1">
      <c r="A10" s="312" t="s">
        <v>5304</v>
      </c>
      <c r="B10" s="2" t="s">
        <v>5411</v>
      </c>
      <c r="C10" s="2" t="s">
        <v>5412</v>
      </c>
      <c r="D10" s="2" t="s">
        <v>5413</v>
      </c>
      <c r="E10" s="2" t="s">
        <v>5420</v>
      </c>
      <c r="F10" s="2" t="s">
        <v>51</v>
      </c>
      <c r="G10" s="2" t="s">
        <v>49</v>
      </c>
      <c r="H10" s="2" t="s">
        <v>50</v>
      </c>
      <c r="I10" s="2" t="s">
        <v>53</v>
      </c>
      <c r="J10" s="2" t="s">
        <v>54</v>
      </c>
    </row>
    <row r="11" spans="1:10">
      <c r="B11" s="5"/>
      <c r="E11" s="6"/>
    </row>
  </sheetData>
  <conditionalFormatting sqref="F10:J1048576">
    <cfRule type="expression" dxfId="3"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tl_test">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zoomScale="125" zoomScaleNormal="125" workbookViewId="0"/>
  </sheetViews>
  <sheetFormatPr defaultColWidth="11.5703125" defaultRowHeight="12.75"/>
  <cols>
    <col min="1" max="1" width="11.28515625" style="198" customWidth="1"/>
    <col min="2" max="2" width="19.42578125" style="198" customWidth="1"/>
    <col min="3" max="3" width="20.28515625" style="198" customWidth="1"/>
    <col min="4" max="4" width="30.5703125" style="198" customWidth="1"/>
    <col min="5" max="5" width="28.42578125" style="198" customWidth="1"/>
    <col min="6" max="6" width="35.42578125" style="198" customWidth="1"/>
    <col min="7" max="7" width="20.42578125" style="198" bestFit="1" customWidth="1"/>
    <col min="8" max="16384" width="11.5703125" style="198"/>
  </cols>
  <sheetData>
    <row r="1" spans="1:7">
      <c r="A1" s="198" t="s">
        <v>1291</v>
      </c>
      <c r="B1" s="198" t="s">
        <v>1292</v>
      </c>
      <c r="C1" s="198" t="s">
        <v>1293</v>
      </c>
      <c r="D1" s="198" t="s">
        <v>1294</v>
      </c>
      <c r="E1" s="198" t="s">
        <v>1295</v>
      </c>
      <c r="F1" s="198" t="s">
        <v>1296</v>
      </c>
      <c r="G1" s="198" t="s">
        <v>1297</v>
      </c>
    </row>
    <row r="2" spans="1:7">
      <c r="A2" s="198" t="s">
        <v>1298</v>
      </c>
      <c r="B2" s="198" t="s">
        <v>1299</v>
      </c>
      <c r="C2" s="198" t="s">
        <v>1300</v>
      </c>
    </row>
    <row r="3" spans="1:7">
      <c r="A3" s="198">
        <v>346118620</v>
      </c>
      <c r="B3" s="198">
        <v>537084701.42623997</v>
      </c>
      <c r="C3" s="199">
        <v>36526.5</v>
      </c>
      <c r="D3" s="198" t="s">
        <v>1301</v>
      </c>
      <c r="E3" s="198" t="s">
        <v>1302</v>
      </c>
      <c r="F3" s="198" t="str">
        <f ca="1">met2utc(A3)</f>
        <v>2017-007/18:11:41.426240</v>
      </c>
      <c r="G3" s="315"/>
    </row>
    <row r="4" spans="1:7">
      <c r="A4" s="198">
        <v>346291416</v>
      </c>
      <c r="B4" s="198">
        <v>537257497.42819095</v>
      </c>
      <c r="C4" s="198">
        <v>86400</v>
      </c>
      <c r="D4" s="198" t="s">
        <v>1303</v>
      </c>
      <c r="E4" s="198" t="s">
        <v>1304</v>
      </c>
      <c r="F4" s="198" t="str" cm="1">
        <f t="array" aca="1" ref="F4" ca="1">MID(met2utc(A4),3,12)</f>
        <v>17-009/18:11</v>
      </c>
    </row>
    <row r="5" spans="1:7">
      <c r="A5" s="198">
        <v>346428190</v>
      </c>
      <c r="B5" s="198">
        <v>537394271.42971897</v>
      </c>
      <c r="D5" s="198" t="s">
        <v>1305</v>
      </c>
      <c r="E5" s="198" t="s">
        <v>1306</v>
      </c>
    </row>
    <row r="6" spans="1:7">
      <c r="A6" s="198">
        <v>346604594</v>
      </c>
      <c r="B6" s="198">
        <v>537570675.43171895</v>
      </c>
      <c r="D6" s="198" t="s">
        <v>1307</v>
      </c>
      <c r="E6" s="198" t="s">
        <v>1308</v>
      </c>
    </row>
    <row r="7" spans="1:7">
      <c r="A7" s="198">
        <v>346860176</v>
      </c>
      <c r="B7" s="198">
        <v>537826257.43458998</v>
      </c>
      <c r="D7" s="198" t="s">
        <v>1309</v>
      </c>
      <c r="E7" s="198" t="s">
        <v>1310</v>
      </c>
    </row>
    <row r="8" spans="1:7">
      <c r="A8" s="198">
        <v>347022168</v>
      </c>
      <c r="B8" s="198">
        <v>537988249.43640804</v>
      </c>
      <c r="C8" s="314">
        <f>C$3+B8/C$4</f>
        <v>42753.215849958426</v>
      </c>
      <c r="D8" s="198" t="s">
        <v>1311</v>
      </c>
      <c r="E8" s="198" t="s">
        <v>1312</v>
      </c>
    </row>
    <row r="9" spans="1:7">
      <c r="A9" s="198">
        <v>347151788</v>
      </c>
      <c r="B9" s="198">
        <v>538117869.43789995</v>
      </c>
      <c r="C9" s="314">
        <f t="shared" ref="C9:C15" si="0">C$3+B9/C$4</f>
        <v>42754.716081457176</v>
      </c>
      <c r="D9" s="198" t="s">
        <v>1313</v>
      </c>
      <c r="E9" s="198" t="s">
        <v>1314</v>
      </c>
    </row>
    <row r="10" spans="1:7">
      <c r="A10" s="198">
        <v>347202166</v>
      </c>
      <c r="B10" s="198">
        <v>538168247.43844998</v>
      </c>
      <c r="C10" s="314">
        <f t="shared" si="0"/>
        <v>42755.299160167247</v>
      </c>
      <c r="D10" s="198" t="s">
        <v>1315</v>
      </c>
      <c r="E10" s="198" t="s">
        <v>1316</v>
      </c>
    </row>
    <row r="11" spans="1:7">
      <c r="A11" s="198">
        <v>347464967</v>
      </c>
      <c r="B11" s="198">
        <v>538431048.44142306</v>
      </c>
      <c r="C11" s="314">
        <f t="shared" si="0"/>
        <v>42758.340838442396</v>
      </c>
      <c r="D11" s="198" t="s">
        <v>1317</v>
      </c>
      <c r="E11" s="198" t="s">
        <v>1318</v>
      </c>
      <c r="F11" s="315" t="s">
        <v>5429</v>
      </c>
    </row>
    <row r="12" spans="1:7">
      <c r="A12" s="198">
        <v>347612597</v>
      </c>
      <c r="B12" s="198">
        <v>538578678.44311404</v>
      </c>
      <c r="C12" s="314">
        <f t="shared" si="0"/>
        <v>42760.049519017521</v>
      </c>
      <c r="D12" s="198" t="s">
        <v>1319</v>
      </c>
      <c r="E12" s="198" t="s">
        <v>1320</v>
      </c>
    </row>
    <row r="13" spans="1:7">
      <c r="A13" s="198">
        <v>347698989</v>
      </c>
      <c r="B13" s="198">
        <v>538665070.44409597</v>
      </c>
      <c r="C13" s="314">
        <f t="shared" si="0"/>
        <v>42761.049426436293</v>
      </c>
      <c r="D13" s="198" t="s">
        <v>1321</v>
      </c>
      <c r="E13" s="198" t="s">
        <v>1322</v>
      </c>
    </row>
    <row r="14" spans="1:7">
      <c r="A14" s="198">
        <v>347828574</v>
      </c>
      <c r="B14" s="198">
        <v>538794655.445521</v>
      </c>
      <c r="C14" s="314">
        <f t="shared" si="0"/>
        <v>42762.54925284168</v>
      </c>
      <c r="D14" s="198" t="s">
        <v>1323</v>
      </c>
      <c r="E14" s="198" t="s">
        <v>1324</v>
      </c>
    </row>
    <row r="15" spans="1:7">
      <c r="A15" s="198">
        <v>348019376</v>
      </c>
      <c r="B15" s="198">
        <v>538985457.44769204</v>
      </c>
      <c r="C15" s="314">
        <f t="shared" si="0"/>
        <v>42764.757609348286</v>
      </c>
      <c r="D15" s="198" t="s">
        <v>1325</v>
      </c>
      <c r="E15" s="198" t="s">
        <v>1326</v>
      </c>
    </row>
    <row r="16" spans="1:7">
      <c r="A16" s="198">
        <v>348091416</v>
      </c>
      <c r="B16" s="198">
        <v>539057497.448506</v>
      </c>
      <c r="D16" s="198" t="s">
        <v>1327</v>
      </c>
      <c r="E16" s="198" t="s">
        <v>1328</v>
      </c>
    </row>
    <row r="17" spans="1:5">
      <c r="A17" s="198">
        <v>348192174</v>
      </c>
      <c r="B17" s="198">
        <v>539158255.44964194</v>
      </c>
      <c r="D17" s="198" t="s">
        <v>1329</v>
      </c>
      <c r="E17" s="198" t="s">
        <v>1330</v>
      </c>
    </row>
    <row r="18" spans="1:5">
      <c r="A18" s="198">
        <v>348278575</v>
      </c>
      <c r="B18" s="198">
        <v>539244656.45060098</v>
      </c>
      <c r="D18" s="198" t="s">
        <v>1331</v>
      </c>
      <c r="E18" s="198" t="s">
        <v>1332</v>
      </c>
    </row>
    <row r="19" spans="1:5">
      <c r="A19" s="198">
        <v>348328957</v>
      </c>
      <c r="B19" s="198">
        <v>539295038.45118701</v>
      </c>
      <c r="D19" s="198" t="s">
        <v>1333</v>
      </c>
      <c r="E19" s="198" t="s">
        <v>1334</v>
      </c>
    </row>
    <row r="20" spans="1:5">
      <c r="A20" s="198">
        <v>348624221</v>
      </c>
      <c r="B20" s="198">
        <v>539590302.45451498</v>
      </c>
      <c r="D20" s="198" t="s">
        <v>1335</v>
      </c>
      <c r="E20" s="198" t="s">
        <v>1336</v>
      </c>
    </row>
    <row r="21" spans="1:5">
      <c r="A21" s="198">
        <v>348703375</v>
      </c>
      <c r="B21" s="198">
        <v>539669456.45543504</v>
      </c>
      <c r="D21" s="198" t="s">
        <v>1337</v>
      </c>
      <c r="E21" s="198" t="s">
        <v>1338</v>
      </c>
    </row>
    <row r="22" spans="1:5">
      <c r="A22" s="198">
        <v>348959883</v>
      </c>
      <c r="B22" s="198">
        <v>539925964.458318</v>
      </c>
      <c r="D22" s="198" t="s">
        <v>1339</v>
      </c>
      <c r="E22" s="198" t="s">
        <v>1340</v>
      </c>
    </row>
    <row r="23" spans="1:5">
      <c r="A23" s="198">
        <v>349056219</v>
      </c>
      <c r="B23" s="198">
        <v>540022300.45943296</v>
      </c>
      <c r="D23" s="198" t="s">
        <v>1341</v>
      </c>
      <c r="E23" s="198" t="s">
        <v>1342</v>
      </c>
    </row>
    <row r="24" spans="1:5">
      <c r="A24" s="198">
        <v>349142624</v>
      </c>
      <c r="B24" s="198">
        <v>540108705.46040595</v>
      </c>
      <c r="D24" s="198" t="s">
        <v>1343</v>
      </c>
      <c r="E24" s="198" t="s">
        <v>1344</v>
      </c>
    </row>
    <row r="25" spans="1:5">
      <c r="A25" s="198">
        <v>349228966</v>
      </c>
      <c r="B25" s="198">
        <v>540195047.46139205</v>
      </c>
      <c r="D25" s="198" t="s">
        <v>1345</v>
      </c>
      <c r="E25" s="198" t="s">
        <v>1346</v>
      </c>
    </row>
    <row r="26" spans="1:5">
      <c r="A26" s="198">
        <v>349275763</v>
      </c>
      <c r="B26" s="198">
        <v>540241844.46192002</v>
      </c>
      <c r="D26" s="198" t="s">
        <v>1347</v>
      </c>
      <c r="E26" s="198" t="s">
        <v>1348</v>
      </c>
    </row>
    <row r="27" spans="1:5">
      <c r="A27" s="198">
        <v>349488170</v>
      </c>
      <c r="B27" s="198">
        <v>540454251.46434104</v>
      </c>
      <c r="D27" s="198" t="s">
        <v>1349</v>
      </c>
      <c r="E27" s="198" t="s">
        <v>1350</v>
      </c>
    </row>
    <row r="28" spans="1:5">
      <c r="A28" s="198">
        <v>349506157</v>
      </c>
      <c r="B28" s="198">
        <v>540472238.46455395</v>
      </c>
      <c r="D28" s="198" t="s">
        <v>1351</v>
      </c>
      <c r="E28" s="198" t="s">
        <v>1352</v>
      </c>
    </row>
    <row r="29" spans="1:5">
      <c r="A29" s="198">
        <v>349610561</v>
      </c>
      <c r="B29" s="198">
        <v>540576642.46572006</v>
      </c>
      <c r="D29" s="198" t="s">
        <v>1353</v>
      </c>
      <c r="E29" s="198" t="s">
        <v>1354</v>
      </c>
    </row>
    <row r="30" spans="1:5">
      <c r="A30" s="198">
        <v>349707771</v>
      </c>
      <c r="B30" s="198">
        <v>540673852.46684396</v>
      </c>
      <c r="D30" s="198" t="s">
        <v>1355</v>
      </c>
      <c r="E30" s="198" t="s">
        <v>1356</v>
      </c>
    </row>
    <row r="31" spans="1:5">
      <c r="A31" s="198">
        <v>349909442</v>
      </c>
      <c r="B31" s="198">
        <v>540875523.46914601</v>
      </c>
      <c r="D31" s="198" t="s">
        <v>1357</v>
      </c>
      <c r="E31" s="198" t="s">
        <v>1358</v>
      </c>
    </row>
    <row r="32" spans="1:5">
      <c r="A32" s="198">
        <v>349995791</v>
      </c>
      <c r="B32" s="198">
        <v>540961872.47012401</v>
      </c>
      <c r="D32" s="198" t="s">
        <v>1359</v>
      </c>
      <c r="E32" s="198" t="s">
        <v>1360</v>
      </c>
    </row>
    <row r="33" spans="1:5">
      <c r="A33" s="198">
        <v>350021024</v>
      </c>
      <c r="B33" s="198">
        <v>540987105.47040701</v>
      </c>
      <c r="D33" s="198" t="s">
        <v>1361</v>
      </c>
      <c r="E33" s="198" t="s">
        <v>1362</v>
      </c>
    </row>
    <row r="34" spans="1:5">
      <c r="A34" s="198">
        <v>350312595</v>
      </c>
      <c r="B34" s="198">
        <v>541278676.47372794</v>
      </c>
      <c r="D34" s="198" t="s">
        <v>1363</v>
      </c>
      <c r="E34" s="198" t="s">
        <v>1364</v>
      </c>
    </row>
    <row r="35" spans="1:5">
      <c r="A35" s="198">
        <v>350384581</v>
      </c>
      <c r="B35" s="198">
        <v>541350662.47454</v>
      </c>
      <c r="D35" s="198" t="s">
        <v>1365</v>
      </c>
      <c r="E35" s="198" t="s">
        <v>1366</v>
      </c>
    </row>
    <row r="36" spans="1:5">
      <c r="A36" s="198">
        <v>350557387</v>
      </c>
      <c r="B36" s="198">
        <v>541523468.47650695</v>
      </c>
      <c r="D36" s="198" t="s">
        <v>1367</v>
      </c>
      <c r="E36" s="198" t="s">
        <v>1368</v>
      </c>
    </row>
    <row r="37" spans="1:5">
      <c r="A37" s="198">
        <v>350683460</v>
      </c>
      <c r="B37" s="198">
        <v>541649541.47796404</v>
      </c>
      <c r="D37" s="198" t="s">
        <v>1369</v>
      </c>
      <c r="E37" s="198" t="s">
        <v>1370</v>
      </c>
    </row>
    <row r="38" spans="1:5">
      <c r="A38" s="198">
        <v>350870608</v>
      </c>
      <c r="B38" s="198">
        <v>541836689.48008704</v>
      </c>
      <c r="D38" s="198" t="s">
        <v>1371</v>
      </c>
      <c r="E38" s="198" t="s">
        <v>1372</v>
      </c>
    </row>
    <row r="39" spans="1:5">
      <c r="A39" s="198">
        <v>350942618</v>
      </c>
      <c r="B39" s="198">
        <v>541908699.48093796</v>
      </c>
      <c r="D39" s="198" t="s">
        <v>1373</v>
      </c>
      <c r="E39" s="198" t="s">
        <v>1374</v>
      </c>
    </row>
    <row r="40" spans="1:5">
      <c r="A40" s="198">
        <v>351029023</v>
      </c>
      <c r="B40" s="198">
        <v>541995104.481884</v>
      </c>
      <c r="D40" s="198" t="s">
        <v>1375</v>
      </c>
      <c r="E40" s="198" t="s">
        <v>1376</v>
      </c>
    </row>
    <row r="41" spans="1:5">
      <c r="A41" s="198">
        <v>351115470</v>
      </c>
      <c r="B41" s="198">
        <v>542081551.48288703</v>
      </c>
      <c r="D41" s="198" t="s">
        <v>1377</v>
      </c>
      <c r="E41" s="198" t="s">
        <v>1378</v>
      </c>
    </row>
    <row r="42" spans="1:5">
      <c r="A42" s="198">
        <v>351338616</v>
      </c>
      <c r="B42" s="198">
        <v>542304697.48546302</v>
      </c>
      <c r="D42" s="198" t="s">
        <v>1379</v>
      </c>
      <c r="E42" s="198" t="s">
        <v>1380</v>
      </c>
    </row>
    <row r="43" spans="1:5">
      <c r="A43" s="198">
        <v>351475430</v>
      </c>
      <c r="B43" s="198">
        <v>542441511.48701894</v>
      </c>
      <c r="D43" s="198" t="s">
        <v>1381</v>
      </c>
      <c r="E43" s="198" t="s">
        <v>1382</v>
      </c>
    </row>
    <row r="44" spans="1:5">
      <c r="A44" s="198">
        <v>351518636</v>
      </c>
      <c r="B44" s="198">
        <v>542484717.48751795</v>
      </c>
      <c r="D44" s="198" t="s">
        <v>1383</v>
      </c>
      <c r="E44" s="198" t="s">
        <v>1384</v>
      </c>
    </row>
    <row r="45" spans="1:5">
      <c r="A45" s="198">
        <v>351601428</v>
      </c>
      <c r="B45" s="198">
        <v>542567509.488469</v>
      </c>
      <c r="D45" s="198" t="s">
        <v>1385</v>
      </c>
      <c r="E45" s="198" t="s">
        <v>1386</v>
      </c>
    </row>
    <row r="46" spans="1:5">
      <c r="A46" s="198">
        <v>351734699</v>
      </c>
      <c r="B46" s="198">
        <v>542700780.49001002</v>
      </c>
      <c r="D46" s="198" t="s">
        <v>1387</v>
      </c>
      <c r="E46" s="198" t="s">
        <v>1388</v>
      </c>
    </row>
    <row r="47" spans="1:5">
      <c r="A47" s="198">
        <v>351777849</v>
      </c>
      <c r="B47" s="198">
        <v>542743930.49049795</v>
      </c>
      <c r="D47" s="198" t="s">
        <v>1389</v>
      </c>
      <c r="E47" s="198" t="s">
        <v>1390</v>
      </c>
    </row>
    <row r="48" spans="1:5">
      <c r="A48" s="198">
        <v>351972272</v>
      </c>
      <c r="B48" s="198">
        <v>542938353.49273098</v>
      </c>
      <c r="D48" s="198" t="s">
        <v>1391</v>
      </c>
      <c r="E48" s="198" t="s">
        <v>1392</v>
      </c>
    </row>
    <row r="49" spans="1:5">
      <c r="A49" s="198">
        <v>352148701</v>
      </c>
      <c r="B49" s="198">
        <v>543114782.494766</v>
      </c>
      <c r="D49" s="198" t="s">
        <v>1393</v>
      </c>
      <c r="E49" s="198" t="s">
        <v>1394</v>
      </c>
    </row>
    <row r="50" spans="1:5">
      <c r="A50" s="198">
        <v>352242261</v>
      </c>
      <c r="B50" s="198">
        <v>543208342.49583304</v>
      </c>
      <c r="D50" s="198" t="s">
        <v>1395</v>
      </c>
      <c r="E50" s="198" t="s">
        <v>1396</v>
      </c>
    </row>
    <row r="51" spans="1:5">
      <c r="A51" s="198">
        <v>352339469</v>
      </c>
      <c r="B51" s="198">
        <v>543305550.49697304</v>
      </c>
      <c r="D51" s="198" t="s">
        <v>1397</v>
      </c>
      <c r="E51" s="198" t="s">
        <v>1398</v>
      </c>
    </row>
    <row r="52" spans="1:5">
      <c r="A52" s="198">
        <v>352379073</v>
      </c>
      <c r="B52" s="198">
        <v>543345154.49742401</v>
      </c>
      <c r="D52" s="198" t="s">
        <v>1399</v>
      </c>
      <c r="E52" s="198" t="s">
        <v>1400</v>
      </c>
    </row>
    <row r="53" spans="1:5">
      <c r="A53" s="198">
        <v>352566289</v>
      </c>
      <c r="B53" s="198">
        <v>543532370.49956298</v>
      </c>
      <c r="D53" s="198" t="s">
        <v>1401</v>
      </c>
      <c r="E53" s="198" t="s">
        <v>1402</v>
      </c>
    </row>
    <row r="54" spans="1:5">
      <c r="A54" s="198">
        <v>352638286</v>
      </c>
      <c r="B54" s="198">
        <v>543604367.50041902</v>
      </c>
      <c r="D54" s="198" t="s">
        <v>1403</v>
      </c>
      <c r="E54" s="198" t="s">
        <v>1404</v>
      </c>
    </row>
    <row r="55" spans="1:5">
      <c r="A55" s="198">
        <v>352854308</v>
      </c>
      <c r="B55" s="198">
        <v>543820389.50290406</v>
      </c>
      <c r="D55" s="198" t="s">
        <v>1405</v>
      </c>
      <c r="E55" s="198" t="s">
        <v>1406</v>
      </c>
    </row>
    <row r="56" spans="1:5">
      <c r="A56" s="198">
        <v>353009109</v>
      </c>
      <c r="B56" s="198">
        <v>543975190.50470996</v>
      </c>
      <c r="D56" s="198" t="s">
        <v>1407</v>
      </c>
      <c r="E56" s="198" t="s">
        <v>1408</v>
      </c>
    </row>
    <row r="57" spans="1:5">
      <c r="A57" s="198">
        <v>353174705</v>
      </c>
      <c r="B57" s="198">
        <v>544140786.50660396</v>
      </c>
      <c r="D57" s="198" t="s">
        <v>1409</v>
      </c>
      <c r="E57" s="198" t="s">
        <v>1410</v>
      </c>
    </row>
    <row r="58" spans="1:5">
      <c r="A58" s="198">
        <v>353318723</v>
      </c>
      <c r="B58" s="198">
        <v>544284804.50827098</v>
      </c>
      <c r="D58" s="198" t="s">
        <v>1411</v>
      </c>
      <c r="E58" s="198" t="s">
        <v>1412</v>
      </c>
    </row>
    <row r="59" spans="1:5">
      <c r="A59" s="198">
        <v>353441135</v>
      </c>
      <c r="B59" s="198">
        <v>544407216.50971401</v>
      </c>
      <c r="D59" s="198" t="s">
        <v>1413</v>
      </c>
      <c r="E59" s="198" t="s">
        <v>1414</v>
      </c>
    </row>
    <row r="60" spans="1:5">
      <c r="A60" s="198">
        <v>353545529</v>
      </c>
      <c r="B60" s="198">
        <v>544511610.51091099</v>
      </c>
      <c r="D60" s="198" t="s">
        <v>1415</v>
      </c>
      <c r="E60" s="198" t="s">
        <v>1416</v>
      </c>
    </row>
    <row r="61" spans="1:5">
      <c r="A61" s="198">
        <v>353592344</v>
      </c>
      <c r="B61" s="198">
        <v>544558425.51143098</v>
      </c>
      <c r="D61" s="198" t="s">
        <v>1417</v>
      </c>
      <c r="E61" s="198" t="s">
        <v>1418</v>
      </c>
    </row>
    <row r="62" spans="1:5">
      <c r="A62" s="198">
        <v>367449320</v>
      </c>
      <c r="B62" s="198">
        <v>558415401.67506397</v>
      </c>
      <c r="D62" s="198" t="s">
        <v>1419</v>
      </c>
      <c r="E62" s="198" t="s">
        <v>1420</v>
      </c>
    </row>
    <row r="63" spans="1:5">
      <c r="A63" s="198">
        <v>367485357</v>
      </c>
      <c r="B63" s="198">
        <v>558451438.67549503</v>
      </c>
      <c r="D63" s="198" t="s">
        <v>1421</v>
      </c>
      <c r="E63" s="198" t="s">
        <v>1422</v>
      </c>
    </row>
    <row r="64" spans="1:5">
      <c r="A64" s="198">
        <v>367617536</v>
      </c>
      <c r="B64" s="198">
        <v>558583617.67714906</v>
      </c>
      <c r="D64" s="198" t="s">
        <v>1423</v>
      </c>
      <c r="E64" s="198" t="s">
        <v>1424</v>
      </c>
    </row>
    <row r="65" spans="1:5">
      <c r="A65" s="198">
        <v>367685926</v>
      </c>
      <c r="B65" s="198">
        <v>558652007.67796099</v>
      </c>
      <c r="D65" s="198" t="s">
        <v>1425</v>
      </c>
      <c r="E65" s="198" t="s">
        <v>1426</v>
      </c>
    </row>
    <row r="66" spans="1:5">
      <c r="A66" s="198">
        <v>367801101</v>
      </c>
      <c r="B66" s="198">
        <v>558767182.67929399</v>
      </c>
      <c r="D66" s="198" t="s">
        <v>1427</v>
      </c>
      <c r="E66" s="198" t="s">
        <v>1428</v>
      </c>
    </row>
    <row r="67" spans="1:5">
      <c r="A67" s="198">
        <v>367887462</v>
      </c>
      <c r="B67" s="198">
        <v>558853543.68031204</v>
      </c>
      <c r="D67" s="198" t="s">
        <v>1429</v>
      </c>
      <c r="E67" s="198" t="s">
        <v>1430</v>
      </c>
    </row>
    <row r="68" spans="1:5">
      <c r="A68" s="198">
        <v>367941432</v>
      </c>
      <c r="B68" s="198">
        <v>558907513.68094802</v>
      </c>
      <c r="D68" s="198" t="s">
        <v>1431</v>
      </c>
      <c r="E68" s="198" t="s">
        <v>1432</v>
      </c>
    </row>
    <row r="69" spans="1:5">
      <c r="A69" s="198">
        <v>368031453</v>
      </c>
      <c r="B69" s="198">
        <v>558997534.68199301</v>
      </c>
      <c r="D69" s="198" t="s">
        <v>1433</v>
      </c>
      <c r="E69" s="198" t="s">
        <v>1434</v>
      </c>
    </row>
    <row r="70" spans="1:5">
      <c r="A70" s="198">
        <v>368204229</v>
      </c>
      <c r="B70" s="198">
        <v>559170310.684008</v>
      </c>
      <c r="D70" s="198" t="s">
        <v>1435</v>
      </c>
      <c r="E70" s="198" t="s">
        <v>1436</v>
      </c>
    </row>
    <row r="71" spans="1:5">
      <c r="A71" s="198">
        <v>368398602</v>
      </c>
      <c r="B71" s="198">
        <v>559364683.68624604</v>
      </c>
      <c r="D71" s="198" t="s">
        <v>1437</v>
      </c>
      <c r="E71" s="198" t="s">
        <v>1438</v>
      </c>
    </row>
    <row r="72" spans="1:5">
      <c r="A72" s="198">
        <v>368582157</v>
      </c>
      <c r="B72" s="198">
        <v>559548238.68836904</v>
      </c>
      <c r="D72" s="198" t="s">
        <v>1439</v>
      </c>
      <c r="E72" s="198" t="s">
        <v>1440</v>
      </c>
    </row>
    <row r="73" spans="1:5">
      <c r="A73" s="198">
        <v>368657795</v>
      </c>
      <c r="B73" s="198">
        <v>559623876.68929398</v>
      </c>
      <c r="D73" s="198" t="s">
        <v>1441</v>
      </c>
      <c r="E73" s="198" t="s">
        <v>1442</v>
      </c>
    </row>
    <row r="74" spans="1:5">
      <c r="A74" s="198">
        <v>368722539</v>
      </c>
      <c r="B74" s="198">
        <v>559688620.69004405</v>
      </c>
      <c r="D74" s="198" t="s">
        <v>1443</v>
      </c>
      <c r="E74" s="198" t="s">
        <v>1444</v>
      </c>
    </row>
    <row r="75" spans="1:5">
      <c r="A75" s="198">
        <v>369100480</v>
      </c>
      <c r="B75" s="198">
        <v>560066561.69440103</v>
      </c>
      <c r="D75" s="198" t="s">
        <v>1445</v>
      </c>
      <c r="E75" s="198" t="s">
        <v>1446</v>
      </c>
    </row>
    <row r="76" spans="1:5">
      <c r="A76" s="198">
        <v>369150863</v>
      </c>
      <c r="B76" s="198">
        <v>560116944.695014</v>
      </c>
      <c r="D76" s="198" t="s">
        <v>1447</v>
      </c>
      <c r="E76" s="198" t="s">
        <v>1448</v>
      </c>
    </row>
    <row r="77" spans="1:5">
      <c r="A77" s="198">
        <v>369266056</v>
      </c>
      <c r="B77" s="198">
        <v>560232137.69634199</v>
      </c>
      <c r="D77" s="198" t="s">
        <v>1449</v>
      </c>
      <c r="E77" s="198" t="s">
        <v>1450</v>
      </c>
    </row>
    <row r="78" spans="1:5">
      <c r="A78" s="198">
        <v>369359662</v>
      </c>
      <c r="B78" s="198">
        <v>560325743.69740403</v>
      </c>
      <c r="D78" s="198" t="s">
        <v>1451</v>
      </c>
      <c r="E78" s="198" t="s">
        <v>1452</v>
      </c>
    </row>
    <row r="79" spans="1:5">
      <c r="A79" s="198">
        <v>369431672</v>
      </c>
      <c r="B79" s="198">
        <v>560397753.69825006</v>
      </c>
      <c r="D79" s="198" t="s">
        <v>1453</v>
      </c>
      <c r="E79" s="198" t="s">
        <v>1454</v>
      </c>
    </row>
    <row r="80" spans="1:5">
      <c r="A80" s="198">
        <v>369518034</v>
      </c>
      <c r="B80" s="198">
        <v>560484115.69923902</v>
      </c>
      <c r="D80" s="198" t="s">
        <v>1455</v>
      </c>
      <c r="E80" s="198" t="s">
        <v>1456</v>
      </c>
    </row>
    <row r="81" spans="1:5">
      <c r="A81" s="198">
        <v>369611616</v>
      </c>
      <c r="B81" s="198">
        <v>560577697.70033801</v>
      </c>
      <c r="D81" s="198" t="s">
        <v>1457</v>
      </c>
      <c r="E81" s="198" t="s">
        <v>1458</v>
      </c>
    </row>
    <row r="82" spans="1:5">
      <c r="A82" s="198">
        <v>369698000</v>
      </c>
      <c r="B82" s="198">
        <v>560664081.70133698</v>
      </c>
      <c r="D82" s="198" t="s">
        <v>1459</v>
      </c>
      <c r="E82" s="198" t="s">
        <v>1460</v>
      </c>
    </row>
    <row r="83" spans="1:5">
      <c r="A83" s="198">
        <v>369784388</v>
      </c>
      <c r="B83" s="198">
        <v>560750469.70234704</v>
      </c>
      <c r="D83" s="198" t="s">
        <v>1461</v>
      </c>
      <c r="E83" s="198" t="s">
        <v>1462</v>
      </c>
    </row>
    <row r="84" spans="1:5">
      <c r="A84" s="198">
        <v>369870780</v>
      </c>
      <c r="B84" s="198">
        <v>560836861.70334303</v>
      </c>
      <c r="D84" s="198" t="s">
        <v>1463</v>
      </c>
      <c r="E84" s="198" t="s">
        <v>1464</v>
      </c>
    </row>
    <row r="85" spans="1:5">
      <c r="A85" s="198">
        <v>369957165</v>
      </c>
      <c r="B85" s="198">
        <v>560923246.70433295</v>
      </c>
      <c r="D85" s="198" t="s">
        <v>1465</v>
      </c>
      <c r="E85" s="198" t="s">
        <v>1466</v>
      </c>
    </row>
    <row r="86" spans="1:5">
      <c r="A86" s="198">
        <v>370043550</v>
      </c>
      <c r="B86" s="198">
        <v>561009631.70532894</v>
      </c>
      <c r="D86" s="198" t="s">
        <v>1467</v>
      </c>
      <c r="E86" s="198" t="s">
        <v>1468</v>
      </c>
    </row>
    <row r="87" spans="1:5">
      <c r="A87" s="198">
        <v>370129942</v>
      </c>
      <c r="B87" s="198">
        <v>561096023.70632899</v>
      </c>
      <c r="D87" s="198" t="s">
        <v>1469</v>
      </c>
      <c r="E87" s="198" t="s">
        <v>1470</v>
      </c>
    </row>
    <row r="88" spans="1:5">
      <c r="A88" s="198">
        <v>370212719</v>
      </c>
      <c r="B88" s="198">
        <v>561178800.70728302</v>
      </c>
      <c r="D88" s="198" t="s">
        <v>1471</v>
      </c>
      <c r="E88" s="198" t="s">
        <v>1472</v>
      </c>
    </row>
    <row r="89" spans="1:5">
      <c r="A89" s="198">
        <v>370311002</v>
      </c>
      <c r="B89" s="198">
        <v>561277083.70838404</v>
      </c>
      <c r="D89" s="198" t="s">
        <v>1473</v>
      </c>
      <c r="E89" s="198" t="s">
        <v>1474</v>
      </c>
    </row>
    <row r="90" spans="1:5">
      <c r="A90" s="198">
        <v>370385494</v>
      </c>
      <c r="B90" s="198">
        <v>561351575.70926094</v>
      </c>
      <c r="D90" s="198" t="s">
        <v>1475</v>
      </c>
      <c r="E90" s="198" t="s">
        <v>1476</v>
      </c>
    </row>
    <row r="91" spans="1:5">
      <c r="A91" s="198">
        <v>370471885</v>
      </c>
      <c r="B91" s="198">
        <v>561437966.71026504</v>
      </c>
      <c r="D91" s="198" t="s">
        <v>1477</v>
      </c>
      <c r="E91" s="198" t="s">
        <v>1478</v>
      </c>
    </row>
    <row r="92" spans="1:5">
      <c r="A92" s="198">
        <v>370558271</v>
      </c>
      <c r="B92" s="198">
        <v>561524352.71125901</v>
      </c>
      <c r="D92" s="198" t="s">
        <v>1479</v>
      </c>
      <c r="E92" s="198" t="s">
        <v>1480</v>
      </c>
    </row>
    <row r="93" spans="1:5">
      <c r="A93" s="198">
        <v>370657140</v>
      </c>
      <c r="B93" s="198">
        <v>561623221.71238196</v>
      </c>
      <c r="D93" s="198" t="s">
        <v>1481</v>
      </c>
      <c r="E93" s="198" t="s">
        <v>1482</v>
      </c>
    </row>
    <row r="94" spans="1:5">
      <c r="A94" s="198">
        <v>370731093</v>
      </c>
      <c r="B94" s="198">
        <v>561697174.71324503</v>
      </c>
      <c r="D94" s="198" t="s">
        <v>1483</v>
      </c>
      <c r="E94" s="198" t="s">
        <v>1484</v>
      </c>
    </row>
    <row r="95" spans="1:5">
      <c r="A95" s="198">
        <v>370829735</v>
      </c>
      <c r="B95" s="198">
        <v>561795816.71435106</v>
      </c>
      <c r="D95" s="198" t="s">
        <v>1485</v>
      </c>
      <c r="E95" s="198" t="s">
        <v>1486</v>
      </c>
    </row>
    <row r="96" spans="1:5">
      <c r="A96" s="198">
        <v>370903827</v>
      </c>
      <c r="B96" s="198">
        <v>561869908.71522295</v>
      </c>
      <c r="D96" s="198" t="s">
        <v>1487</v>
      </c>
      <c r="E96" s="198" t="s">
        <v>1488</v>
      </c>
    </row>
    <row r="97" spans="1:5">
      <c r="A97" s="198">
        <v>371001003</v>
      </c>
      <c r="B97" s="198">
        <v>561967084.71631205</v>
      </c>
      <c r="D97" s="198" t="s">
        <v>1489</v>
      </c>
      <c r="E97" s="198" t="s">
        <v>1490</v>
      </c>
    </row>
    <row r="98" spans="1:5">
      <c r="A98" s="198">
        <v>371076601</v>
      </c>
      <c r="B98" s="198">
        <v>562042682.71721005</v>
      </c>
      <c r="D98" s="198" t="s">
        <v>1491</v>
      </c>
      <c r="E98" s="198" t="s">
        <v>1492</v>
      </c>
    </row>
    <row r="99" spans="1:5">
      <c r="A99" s="198">
        <v>371162990</v>
      </c>
      <c r="B99" s="198">
        <v>562129071.718189</v>
      </c>
      <c r="D99" s="198" t="s">
        <v>1493</v>
      </c>
      <c r="E99" s="198" t="s">
        <v>1494</v>
      </c>
    </row>
    <row r="100" spans="1:5">
      <c r="A100" s="198">
        <v>371249376</v>
      </c>
      <c r="B100" s="198">
        <v>562215457.71918905</v>
      </c>
      <c r="D100" s="198" t="s">
        <v>1495</v>
      </c>
      <c r="E100" s="198" t="s">
        <v>1496</v>
      </c>
    </row>
    <row r="101" spans="1:5">
      <c r="A101" s="198">
        <v>371335766</v>
      </c>
      <c r="B101" s="198">
        <v>562301847.72016394</v>
      </c>
      <c r="D101" s="198" t="s">
        <v>1497</v>
      </c>
      <c r="E101" s="198" t="s">
        <v>1498</v>
      </c>
    </row>
    <row r="102" spans="1:5">
      <c r="A102" s="198">
        <v>371411340</v>
      </c>
      <c r="B102" s="198">
        <v>562377421.72102702</v>
      </c>
      <c r="D102" s="198" t="s">
        <v>1499</v>
      </c>
      <c r="E102" s="198" t="s">
        <v>1500</v>
      </c>
    </row>
    <row r="103" spans="1:5">
      <c r="A103" s="198">
        <v>371504933</v>
      </c>
      <c r="B103" s="198">
        <v>562471014.72211397</v>
      </c>
      <c r="D103" s="198" t="s">
        <v>1501</v>
      </c>
      <c r="E103" s="198" t="s">
        <v>1502</v>
      </c>
    </row>
    <row r="104" spans="1:5">
      <c r="A104" s="198">
        <v>371591326</v>
      </c>
      <c r="B104" s="198">
        <v>562557407.72309899</v>
      </c>
      <c r="D104" s="198" t="s">
        <v>1503</v>
      </c>
      <c r="E104" s="198" t="s">
        <v>1504</v>
      </c>
    </row>
    <row r="105" spans="1:5">
      <c r="A105" s="198">
        <v>371670568</v>
      </c>
      <c r="B105" s="198">
        <v>562636649.72399604</v>
      </c>
      <c r="D105" s="198" t="s">
        <v>1505</v>
      </c>
      <c r="E105" s="198" t="s">
        <v>1506</v>
      </c>
    </row>
    <row r="106" spans="1:5">
      <c r="A106" s="198">
        <v>371864895</v>
      </c>
      <c r="B106" s="198">
        <v>562830976.726192</v>
      </c>
      <c r="D106" s="198" t="s">
        <v>1507</v>
      </c>
      <c r="E106" s="198" t="s">
        <v>1508</v>
      </c>
    </row>
    <row r="107" spans="1:5">
      <c r="A107" s="198">
        <v>371879310</v>
      </c>
      <c r="B107" s="198">
        <v>562845391.72638702</v>
      </c>
      <c r="D107" s="198" t="s">
        <v>1509</v>
      </c>
      <c r="E107" s="198" t="s">
        <v>1510</v>
      </c>
    </row>
    <row r="108" spans="1:5">
      <c r="A108" s="198">
        <v>372109660</v>
      </c>
      <c r="B108" s="198">
        <v>563075741.72900498</v>
      </c>
      <c r="D108" s="198" t="s">
        <v>1511</v>
      </c>
      <c r="E108" s="198" t="s">
        <v>1512</v>
      </c>
    </row>
    <row r="109" spans="1:5">
      <c r="A109" s="198">
        <v>372138440</v>
      </c>
      <c r="B109" s="198">
        <v>563104521.72934401</v>
      </c>
      <c r="D109" s="198" t="s">
        <v>1513</v>
      </c>
      <c r="E109" s="198" t="s">
        <v>1514</v>
      </c>
    </row>
    <row r="110" spans="1:5">
      <c r="A110" s="198">
        <v>372282433</v>
      </c>
      <c r="B110" s="198">
        <v>563248514.73098803</v>
      </c>
      <c r="D110" s="198" t="s">
        <v>1515</v>
      </c>
      <c r="E110" s="198" t="s">
        <v>1516</v>
      </c>
    </row>
    <row r="111" spans="1:5">
      <c r="A111" s="198">
        <v>372368822</v>
      </c>
      <c r="B111" s="198">
        <v>563334903.731969</v>
      </c>
      <c r="D111" s="198" t="s">
        <v>1517</v>
      </c>
      <c r="E111" s="198" t="s">
        <v>1518</v>
      </c>
    </row>
    <row r="112" spans="1:5">
      <c r="A112" s="198">
        <v>372469598</v>
      </c>
      <c r="B112" s="198">
        <v>563435679.73310494</v>
      </c>
      <c r="D112" s="198" t="s">
        <v>1519</v>
      </c>
      <c r="E112" s="198" t="s">
        <v>1520</v>
      </c>
    </row>
    <row r="113" spans="1:5">
      <c r="A113" s="198">
        <v>372541600</v>
      </c>
      <c r="B113" s="198">
        <v>563507681.73394001</v>
      </c>
      <c r="D113" s="198" t="s">
        <v>1521</v>
      </c>
      <c r="E113" s="198" t="s">
        <v>1522</v>
      </c>
    </row>
    <row r="114" spans="1:5">
      <c r="A114" s="198">
        <v>372656770</v>
      </c>
      <c r="B114" s="198">
        <v>563622851.73524702</v>
      </c>
      <c r="D114" s="198" t="s">
        <v>1523</v>
      </c>
      <c r="E114" s="198" t="s">
        <v>1524</v>
      </c>
    </row>
    <row r="115" spans="1:5">
      <c r="A115" s="198">
        <v>372797164</v>
      </c>
      <c r="B115" s="198">
        <v>563763245.736835</v>
      </c>
      <c r="D115" s="198" t="s">
        <v>1525</v>
      </c>
      <c r="E115" s="198" t="s">
        <v>1526</v>
      </c>
    </row>
    <row r="116" spans="1:5">
      <c r="A116" s="198">
        <v>372883548</v>
      </c>
      <c r="B116" s="198">
        <v>563849629.73782396</v>
      </c>
      <c r="D116" s="198" t="s">
        <v>1527</v>
      </c>
      <c r="E116" s="198" t="s">
        <v>1528</v>
      </c>
    </row>
    <row r="117" spans="1:5">
      <c r="A117" s="198">
        <v>372987934</v>
      </c>
      <c r="B117" s="198">
        <v>563954015.73900402</v>
      </c>
      <c r="D117" s="198" t="s">
        <v>1529</v>
      </c>
      <c r="E117" s="198" t="s">
        <v>1530</v>
      </c>
    </row>
    <row r="118" spans="1:5">
      <c r="A118" s="198">
        <v>373056325</v>
      </c>
      <c r="B118" s="198">
        <v>564022406.739779</v>
      </c>
      <c r="D118" s="198" t="s">
        <v>1531</v>
      </c>
      <c r="E118" s="198" t="s">
        <v>1532</v>
      </c>
    </row>
    <row r="119" spans="1:5">
      <c r="A119" s="198">
        <v>373085108</v>
      </c>
      <c r="B119" s="198">
        <v>564051189.74010396</v>
      </c>
      <c r="D119" s="198" t="s">
        <v>1533</v>
      </c>
      <c r="E119" s="198" t="s">
        <v>1534</v>
      </c>
    </row>
    <row r="120" spans="1:5">
      <c r="A120" s="198">
        <v>373225501</v>
      </c>
      <c r="B120" s="198">
        <v>564191582.74170005</v>
      </c>
      <c r="D120" s="198" t="s">
        <v>1535</v>
      </c>
      <c r="E120" s="198" t="s">
        <v>1536</v>
      </c>
    </row>
    <row r="121" spans="1:5">
      <c r="A121" s="198">
        <v>373333490</v>
      </c>
      <c r="B121" s="198">
        <v>564299571.74291801</v>
      </c>
      <c r="D121" s="198" t="s">
        <v>1537</v>
      </c>
      <c r="E121" s="198" t="s">
        <v>1538</v>
      </c>
    </row>
    <row r="122" spans="1:5">
      <c r="A122" s="198">
        <v>373401889</v>
      </c>
      <c r="B122" s="198">
        <v>564367970.74369395</v>
      </c>
      <c r="D122" s="198" t="s">
        <v>1539</v>
      </c>
      <c r="E122" s="198" t="s">
        <v>1540</v>
      </c>
    </row>
    <row r="123" spans="1:5">
      <c r="A123" s="198">
        <v>373488282</v>
      </c>
      <c r="B123" s="198">
        <v>564454363.74468899</v>
      </c>
      <c r="D123" s="198" t="s">
        <v>1541</v>
      </c>
      <c r="E123" s="198" t="s">
        <v>1542</v>
      </c>
    </row>
    <row r="124" spans="1:5">
      <c r="A124" s="198">
        <v>373593639</v>
      </c>
      <c r="B124" s="198">
        <v>564559720.74586499</v>
      </c>
      <c r="D124" s="198" t="s">
        <v>1543</v>
      </c>
      <c r="E124" s="198" t="s">
        <v>1544</v>
      </c>
    </row>
    <row r="125" spans="1:5">
      <c r="A125" s="198">
        <v>373661061</v>
      </c>
      <c r="B125" s="198">
        <v>564627142.74662995</v>
      </c>
      <c r="D125" s="198" t="s">
        <v>1545</v>
      </c>
      <c r="E125" s="198" t="s">
        <v>1546</v>
      </c>
    </row>
    <row r="126" spans="1:5">
      <c r="A126" s="198">
        <v>373689841</v>
      </c>
      <c r="B126" s="198">
        <v>564655922.74695802</v>
      </c>
      <c r="D126" s="198" t="s">
        <v>1547</v>
      </c>
      <c r="E126" s="198" t="s">
        <v>1548</v>
      </c>
    </row>
    <row r="127" spans="1:5">
      <c r="A127" s="198">
        <v>373938221</v>
      </c>
      <c r="B127" s="198">
        <v>564904302.74976504</v>
      </c>
      <c r="D127" s="198" t="s">
        <v>1549</v>
      </c>
      <c r="E127" s="198" t="s">
        <v>1550</v>
      </c>
    </row>
    <row r="128" spans="1:5">
      <c r="A128" s="198">
        <v>374003023</v>
      </c>
      <c r="B128" s="198">
        <v>564969104.750494</v>
      </c>
      <c r="D128" s="198" t="s">
        <v>1551</v>
      </c>
      <c r="E128" s="198" t="s">
        <v>1552</v>
      </c>
    </row>
    <row r="129" spans="1:5">
      <c r="A129" s="198">
        <v>374168592</v>
      </c>
      <c r="B129" s="198">
        <v>565134673.75236797</v>
      </c>
      <c r="D129" s="198" t="s">
        <v>1553</v>
      </c>
      <c r="E129" s="198" t="s">
        <v>1554</v>
      </c>
    </row>
    <row r="130" spans="1:5">
      <c r="A130" s="198">
        <v>374284705</v>
      </c>
      <c r="B130" s="198">
        <v>565250786.753685</v>
      </c>
      <c r="D130" s="198" t="s">
        <v>1555</v>
      </c>
      <c r="E130" s="198" t="s">
        <v>1556</v>
      </c>
    </row>
    <row r="131" spans="1:5">
      <c r="A131" s="198">
        <v>374370172</v>
      </c>
      <c r="B131" s="198">
        <v>565336253.75464296</v>
      </c>
      <c r="D131" s="198" t="s">
        <v>1557</v>
      </c>
      <c r="E131" s="198" t="s">
        <v>1558</v>
      </c>
    </row>
    <row r="132" spans="1:5">
      <c r="A132" s="198">
        <v>374434978</v>
      </c>
      <c r="B132" s="198">
        <v>565401059.75538504</v>
      </c>
      <c r="D132" s="198" t="s">
        <v>1559</v>
      </c>
      <c r="E132" s="198" t="s">
        <v>1560</v>
      </c>
    </row>
    <row r="133" spans="1:5">
      <c r="A133" s="198">
        <v>374542954</v>
      </c>
      <c r="B133" s="198">
        <v>565509035.75659001</v>
      </c>
      <c r="D133" s="198" t="s">
        <v>1561</v>
      </c>
      <c r="E133" s="198" t="s">
        <v>1562</v>
      </c>
    </row>
    <row r="134" spans="1:5">
      <c r="A134" s="198">
        <v>374546538</v>
      </c>
      <c r="B134" s="198">
        <v>565512619.75664103</v>
      </c>
      <c r="D134" s="198" t="s">
        <v>1563</v>
      </c>
      <c r="E134" s="198" t="s">
        <v>1564</v>
      </c>
    </row>
    <row r="135" spans="1:5">
      <c r="A135" s="198">
        <v>374694149</v>
      </c>
      <c r="B135" s="198">
        <v>565660230.75830805</v>
      </c>
      <c r="D135" s="198" t="s">
        <v>1565</v>
      </c>
      <c r="E135" s="198" t="s">
        <v>1566</v>
      </c>
    </row>
    <row r="136" spans="1:5">
      <c r="A136" s="198">
        <v>374780572</v>
      </c>
      <c r="B136" s="198">
        <v>565746653.75928605</v>
      </c>
      <c r="D136" s="198" t="s">
        <v>1567</v>
      </c>
      <c r="E136" s="198" t="s">
        <v>1568</v>
      </c>
    </row>
    <row r="137" spans="1:5">
      <c r="A137" s="198">
        <v>374974931</v>
      </c>
      <c r="B137" s="198">
        <v>565941012.76160097</v>
      </c>
      <c r="D137" s="198" t="s">
        <v>1569</v>
      </c>
      <c r="E137" s="198" t="s">
        <v>1570</v>
      </c>
    </row>
    <row r="138" spans="1:5">
      <c r="A138" s="198">
        <v>375050524</v>
      </c>
      <c r="B138" s="198">
        <v>566016605.76243699</v>
      </c>
      <c r="D138" s="198" t="s">
        <v>1571</v>
      </c>
      <c r="E138" s="198" t="s">
        <v>1572</v>
      </c>
    </row>
    <row r="139" spans="1:5">
      <c r="A139" s="198">
        <v>375147744</v>
      </c>
      <c r="B139" s="198">
        <v>566113825.76355803</v>
      </c>
      <c r="D139" s="198" t="s">
        <v>1573</v>
      </c>
      <c r="E139" s="198" t="s">
        <v>1574</v>
      </c>
    </row>
    <row r="140" spans="1:5">
      <c r="A140" s="198">
        <v>375234093</v>
      </c>
      <c r="B140" s="198">
        <v>566200174.76452398</v>
      </c>
      <c r="D140" s="198" t="s">
        <v>1575</v>
      </c>
      <c r="E140" s="198" t="s">
        <v>1576</v>
      </c>
    </row>
    <row r="141" spans="1:5">
      <c r="A141" s="198">
        <v>375295292</v>
      </c>
      <c r="B141" s="198">
        <v>566261373.76520503</v>
      </c>
      <c r="D141" s="198" t="s">
        <v>1577</v>
      </c>
      <c r="E141" s="198" t="s">
        <v>1578</v>
      </c>
    </row>
    <row r="142" spans="1:5">
      <c r="A142" s="198">
        <v>375381683</v>
      </c>
      <c r="B142" s="198">
        <v>566347764.76618803</v>
      </c>
      <c r="D142" s="198" t="s">
        <v>1579</v>
      </c>
      <c r="E142" s="198" t="s">
        <v>1580</v>
      </c>
    </row>
    <row r="143" spans="1:5">
      <c r="A143" s="198">
        <v>375493442</v>
      </c>
      <c r="B143" s="198">
        <v>566459523.76745796</v>
      </c>
      <c r="D143" s="198" t="s">
        <v>1581</v>
      </c>
      <c r="E143" s="198" t="s">
        <v>1582</v>
      </c>
    </row>
    <row r="144" spans="1:5">
      <c r="A144" s="198">
        <v>375543654</v>
      </c>
      <c r="B144" s="198">
        <v>566509735.76800001</v>
      </c>
      <c r="D144" s="198" t="s">
        <v>1583</v>
      </c>
      <c r="E144" s="198" t="s">
        <v>1584</v>
      </c>
    </row>
    <row r="145" spans="1:5">
      <c r="A145" s="198">
        <v>375640860</v>
      </c>
      <c r="B145" s="198">
        <v>566606941.76909995</v>
      </c>
      <c r="D145" s="198" t="s">
        <v>1585</v>
      </c>
      <c r="E145" s="198" t="s">
        <v>1586</v>
      </c>
    </row>
    <row r="146" spans="1:5">
      <c r="A146" s="198">
        <v>375752454</v>
      </c>
      <c r="B146" s="198">
        <v>566718535.77035797</v>
      </c>
      <c r="D146" s="198" t="s">
        <v>1587</v>
      </c>
      <c r="E146" s="198" t="s">
        <v>1588</v>
      </c>
    </row>
    <row r="147" spans="1:5">
      <c r="A147" s="198">
        <v>375838841</v>
      </c>
      <c r="B147" s="198">
        <v>566804922.77132499</v>
      </c>
      <c r="D147" s="198" t="s">
        <v>1589</v>
      </c>
      <c r="E147" s="198" t="s">
        <v>1590</v>
      </c>
    </row>
    <row r="148" spans="1:5">
      <c r="A148" s="198">
        <v>375925235</v>
      </c>
      <c r="B148" s="198">
        <v>566891316.77229404</v>
      </c>
      <c r="D148" s="198" t="s">
        <v>1591</v>
      </c>
      <c r="E148" s="198" t="s">
        <v>1592</v>
      </c>
    </row>
    <row r="149" spans="1:5">
      <c r="A149" s="198">
        <v>375968458</v>
      </c>
      <c r="B149" s="198">
        <v>566934539.77275002</v>
      </c>
      <c r="D149" s="198" t="s">
        <v>1593</v>
      </c>
      <c r="E149" s="198" t="s">
        <v>1594</v>
      </c>
    </row>
    <row r="150" spans="1:5">
      <c r="A150" s="198">
        <v>390520899</v>
      </c>
      <c r="B150" s="198">
        <v>581486980.93885398</v>
      </c>
      <c r="D150" s="198" t="s">
        <v>1595</v>
      </c>
      <c r="E150" s="198" t="s">
        <v>1596</v>
      </c>
    </row>
    <row r="151" spans="1:5">
      <c r="A151" s="198">
        <v>390584687</v>
      </c>
      <c r="B151" s="198">
        <v>581550768.94009304</v>
      </c>
      <c r="D151" s="198" t="s">
        <v>1597</v>
      </c>
      <c r="E151" s="198" t="s">
        <v>1598</v>
      </c>
    </row>
    <row r="152" spans="1:5">
      <c r="A152" s="198">
        <v>390656682</v>
      </c>
      <c r="B152" s="198">
        <v>581622763.94094598</v>
      </c>
      <c r="D152" s="198" t="s">
        <v>1599</v>
      </c>
      <c r="E152" s="198" t="s">
        <v>1600</v>
      </c>
    </row>
    <row r="153" spans="1:5">
      <c r="A153" s="198">
        <v>390764660</v>
      </c>
      <c r="B153" s="198">
        <v>581730741.94220996</v>
      </c>
      <c r="D153" s="198" t="s">
        <v>1601</v>
      </c>
      <c r="E153" s="198" t="s">
        <v>1602</v>
      </c>
    </row>
    <row r="154" spans="1:5">
      <c r="A154" s="198">
        <v>390865466</v>
      </c>
      <c r="B154" s="198">
        <v>581831547.94341505</v>
      </c>
      <c r="D154" s="198" t="s">
        <v>1603</v>
      </c>
      <c r="E154" s="198" t="s">
        <v>1604</v>
      </c>
    </row>
    <row r="155" spans="1:5">
      <c r="A155" s="198">
        <v>390951865</v>
      </c>
      <c r="B155" s="198">
        <v>581917946.94443703</v>
      </c>
      <c r="D155" s="198" t="s">
        <v>1605</v>
      </c>
      <c r="E155" s="198" t="s">
        <v>1606</v>
      </c>
    </row>
    <row r="156" spans="1:5">
      <c r="A156" s="198">
        <v>391028004</v>
      </c>
      <c r="B156" s="198">
        <v>581994085.94534194</v>
      </c>
      <c r="D156" s="198" t="s">
        <v>1607</v>
      </c>
      <c r="E156" s="198" t="s">
        <v>1608</v>
      </c>
    </row>
    <row r="157" spans="1:5">
      <c r="A157" s="198">
        <v>391085035</v>
      </c>
      <c r="B157" s="198">
        <v>582051116.94599295</v>
      </c>
      <c r="D157" s="198" t="s">
        <v>1609</v>
      </c>
      <c r="E157" s="198" t="s">
        <v>1610</v>
      </c>
    </row>
    <row r="158" spans="1:5">
      <c r="A158" s="198">
        <v>391211066</v>
      </c>
      <c r="B158" s="198">
        <v>582177147.94750595</v>
      </c>
      <c r="D158" s="198" t="s">
        <v>1611</v>
      </c>
      <c r="E158" s="198" t="s">
        <v>1612</v>
      </c>
    </row>
    <row r="159" spans="1:5">
      <c r="A159" s="198">
        <v>391304780</v>
      </c>
      <c r="B159" s="198">
        <v>582270861.94856501</v>
      </c>
      <c r="D159" s="198" t="s">
        <v>1613</v>
      </c>
      <c r="E159" s="198" t="s">
        <v>1614</v>
      </c>
    </row>
    <row r="160" spans="1:5">
      <c r="A160" s="198">
        <v>391380245</v>
      </c>
      <c r="B160" s="198">
        <v>582346326.94949698</v>
      </c>
      <c r="D160" s="198" t="s">
        <v>1615</v>
      </c>
      <c r="E160" s="198" t="s">
        <v>1616</v>
      </c>
    </row>
    <row r="161" spans="1:5">
      <c r="A161" s="198">
        <v>391459435</v>
      </c>
      <c r="B161" s="198">
        <v>582425516.95043898</v>
      </c>
      <c r="D161" s="198" t="s">
        <v>1617</v>
      </c>
      <c r="E161" s="198" t="s">
        <v>1618</v>
      </c>
    </row>
    <row r="162" spans="1:5">
      <c r="A162" s="198">
        <v>391553047</v>
      </c>
      <c r="B162" s="198">
        <v>582519128.95153606</v>
      </c>
      <c r="D162" s="198" t="s">
        <v>1619</v>
      </c>
      <c r="E162" s="198" t="s">
        <v>1620</v>
      </c>
    </row>
    <row r="163" spans="1:5">
      <c r="A163" s="198">
        <v>391610648</v>
      </c>
      <c r="B163" s="198">
        <v>582576729.95221198</v>
      </c>
      <c r="D163" s="198" t="s">
        <v>1621</v>
      </c>
      <c r="E163" s="198" t="s">
        <v>1622</v>
      </c>
    </row>
    <row r="164" spans="1:5">
      <c r="A164" s="198">
        <v>391715033</v>
      </c>
      <c r="B164" s="198">
        <v>582681114.95345294</v>
      </c>
      <c r="D164" s="198" t="s">
        <v>1623</v>
      </c>
      <c r="E164" s="198" t="s">
        <v>1624</v>
      </c>
    </row>
    <row r="165" spans="1:5">
      <c r="A165" s="198">
        <v>391783448</v>
      </c>
      <c r="B165" s="198">
        <v>582749529.95424795</v>
      </c>
      <c r="D165" s="198" t="s">
        <v>1625</v>
      </c>
      <c r="E165" s="198" t="s">
        <v>1626</v>
      </c>
    </row>
    <row r="166" spans="1:5">
      <c r="A166" s="198">
        <v>391910236</v>
      </c>
      <c r="B166" s="198">
        <v>582876317.955778</v>
      </c>
      <c r="D166" s="198" t="s">
        <v>1627</v>
      </c>
      <c r="E166" s="198" t="s">
        <v>1628</v>
      </c>
    </row>
    <row r="167" spans="1:5">
      <c r="A167" s="198">
        <v>391985042</v>
      </c>
      <c r="B167" s="198">
        <v>582951123.95665205</v>
      </c>
      <c r="D167" s="198" t="s">
        <v>1629</v>
      </c>
      <c r="E167" s="198" t="s">
        <v>1630</v>
      </c>
    </row>
    <row r="168" spans="1:5">
      <c r="A168" s="198">
        <v>392082400</v>
      </c>
      <c r="B168" s="198">
        <v>583048481.95776999</v>
      </c>
      <c r="D168" s="198" t="s">
        <v>1631</v>
      </c>
      <c r="E168" s="198" t="s">
        <v>1632</v>
      </c>
    </row>
    <row r="169" spans="1:5">
      <c r="A169" s="198">
        <v>392154236</v>
      </c>
      <c r="B169" s="198">
        <v>583120317.95865905</v>
      </c>
      <c r="D169" s="198" t="s">
        <v>1633</v>
      </c>
      <c r="E169" s="198" t="s">
        <v>1634</v>
      </c>
    </row>
    <row r="170" spans="1:5">
      <c r="A170" s="198">
        <v>392208237</v>
      </c>
      <c r="B170" s="198">
        <v>583174318.95927703</v>
      </c>
      <c r="D170" s="198" t="s">
        <v>1635</v>
      </c>
      <c r="E170" s="198" t="s">
        <v>1636</v>
      </c>
    </row>
    <row r="171" spans="1:5">
      <c r="A171" s="198">
        <v>392330681</v>
      </c>
      <c r="B171" s="198">
        <v>583296762.96074498</v>
      </c>
      <c r="D171" s="198" t="s">
        <v>1637</v>
      </c>
      <c r="E171" s="198" t="s">
        <v>1638</v>
      </c>
    </row>
    <row r="172" spans="1:5">
      <c r="A172" s="198">
        <v>392417075</v>
      </c>
      <c r="B172" s="198">
        <v>583383156.96176505</v>
      </c>
      <c r="D172" s="198" t="s">
        <v>1639</v>
      </c>
      <c r="E172" s="198" t="s">
        <v>1640</v>
      </c>
    </row>
    <row r="173" spans="1:5">
      <c r="A173" s="198">
        <v>392503471</v>
      </c>
      <c r="B173" s="198">
        <v>583469552.96278906</v>
      </c>
      <c r="D173" s="198" t="s">
        <v>1641</v>
      </c>
      <c r="E173" s="198" t="s">
        <v>1642</v>
      </c>
    </row>
    <row r="174" spans="1:5">
      <c r="A174" s="198">
        <v>392589881</v>
      </c>
      <c r="B174" s="198">
        <v>583555962.96379697</v>
      </c>
      <c r="D174" s="198" t="s">
        <v>1643</v>
      </c>
      <c r="E174" s="198" t="s">
        <v>1644</v>
      </c>
    </row>
    <row r="175" spans="1:5">
      <c r="A175" s="198">
        <v>392669014</v>
      </c>
      <c r="B175" s="198">
        <v>583635095.96473598</v>
      </c>
      <c r="D175" s="198" t="s">
        <v>1645</v>
      </c>
      <c r="E175" s="198" t="s">
        <v>1646</v>
      </c>
    </row>
    <row r="176" spans="1:5">
      <c r="A176" s="198">
        <v>392759013</v>
      </c>
      <c r="B176" s="198">
        <v>583725094.96580803</v>
      </c>
      <c r="D176" s="198" t="s">
        <v>1647</v>
      </c>
      <c r="E176" s="198" t="s">
        <v>1648</v>
      </c>
    </row>
    <row r="177" spans="1:5">
      <c r="A177" s="198">
        <v>392838204</v>
      </c>
      <c r="B177" s="198">
        <v>583804285.96673405</v>
      </c>
      <c r="D177" s="198" t="s">
        <v>1649</v>
      </c>
      <c r="E177" s="198" t="s">
        <v>1650</v>
      </c>
    </row>
    <row r="178" spans="1:5">
      <c r="A178" s="198">
        <v>392917399</v>
      </c>
      <c r="B178" s="198">
        <v>583883480.96767104</v>
      </c>
      <c r="D178" s="198" t="s">
        <v>1651</v>
      </c>
      <c r="E178" s="198" t="s">
        <v>1652</v>
      </c>
    </row>
    <row r="179" spans="1:5">
      <c r="A179" s="198">
        <v>393000194</v>
      </c>
      <c r="B179" s="198">
        <v>583966275.96864998</v>
      </c>
      <c r="D179" s="198" t="s">
        <v>1653</v>
      </c>
      <c r="E179" s="198" t="s">
        <v>1654</v>
      </c>
    </row>
    <row r="180" spans="1:5">
      <c r="A180" s="198">
        <v>393119468</v>
      </c>
      <c r="B180" s="198">
        <v>584085549.97006404</v>
      </c>
      <c r="D180" s="198" t="s">
        <v>1655</v>
      </c>
      <c r="E180" s="198" t="s">
        <v>1656</v>
      </c>
    </row>
    <row r="181" spans="1:5">
      <c r="A181" s="198">
        <v>393180186</v>
      </c>
      <c r="B181" s="198">
        <v>584146267.97077</v>
      </c>
      <c r="D181" s="198" t="s">
        <v>1657</v>
      </c>
      <c r="E181" s="198" t="s">
        <v>1658</v>
      </c>
    </row>
    <row r="182" spans="1:5">
      <c r="A182" s="198">
        <v>393273793</v>
      </c>
      <c r="B182" s="198">
        <v>584239874.97189498</v>
      </c>
      <c r="D182" s="198" t="s">
        <v>1659</v>
      </c>
      <c r="E182" s="198" t="s">
        <v>1660</v>
      </c>
    </row>
    <row r="183" spans="1:5">
      <c r="A183" s="198">
        <v>393360185</v>
      </c>
      <c r="B183" s="198">
        <v>584326266.97291505</v>
      </c>
      <c r="D183" s="198" t="s">
        <v>1661</v>
      </c>
      <c r="E183" s="198" t="s">
        <v>1662</v>
      </c>
    </row>
    <row r="184" spans="1:5">
      <c r="A184" s="198">
        <v>393464750</v>
      </c>
      <c r="B184" s="198">
        <v>584430831.97412097</v>
      </c>
      <c r="D184" s="198" t="s">
        <v>1663</v>
      </c>
      <c r="E184" s="198" t="s">
        <v>1664</v>
      </c>
    </row>
    <row r="185" spans="1:5">
      <c r="A185" s="198">
        <v>393522169</v>
      </c>
      <c r="B185" s="198">
        <v>584488250.97481298</v>
      </c>
      <c r="D185" s="198" t="s">
        <v>1665</v>
      </c>
      <c r="E185" s="198" t="s">
        <v>1666</v>
      </c>
    </row>
    <row r="186" spans="1:5">
      <c r="A186" s="198">
        <v>393637540</v>
      </c>
      <c r="B186" s="198">
        <v>584603621.97616005</v>
      </c>
      <c r="D186" s="198" t="s">
        <v>1667</v>
      </c>
      <c r="E186" s="198" t="s">
        <v>1668</v>
      </c>
    </row>
    <row r="187" spans="1:5">
      <c r="A187" s="198">
        <v>393691360</v>
      </c>
      <c r="B187" s="198">
        <v>584657441.976807</v>
      </c>
      <c r="D187" s="198" t="s">
        <v>1669</v>
      </c>
      <c r="E187" s="198" t="s">
        <v>1670</v>
      </c>
    </row>
    <row r="188" spans="1:5">
      <c r="A188" s="198">
        <v>393792165</v>
      </c>
      <c r="B188" s="198">
        <v>584758246.97802997</v>
      </c>
      <c r="D188" s="198" t="s">
        <v>1671</v>
      </c>
      <c r="E188" s="198" t="s">
        <v>1672</v>
      </c>
    </row>
    <row r="189" spans="1:5">
      <c r="A189" s="198">
        <v>393878561</v>
      </c>
      <c r="B189" s="198">
        <v>584844642.97904003</v>
      </c>
      <c r="D189" s="198" t="s">
        <v>1673</v>
      </c>
      <c r="E189" s="198" t="s">
        <v>1674</v>
      </c>
    </row>
    <row r="190" spans="1:5">
      <c r="A190" s="198">
        <v>393957746</v>
      </c>
      <c r="B190" s="198">
        <v>584923827.97996902</v>
      </c>
      <c r="D190" s="198" t="s">
        <v>1675</v>
      </c>
      <c r="E190" s="198" t="s">
        <v>1676</v>
      </c>
    </row>
    <row r="191" spans="1:5">
      <c r="A191" s="198">
        <v>394062335</v>
      </c>
      <c r="B191" s="198">
        <v>585028416.98119295</v>
      </c>
      <c r="D191" s="198" t="s">
        <v>1677</v>
      </c>
      <c r="E191" s="198" t="s">
        <v>1678</v>
      </c>
    </row>
    <row r="192" spans="1:5">
      <c r="A192" s="198">
        <v>394108952</v>
      </c>
      <c r="B192" s="198">
        <v>585075033.98176301</v>
      </c>
      <c r="D192" s="198" t="s">
        <v>1679</v>
      </c>
      <c r="E192" s="198" t="s">
        <v>1680</v>
      </c>
    </row>
    <row r="193" spans="1:5">
      <c r="A193" s="198">
        <v>394328692</v>
      </c>
      <c r="B193" s="198">
        <v>585294773.98432398</v>
      </c>
      <c r="D193" s="198" t="s">
        <v>1681</v>
      </c>
      <c r="E193" s="198" t="s">
        <v>1682</v>
      </c>
    </row>
    <row r="194" spans="1:5">
      <c r="A194" s="198">
        <v>394382520</v>
      </c>
      <c r="B194" s="198">
        <v>585348601.98498905</v>
      </c>
      <c r="D194" s="198" t="s">
        <v>1683</v>
      </c>
      <c r="E194" s="198" t="s">
        <v>1684</v>
      </c>
    </row>
    <row r="195" spans="1:5">
      <c r="A195" s="198">
        <v>394476118</v>
      </c>
      <c r="B195" s="198">
        <v>585442199.98610103</v>
      </c>
      <c r="D195" s="198" t="s">
        <v>1685</v>
      </c>
      <c r="E195" s="198" t="s">
        <v>1686</v>
      </c>
    </row>
    <row r="196" spans="1:5">
      <c r="A196" s="198">
        <v>394540930</v>
      </c>
      <c r="B196" s="198">
        <v>585507011.98686504</v>
      </c>
      <c r="D196" s="198" t="s">
        <v>1687</v>
      </c>
      <c r="E196" s="198" t="s">
        <v>1688</v>
      </c>
    </row>
    <row r="197" spans="1:5">
      <c r="A197" s="198">
        <v>394648903</v>
      </c>
      <c r="B197" s="198">
        <v>585614984.98814094</v>
      </c>
      <c r="D197" s="198" t="s">
        <v>1689</v>
      </c>
      <c r="E197" s="198" t="s">
        <v>1690</v>
      </c>
    </row>
    <row r="198" spans="1:5">
      <c r="A198" s="198">
        <v>394800111</v>
      </c>
      <c r="B198" s="198">
        <v>585766192.98993397</v>
      </c>
      <c r="D198" s="198" t="s">
        <v>1691</v>
      </c>
      <c r="E198" s="198" t="s">
        <v>1692</v>
      </c>
    </row>
    <row r="199" spans="1:5">
      <c r="A199" s="198">
        <v>394933457</v>
      </c>
      <c r="B199" s="198">
        <v>585899538.99149203</v>
      </c>
      <c r="D199" s="198" t="s">
        <v>1693</v>
      </c>
      <c r="E199" s="198" t="s">
        <v>1694</v>
      </c>
    </row>
    <row r="200" spans="1:5">
      <c r="A200" s="198">
        <v>394987275</v>
      </c>
      <c r="B200" s="198">
        <v>585953356.99213696</v>
      </c>
      <c r="D200" s="198" t="s">
        <v>1695</v>
      </c>
      <c r="E200" s="198" t="s">
        <v>1696</v>
      </c>
    </row>
    <row r="201" spans="1:5">
      <c r="A201" s="198">
        <v>395048465</v>
      </c>
      <c r="B201" s="198">
        <v>586014546.99284601</v>
      </c>
      <c r="D201" s="198" t="s">
        <v>1697</v>
      </c>
      <c r="E201" s="198" t="s">
        <v>1698</v>
      </c>
    </row>
    <row r="202" spans="1:5">
      <c r="A202" s="198">
        <v>395189030</v>
      </c>
      <c r="B202" s="198">
        <v>586155111.99453604</v>
      </c>
      <c r="D202" s="198" t="s">
        <v>1699</v>
      </c>
      <c r="E202" s="198" t="s">
        <v>1700</v>
      </c>
    </row>
    <row r="203" spans="1:5">
      <c r="A203" s="198">
        <v>395275422</v>
      </c>
      <c r="B203" s="198">
        <v>586241503.99549496</v>
      </c>
      <c r="D203" s="198" t="s">
        <v>1701</v>
      </c>
      <c r="E203" s="198" t="s">
        <v>1702</v>
      </c>
    </row>
    <row r="204" spans="1:5">
      <c r="A204" s="198">
        <v>395336450</v>
      </c>
      <c r="B204" s="198">
        <v>586302531.99625802</v>
      </c>
      <c r="D204" s="198" t="s">
        <v>1703</v>
      </c>
      <c r="E204" s="198" t="s">
        <v>1704</v>
      </c>
    </row>
    <row r="205" spans="1:5">
      <c r="A205" s="198">
        <v>395426441</v>
      </c>
      <c r="B205" s="198">
        <v>586392522.99732697</v>
      </c>
      <c r="D205" s="198" t="s">
        <v>1705</v>
      </c>
      <c r="E205" s="198" t="s">
        <v>1706</v>
      </c>
    </row>
    <row r="206" spans="1:5">
      <c r="A206" s="198">
        <v>395512834</v>
      </c>
      <c r="B206" s="198">
        <v>586478915.99835205</v>
      </c>
      <c r="D206" s="198" t="s">
        <v>1707</v>
      </c>
      <c r="E206" s="198" t="s">
        <v>1708</v>
      </c>
    </row>
    <row r="207" spans="1:5">
      <c r="A207" s="198">
        <v>395584821</v>
      </c>
      <c r="B207" s="198">
        <v>586550902.99919903</v>
      </c>
      <c r="D207" s="198" t="s">
        <v>1709</v>
      </c>
      <c r="E207" s="198" t="s">
        <v>1710</v>
      </c>
    </row>
    <row r="208" spans="1:5">
      <c r="A208" s="198">
        <v>395682015</v>
      </c>
      <c r="B208" s="198">
        <v>586648097.00035501</v>
      </c>
      <c r="D208" s="198" t="s">
        <v>1711</v>
      </c>
      <c r="E208" s="198" t="s">
        <v>1712</v>
      </c>
    </row>
    <row r="209" spans="1:5">
      <c r="A209" s="198">
        <v>395826001</v>
      </c>
      <c r="B209" s="198">
        <v>586792083.00204301</v>
      </c>
      <c r="D209" s="198" t="s">
        <v>1713</v>
      </c>
      <c r="E209" s="198" t="s">
        <v>1714</v>
      </c>
    </row>
    <row r="210" spans="1:5">
      <c r="A210" s="198">
        <v>395919608</v>
      </c>
      <c r="B210" s="198">
        <v>586885690.00316</v>
      </c>
      <c r="D210" s="198" t="s">
        <v>1715</v>
      </c>
      <c r="E210" s="198" t="s">
        <v>1716</v>
      </c>
    </row>
    <row r="211" spans="1:5">
      <c r="A211" s="198">
        <v>396031194</v>
      </c>
      <c r="B211" s="198">
        <v>586997276.00447202</v>
      </c>
      <c r="D211" s="198" t="s">
        <v>1717</v>
      </c>
      <c r="E211" s="198" t="s">
        <v>1718</v>
      </c>
    </row>
    <row r="212" spans="1:5">
      <c r="A212" s="198">
        <v>396099572</v>
      </c>
      <c r="B212" s="198">
        <v>587065654.00526094</v>
      </c>
      <c r="D212" s="198" t="s">
        <v>1719</v>
      </c>
      <c r="E212" s="198" t="s">
        <v>1720</v>
      </c>
    </row>
    <row r="213" spans="1:5">
      <c r="A213" s="198">
        <v>396189568</v>
      </c>
      <c r="B213" s="198">
        <v>587155650.00632405</v>
      </c>
      <c r="D213" s="198" t="s">
        <v>1721</v>
      </c>
      <c r="E213" s="198" t="s">
        <v>1722</v>
      </c>
    </row>
    <row r="214" spans="1:5">
      <c r="A214" s="198">
        <v>396312309</v>
      </c>
      <c r="B214" s="198">
        <v>587278391.00779295</v>
      </c>
      <c r="D214" s="198" t="s">
        <v>1723</v>
      </c>
      <c r="E214" s="198" t="s">
        <v>1724</v>
      </c>
    </row>
    <row r="215" spans="1:5">
      <c r="A215" s="198">
        <v>396369550</v>
      </c>
      <c r="B215" s="198">
        <v>587335632.00847304</v>
      </c>
      <c r="D215" s="198" t="s">
        <v>1725</v>
      </c>
      <c r="E215" s="198" t="s">
        <v>1726</v>
      </c>
    </row>
    <row r="216" spans="1:5">
      <c r="A216" s="198">
        <v>396452359</v>
      </c>
      <c r="B216" s="198">
        <v>587418441.00943398</v>
      </c>
      <c r="D216" s="198" t="s">
        <v>1727</v>
      </c>
      <c r="E216" s="198" t="s">
        <v>1728</v>
      </c>
    </row>
    <row r="217" spans="1:5">
      <c r="A217" s="198">
        <v>396549577</v>
      </c>
      <c r="B217" s="198">
        <v>587515659.01058996</v>
      </c>
      <c r="D217" s="198" t="s">
        <v>1729</v>
      </c>
      <c r="E217" s="198" t="s">
        <v>1730</v>
      </c>
    </row>
    <row r="218" spans="1:5">
      <c r="A218" s="198">
        <v>396718733</v>
      </c>
      <c r="B218" s="198">
        <v>587684815.01257098</v>
      </c>
      <c r="D218" s="198" t="s">
        <v>1731</v>
      </c>
      <c r="E218" s="198" t="s">
        <v>1732</v>
      </c>
    </row>
    <row r="219" spans="1:5">
      <c r="A219" s="198">
        <v>396920480</v>
      </c>
      <c r="B219" s="198">
        <v>587886562.01493001</v>
      </c>
      <c r="D219" s="198" t="s">
        <v>1733</v>
      </c>
      <c r="E219" s="198" t="s">
        <v>1734</v>
      </c>
    </row>
    <row r="220" spans="1:5">
      <c r="A220" s="198">
        <v>396941900</v>
      </c>
      <c r="B220" s="198">
        <v>587907982.01518297</v>
      </c>
      <c r="D220" s="198" t="s">
        <v>1735</v>
      </c>
      <c r="E220" s="198" t="s">
        <v>1736</v>
      </c>
    </row>
    <row r="221" spans="1:5">
      <c r="A221" s="198">
        <v>397125525</v>
      </c>
      <c r="B221" s="198">
        <v>588091607.01736701</v>
      </c>
      <c r="D221" s="198" t="s">
        <v>1737</v>
      </c>
      <c r="E221" s="198" t="s">
        <v>1738</v>
      </c>
    </row>
    <row r="222" spans="1:5">
      <c r="A222" s="198">
        <v>397323479</v>
      </c>
      <c r="B222" s="198">
        <v>588289561.01968706</v>
      </c>
      <c r="D222" s="198" t="s">
        <v>1739</v>
      </c>
      <c r="E222" s="198" t="s">
        <v>1740</v>
      </c>
    </row>
    <row r="223" spans="1:5">
      <c r="A223" s="198">
        <v>397409870</v>
      </c>
      <c r="B223" s="198">
        <v>588375952.02071202</v>
      </c>
      <c r="D223" s="198" t="s">
        <v>1741</v>
      </c>
      <c r="E223" s="198" t="s">
        <v>1742</v>
      </c>
    </row>
    <row r="224" spans="1:5">
      <c r="A224" s="198">
        <v>397525191</v>
      </c>
      <c r="B224" s="198">
        <v>588491273.02206194</v>
      </c>
      <c r="D224" s="198" t="s">
        <v>1743</v>
      </c>
      <c r="E224" s="198" t="s">
        <v>1744</v>
      </c>
    </row>
    <row r="225" spans="1:5">
      <c r="A225" s="198">
        <v>397582641</v>
      </c>
      <c r="B225" s="198">
        <v>588548723.02274597</v>
      </c>
      <c r="D225" s="198" t="s">
        <v>1745</v>
      </c>
      <c r="E225" s="198" t="s">
        <v>1746</v>
      </c>
    </row>
    <row r="226" spans="1:5">
      <c r="A226" s="198">
        <v>397647423</v>
      </c>
      <c r="B226" s="198">
        <v>588613505.02348399</v>
      </c>
      <c r="D226" s="198" t="s">
        <v>1747</v>
      </c>
      <c r="E226" s="198" t="s">
        <v>1748</v>
      </c>
    </row>
    <row r="227" spans="1:5">
      <c r="A227" s="198">
        <v>398129934</v>
      </c>
      <c r="B227" s="198">
        <v>589096016.02919602</v>
      </c>
      <c r="D227" s="198" t="s">
        <v>1749</v>
      </c>
      <c r="E227" s="198" t="s">
        <v>1750</v>
      </c>
    </row>
    <row r="228" spans="1:5">
      <c r="A228" s="198">
        <v>398187388</v>
      </c>
      <c r="B228" s="198">
        <v>589153470.02983499</v>
      </c>
      <c r="D228" s="198" t="s">
        <v>1751</v>
      </c>
      <c r="E228" s="198" t="s">
        <v>1752</v>
      </c>
    </row>
    <row r="229" spans="1:5">
      <c r="A229" s="198">
        <v>398273780</v>
      </c>
      <c r="B229" s="198">
        <v>589239862.03086102</v>
      </c>
      <c r="D229" s="198" t="s">
        <v>1753</v>
      </c>
      <c r="E229" s="198" t="s">
        <v>1754</v>
      </c>
    </row>
    <row r="230" spans="1:5">
      <c r="A230" s="198">
        <v>398360170</v>
      </c>
      <c r="B230" s="198">
        <v>589326252.03185904</v>
      </c>
      <c r="D230" s="198" t="s">
        <v>1755</v>
      </c>
      <c r="E230" s="198" t="s">
        <v>1756</v>
      </c>
    </row>
    <row r="231" spans="1:5">
      <c r="A231" s="198">
        <v>398702104</v>
      </c>
      <c r="B231" s="198">
        <v>589668186.03585899</v>
      </c>
      <c r="D231" s="198" t="s">
        <v>1757</v>
      </c>
      <c r="E231" s="198" t="s">
        <v>1758</v>
      </c>
    </row>
    <row r="232" spans="1:5">
      <c r="A232" s="198">
        <v>398763323</v>
      </c>
      <c r="B232" s="198">
        <v>589729405.03657305</v>
      </c>
      <c r="D232" s="198" t="s">
        <v>1759</v>
      </c>
      <c r="E232" s="198" t="s">
        <v>1760</v>
      </c>
    </row>
    <row r="233" spans="1:5">
      <c r="A233" s="198">
        <v>398849711</v>
      </c>
      <c r="B233" s="198">
        <v>589815793.03758001</v>
      </c>
      <c r="D233" s="198" t="s">
        <v>1761</v>
      </c>
      <c r="E233" s="198" t="s">
        <v>1762</v>
      </c>
    </row>
    <row r="234" spans="1:5">
      <c r="A234" s="198">
        <v>398932500</v>
      </c>
      <c r="B234" s="198">
        <v>589898582.03854299</v>
      </c>
      <c r="D234" s="198" t="s">
        <v>1763</v>
      </c>
      <c r="E234" s="198" t="s">
        <v>1764</v>
      </c>
    </row>
    <row r="235" spans="1:5">
      <c r="A235" s="198">
        <v>399134053</v>
      </c>
      <c r="B235" s="198">
        <v>590100135.04092097</v>
      </c>
      <c r="D235" s="198" t="s">
        <v>1765</v>
      </c>
      <c r="E235" s="198" t="s">
        <v>1766</v>
      </c>
    </row>
    <row r="236" spans="1:5">
      <c r="A236" s="198">
        <v>399224060</v>
      </c>
      <c r="B236" s="198">
        <v>590190142.04196298</v>
      </c>
      <c r="D236" s="198" t="s">
        <v>1767</v>
      </c>
      <c r="E236" s="198" t="s">
        <v>1768</v>
      </c>
    </row>
    <row r="237" spans="1:5">
      <c r="A237" s="198">
        <v>399306822</v>
      </c>
      <c r="B237" s="198">
        <v>590272904.04294205</v>
      </c>
      <c r="D237" s="198" t="s">
        <v>1769</v>
      </c>
      <c r="E237" s="198" t="s">
        <v>1770</v>
      </c>
    </row>
    <row r="238" spans="1:5">
      <c r="A238" s="198">
        <v>399479602</v>
      </c>
      <c r="B238" s="198">
        <v>590445684.04495001</v>
      </c>
      <c r="D238" s="198" t="s">
        <v>1771</v>
      </c>
      <c r="E238" s="198" t="s">
        <v>1772</v>
      </c>
    </row>
    <row r="239" spans="1:5">
      <c r="A239" s="198">
        <v>399558777</v>
      </c>
      <c r="B239" s="198">
        <v>590524859.045874</v>
      </c>
      <c r="D239" s="198" t="s">
        <v>1773</v>
      </c>
      <c r="E239" s="198" t="s">
        <v>1774</v>
      </c>
    </row>
    <row r="240" spans="1:5">
      <c r="A240" s="198">
        <v>399652390</v>
      </c>
      <c r="B240" s="198">
        <v>590618472.046978</v>
      </c>
      <c r="D240" s="198" t="s">
        <v>1775</v>
      </c>
      <c r="E240" s="198" t="s">
        <v>1776</v>
      </c>
    </row>
    <row r="241" spans="1:5">
      <c r="A241" s="198">
        <v>399767605</v>
      </c>
      <c r="B241" s="198">
        <v>590733687.04830897</v>
      </c>
      <c r="D241" s="198" t="s">
        <v>1777</v>
      </c>
      <c r="E241" s="198" t="s">
        <v>1778</v>
      </c>
    </row>
    <row r="242" spans="1:5">
      <c r="A242" s="198">
        <v>399817938</v>
      </c>
      <c r="B242" s="198">
        <v>590784020.04890895</v>
      </c>
      <c r="D242" s="198" t="s">
        <v>1779</v>
      </c>
      <c r="E242" s="198" t="s">
        <v>1780</v>
      </c>
    </row>
    <row r="243" spans="1:5">
      <c r="A243" s="198">
        <v>399943973</v>
      </c>
      <c r="B243" s="198">
        <v>590910055.05033696</v>
      </c>
      <c r="D243" s="198" t="s">
        <v>1781</v>
      </c>
      <c r="E243" s="198" t="s">
        <v>1782</v>
      </c>
    </row>
    <row r="244" spans="1:5">
      <c r="A244" s="198">
        <v>399990709</v>
      </c>
      <c r="B244" s="198">
        <v>590956791.05091703</v>
      </c>
      <c r="D244" s="198" t="s">
        <v>1783</v>
      </c>
      <c r="E244" s="198" t="s">
        <v>1784</v>
      </c>
    </row>
    <row r="245" spans="1:5">
      <c r="A245" s="198">
        <v>400055541</v>
      </c>
      <c r="B245" s="198">
        <v>591021623.051669</v>
      </c>
      <c r="D245" s="198" t="s">
        <v>1785</v>
      </c>
      <c r="E245" s="198" t="s">
        <v>1786</v>
      </c>
    </row>
    <row r="246" spans="1:5">
      <c r="A246" s="198">
        <v>400149083</v>
      </c>
      <c r="B246" s="198">
        <v>591115165.05275702</v>
      </c>
      <c r="D246" s="198" t="s">
        <v>1787</v>
      </c>
      <c r="E246" s="198" t="s">
        <v>1788</v>
      </c>
    </row>
    <row r="247" spans="1:5">
      <c r="A247" s="198">
        <v>400224719</v>
      </c>
      <c r="B247" s="198">
        <v>591190801.05364799</v>
      </c>
      <c r="D247" s="198" t="s">
        <v>1789</v>
      </c>
      <c r="E247" s="198" t="s">
        <v>1790</v>
      </c>
    </row>
    <row r="248" spans="1:5">
      <c r="A248" s="198">
        <v>400336263</v>
      </c>
      <c r="B248" s="198">
        <v>591302345.05493701</v>
      </c>
      <c r="D248" s="198" t="s">
        <v>1791</v>
      </c>
      <c r="E248" s="198" t="s">
        <v>1792</v>
      </c>
    </row>
    <row r="249" spans="1:5">
      <c r="A249" s="198">
        <v>400422654</v>
      </c>
      <c r="B249" s="198">
        <v>591388736.05595303</v>
      </c>
      <c r="D249" s="198" t="s">
        <v>1793</v>
      </c>
      <c r="E249" s="198" t="s">
        <v>1794</v>
      </c>
    </row>
    <row r="250" spans="1:5">
      <c r="A250" s="198">
        <v>400541490</v>
      </c>
      <c r="B250" s="198">
        <v>591507572.05733204</v>
      </c>
      <c r="D250" s="198" t="s">
        <v>1795</v>
      </c>
      <c r="E250" s="198" t="s">
        <v>1796</v>
      </c>
    </row>
    <row r="251" spans="1:5">
      <c r="A251" s="198">
        <v>400627880</v>
      </c>
      <c r="B251" s="198">
        <v>591593962.05832696</v>
      </c>
      <c r="D251" s="198" t="s">
        <v>1797</v>
      </c>
      <c r="E251" s="198" t="s">
        <v>1798</v>
      </c>
    </row>
    <row r="252" spans="1:5">
      <c r="A252" s="198">
        <v>400721432</v>
      </c>
      <c r="B252" s="198">
        <v>591687514.05940402</v>
      </c>
      <c r="D252" s="198" t="s">
        <v>1799</v>
      </c>
      <c r="E252" s="198" t="s">
        <v>1800</v>
      </c>
    </row>
    <row r="253" spans="1:5">
      <c r="A253" s="198">
        <v>400789815</v>
      </c>
      <c r="B253" s="198">
        <v>591755897.06001604</v>
      </c>
      <c r="D253" s="198" t="s">
        <v>1801</v>
      </c>
      <c r="E253" s="198" t="s">
        <v>1802</v>
      </c>
    </row>
    <row r="254" spans="1:5">
      <c r="A254" s="198">
        <v>400836581</v>
      </c>
      <c r="B254" s="198">
        <v>591802663.06055999</v>
      </c>
      <c r="D254" s="198" t="s">
        <v>1803</v>
      </c>
      <c r="E254" s="198" t="s">
        <v>1804</v>
      </c>
    </row>
    <row r="255" spans="1:5">
      <c r="A255" s="198">
        <v>400962592</v>
      </c>
      <c r="B255" s="198">
        <v>591928674.062011</v>
      </c>
      <c r="D255" s="198" t="s">
        <v>1805</v>
      </c>
      <c r="E255" s="198" t="s">
        <v>1806</v>
      </c>
    </row>
    <row r="256" spans="1:5">
      <c r="A256" s="198">
        <v>401012960</v>
      </c>
      <c r="B256" s="198">
        <v>591979042.06259799</v>
      </c>
      <c r="D256" s="198" t="s">
        <v>1807</v>
      </c>
      <c r="E256" s="198" t="s">
        <v>1808</v>
      </c>
    </row>
    <row r="257" spans="1:5">
      <c r="A257" s="198">
        <v>401146205</v>
      </c>
      <c r="B257" s="198">
        <v>592112287.06414902</v>
      </c>
      <c r="D257" s="198" t="s">
        <v>1809</v>
      </c>
      <c r="E257" s="198" t="s">
        <v>1810</v>
      </c>
    </row>
    <row r="258" spans="1:5">
      <c r="A258" s="198">
        <v>401239766</v>
      </c>
      <c r="B258" s="198">
        <v>592205848.065207</v>
      </c>
      <c r="D258" s="198" t="s">
        <v>1811</v>
      </c>
      <c r="E258" s="198" t="s">
        <v>1812</v>
      </c>
    </row>
    <row r="259" spans="1:5">
      <c r="A259" s="198">
        <v>401315347</v>
      </c>
      <c r="B259" s="198">
        <v>592281429.06610203</v>
      </c>
      <c r="D259" s="198" t="s">
        <v>1813</v>
      </c>
      <c r="E259" s="198" t="s">
        <v>1814</v>
      </c>
    </row>
    <row r="260" spans="1:5">
      <c r="A260" s="198">
        <v>401434134</v>
      </c>
      <c r="B260" s="198">
        <v>592400216.06747103</v>
      </c>
      <c r="D260" s="198" t="s">
        <v>1815</v>
      </c>
      <c r="E260" s="198" t="s">
        <v>1816</v>
      </c>
    </row>
    <row r="261" spans="1:5">
      <c r="A261" s="198">
        <v>401570899</v>
      </c>
      <c r="B261" s="198">
        <v>592536981.06904995</v>
      </c>
      <c r="D261" s="198" t="s">
        <v>1817</v>
      </c>
      <c r="E261" s="198" t="s">
        <v>1818</v>
      </c>
    </row>
    <row r="262" spans="1:5">
      <c r="A262" s="198">
        <v>401668099</v>
      </c>
      <c r="B262" s="198">
        <v>592634181.07015097</v>
      </c>
      <c r="D262" s="198" t="s">
        <v>1819</v>
      </c>
      <c r="E262" s="198" t="s">
        <v>1820</v>
      </c>
    </row>
    <row r="263" spans="1:5">
      <c r="A263" s="198">
        <v>401758075</v>
      </c>
      <c r="B263" s="198">
        <v>592724157.07118905</v>
      </c>
      <c r="D263" s="198" t="s">
        <v>1821</v>
      </c>
      <c r="E263" s="198" t="s">
        <v>1822</v>
      </c>
    </row>
    <row r="264" spans="1:5">
      <c r="A264" s="198">
        <v>401844464</v>
      </c>
      <c r="B264" s="198">
        <v>592810546.07218695</v>
      </c>
      <c r="D264" s="198" t="s">
        <v>1823</v>
      </c>
      <c r="E264" s="198" t="s">
        <v>1824</v>
      </c>
    </row>
    <row r="265" spans="1:5">
      <c r="A265" s="198">
        <v>401869632</v>
      </c>
      <c r="B265" s="198">
        <v>592835714.07248497</v>
      </c>
      <c r="D265" s="198" t="s">
        <v>1825</v>
      </c>
      <c r="E265" s="198" t="s">
        <v>1826</v>
      </c>
    </row>
    <row r="266" spans="1:5">
      <c r="A266" s="198">
        <v>401999244</v>
      </c>
      <c r="B266" s="198">
        <v>592965326.07397699</v>
      </c>
      <c r="D266" s="198" t="s">
        <v>1827</v>
      </c>
      <c r="E266" s="198" t="s">
        <v>1828</v>
      </c>
    </row>
    <row r="267" spans="1:5">
      <c r="A267" s="198">
        <v>402089250</v>
      </c>
      <c r="B267" s="198">
        <v>593055332.07503104</v>
      </c>
      <c r="D267" s="198" t="s">
        <v>1829</v>
      </c>
      <c r="E267" s="198" t="s">
        <v>1830</v>
      </c>
    </row>
    <row r="268" spans="1:5">
      <c r="A268" s="198">
        <v>402146805</v>
      </c>
      <c r="B268" s="198">
        <v>593112887.07570004</v>
      </c>
      <c r="D268" s="198" t="s">
        <v>1831</v>
      </c>
      <c r="E268" s="198" t="s">
        <v>1832</v>
      </c>
    </row>
    <row r="269" spans="1:5">
      <c r="A269" s="198">
        <v>402236801</v>
      </c>
      <c r="B269" s="198">
        <v>593202883.07674205</v>
      </c>
      <c r="D269" s="198" t="s">
        <v>1833</v>
      </c>
      <c r="E269" s="198" t="s">
        <v>1834</v>
      </c>
    </row>
    <row r="270" spans="1:5">
      <c r="A270" s="198">
        <v>402362784</v>
      </c>
      <c r="B270" s="198">
        <v>593328866.07815802</v>
      </c>
      <c r="D270" s="198" t="s">
        <v>1835</v>
      </c>
      <c r="E270" s="198" t="s">
        <v>1836</v>
      </c>
    </row>
    <row r="271" spans="1:5">
      <c r="A271" s="198">
        <v>402449174</v>
      </c>
      <c r="B271" s="198">
        <v>593415256.07915795</v>
      </c>
      <c r="D271" s="198" t="s">
        <v>1837</v>
      </c>
      <c r="E271" s="198" t="s">
        <v>1838</v>
      </c>
    </row>
    <row r="272" spans="1:5">
      <c r="A272" s="198">
        <v>402513967</v>
      </c>
      <c r="B272" s="198">
        <v>593480049.07990396</v>
      </c>
      <c r="D272" s="198" t="s">
        <v>1839</v>
      </c>
      <c r="E272" s="198" t="s">
        <v>1840</v>
      </c>
    </row>
    <row r="273" spans="1:5">
      <c r="A273" s="198">
        <v>402557133</v>
      </c>
      <c r="B273" s="198">
        <v>593523215.08039904</v>
      </c>
      <c r="D273" s="198" t="s">
        <v>1841</v>
      </c>
      <c r="E273" s="198" t="s">
        <v>1842</v>
      </c>
    </row>
    <row r="274" spans="1:5">
      <c r="A274" s="198">
        <v>402668780</v>
      </c>
      <c r="B274" s="198">
        <v>593634862.08170903</v>
      </c>
      <c r="D274" s="198" t="s">
        <v>1843</v>
      </c>
      <c r="E274" s="198" t="s">
        <v>1844</v>
      </c>
    </row>
    <row r="275" spans="1:5">
      <c r="A275" s="198">
        <v>402755154</v>
      </c>
      <c r="B275" s="198">
        <v>593721236.08268201</v>
      </c>
      <c r="D275" s="198" t="s">
        <v>1845</v>
      </c>
      <c r="E275" s="198" t="s">
        <v>1846</v>
      </c>
    </row>
    <row r="276" spans="1:5">
      <c r="A276" s="198">
        <v>402881109</v>
      </c>
      <c r="B276" s="198">
        <v>593847191.08409595</v>
      </c>
      <c r="D276" s="198" t="s">
        <v>1847</v>
      </c>
      <c r="E276" s="198" t="s">
        <v>1848</v>
      </c>
    </row>
    <row r="277" spans="1:5">
      <c r="A277" s="198">
        <v>402953117</v>
      </c>
      <c r="B277" s="198">
        <v>593919199.08494306</v>
      </c>
      <c r="D277" s="198" t="s">
        <v>1849</v>
      </c>
      <c r="E277" s="198" t="s">
        <v>1850</v>
      </c>
    </row>
    <row r="278" spans="1:5">
      <c r="A278" s="198">
        <v>403115073</v>
      </c>
      <c r="B278" s="198">
        <v>594081155.08678901</v>
      </c>
      <c r="D278" s="198" t="s">
        <v>1851</v>
      </c>
      <c r="E278" s="198" t="s">
        <v>1852</v>
      </c>
    </row>
    <row r="279" spans="1:5">
      <c r="A279" s="198">
        <v>403183469</v>
      </c>
      <c r="B279" s="198">
        <v>594149551.08759403</v>
      </c>
      <c r="D279" s="198" t="s">
        <v>1853</v>
      </c>
      <c r="E279" s="198" t="s">
        <v>1854</v>
      </c>
    </row>
    <row r="280" spans="1:5">
      <c r="A280" s="198">
        <v>403269869</v>
      </c>
      <c r="B280" s="198">
        <v>594235951.08858705</v>
      </c>
      <c r="D280" s="198" t="s">
        <v>1855</v>
      </c>
      <c r="E280" s="198" t="s">
        <v>1856</v>
      </c>
    </row>
    <row r="281" spans="1:5">
      <c r="A281" s="198">
        <v>403374240</v>
      </c>
      <c r="B281" s="198">
        <v>594340322.08974302</v>
      </c>
      <c r="D281" s="198" t="s">
        <v>1857</v>
      </c>
      <c r="E281" s="198" t="s">
        <v>1858</v>
      </c>
    </row>
    <row r="282" spans="1:5">
      <c r="A282" s="198">
        <v>403442633</v>
      </c>
      <c r="B282" s="198">
        <v>594408715.09054697</v>
      </c>
      <c r="D282" s="198" t="s">
        <v>1859</v>
      </c>
      <c r="E282" s="198" t="s">
        <v>1860</v>
      </c>
    </row>
    <row r="283" spans="1:5">
      <c r="A283" s="198">
        <v>403557838</v>
      </c>
      <c r="B283" s="198">
        <v>594523920.09186804</v>
      </c>
      <c r="D283" s="198" t="s">
        <v>1861</v>
      </c>
      <c r="E283" s="198" t="s">
        <v>1862</v>
      </c>
    </row>
    <row r="284" spans="1:5">
      <c r="A284" s="198">
        <v>403644237</v>
      </c>
      <c r="B284" s="198">
        <v>594610319.09285104</v>
      </c>
      <c r="D284" s="198" t="s">
        <v>1863</v>
      </c>
      <c r="E284" s="198" t="s">
        <v>1864</v>
      </c>
    </row>
    <row r="285" spans="1:5">
      <c r="A285" s="198">
        <v>403723397</v>
      </c>
      <c r="B285" s="198">
        <v>594689479.09374499</v>
      </c>
      <c r="D285" s="198" t="s">
        <v>1865</v>
      </c>
      <c r="E285" s="198" t="s">
        <v>1866</v>
      </c>
    </row>
    <row r="286" spans="1:5">
      <c r="A286" s="198">
        <v>403817021</v>
      </c>
      <c r="B286" s="198">
        <v>594783103.09481001</v>
      </c>
      <c r="D286" s="198" t="s">
        <v>1867</v>
      </c>
      <c r="E286" s="198" t="s">
        <v>1868</v>
      </c>
    </row>
    <row r="287" spans="1:5">
      <c r="A287" s="198">
        <v>403917775</v>
      </c>
      <c r="B287" s="198">
        <v>594883857.09595501</v>
      </c>
      <c r="D287" s="198" t="s">
        <v>1869</v>
      </c>
      <c r="E287" s="198" t="s">
        <v>1870</v>
      </c>
    </row>
    <row r="288" spans="1:5">
      <c r="A288" s="198">
        <v>403989804</v>
      </c>
      <c r="B288" s="198">
        <v>594955886.09678102</v>
      </c>
      <c r="D288" s="198" t="s">
        <v>1871</v>
      </c>
      <c r="E288" s="198" t="s">
        <v>1872</v>
      </c>
    </row>
    <row r="289" spans="1:5">
      <c r="A289" s="198">
        <v>404076183</v>
      </c>
      <c r="B289" s="198">
        <v>595042265.09775603</v>
      </c>
      <c r="D289" s="198" t="s">
        <v>1873</v>
      </c>
      <c r="E289" s="198" t="s">
        <v>1874</v>
      </c>
    </row>
    <row r="290" spans="1:5">
      <c r="A290" s="198">
        <v>404162574</v>
      </c>
      <c r="B290" s="198">
        <v>595128656.09873998</v>
      </c>
      <c r="D290" s="198" t="s">
        <v>1875</v>
      </c>
      <c r="E290" s="198" t="s">
        <v>1876</v>
      </c>
    </row>
    <row r="291" spans="1:5">
      <c r="A291" s="198">
        <v>404263322</v>
      </c>
      <c r="B291" s="198">
        <v>595229404.09986699</v>
      </c>
      <c r="D291" s="198" t="s">
        <v>1877</v>
      </c>
      <c r="E291" s="198" t="s">
        <v>1878</v>
      </c>
    </row>
    <row r="292" spans="1:5">
      <c r="A292" s="198">
        <v>404324514</v>
      </c>
      <c r="B292" s="198">
        <v>595290596.10057294</v>
      </c>
      <c r="D292" s="198" t="s">
        <v>1879</v>
      </c>
      <c r="E292" s="198" t="s">
        <v>1880</v>
      </c>
    </row>
    <row r="293" spans="1:5">
      <c r="A293" s="198">
        <v>404522490</v>
      </c>
      <c r="B293" s="198">
        <v>595488572.10281098</v>
      </c>
      <c r="D293" s="198" t="s">
        <v>1881</v>
      </c>
      <c r="E293" s="198" t="s">
        <v>1882</v>
      </c>
    </row>
    <row r="294" spans="1:5">
      <c r="A294" s="198">
        <v>404533292</v>
      </c>
      <c r="B294" s="198">
        <v>595499374.10294294</v>
      </c>
      <c r="D294" s="198" t="s">
        <v>1883</v>
      </c>
      <c r="E294" s="198" t="s">
        <v>1884</v>
      </c>
    </row>
    <row r="295" spans="1:5">
      <c r="A295" s="198">
        <v>404663104</v>
      </c>
      <c r="B295" s="198">
        <v>595629186.10441101</v>
      </c>
      <c r="D295" s="198" t="s">
        <v>1885</v>
      </c>
      <c r="E295" s="198" t="s">
        <v>1886</v>
      </c>
    </row>
    <row r="296" spans="1:5">
      <c r="A296" s="198">
        <v>404781656</v>
      </c>
      <c r="B296" s="198">
        <v>595747738.10576296</v>
      </c>
      <c r="D296" s="198" t="s">
        <v>1887</v>
      </c>
      <c r="E296" s="198" t="s">
        <v>1888</v>
      </c>
    </row>
    <row r="297" spans="1:5">
      <c r="A297" s="198">
        <v>404868088</v>
      </c>
      <c r="B297" s="198">
        <v>595834170.10670698</v>
      </c>
      <c r="D297" s="198" t="s">
        <v>1889</v>
      </c>
      <c r="E297" s="198" t="s">
        <v>1890</v>
      </c>
    </row>
    <row r="298" spans="1:5">
      <c r="A298" s="198">
        <v>404925639</v>
      </c>
      <c r="B298" s="198">
        <v>595891721.10739303</v>
      </c>
      <c r="D298" s="198" t="s">
        <v>1891</v>
      </c>
      <c r="E298" s="198" t="s">
        <v>1892</v>
      </c>
    </row>
    <row r="299" spans="1:5">
      <c r="A299" s="198">
        <v>405040875</v>
      </c>
      <c r="B299" s="198">
        <v>596006957.10867798</v>
      </c>
      <c r="D299" s="198" t="s">
        <v>1893</v>
      </c>
      <c r="E299" s="198" t="s">
        <v>1894</v>
      </c>
    </row>
    <row r="300" spans="1:5">
      <c r="A300" s="198">
        <v>405109251</v>
      </c>
      <c r="B300" s="198">
        <v>596075333.10947502</v>
      </c>
      <c r="D300" s="198" t="s">
        <v>1895</v>
      </c>
      <c r="E300" s="198" t="s">
        <v>1896</v>
      </c>
    </row>
    <row r="301" spans="1:5">
      <c r="A301" s="198">
        <v>405300018</v>
      </c>
      <c r="B301" s="198">
        <v>596266100.11159801</v>
      </c>
      <c r="D301" s="198" t="s">
        <v>1897</v>
      </c>
      <c r="E301" s="198" t="s">
        <v>1898</v>
      </c>
    </row>
    <row r="302" spans="1:5">
      <c r="A302" s="198">
        <v>405386405</v>
      </c>
      <c r="B302" s="198">
        <v>596352487.11258399</v>
      </c>
      <c r="D302" s="198" t="s">
        <v>1899</v>
      </c>
      <c r="E302" s="198" t="s">
        <v>1900</v>
      </c>
    </row>
    <row r="303" spans="1:5">
      <c r="A303" s="198">
        <v>405472805</v>
      </c>
      <c r="B303" s="198">
        <v>596438887.113554</v>
      </c>
      <c r="D303" s="198" t="s">
        <v>1901</v>
      </c>
      <c r="E303" s="198" t="s">
        <v>1902</v>
      </c>
    </row>
    <row r="304" spans="1:5">
      <c r="A304" s="198">
        <v>405559168</v>
      </c>
      <c r="B304" s="198">
        <v>596525250.11455703</v>
      </c>
      <c r="D304" s="198" t="s">
        <v>1903</v>
      </c>
      <c r="E304" s="198" t="s">
        <v>1904</v>
      </c>
    </row>
    <row r="305" spans="1:5">
      <c r="A305" s="198">
        <v>405616766</v>
      </c>
      <c r="B305" s="198">
        <v>596582848.11519694</v>
      </c>
      <c r="D305" s="198" t="s">
        <v>1905</v>
      </c>
      <c r="E305" s="198" t="s">
        <v>1906</v>
      </c>
    </row>
    <row r="306" spans="1:5">
      <c r="A306" s="198">
        <v>405731950</v>
      </c>
      <c r="B306" s="198">
        <v>596698032.11649597</v>
      </c>
      <c r="D306" s="198" t="s">
        <v>1907</v>
      </c>
      <c r="E306" s="198" t="s">
        <v>1908</v>
      </c>
    </row>
    <row r="307" spans="1:5">
      <c r="A307" s="198">
        <v>405818345</v>
      </c>
      <c r="B307" s="198">
        <v>596784427.11746395</v>
      </c>
      <c r="D307" s="198" t="s">
        <v>1909</v>
      </c>
      <c r="E307" s="198" t="s">
        <v>1910</v>
      </c>
    </row>
    <row r="308" spans="1:5">
      <c r="A308" s="198">
        <v>405904731</v>
      </c>
      <c r="B308" s="198">
        <v>596870813.11842406</v>
      </c>
      <c r="D308" s="198" t="s">
        <v>1911</v>
      </c>
      <c r="E308" s="198" t="s">
        <v>1912</v>
      </c>
    </row>
    <row r="309" spans="1:5">
      <c r="A309" s="198">
        <v>405991138</v>
      </c>
      <c r="B309" s="198">
        <v>596957220.11937404</v>
      </c>
      <c r="D309" s="198" t="s">
        <v>1913</v>
      </c>
      <c r="E309" s="198" t="s">
        <v>1914</v>
      </c>
    </row>
    <row r="310" spans="1:5">
      <c r="A310" s="198">
        <v>406077533</v>
      </c>
      <c r="B310" s="198">
        <v>597043615.11990094</v>
      </c>
      <c r="D310" s="198" t="s">
        <v>1915</v>
      </c>
      <c r="E310" s="198" t="s">
        <v>1916</v>
      </c>
    </row>
    <row r="311" spans="1:5">
      <c r="A311" s="198">
        <v>406142346</v>
      </c>
      <c r="B311" s="198">
        <v>597108428.12063503</v>
      </c>
      <c r="D311" s="198" t="s">
        <v>1917</v>
      </c>
      <c r="E311" s="198" t="s">
        <v>1918</v>
      </c>
    </row>
    <row r="312" spans="1:5">
      <c r="A312" s="198">
        <v>406250307</v>
      </c>
      <c r="B312" s="198">
        <v>597216389.12184203</v>
      </c>
      <c r="D312" s="198" t="s">
        <v>1919</v>
      </c>
      <c r="E312" s="198" t="s">
        <v>1920</v>
      </c>
    </row>
    <row r="313" spans="1:5">
      <c r="A313" s="198">
        <v>406336696</v>
      </c>
      <c r="B313" s="198">
        <v>597302778.12280905</v>
      </c>
      <c r="D313" s="198" t="s">
        <v>1921</v>
      </c>
      <c r="E313" s="198" t="s">
        <v>1922</v>
      </c>
    </row>
    <row r="314" spans="1:5">
      <c r="A314" s="198">
        <v>406423090</v>
      </c>
      <c r="B314" s="198">
        <v>597389172.12375605</v>
      </c>
      <c r="D314" s="198" t="s">
        <v>1923</v>
      </c>
      <c r="E314" s="198" t="s">
        <v>1924</v>
      </c>
    </row>
    <row r="315" spans="1:5">
      <c r="A315" s="198">
        <v>406480673</v>
      </c>
      <c r="B315" s="198">
        <v>597446755.12441194</v>
      </c>
      <c r="D315" s="198" t="s">
        <v>1925</v>
      </c>
      <c r="E315" s="198" t="s">
        <v>1926</v>
      </c>
    </row>
    <row r="316" spans="1:5">
      <c r="A316" s="198">
        <v>406592261</v>
      </c>
      <c r="B316" s="198">
        <v>597558343.12565899</v>
      </c>
      <c r="D316" s="198" t="s">
        <v>1927</v>
      </c>
      <c r="E316" s="198" t="s">
        <v>1928</v>
      </c>
    </row>
    <row r="317" spans="1:5">
      <c r="A317" s="198">
        <v>406682260</v>
      </c>
      <c r="B317" s="198">
        <v>597648342.12668097</v>
      </c>
      <c r="D317" s="198" t="s">
        <v>1929</v>
      </c>
      <c r="E317" s="198" t="s">
        <v>1930</v>
      </c>
    </row>
    <row r="318" spans="1:5">
      <c r="A318" s="198">
        <v>406761445</v>
      </c>
      <c r="B318" s="198">
        <v>597727527.12756002</v>
      </c>
      <c r="D318" s="198" t="s">
        <v>1931</v>
      </c>
      <c r="E318" s="198" t="s">
        <v>1932</v>
      </c>
    </row>
    <row r="319" spans="1:5">
      <c r="A319" s="198">
        <v>406855042</v>
      </c>
      <c r="B319" s="198">
        <v>597821124.12858105</v>
      </c>
      <c r="D319" s="198" t="s">
        <v>1933</v>
      </c>
      <c r="E319" s="198" t="s">
        <v>1934</v>
      </c>
    </row>
    <row r="320" spans="1:5">
      <c r="A320" s="198">
        <v>406941441</v>
      </c>
      <c r="B320" s="198">
        <v>597907523.12954199</v>
      </c>
      <c r="D320" s="198" t="s">
        <v>1935</v>
      </c>
      <c r="E320" s="198" t="s">
        <v>1936</v>
      </c>
    </row>
    <row r="321" spans="1:5">
      <c r="A321" s="198">
        <v>407006261</v>
      </c>
      <c r="B321" s="198">
        <v>597972343.13030696</v>
      </c>
      <c r="D321" s="198" t="s">
        <v>1937</v>
      </c>
      <c r="E321" s="198" t="s">
        <v>1938</v>
      </c>
    </row>
    <row r="322" spans="1:5">
      <c r="A322" s="198">
        <v>407114215</v>
      </c>
      <c r="B322" s="198">
        <v>598080297.13149297</v>
      </c>
      <c r="D322" s="198" t="s">
        <v>1939</v>
      </c>
      <c r="E322" s="198" t="s">
        <v>1940</v>
      </c>
    </row>
    <row r="323" spans="1:5">
      <c r="A323" s="198">
        <v>407193404</v>
      </c>
      <c r="B323" s="198">
        <v>598159486.13239002</v>
      </c>
      <c r="D323" s="198" t="s">
        <v>1941</v>
      </c>
      <c r="E323" s="198" t="s">
        <v>1942</v>
      </c>
    </row>
    <row r="324" spans="1:5">
      <c r="A324" s="198">
        <v>407279802</v>
      </c>
      <c r="B324" s="198">
        <v>598245884.13334596</v>
      </c>
      <c r="D324" s="198" t="s">
        <v>1943</v>
      </c>
      <c r="E324" s="198" t="s">
        <v>1944</v>
      </c>
    </row>
    <row r="325" spans="1:5">
      <c r="A325" s="198">
        <v>407366190</v>
      </c>
      <c r="B325" s="198">
        <v>598332272.13432395</v>
      </c>
      <c r="D325" s="198" t="s">
        <v>1945</v>
      </c>
      <c r="E325" s="198" t="s">
        <v>1946</v>
      </c>
    </row>
    <row r="326" spans="1:5">
      <c r="A326" s="198">
        <v>407459800</v>
      </c>
      <c r="B326" s="198">
        <v>598425882.13536406</v>
      </c>
      <c r="D326" s="198" t="s">
        <v>1947</v>
      </c>
      <c r="E326" s="198" t="s">
        <v>1948</v>
      </c>
    </row>
    <row r="327" spans="1:5">
      <c r="A327" s="198">
        <v>407521028</v>
      </c>
      <c r="B327" s="198">
        <v>598487110.13606703</v>
      </c>
      <c r="D327" s="198" t="s">
        <v>1949</v>
      </c>
      <c r="E327" s="198" t="s">
        <v>1950</v>
      </c>
    </row>
    <row r="328" spans="1:5">
      <c r="A328" s="198">
        <v>407632592</v>
      </c>
      <c r="B328" s="198">
        <v>598598674.13730705</v>
      </c>
      <c r="D328" s="198" t="s">
        <v>1951</v>
      </c>
      <c r="E328" s="198" t="s">
        <v>1952</v>
      </c>
    </row>
    <row r="329" spans="1:5">
      <c r="A329" s="198">
        <v>407715378</v>
      </c>
      <c r="B329" s="198">
        <v>598681460.13821697</v>
      </c>
      <c r="D329" s="198" t="s">
        <v>1953</v>
      </c>
      <c r="E329" s="198" t="s">
        <v>1954</v>
      </c>
    </row>
    <row r="330" spans="1:5">
      <c r="A330" s="198">
        <v>407805378</v>
      </c>
      <c r="B330" s="198">
        <v>598771460.13921797</v>
      </c>
      <c r="D330" s="198" t="s">
        <v>1955</v>
      </c>
      <c r="E330" s="198" t="s">
        <v>1956</v>
      </c>
    </row>
    <row r="331" spans="1:5">
      <c r="A331" s="198">
        <v>407873755</v>
      </c>
      <c r="B331" s="198">
        <v>598839837.139979</v>
      </c>
      <c r="D331" s="198" t="s">
        <v>1957</v>
      </c>
      <c r="E331" s="198" t="s">
        <v>1958</v>
      </c>
    </row>
    <row r="332" spans="1:5">
      <c r="A332" s="198">
        <v>407967351</v>
      </c>
      <c r="B332" s="198">
        <v>598933433.14104295</v>
      </c>
      <c r="D332" s="198" t="s">
        <v>1959</v>
      </c>
      <c r="E332" s="198" t="s">
        <v>1960</v>
      </c>
    </row>
    <row r="333" spans="1:5">
      <c r="A333" s="198">
        <v>408064552</v>
      </c>
      <c r="B333" s="198">
        <v>599030634.14214599</v>
      </c>
      <c r="D333" s="198" t="s">
        <v>1961</v>
      </c>
      <c r="E333" s="198" t="s">
        <v>1962</v>
      </c>
    </row>
    <row r="334" spans="1:5">
      <c r="A334" s="198">
        <v>408150941</v>
      </c>
      <c r="B334" s="198">
        <v>599117023.14307499</v>
      </c>
      <c r="D334" s="198" t="s">
        <v>1963</v>
      </c>
      <c r="E334" s="198" t="s">
        <v>1964</v>
      </c>
    </row>
    <row r="335" spans="1:5">
      <c r="A335" s="198">
        <v>408237339</v>
      </c>
      <c r="B335" s="198">
        <v>599203421.14403796</v>
      </c>
      <c r="D335" s="198" t="s">
        <v>1965</v>
      </c>
      <c r="E335" s="198" t="s">
        <v>1966</v>
      </c>
    </row>
    <row r="336" spans="1:5">
      <c r="A336" s="198">
        <v>408323778</v>
      </c>
      <c r="B336" s="198">
        <v>599289860.14501297</v>
      </c>
      <c r="D336" s="198" t="s">
        <v>1967</v>
      </c>
      <c r="E336" s="198" t="s">
        <v>1968</v>
      </c>
    </row>
    <row r="337" spans="1:5">
      <c r="A337" s="198">
        <v>408410160</v>
      </c>
      <c r="B337" s="198">
        <v>599376242.14601302</v>
      </c>
      <c r="D337" s="198" t="s">
        <v>1969</v>
      </c>
      <c r="E337" s="198" t="s">
        <v>1970</v>
      </c>
    </row>
    <row r="338" spans="1:5">
      <c r="A338" s="198">
        <v>408471361</v>
      </c>
      <c r="B338" s="198">
        <v>599437443.14668798</v>
      </c>
      <c r="D338" s="198" t="s">
        <v>1971</v>
      </c>
      <c r="E338" s="198" t="s">
        <v>1972</v>
      </c>
    </row>
    <row r="339" spans="1:5">
      <c r="A339" s="198">
        <v>408572114</v>
      </c>
      <c r="B339" s="198">
        <v>599538196.14780605</v>
      </c>
      <c r="D339" s="198" t="s">
        <v>1973</v>
      </c>
      <c r="E339" s="198" t="s">
        <v>1974</v>
      </c>
    </row>
    <row r="340" spans="1:5">
      <c r="A340" s="198">
        <v>408665757</v>
      </c>
      <c r="B340" s="198">
        <v>599631839.148862</v>
      </c>
      <c r="D340" s="198" t="s">
        <v>1975</v>
      </c>
      <c r="E340" s="198" t="s">
        <v>1976</v>
      </c>
    </row>
    <row r="341" spans="1:5">
      <c r="A341" s="198">
        <v>408755695</v>
      </c>
      <c r="B341" s="198">
        <v>599721777.14984405</v>
      </c>
      <c r="D341" s="198" t="s">
        <v>1977</v>
      </c>
      <c r="E341" s="198" t="s">
        <v>1978</v>
      </c>
    </row>
    <row r="342" spans="1:5">
      <c r="A342" s="198">
        <v>408842090</v>
      </c>
      <c r="B342" s="198">
        <v>599808172.15085006</v>
      </c>
      <c r="D342" s="198" t="s">
        <v>1979</v>
      </c>
      <c r="E342" s="198" t="s">
        <v>1980</v>
      </c>
    </row>
    <row r="343" spans="1:5">
      <c r="A343" s="198">
        <v>408899706</v>
      </c>
      <c r="B343" s="198">
        <v>599865788.15147603</v>
      </c>
      <c r="D343" s="198" t="s">
        <v>1981</v>
      </c>
      <c r="E343" s="198" t="s">
        <v>1982</v>
      </c>
    </row>
    <row r="344" spans="1:5">
      <c r="A344" s="198">
        <v>409266881</v>
      </c>
      <c r="B344" s="198">
        <v>600232963.15556896</v>
      </c>
      <c r="D344" s="198" t="s">
        <v>1983</v>
      </c>
      <c r="E344" s="198" t="s">
        <v>1984</v>
      </c>
    </row>
    <row r="345" spans="1:5">
      <c r="A345" s="198">
        <v>409360445</v>
      </c>
      <c r="B345" s="198">
        <v>600326527.15659499</v>
      </c>
      <c r="D345" s="198" t="s">
        <v>1985</v>
      </c>
      <c r="E345" s="198" t="s">
        <v>1986</v>
      </c>
    </row>
    <row r="346" spans="1:5">
      <c r="A346" s="198">
        <v>409446873</v>
      </c>
      <c r="B346" s="198">
        <v>600412955.15757406</v>
      </c>
      <c r="D346" s="198" t="s">
        <v>1987</v>
      </c>
      <c r="E346" s="198" t="s">
        <v>1988</v>
      </c>
    </row>
    <row r="347" spans="1:5">
      <c r="A347" s="198">
        <v>409533236</v>
      </c>
      <c r="B347" s="198">
        <v>600499318.15849197</v>
      </c>
      <c r="D347" s="198" t="s">
        <v>1989</v>
      </c>
      <c r="E347" s="198" t="s">
        <v>1990</v>
      </c>
    </row>
    <row r="348" spans="1:5">
      <c r="A348" s="198">
        <v>409619634</v>
      </c>
      <c r="B348" s="198">
        <v>600585716.15945995</v>
      </c>
      <c r="D348" s="198" t="s">
        <v>1991</v>
      </c>
      <c r="E348" s="198" t="s">
        <v>1992</v>
      </c>
    </row>
    <row r="349" spans="1:5">
      <c r="A349" s="198">
        <v>409706030</v>
      </c>
      <c r="B349" s="198">
        <v>600672112.16039705</v>
      </c>
      <c r="D349" s="198" t="s">
        <v>1993</v>
      </c>
      <c r="E349" s="198" t="s">
        <v>1994</v>
      </c>
    </row>
    <row r="350" spans="1:5">
      <c r="A350" s="198">
        <v>409785231</v>
      </c>
      <c r="B350" s="198">
        <v>600751313.16130805</v>
      </c>
      <c r="D350" s="198" t="s">
        <v>1995</v>
      </c>
      <c r="E350" s="198" t="s">
        <v>1996</v>
      </c>
    </row>
    <row r="351" spans="1:5">
      <c r="A351" s="198">
        <v>409846438</v>
      </c>
      <c r="B351" s="198">
        <v>600812520.16199303</v>
      </c>
      <c r="D351" s="198" t="s">
        <v>1997</v>
      </c>
      <c r="E351" s="198" t="s">
        <v>1998</v>
      </c>
    </row>
    <row r="352" spans="1:5">
      <c r="A352" s="198">
        <v>409943625</v>
      </c>
      <c r="B352" s="198">
        <v>600909707.16304803</v>
      </c>
      <c r="D352" s="198" t="s">
        <v>1999</v>
      </c>
      <c r="E352" s="198" t="s">
        <v>2000</v>
      </c>
    </row>
    <row r="353" spans="1:5">
      <c r="A353" s="198">
        <v>410138018</v>
      </c>
      <c r="B353" s="198">
        <v>601104100.16520298</v>
      </c>
      <c r="D353" s="198" t="s">
        <v>2001</v>
      </c>
      <c r="E353" s="198" t="s">
        <v>2002</v>
      </c>
    </row>
    <row r="354" spans="1:5">
      <c r="A354" s="198">
        <v>410224417</v>
      </c>
      <c r="B354" s="198">
        <v>601190499.16614497</v>
      </c>
      <c r="D354" s="198" t="s">
        <v>2003</v>
      </c>
      <c r="E354" s="198" t="s">
        <v>2004</v>
      </c>
    </row>
    <row r="355" spans="1:5">
      <c r="A355" s="198">
        <v>410310814</v>
      </c>
      <c r="B355" s="198">
        <v>601276896.16711295</v>
      </c>
      <c r="D355" s="198" t="s">
        <v>2005</v>
      </c>
      <c r="E355" s="198" t="s">
        <v>2006</v>
      </c>
    </row>
    <row r="356" spans="1:5">
      <c r="A356" s="198">
        <v>410386417</v>
      </c>
      <c r="B356" s="198">
        <v>601352499.167974</v>
      </c>
      <c r="D356" s="198" t="s">
        <v>2007</v>
      </c>
      <c r="E356" s="198" t="s">
        <v>2008</v>
      </c>
    </row>
    <row r="357" spans="1:5">
      <c r="A357" s="198">
        <v>410483609</v>
      </c>
      <c r="B357" s="198">
        <v>601449691.16903996</v>
      </c>
      <c r="D357" s="198" t="s">
        <v>2009</v>
      </c>
      <c r="E357" s="198" t="s">
        <v>2010</v>
      </c>
    </row>
    <row r="358" spans="1:5">
      <c r="A358" s="198">
        <v>410570007</v>
      </c>
      <c r="B358" s="198">
        <v>601536089.169994</v>
      </c>
      <c r="D358" s="198" t="s">
        <v>2011</v>
      </c>
      <c r="E358" s="198" t="s">
        <v>2012</v>
      </c>
    </row>
    <row r="359" spans="1:5">
      <c r="A359" s="198">
        <v>410656407</v>
      </c>
      <c r="B359" s="198">
        <v>601622489.17095602</v>
      </c>
      <c r="D359" s="198" t="s">
        <v>2013</v>
      </c>
      <c r="E359" s="198" t="s">
        <v>2014</v>
      </c>
    </row>
    <row r="360" spans="1:5">
      <c r="A360" s="198">
        <v>410742807</v>
      </c>
      <c r="B360" s="198">
        <v>601708889.17190897</v>
      </c>
      <c r="D360" s="198" t="s">
        <v>2015</v>
      </c>
      <c r="E360" s="198" t="s">
        <v>2016</v>
      </c>
    </row>
    <row r="361" spans="1:5">
      <c r="A361" s="198">
        <v>410829206</v>
      </c>
      <c r="B361" s="198">
        <v>601795288.172876</v>
      </c>
      <c r="D361" s="198" t="s">
        <v>2017</v>
      </c>
      <c r="E361" s="198" t="s">
        <v>2018</v>
      </c>
    </row>
    <row r="362" spans="1:5">
      <c r="A362" s="198">
        <v>410915604</v>
      </c>
      <c r="B362" s="198">
        <v>601881686.173841</v>
      </c>
      <c r="D362" s="198" t="s">
        <v>2019</v>
      </c>
      <c r="E362" s="198" t="s">
        <v>2020</v>
      </c>
    </row>
    <row r="363" spans="1:5">
      <c r="A363" s="198">
        <v>410994818</v>
      </c>
      <c r="B363" s="198">
        <v>601960900.17473698</v>
      </c>
      <c r="D363" s="198" t="s">
        <v>2021</v>
      </c>
      <c r="E363" s="198" t="s">
        <v>2022</v>
      </c>
    </row>
    <row r="364" spans="1:5">
      <c r="A364" s="198">
        <v>411077606</v>
      </c>
      <c r="B364" s="198">
        <v>602043688.17565501</v>
      </c>
      <c r="D364" s="198" t="s">
        <v>2023</v>
      </c>
      <c r="E364" s="198" t="s">
        <v>2024</v>
      </c>
    </row>
    <row r="365" spans="1:5">
      <c r="A365" s="198">
        <v>411138817</v>
      </c>
      <c r="B365" s="198">
        <v>602104899.17633402</v>
      </c>
      <c r="D365" s="198" t="s">
        <v>2025</v>
      </c>
      <c r="E365" s="198" t="s">
        <v>2026</v>
      </c>
    </row>
    <row r="366" spans="1:5">
      <c r="A366" s="198">
        <v>411347600</v>
      </c>
      <c r="B366" s="198">
        <v>602313682.17864394</v>
      </c>
      <c r="D366" s="198" t="s">
        <v>2027</v>
      </c>
      <c r="E366" s="198" t="s">
        <v>2028</v>
      </c>
    </row>
    <row r="367" spans="1:5">
      <c r="A367" s="198">
        <v>411434002</v>
      </c>
      <c r="B367" s="198">
        <v>602400084.1796</v>
      </c>
      <c r="D367" s="198" t="s">
        <v>2029</v>
      </c>
      <c r="E367" s="198" t="s">
        <v>2030</v>
      </c>
    </row>
    <row r="368" spans="1:5">
      <c r="A368" s="198">
        <v>411520401</v>
      </c>
      <c r="B368" s="198">
        <v>602486483.18056095</v>
      </c>
      <c r="D368" s="198" t="s">
        <v>2031</v>
      </c>
      <c r="E368" s="198" t="s">
        <v>2032</v>
      </c>
    </row>
    <row r="369" spans="1:5">
      <c r="A369" s="198">
        <v>411567205</v>
      </c>
      <c r="B369" s="198">
        <v>602533287.18109596</v>
      </c>
      <c r="D369" s="198" t="s">
        <v>2033</v>
      </c>
      <c r="E369" s="198" t="s">
        <v>2034</v>
      </c>
    </row>
    <row r="370" spans="1:5">
      <c r="A370" s="198">
        <v>411686023</v>
      </c>
      <c r="B370" s="198">
        <v>602652105.18243206</v>
      </c>
      <c r="D370" s="198" t="s">
        <v>2035</v>
      </c>
      <c r="E370" s="198" t="s">
        <v>2036</v>
      </c>
    </row>
    <row r="371" spans="1:5">
      <c r="A371" s="198">
        <v>411768806</v>
      </c>
      <c r="B371" s="198">
        <v>602734888.18334103</v>
      </c>
      <c r="D371" s="198" t="s">
        <v>2037</v>
      </c>
      <c r="E371" s="198" t="s">
        <v>2038</v>
      </c>
    </row>
    <row r="372" spans="1:5">
      <c r="A372" s="198">
        <v>411866002</v>
      </c>
      <c r="B372" s="198">
        <v>602832084.18441606</v>
      </c>
      <c r="D372" s="198" t="s">
        <v>2039</v>
      </c>
      <c r="E372" s="198" t="s">
        <v>2040</v>
      </c>
    </row>
    <row r="373" spans="1:5">
      <c r="A373" s="198">
        <v>411952402</v>
      </c>
      <c r="B373" s="198">
        <v>602918484.18544996</v>
      </c>
      <c r="D373" s="198" t="s">
        <v>2041</v>
      </c>
      <c r="E373" s="198" t="s">
        <v>2042</v>
      </c>
    </row>
    <row r="374" spans="1:5">
      <c r="A374" s="198">
        <v>412038801</v>
      </c>
      <c r="B374" s="198">
        <v>603004883.18641603</v>
      </c>
      <c r="D374" s="198" t="s">
        <v>2043</v>
      </c>
      <c r="E374" s="198" t="s">
        <v>2044</v>
      </c>
    </row>
    <row r="375" spans="1:5">
      <c r="A375" s="198">
        <v>412125203</v>
      </c>
      <c r="B375" s="198">
        <v>603091285.18737996</v>
      </c>
      <c r="D375" s="198" t="s">
        <v>2045</v>
      </c>
      <c r="E375" s="198" t="s">
        <v>2046</v>
      </c>
    </row>
    <row r="376" spans="1:5">
      <c r="A376" s="198">
        <v>412208000</v>
      </c>
      <c r="B376" s="198">
        <v>603174082.18830299</v>
      </c>
      <c r="D376" s="198" t="s">
        <v>2047</v>
      </c>
      <c r="E376" s="198" t="s">
        <v>2048</v>
      </c>
    </row>
    <row r="377" spans="1:5">
      <c r="A377" s="198">
        <v>412258412</v>
      </c>
      <c r="B377" s="198">
        <v>603224494.18888402</v>
      </c>
      <c r="D377" s="198" t="s">
        <v>2049</v>
      </c>
      <c r="E377" s="198" t="s">
        <v>2050</v>
      </c>
    </row>
    <row r="378" spans="1:5">
      <c r="A378" s="198">
        <v>412359202</v>
      </c>
      <c r="B378" s="198">
        <v>603325284.19000399</v>
      </c>
      <c r="D378" s="198" t="s">
        <v>2051</v>
      </c>
      <c r="E378" s="198" t="s">
        <v>2052</v>
      </c>
    </row>
    <row r="379" spans="1:5">
      <c r="A379" s="198">
        <v>412470808</v>
      </c>
      <c r="B379" s="198">
        <v>603436890.19124997</v>
      </c>
      <c r="D379" s="198" t="s">
        <v>2053</v>
      </c>
      <c r="E379" s="198" t="s">
        <v>2054</v>
      </c>
    </row>
    <row r="380" spans="1:5">
      <c r="A380" s="198">
        <v>412553608</v>
      </c>
      <c r="B380" s="198">
        <v>603519690.19217503</v>
      </c>
      <c r="D380" s="198" t="s">
        <v>2055</v>
      </c>
      <c r="E380" s="198" t="s">
        <v>2056</v>
      </c>
    </row>
    <row r="381" spans="1:5">
      <c r="A381" s="198">
        <v>412643612</v>
      </c>
      <c r="B381" s="198">
        <v>603609694.19319201</v>
      </c>
      <c r="D381" s="198" t="s">
        <v>2057</v>
      </c>
      <c r="E381" s="198" t="s">
        <v>2058</v>
      </c>
    </row>
    <row r="382" spans="1:5">
      <c r="A382" s="198">
        <v>412730950</v>
      </c>
      <c r="B382" s="198">
        <v>603697032.19417095</v>
      </c>
      <c r="D382" s="198" t="s">
        <v>2059</v>
      </c>
      <c r="E382" s="198" t="s">
        <v>2060</v>
      </c>
    </row>
    <row r="383" spans="1:5">
      <c r="A383" s="198">
        <v>412791212</v>
      </c>
      <c r="B383" s="198">
        <v>603757294.19484901</v>
      </c>
      <c r="D383" s="198" t="s">
        <v>2061</v>
      </c>
      <c r="E383" s="198" t="s">
        <v>2062</v>
      </c>
    </row>
    <row r="384" spans="1:5">
      <c r="A384" s="198">
        <v>412877615</v>
      </c>
      <c r="B384" s="198">
        <v>603843697.19581497</v>
      </c>
      <c r="D384" s="198" t="s">
        <v>2063</v>
      </c>
      <c r="E384" s="198" t="s">
        <v>2064</v>
      </c>
    </row>
    <row r="385" spans="1:5">
      <c r="A385" s="198">
        <v>412964013</v>
      </c>
      <c r="B385" s="198">
        <v>603930095.19679201</v>
      </c>
      <c r="D385" s="198" t="s">
        <v>2065</v>
      </c>
      <c r="E385" s="198" t="s">
        <v>2066</v>
      </c>
    </row>
    <row r="386" spans="1:5">
      <c r="A386" s="198">
        <v>413075618</v>
      </c>
      <c r="B386" s="198">
        <v>604041700.198053</v>
      </c>
      <c r="D386" s="198" t="s">
        <v>2067</v>
      </c>
      <c r="E386" s="198" t="s">
        <v>2068</v>
      </c>
    </row>
    <row r="387" spans="1:5">
      <c r="A387" s="198">
        <v>413162020</v>
      </c>
      <c r="B387" s="198">
        <v>604128102.19902396</v>
      </c>
      <c r="D387" s="198" t="s">
        <v>2069</v>
      </c>
      <c r="E387" s="198" t="s">
        <v>2070</v>
      </c>
    </row>
    <row r="388" spans="1:5">
      <c r="A388" s="198">
        <v>413248423</v>
      </c>
      <c r="B388" s="198">
        <v>604214505.19999099</v>
      </c>
      <c r="D388" s="198" t="s">
        <v>2071</v>
      </c>
      <c r="E388" s="198" t="s">
        <v>2072</v>
      </c>
    </row>
    <row r="389" spans="1:5">
      <c r="A389" s="198">
        <v>413334828</v>
      </c>
      <c r="B389" s="198">
        <v>604300910.20095801</v>
      </c>
      <c r="D389" s="198" t="s">
        <v>2073</v>
      </c>
      <c r="E389" s="198" t="s">
        <v>2074</v>
      </c>
    </row>
    <row r="390" spans="1:5">
      <c r="A390" s="198">
        <v>413421229</v>
      </c>
      <c r="B390" s="198">
        <v>604387311.20192599</v>
      </c>
      <c r="D390" s="198" t="s">
        <v>2075</v>
      </c>
      <c r="E390" s="198" t="s">
        <v>2076</v>
      </c>
    </row>
    <row r="391" spans="1:5">
      <c r="A391" s="198">
        <v>413453619</v>
      </c>
      <c r="B391" s="198">
        <v>604419701.20229197</v>
      </c>
      <c r="D391" s="198" t="s">
        <v>2077</v>
      </c>
      <c r="E391" s="198" t="s">
        <v>2078</v>
      </c>
    </row>
    <row r="392" spans="1:5">
      <c r="A392" s="198">
        <v>413594033</v>
      </c>
      <c r="B392" s="198">
        <v>604560115.20387495</v>
      </c>
      <c r="D392" s="198" t="s">
        <v>2079</v>
      </c>
      <c r="E392" s="198" t="s">
        <v>2080</v>
      </c>
    </row>
    <row r="393" spans="1:5">
      <c r="A393" s="198">
        <v>413673234</v>
      </c>
      <c r="B393" s="198">
        <v>604639316.20475399</v>
      </c>
      <c r="D393" s="198" t="s">
        <v>2081</v>
      </c>
      <c r="E393" s="198" t="s">
        <v>2082</v>
      </c>
    </row>
    <row r="394" spans="1:5">
      <c r="A394" s="198">
        <v>413766861</v>
      </c>
      <c r="B394" s="198">
        <v>604732943.20583296</v>
      </c>
      <c r="D394" s="198" t="s">
        <v>2083</v>
      </c>
      <c r="E394" s="198" t="s">
        <v>2084</v>
      </c>
    </row>
    <row r="395" spans="1:5">
      <c r="A395" s="198">
        <v>413824465</v>
      </c>
      <c r="B395" s="198">
        <v>604790547.20646095</v>
      </c>
      <c r="D395" s="198" t="s">
        <v>2085</v>
      </c>
      <c r="E395" s="198" t="s">
        <v>2086</v>
      </c>
    </row>
    <row r="396" spans="1:5">
      <c r="A396" s="198">
        <v>414113118</v>
      </c>
      <c r="B396" s="198">
        <v>605079200.20974004</v>
      </c>
      <c r="D396" s="198" t="s">
        <v>2087</v>
      </c>
      <c r="E396" s="198" t="s">
        <v>2088</v>
      </c>
    </row>
    <row r="397" spans="1:5">
      <c r="A397" s="198">
        <v>414170077</v>
      </c>
      <c r="B397" s="198">
        <v>605136159.21035504</v>
      </c>
      <c r="D397" s="198" t="s">
        <v>2089</v>
      </c>
      <c r="E397" s="198" t="s">
        <v>2090</v>
      </c>
    </row>
    <row r="398" spans="1:5">
      <c r="A398" s="198">
        <v>414447343</v>
      </c>
      <c r="B398" s="198">
        <v>605413425.21349001</v>
      </c>
      <c r="D398" s="198" t="s">
        <v>2091</v>
      </c>
      <c r="E398" s="198" t="s">
        <v>2092</v>
      </c>
    </row>
    <row r="399" spans="1:5">
      <c r="A399" s="198">
        <v>414497693</v>
      </c>
      <c r="B399" s="198">
        <v>605463775.21406305</v>
      </c>
      <c r="D399" s="198" t="s">
        <v>2093</v>
      </c>
      <c r="E399" s="198" t="s">
        <v>2094</v>
      </c>
    </row>
    <row r="400" spans="1:5">
      <c r="A400" s="198">
        <v>414630949</v>
      </c>
      <c r="B400" s="198">
        <v>605597031.21555603</v>
      </c>
      <c r="D400" s="198" t="s">
        <v>2095</v>
      </c>
      <c r="E400" s="198" t="s">
        <v>2096</v>
      </c>
    </row>
    <row r="401" spans="1:5">
      <c r="A401" s="198">
        <v>414695706</v>
      </c>
      <c r="B401" s="198">
        <v>605661788.21628797</v>
      </c>
      <c r="D401" s="198" t="s">
        <v>2097</v>
      </c>
      <c r="E401" s="198" t="s">
        <v>2098</v>
      </c>
    </row>
    <row r="402" spans="1:5">
      <c r="A402" s="198">
        <v>414976504</v>
      </c>
      <c r="B402" s="198">
        <v>605942586.219455</v>
      </c>
      <c r="D402" s="198" t="s">
        <v>2099</v>
      </c>
      <c r="E402" s="198" t="s">
        <v>2100</v>
      </c>
    </row>
    <row r="403" spans="1:5">
      <c r="A403" s="198">
        <v>415221366</v>
      </c>
      <c r="B403" s="198">
        <v>606187448.22219896</v>
      </c>
      <c r="D403" s="198" t="s">
        <v>2101</v>
      </c>
      <c r="E403" s="198" t="s">
        <v>2102</v>
      </c>
    </row>
    <row r="404" spans="1:5">
      <c r="A404" s="198">
        <v>415264522</v>
      </c>
      <c r="B404" s="198">
        <v>606230604.22271299</v>
      </c>
      <c r="D404" s="198" t="s">
        <v>2103</v>
      </c>
      <c r="E404" s="198" t="s">
        <v>2104</v>
      </c>
    </row>
    <row r="405" spans="1:5">
      <c r="A405" s="198">
        <v>415476906</v>
      </c>
      <c r="B405" s="198">
        <v>606442988.22509694</v>
      </c>
      <c r="D405" s="198" t="s">
        <v>2105</v>
      </c>
      <c r="E405" s="198" t="s">
        <v>2106</v>
      </c>
    </row>
    <row r="406" spans="1:5">
      <c r="A406" s="198">
        <v>415581313</v>
      </c>
      <c r="B406" s="198">
        <v>606547395.22629702</v>
      </c>
      <c r="D406" s="198" t="s">
        <v>2107</v>
      </c>
      <c r="E406" s="198" t="s">
        <v>2108</v>
      </c>
    </row>
    <row r="407" spans="1:5">
      <c r="A407" s="198">
        <v>415664117</v>
      </c>
      <c r="B407" s="198">
        <v>606630199.22721899</v>
      </c>
      <c r="D407" s="198" t="s">
        <v>2109</v>
      </c>
      <c r="E407" s="198" t="s">
        <v>2110</v>
      </c>
    </row>
    <row r="408" spans="1:5">
      <c r="A408" s="198">
        <v>415754125</v>
      </c>
      <c r="B408" s="198">
        <v>606720207.22824204</v>
      </c>
      <c r="D408" s="198" t="s">
        <v>2111</v>
      </c>
      <c r="E408" s="198" t="s">
        <v>2112</v>
      </c>
    </row>
    <row r="409" spans="1:5">
      <c r="A409" s="198">
        <v>415829726</v>
      </c>
      <c r="B409" s="198">
        <v>606795808.22907901</v>
      </c>
      <c r="D409" s="198" t="s">
        <v>2113</v>
      </c>
      <c r="E409" s="198" t="s">
        <v>2114</v>
      </c>
    </row>
    <row r="410" spans="1:5">
      <c r="A410" s="198">
        <v>415894527</v>
      </c>
      <c r="B410" s="198">
        <v>606860609.229828</v>
      </c>
      <c r="D410" s="198" t="s">
        <v>2115</v>
      </c>
      <c r="E410" s="198" t="s">
        <v>2116</v>
      </c>
    </row>
    <row r="411" spans="1:5">
      <c r="A411" s="198">
        <v>415952125</v>
      </c>
      <c r="B411" s="198">
        <v>606918207.23045897</v>
      </c>
      <c r="D411" s="198" t="s">
        <v>2117</v>
      </c>
      <c r="E411" s="198" t="s">
        <v>2118</v>
      </c>
    </row>
    <row r="412" spans="1:5">
      <c r="A412" s="198">
        <v>416038525</v>
      </c>
      <c r="B412" s="198">
        <v>607004607.23145103</v>
      </c>
      <c r="D412" s="198" t="s">
        <v>2119</v>
      </c>
      <c r="E412" s="198" t="s">
        <v>2120</v>
      </c>
    </row>
    <row r="413" spans="1:5">
      <c r="A413" s="198">
        <v>416186144</v>
      </c>
      <c r="B413" s="198">
        <v>607152226.23312902</v>
      </c>
      <c r="D413" s="198" t="s">
        <v>2121</v>
      </c>
      <c r="E413" s="198" t="s">
        <v>2122</v>
      </c>
    </row>
    <row r="414" spans="1:5">
      <c r="A414" s="198">
        <v>416272549</v>
      </c>
      <c r="B414" s="198">
        <v>607238631.23410904</v>
      </c>
      <c r="D414" s="198" t="s">
        <v>2123</v>
      </c>
      <c r="E414" s="198" t="s">
        <v>2124</v>
      </c>
    </row>
    <row r="415" spans="1:5">
      <c r="A415" s="198">
        <v>416358953</v>
      </c>
      <c r="B415" s="198">
        <v>607325035.23508704</v>
      </c>
      <c r="D415" s="198" t="s">
        <v>2125</v>
      </c>
      <c r="E415" s="198" t="s">
        <v>2126</v>
      </c>
    </row>
    <row r="416" spans="1:5">
      <c r="A416" s="198">
        <v>416416553</v>
      </c>
      <c r="B416" s="198">
        <v>607382635.23572898</v>
      </c>
      <c r="D416" s="198" t="s">
        <v>2127</v>
      </c>
      <c r="E416" s="198" t="s">
        <v>2128</v>
      </c>
    </row>
    <row r="417" spans="1:5">
      <c r="A417" s="198">
        <v>416513755</v>
      </c>
      <c r="B417" s="198">
        <v>607479837.23681605</v>
      </c>
      <c r="D417" s="198" t="s">
        <v>2129</v>
      </c>
      <c r="E417" s="198" t="s">
        <v>2130</v>
      </c>
    </row>
    <row r="418" spans="1:5">
      <c r="A418" s="198">
        <v>416600163</v>
      </c>
      <c r="B418" s="198">
        <v>607566245.23779094</v>
      </c>
      <c r="D418" s="198" t="s">
        <v>2131</v>
      </c>
      <c r="E418" s="198" t="s">
        <v>2132</v>
      </c>
    </row>
    <row r="419" spans="1:5">
      <c r="A419" s="198">
        <v>416790976</v>
      </c>
      <c r="B419" s="198">
        <v>607757058.23999405</v>
      </c>
      <c r="D419" s="198" t="s">
        <v>2133</v>
      </c>
      <c r="E419" s="198" t="s">
        <v>2134</v>
      </c>
    </row>
    <row r="420" spans="1:5">
      <c r="A420" s="198">
        <v>416798165</v>
      </c>
      <c r="B420" s="198">
        <v>607764247.24007404</v>
      </c>
      <c r="D420" s="198" t="s">
        <v>2135</v>
      </c>
      <c r="E420" s="198" t="s">
        <v>2136</v>
      </c>
    </row>
    <row r="421" spans="1:5">
      <c r="A421" s="198">
        <v>416960183</v>
      </c>
      <c r="B421" s="198">
        <v>607926265.24190605</v>
      </c>
      <c r="D421" s="198" t="s">
        <v>2137</v>
      </c>
      <c r="E421" s="198" t="s">
        <v>2138</v>
      </c>
    </row>
    <row r="422" spans="1:5">
      <c r="A422" s="198">
        <v>417042988</v>
      </c>
      <c r="B422" s="198">
        <v>608009070.24284196</v>
      </c>
      <c r="D422" s="198" t="s">
        <v>2139</v>
      </c>
      <c r="E422" s="198" t="s">
        <v>2140</v>
      </c>
    </row>
    <row r="423" spans="1:5">
      <c r="A423" s="198">
        <v>417132992</v>
      </c>
      <c r="B423" s="198">
        <v>608099074.24388099</v>
      </c>
      <c r="D423" s="198" t="s">
        <v>2141</v>
      </c>
      <c r="E423" s="198" t="s">
        <v>2142</v>
      </c>
    </row>
    <row r="424" spans="1:5">
      <c r="A424" s="198">
        <v>417208595</v>
      </c>
      <c r="B424" s="198">
        <v>608174677.24472499</v>
      </c>
      <c r="D424" s="198" t="s">
        <v>2143</v>
      </c>
      <c r="E424" s="198" t="s">
        <v>2144</v>
      </c>
    </row>
    <row r="425" spans="1:5">
      <c r="A425" s="198">
        <v>417298601</v>
      </c>
      <c r="B425" s="198">
        <v>608264683.245749</v>
      </c>
      <c r="D425" s="198" t="s">
        <v>2145</v>
      </c>
      <c r="E425" s="198" t="s">
        <v>2146</v>
      </c>
    </row>
    <row r="426" spans="1:5">
      <c r="A426" s="198">
        <v>417395808</v>
      </c>
      <c r="B426" s="198">
        <v>608361890.24687397</v>
      </c>
      <c r="D426" s="198" t="s">
        <v>2147</v>
      </c>
      <c r="E426" s="198" t="s">
        <v>2148</v>
      </c>
    </row>
    <row r="427" spans="1:5">
      <c r="A427" s="198">
        <v>417475012</v>
      </c>
      <c r="B427" s="198">
        <v>608441094.24776006</v>
      </c>
      <c r="D427" s="198" t="s">
        <v>2149</v>
      </c>
      <c r="E427" s="198" t="s">
        <v>2150</v>
      </c>
    </row>
    <row r="428" spans="1:5">
      <c r="A428" s="198">
        <v>417554212</v>
      </c>
      <c r="B428" s="198">
        <v>608520294.24865699</v>
      </c>
      <c r="D428" s="198" t="s">
        <v>2151</v>
      </c>
      <c r="E428" s="198" t="s">
        <v>2152</v>
      </c>
    </row>
    <row r="429" spans="1:5">
      <c r="A429" s="198">
        <v>417622612</v>
      </c>
      <c r="B429" s="198">
        <v>608588694.24945199</v>
      </c>
      <c r="D429" s="198" t="s">
        <v>2153</v>
      </c>
      <c r="E429" s="198" t="s">
        <v>2154</v>
      </c>
    </row>
    <row r="430" spans="1:5">
      <c r="A430" s="198">
        <v>417734225</v>
      </c>
      <c r="B430" s="198">
        <v>608700307.25073302</v>
      </c>
      <c r="D430" s="198" t="s">
        <v>2155</v>
      </c>
      <c r="E430" s="198" t="s">
        <v>2156</v>
      </c>
    </row>
    <row r="431" spans="1:5">
      <c r="A431" s="198">
        <v>417813428</v>
      </c>
      <c r="B431" s="198">
        <v>608779510.25162697</v>
      </c>
      <c r="D431" s="198" t="s">
        <v>2157</v>
      </c>
      <c r="E431" s="198" t="s">
        <v>2158</v>
      </c>
    </row>
    <row r="432" spans="1:5">
      <c r="A432" s="198">
        <v>417910631</v>
      </c>
      <c r="B432" s="198">
        <v>608876713.25274801</v>
      </c>
      <c r="D432" s="198" t="s">
        <v>2159</v>
      </c>
      <c r="E432" s="198" t="s">
        <v>2160</v>
      </c>
    </row>
    <row r="433" spans="1:5">
      <c r="A433" s="198">
        <v>417989834</v>
      </c>
      <c r="B433" s="198">
        <v>608955916.25364995</v>
      </c>
      <c r="D433" s="198" t="s">
        <v>2161</v>
      </c>
      <c r="E433" s="198" t="s">
        <v>2162</v>
      </c>
    </row>
    <row r="434" spans="1:5">
      <c r="A434" s="198">
        <v>418083444</v>
      </c>
      <c r="B434" s="198">
        <v>609049526.25472796</v>
      </c>
      <c r="D434" s="198" t="s">
        <v>2163</v>
      </c>
      <c r="E434" s="198" t="s">
        <v>2164</v>
      </c>
    </row>
    <row r="435" spans="1:5">
      <c r="A435" s="198">
        <v>418173451</v>
      </c>
      <c r="B435" s="198">
        <v>609139533.255759</v>
      </c>
      <c r="D435" s="198" t="s">
        <v>2165</v>
      </c>
      <c r="E435" s="198" t="s">
        <v>2166</v>
      </c>
    </row>
    <row r="436" spans="1:5">
      <c r="A436" s="198">
        <v>418252649</v>
      </c>
      <c r="B436" s="198">
        <v>609218731.25667298</v>
      </c>
      <c r="D436" s="198" t="s">
        <v>2167</v>
      </c>
      <c r="E436" s="198" t="s">
        <v>2168</v>
      </c>
    </row>
    <row r="437" spans="1:5">
      <c r="A437" s="198">
        <v>418335454</v>
      </c>
      <c r="B437" s="198">
        <v>609301536.25760698</v>
      </c>
      <c r="D437" s="198" t="s">
        <v>2169</v>
      </c>
      <c r="E437" s="198" t="s">
        <v>2170</v>
      </c>
    </row>
    <row r="438" spans="1:5">
      <c r="A438" s="198">
        <v>418429061</v>
      </c>
      <c r="B438" s="198">
        <v>609395143.25869298</v>
      </c>
      <c r="D438" s="198" t="s">
        <v>2171</v>
      </c>
      <c r="E438" s="198" t="s">
        <v>2172</v>
      </c>
    </row>
    <row r="439" spans="1:5">
      <c r="A439" s="198">
        <v>418508262</v>
      </c>
      <c r="B439" s="198">
        <v>609474344.25959396</v>
      </c>
      <c r="D439" s="198" t="s">
        <v>2173</v>
      </c>
      <c r="E439" s="198" t="s">
        <v>2174</v>
      </c>
    </row>
    <row r="440" spans="1:5">
      <c r="A440" s="198">
        <v>418601867</v>
      </c>
      <c r="B440" s="198">
        <v>609567949.26066804</v>
      </c>
      <c r="D440" s="198" t="s">
        <v>2175</v>
      </c>
      <c r="E440" s="198" t="s">
        <v>2176</v>
      </c>
    </row>
    <row r="441" spans="1:5">
      <c r="A441" s="198">
        <v>418673868</v>
      </c>
      <c r="B441" s="198">
        <v>609639950.26148105</v>
      </c>
      <c r="D441" s="198" t="s">
        <v>2177</v>
      </c>
      <c r="E441" s="198" t="s">
        <v>2178</v>
      </c>
    </row>
    <row r="442" spans="1:5">
      <c r="A442" s="198">
        <v>418771076</v>
      </c>
      <c r="B442" s="198">
        <v>609737158.26260495</v>
      </c>
      <c r="D442" s="198" t="s">
        <v>2179</v>
      </c>
      <c r="E442" s="198" t="s">
        <v>2180</v>
      </c>
    </row>
    <row r="443" spans="1:5">
      <c r="A443" s="198">
        <v>418857479</v>
      </c>
      <c r="B443" s="198">
        <v>609823561.26360404</v>
      </c>
      <c r="D443" s="198" t="s">
        <v>2181</v>
      </c>
      <c r="E443" s="198" t="s">
        <v>2182</v>
      </c>
    </row>
    <row r="444" spans="1:5">
      <c r="A444" s="198">
        <v>418918687</v>
      </c>
      <c r="B444" s="198">
        <v>609884769.26429498</v>
      </c>
      <c r="D444" s="198" t="s">
        <v>2183</v>
      </c>
      <c r="E444" s="198" t="s">
        <v>2184</v>
      </c>
    </row>
    <row r="445" spans="1:5">
      <c r="A445" s="198">
        <v>419001482</v>
      </c>
      <c r="B445" s="198">
        <v>609967564.26524198</v>
      </c>
      <c r="D445" s="198" t="s">
        <v>2185</v>
      </c>
      <c r="E445" s="198" t="s">
        <v>2186</v>
      </c>
    </row>
    <row r="446" spans="1:5">
      <c r="A446" s="198">
        <v>419116692</v>
      </c>
      <c r="B446" s="198">
        <v>610082774.26658297</v>
      </c>
      <c r="D446" s="198" t="s">
        <v>2187</v>
      </c>
      <c r="E446" s="198" t="s">
        <v>2188</v>
      </c>
    </row>
    <row r="447" spans="1:5">
      <c r="A447" s="198">
        <v>419296709</v>
      </c>
      <c r="B447" s="198">
        <v>610262791.26865196</v>
      </c>
      <c r="D447" s="198" t="s">
        <v>2189</v>
      </c>
      <c r="E447" s="198" t="s">
        <v>2190</v>
      </c>
    </row>
    <row r="448" spans="1:5">
      <c r="A448" s="198">
        <v>419361497</v>
      </c>
      <c r="B448" s="198">
        <v>610327579.26938701</v>
      </c>
      <c r="D448" s="198" t="s">
        <v>2191</v>
      </c>
      <c r="E448" s="198" t="s">
        <v>2192</v>
      </c>
    </row>
    <row r="449" spans="1:5">
      <c r="A449" s="198">
        <v>419462305</v>
      </c>
      <c r="B449" s="198">
        <v>610428387.27057004</v>
      </c>
      <c r="D449" s="198" t="s">
        <v>2193</v>
      </c>
      <c r="E449" s="198" t="s">
        <v>2194</v>
      </c>
    </row>
    <row r="450" spans="1:5">
      <c r="A450" s="198">
        <v>419537905</v>
      </c>
      <c r="B450" s="198">
        <v>610503987.27142596</v>
      </c>
      <c r="D450" s="198" t="s">
        <v>2195</v>
      </c>
      <c r="E450" s="198" t="s">
        <v>2196</v>
      </c>
    </row>
    <row r="451" spans="1:5">
      <c r="A451" s="198">
        <v>419728739</v>
      </c>
      <c r="B451" s="198">
        <v>610694821.27363598</v>
      </c>
      <c r="D451" s="198" t="s">
        <v>2197</v>
      </c>
      <c r="E451" s="198" t="s">
        <v>2198</v>
      </c>
    </row>
    <row r="452" spans="1:5">
      <c r="A452" s="198">
        <v>419815146</v>
      </c>
      <c r="B452" s="198">
        <v>610781228.274634</v>
      </c>
      <c r="D452" s="198" t="s">
        <v>2199</v>
      </c>
      <c r="E452" s="198" t="s">
        <v>2200</v>
      </c>
    </row>
    <row r="453" spans="1:5">
      <c r="A453" s="198">
        <v>419872736</v>
      </c>
      <c r="B453" s="198">
        <v>610838818.275298</v>
      </c>
      <c r="D453" s="198" t="s">
        <v>2201</v>
      </c>
      <c r="E453" s="198" t="s">
        <v>2202</v>
      </c>
    </row>
    <row r="454" spans="1:5">
      <c r="A454" s="198">
        <v>419987951</v>
      </c>
      <c r="B454" s="198">
        <v>610954033.27662396</v>
      </c>
      <c r="D454" s="198" t="s">
        <v>2203</v>
      </c>
      <c r="E454" s="198" t="s">
        <v>2204</v>
      </c>
    </row>
    <row r="455" spans="1:5">
      <c r="A455" s="198">
        <v>420074357</v>
      </c>
      <c r="B455" s="198">
        <v>611040439.277632</v>
      </c>
      <c r="D455" s="198" t="s">
        <v>2205</v>
      </c>
      <c r="E455" s="198" t="s">
        <v>2206</v>
      </c>
    </row>
    <row r="456" spans="1:5">
      <c r="A456" s="198">
        <v>420146328</v>
      </c>
      <c r="B456" s="198">
        <v>611112410.27844405</v>
      </c>
      <c r="D456" s="198" t="s">
        <v>2207</v>
      </c>
      <c r="E456" s="198" t="s">
        <v>2208</v>
      </c>
    </row>
    <row r="457" spans="1:5">
      <c r="A457" s="198">
        <v>420239933</v>
      </c>
      <c r="B457" s="198">
        <v>611206015.27952802</v>
      </c>
      <c r="D457" s="198" t="s">
        <v>2209</v>
      </c>
      <c r="E457" s="198" t="s">
        <v>2210</v>
      </c>
    </row>
    <row r="458" spans="1:5">
      <c r="A458" s="198">
        <v>420333566</v>
      </c>
      <c r="B458" s="198">
        <v>611299648.28062797</v>
      </c>
      <c r="D458" s="198" t="s">
        <v>2211</v>
      </c>
      <c r="E458" s="198" t="s">
        <v>2212</v>
      </c>
    </row>
    <row r="459" spans="1:5">
      <c r="A459" s="198">
        <v>420416352</v>
      </c>
      <c r="B459" s="198">
        <v>611382434.28157604</v>
      </c>
      <c r="D459" s="198" t="s">
        <v>2213</v>
      </c>
      <c r="E459" s="198" t="s">
        <v>2214</v>
      </c>
    </row>
    <row r="460" spans="1:5">
      <c r="A460" s="198">
        <v>420488336</v>
      </c>
      <c r="B460" s="198">
        <v>611454418.28239298</v>
      </c>
      <c r="D460" s="198" t="s">
        <v>2215</v>
      </c>
      <c r="E460" s="198" t="s">
        <v>2216</v>
      </c>
    </row>
    <row r="461" spans="1:5">
      <c r="A461" s="198">
        <v>420581942</v>
      </c>
      <c r="B461" s="198">
        <v>611548024.28350306</v>
      </c>
      <c r="D461" s="198" t="s">
        <v>2217</v>
      </c>
      <c r="E461" s="198" t="s">
        <v>2218</v>
      </c>
    </row>
    <row r="462" spans="1:5">
      <c r="A462" s="198">
        <v>420671949</v>
      </c>
      <c r="B462" s="198">
        <v>611638031.28454006</v>
      </c>
      <c r="D462" s="198" t="s">
        <v>2219</v>
      </c>
      <c r="E462" s="198" t="s">
        <v>2220</v>
      </c>
    </row>
    <row r="463" spans="1:5">
      <c r="A463" s="198">
        <v>420743945</v>
      </c>
      <c r="B463" s="198">
        <v>611710027.28535497</v>
      </c>
      <c r="D463" s="198" t="s">
        <v>2221</v>
      </c>
      <c r="E463" s="198" t="s">
        <v>2222</v>
      </c>
    </row>
    <row r="464" spans="1:5">
      <c r="A464" s="198">
        <v>420833949</v>
      </c>
      <c r="B464" s="198">
        <v>611800031.28640199</v>
      </c>
      <c r="D464" s="198" t="s">
        <v>2223</v>
      </c>
      <c r="E464" s="198" t="s">
        <v>2224</v>
      </c>
    </row>
    <row r="465" spans="1:5">
      <c r="A465" s="198">
        <v>420934782</v>
      </c>
      <c r="B465" s="198">
        <v>611900864.28758204</v>
      </c>
      <c r="D465" s="198" t="s">
        <v>2225</v>
      </c>
      <c r="E465" s="198" t="s">
        <v>2226</v>
      </c>
    </row>
    <row r="466" spans="1:5">
      <c r="A466" s="198">
        <v>421021176</v>
      </c>
      <c r="B466" s="198">
        <v>611987258.28858805</v>
      </c>
      <c r="D466" s="198" t="s">
        <v>2227</v>
      </c>
      <c r="E466" s="198" t="s">
        <v>2228</v>
      </c>
    </row>
    <row r="467" spans="1:5">
      <c r="A467" s="198">
        <v>421078771</v>
      </c>
      <c r="B467" s="198">
        <v>612044853.28925002</v>
      </c>
      <c r="D467" s="198" t="s">
        <v>2229</v>
      </c>
      <c r="E467" s="198" t="s">
        <v>2230</v>
      </c>
    </row>
    <row r="468" spans="1:5">
      <c r="A468" s="198">
        <v>421193985</v>
      </c>
      <c r="B468" s="198">
        <v>612160067.29060102</v>
      </c>
      <c r="D468" s="198" t="s">
        <v>2231</v>
      </c>
      <c r="E468" s="198" t="s">
        <v>2232</v>
      </c>
    </row>
    <row r="469" spans="1:5">
      <c r="A469" s="198">
        <v>421276768</v>
      </c>
      <c r="B469" s="198">
        <v>612242850.29155397</v>
      </c>
      <c r="D469" s="198" t="s">
        <v>2233</v>
      </c>
      <c r="E469" s="198" t="s">
        <v>2234</v>
      </c>
    </row>
    <row r="470" spans="1:5">
      <c r="A470" s="198">
        <v>421366784</v>
      </c>
      <c r="B470" s="198">
        <v>612332866.292593</v>
      </c>
      <c r="D470" s="198" t="s">
        <v>2235</v>
      </c>
      <c r="E470" s="198" t="s">
        <v>2236</v>
      </c>
    </row>
    <row r="471" spans="1:5">
      <c r="A471" s="198">
        <v>421539587</v>
      </c>
      <c r="B471" s="198">
        <v>612505669.294613</v>
      </c>
      <c r="D471" s="198" t="s">
        <v>2237</v>
      </c>
      <c r="E471" s="198" t="s">
        <v>2238</v>
      </c>
    </row>
    <row r="472" spans="1:5">
      <c r="A472" s="198">
        <v>421625995</v>
      </c>
      <c r="B472" s="198">
        <v>612592077.29561305</v>
      </c>
      <c r="D472" s="198" t="s">
        <v>2239</v>
      </c>
      <c r="E472" s="198" t="s">
        <v>2240</v>
      </c>
    </row>
    <row r="473" spans="1:5">
      <c r="A473" s="198">
        <v>421701565</v>
      </c>
      <c r="B473" s="198">
        <v>612667647.29648399</v>
      </c>
      <c r="D473" s="198" t="s">
        <v>2241</v>
      </c>
      <c r="E473" s="198" t="s">
        <v>2242</v>
      </c>
    </row>
    <row r="474" spans="1:5">
      <c r="A474" s="198">
        <v>421798792</v>
      </c>
      <c r="B474" s="198">
        <v>612764874.297611</v>
      </c>
      <c r="D474" s="198" t="s">
        <v>2243</v>
      </c>
      <c r="E474" s="198" t="s">
        <v>2244</v>
      </c>
    </row>
    <row r="475" spans="1:5">
      <c r="A475" s="198">
        <v>421881576</v>
      </c>
      <c r="B475" s="198">
        <v>612847658.29858601</v>
      </c>
      <c r="D475" s="198" t="s">
        <v>2245</v>
      </c>
      <c r="E475" s="198" t="s">
        <v>2246</v>
      </c>
    </row>
    <row r="476" spans="1:5">
      <c r="A476" s="198">
        <v>421967976</v>
      </c>
      <c r="B476" s="198">
        <v>612934058.29958403</v>
      </c>
      <c r="D476" s="198" t="s">
        <v>2247</v>
      </c>
      <c r="E476" s="198" t="s">
        <v>2248</v>
      </c>
    </row>
    <row r="477" spans="1:5">
      <c r="A477" s="198">
        <v>422025588</v>
      </c>
      <c r="B477" s="198">
        <v>612991670.30024803</v>
      </c>
      <c r="D477" s="198" t="s">
        <v>2249</v>
      </c>
      <c r="E477" s="198" t="s">
        <v>2250</v>
      </c>
    </row>
    <row r="478" spans="1:5">
      <c r="A478" s="198">
        <v>422140781</v>
      </c>
      <c r="B478" s="198">
        <v>613106863.30160105</v>
      </c>
      <c r="D478" s="198" t="s">
        <v>2251</v>
      </c>
      <c r="E478" s="198" t="s">
        <v>2252</v>
      </c>
    </row>
    <row r="479" spans="1:5">
      <c r="A479" s="198">
        <v>422198391</v>
      </c>
      <c r="B479" s="198">
        <v>613164473.30226004</v>
      </c>
      <c r="D479" s="198" t="s">
        <v>2253</v>
      </c>
      <c r="E479" s="198" t="s">
        <v>2254</v>
      </c>
    </row>
    <row r="480" spans="1:5">
      <c r="A480" s="198">
        <v>422320857</v>
      </c>
      <c r="B480" s="198">
        <v>613286939.30367303</v>
      </c>
      <c r="D480" s="198" t="s">
        <v>2255</v>
      </c>
      <c r="E480" s="198" t="s">
        <v>2256</v>
      </c>
    </row>
    <row r="481" spans="1:5">
      <c r="A481" s="198">
        <v>422385566</v>
      </c>
      <c r="B481" s="198">
        <v>613351648.30444098</v>
      </c>
      <c r="D481" s="198" t="s">
        <v>2257</v>
      </c>
      <c r="E481" s="198" t="s">
        <v>2258</v>
      </c>
    </row>
    <row r="482" spans="1:5">
      <c r="A482" s="198">
        <v>422468367</v>
      </c>
      <c r="B482" s="198">
        <v>613434449.30538797</v>
      </c>
      <c r="D482" s="198" t="s">
        <v>2259</v>
      </c>
      <c r="E482" s="198" t="s">
        <v>2260</v>
      </c>
    </row>
    <row r="483" spans="1:5">
      <c r="A483" s="198">
        <v>422572792</v>
      </c>
      <c r="B483" s="198">
        <v>613538874.30663097</v>
      </c>
      <c r="D483" s="198" t="s">
        <v>2261</v>
      </c>
      <c r="E483" s="198" t="s">
        <v>2262</v>
      </c>
    </row>
    <row r="484" spans="1:5">
      <c r="A484" s="198">
        <v>422641166</v>
      </c>
      <c r="B484" s="198">
        <v>613607248.30741501</v>
      </c>
      <c r="D484" s="198" t="s">
        <v>2263</v>
      </c>
      <c r="E484" s="198" t="s">
        <v>2264</v>
      </c>
    </row>
    <row r="485" spans="1:5">
      <c r="A485" s="198">
        <v>422745594</v>
      </c>
      <c r="B485" s="198">
        <v>613711676.30864704</v>
      </c>
      <c r="D485" s="198" t="s">
        <v>2265</v>
      </c>
      <c r="E485" s="198" t="s">
        <v>2266</v>
      </c>
    </row>
    <row r="486" spans="1:5">
      <c r="A486" s="198">
        <v>422792364</v>
      </c>
      <c r="B486" s="198">
        <v>613758446.30916595</v>
      </c>
      <c r="D486" s="198" t="s">
        <v>2267</v>
      </c>
      <c r="E486" s="198" t="s">
        <v>2268</v>
      </c>
    </row>
    <row r="487" spans="1:5">
      <c r="A487" s="198">
        <v>422918397</v>
      </c>
      <c r="B487" s="198">
        <v>613884479.31065404</v>
      </c>
      <c r="D487" s="198" t="s">
        <v>2269</v>
      </c>
      <c r="E487" s="198" t="s">
        <v>2270</v>
      </c>
    </row>
    <row r="488" spans="1:5">
      <c r="A488" s="198">
        <v>422972384</v>
      </c>
      <c r="B488" s="198">
        <v>613938466.311288</v>
      </c>
      <c r="D488" s="198" t="s">
        <v>2271</v>
      </c>
      <c r="E488" s="198" t="s">
        <v>2272</v>
      </c>
    </row>
    <row r="489" spans="1:5">
      <c r="A489" s="198">
        <v>423058783</v>
      </c>
      <c r="B489" s="198">
        <v>614024865.31228495</v>
      </c>
      <c r="D489" s="198" t="s">
        <v>2273</v>
      </c>
      <c r="E489" s="198" t="s">
        <v>2274</v>
      </c>
    </row>
    <row r="490" spans="1:5">
      <c r="A490" s="198">
        <v>423177589</v>
      </c>
      <c r="B490" s="198">
        <v>614143671.31367302</v>
      </c>
      <c r="D490" s="198" t="s">
        <v>2275</v>
      </c>
      <c r="E490" s="198" t="s">
        <v>2276</v>
      </c>
    </row>
    <row r="491" spans="1:5">
      <c r="A491" s="198">
        <v>423231582</v>
      </c>
      <c r="B491" s="198">
        <v>614197664.31430101</v>
      </c>
      <c r="D491" s="198" t="s">
        <v>2277</v>
      </c>
      <c r="E491" s="198" t="s">
        <v>2278</v>
      </c>
    </row>
    <row r="492" spans="1:5">
      <c r="A492" s="198">
        <v>423317978</v>
      </c>
      <c r="B492" s="198">
        <v>614284060.31531203</v>
      </c>
      <c r="D492" s="198" t="s">
        <v>2279</v>
      </c>
      <c r="E492" s="198" t="s">
        <v>2280</v>
      </c>
    </row>
    <row r="493" spans="1:5">
      <c r="A493" s="198">
        <v>423422358</v>
      </c>
      <c r="B493" s="198">
        <v>614388440.31653094</v>
      </c>
      <c r="D493" s="198" t="s">
        <v>2281</v>
      </c>
      <c r="E493" s="198" t="s">
        <v>2282</v>
      </c>
    </row>
    <row r="494" spans="1:5">
      <c r="A494" s="198">
        <v>423508756</v>
      </c>
      <c r="B494" s="198">
        <v>614474838.31752706</v>
      </c>
      <c r="D494" s="198" t="s">
        <v>2283</v>
      </c>
      <c r="E494" s="198" t="s">
        <v>2284</v>
      </c>
    </row>
    <row r="495" spans="1:5">
      <c r="A495" s="198">
        <v>423606027</v>
      </c>
      <c r="B495" s="198">
        <v>614572109.31868196</v>
      </c>
      <c r="D495" s="198" t="s">
        <v>2285</v>
      </c>
      <c r="E495" s="198" t="s">
        <v>2286</v>
      </c>
    </row>
    <row r="496" spans="1:5">
      <c r="A496" s="198">
        <v>423692376</v>
      </c>
      <c r="B496" s="198">
        <v>614658458.31967402</v>
      </c>
      <c r="D496" s="198" t="s">
        <v>2287</v>
      </c>
      <c r="E496" s="198" t="s">
        <v>2288</v>
      </c>
    </row>
    <row r="497" spans="1:5">
      <c r="A497" s="198">
        <v>423749974</v>
      </c>
      <c r="B497" s="198">
        <v>614716056.32036102</v>
      </c>
      <c r="D497" s="198" t="s">
        <v>2289</v>
      </c>
      <c r="E497" s="198" t="s">
        <v>2290</v>
      </c>
    </row>
    <row r="498" spans="1:5">
      <c r="A498" s="198">
        <v>423865175</v>
      </c>
      <c r="B498" s="198">
        <v>614831257.32170904</v>
      </c>
      <c r="D498" s="198" t="s">
        <v>2291</v>
      </c>
      <c r="E498" s="198" t="s">
        <v>2292</v>
      </c>
    </row>
    <row r="499" spans="1:5">
      <c r="A499" s="198">
        <v>424037973</v>
      </c>
      <c r="B499" s="198">
        <v>615004055.32371402</v>
      </c>
      <c r="D499" s="198" t="s">
        <v>2293</v>
      </c>
      <c r="E499" s="198" t="s">
        <v>2294</v>
      </c>
    </row>
    <row r="500" spans="1:5">
      <c r="A500" s="198">
        <v>424091962</v>
      </c>
      <c r="B500" s="198">
        <v>615058044.32434702</v>
      </c>
      <c r="D500" s="198" t="s">
        <v>2295</v>
      </c>
      <c r="E500" s="198" t="s">
        <v>2296</v>
      </c>
    </row>
    <row r="501" spans="1:5">
      <c r="A501" s="198">
        <v>424210769</v>
      </c>
      <c r="B501" s="198">
        <v>615176851.32572997</v>
      </c>
      <c r="D501" s="198" t="s">
        <v>2297</v>
      </c>
      <c r="E501" s="198" t="s">
        <v>2298</v>
      </c>
    </row>
    <row r="502" spans="1:5">
      <c r="A502" s="198">
        <v>424289941</v>
      </c>
      <c r="B502" s="198">
        <v>615256023.326653</v>
      </c>
      <c r="D502" s="198" t="s">
        <v>2299</v>
      </c>
      <c r="E502" s="198" t="s">
        <v>2300</v>
      </c>
    </row>
    <row r="503" spans="1:5">
      <c r="A503" s="198">
        <v>424379943</v>
      </c>
      <c r="B503" s="198">
        <v>615346025.32771504</v>
      </c>
      <c r="D503" s="198" t="s">
        <v>2301</v>
      </c>
      <c r="E503" s="198" t="s">
        <v>2302</v>
      </c>
    </row>
    <row r="504" spans="1:5">
      <c r="A504" s="198">
        <v>424459130</v>
      </c>
      <c r="B504" s="198">
        <v>615425212.32863498</v>
      </c>
      <c r="D504" s="198" t="s">
        <v>2303</v>
      </c>
      <c r="E504" s="198" t="s">
        <v>2304</v>
      </c>
    </row>
    <row r="505" spans="1:5">
      <c r="A505" s="198">
        <v>424523947</v>
      </c>
      <c r="B505" s="198">
        <v>615490029.32937503</v>
      </c>
      <c r="D505" s="198" t="s">
        <v>2305</v>
      </c>
      <c r="E505" s="198" t="s">
        <v>2306</v>
      </c>
    </row>
    <row r="506" spans="1:5">
      <c r="A506" s="198">
        <v>424653602</v>
      </c>
      <c r="B506" s="198">
        <v>615619684.33089602</v>
      </c>
      <c r="D506" s="198" t="s">
        <v>2307</v>
      </c>
      <c r="E506" s="198" t="s">
        <v>2308</v>
      </c>
    </row>
    <row r="507" spans="1:5">
      <c r="A507" s="198">
        <v>424718318</v>
      </c>
      <c r="B507" s="198">
        <v>615684400.33165205</v>
      </c>
      <c r="D507" s="198" t="s">
        <v>2309</v>
      </c>
      <c r="E507" s="198" t="s">
        <v>2310</v>
      </c>
    </row>
    <row r="508" spans="1:5">
      <c r="A508" s="198">
        <v>424811942</v>
      </c>
      <c r="B508" s="198">
        <v>615778024.33275604</v>
      </c>
      <c r="D508" s="198" t="s">
        <v>2311</v>
      </c>
      <c r="E508" s="198" t="s">
        <v>2312</v>
      </c>
    </row>
    <row r="509" spans="1:5">
      <c r="A509" s="198">
        <v>424912784</v>
      </c>
      <c r="B509" s="198">
        <v>615878866.333884</v>
      </c>
      <c r="D509" s="198" t="s">
        <v>2313</v>
      </c>
      <c r="E509" s="198" t="s">
        <v>2314</v>
      </c>
    </row>
    <row r="510" spans="1:5">
      <c r="A510" s="198">
        <v>424955929</v>
      </c>
      <c r="B510" s="198">
        <v>615922011.33443105</v>
      </c>
      <c r="D510" s="198" t="s">
        <v>2315</v>
      </c>
      <c r="E510" s="198" t="s">
        <v>2316</v>
      </c>
    </row>
    <row r="511" spans="1:5">
      <c r="A511" s="198">
        <v>425067514</v>
      </c>
      <c r="B511" s="198">
        <v>616033596.33572495</v>
      </c>
      <c r="D511" s="198" t="s">
        <v>2317</v>
      </c>
      <c r="E511" s="198" t="s">
        <v>2318</v>
      </c>
    </row>
    <row r="512" spans="1:5">
      <c r="A512" s="198">
        <v>425171978</v>
      </c>
      <c r="B512" s="198">
        <v>616138060.336941</v>
      </c>
      <c r="D512" s="198" t="s">
        <v>2319</v>
      </c>
      <c r="E512" s="198" t="s">
        <v>2320</v>
      </c>
    </row>
    <row r="513" spans="1:5">
      <c r="A513" s="198">
        <v>425243910</v>
      </c>
      <c r="B513" s="198">
        <v>616209992.33779204</v>
      </c>
      <c r="D513" s="198" t="s">
        <v>2321</v>
      </c>
      <c r="E513" s="198" t="s">
        <v>2322</v>
      </c>
    </row>
    <row r="514" spans="1:5">
      <c r="A514" s="198">
        <v>425315890</v>
      </c>
      <c r="B514" s="198">
        <v>616281972.33863199</v>
      </c>
      <c r="D514" s="198" t="s">
        <v>2323</v>
      </c>
      <c r="E514" s="198" t="s">
        <v>2324</v>
      </c>
    </row>
    <row r="515" spans="1:5">
      <c r="A515" s="198">
        <v>425384295</v>
      </c>
      <c r="B515" s="198">
        <v>616350377.33942294</v>
      </c>
      <c r="D515" s="198" t="s">
        <v>2325</v>
      </c>
      <c r="E515" s="198" t="s">
        <v>2326</v>
      </c>
    </row>
    <row r="516" spans="1:5">
      <c r="A516" s="198">
        <v>425517563</v>
      </c>
      <c r="B516" s="198">
        <v>616483645.34098399</v>
      </c>
      <c r="D516" s="198" t="s">
        <v>2327</v>
      </c>
      <c r="E516" s="198" t="s">
        <v>2328</v>
      </c>
    </row>
    <row r="517" spans="1:5">
      <c r="A517" s="198">
        <v>425582277</v>
      </c>
      <c r="B517" s="198">
        <v>616548359.34174204</v>
      </c>
      <c r="D517" s="198" t="s">
        <v>2329</v>
      </c>
      <c r="E517" s="198" t="s">
        <v>2330</v>
      </c>
    </row>
    <row r="518" spans="1:5">
      <c r="A518" s="198">
        <v>425661467</v>
      </c>
      <c r="B518" s="198">
        <v>616627549.34265494</v>
      </c>
      <c r="D518" s="198" t="s">
        <v>2331</v>
      </c>
      <c r="E518" s="198" t="s">
        <v>2332</v>
      </c>
    </row>
    <row r="519" spans="1:5">
      <c r="A519" s="198">
        <v>425751465</v>
      </c>
      <c r="B519" s="198">
        <v>616717547.34370995</v>
      </c>
      <c r="D519" s="198" t="s">
        <v>2333</v>
      </c>
      <c r="E519" s="198" t="s">
        <v>2334</v>
      </c>
    </row>
    <row r="520" spans="1:5">
      <c r="A520" s="198">
        <v>425845076</v>
      </c>
      <c r="B520" s="198">
        <v>616811158.34481502</v>
      </c>
      <c r="D520" s="198" t="s">
        <v>2335</v>
      </c>
      <c r="E520" s="198" t="s">
        <v>2336</v>
      </c>
    </row>
    <row r="521" spans="1:5">
      <c r="A521" s="198">
        <v>425924255</v>
      </c>
      <c r="B521" s="198">
        <v>616890337.34573805</v>
      </c>
      <c r="D521" s="198" t="s">
        <v>2337</v>
      </c>
      <c r="E521" s="198" t="s">
        <v>2338</v>
      </c>
    </row>
    <row r="522" spans="1:5">
      <c r="A522" s="198">
        <v>426104256</v>
      </c>
      <c r="B522" s="198">
        <v>617070338.34783399</v>
      </c>
      <c r="D522" s="198" t="s">
        <v>2339</v>
      </c>
      <c r="E522" s="198" t="s">
        <v>2340</v>
      </c>
    </row>
    <row r="523" spans="1:5">
      <c r="A523" s="198">
        <v>426161856</v>
      </c>
      <c r="B523" s="198">
        <v>617127938.34851003</v>
      </c>
      <c r="D523" s="198" t="s">
        <v>2341</v>
      </c>
      <c r="E523" s="198" t="s">
        <v>2342</v>
      </c>
    </row>
    <row r="524" spans="1:5">
      <c r="A524" s="198">
        <v>426295103</v>
      </c>
      <c r="B524" s="198">
        <v>617261185.35003996</v>
      </c>
      <c r="D524" s="198" t="s">
        <v>2343</v>
      </c>
      <c r="E524" s="198" t="s">
        <v>2344</v>
      </c>
    </row>
    <row r="525" spans="1:5">
      <c r="A525" s="198">
        <v>426356226</v>
      </c>
      <c r="B525" s="198">
        <v>617322308.35076499</v>
      </c>
      <c r="D525" s="198" t="s">
        <v>2345</v>
      </c>
      <c r="E525" s="198" t="s">
        <v>2346</v>
      </c>
    </row>
    <row r="526" spans="1:5">
      <c r="A526" s="198">
        <v>426446227</v>
      </c>
      <c r="B526" s="198">
        <v>617412309.35182905</v>
      </c>
      <c r="D526" s="198" t="s">
        <v>2347</v>
      </c>
      <c r="E526" s="198" t="s">
        <v>2348</v>
      </c>
    </row>
    <row r="527" spans="1:5">
      <c r="A527" s="198">
        <v>426507428</v>
      </c>
      <c r="B527" s="198">
        <v>617473510.352525</v>
      </c>
      <c r="D527" s="198" t="s">
        <v>2349</v>
      </c>
      <c r="E527" s="198" t="s">
        <v>2350</v>
      </c>
    </row>
    <row r="528" spans="1:5">
      <c r="A528" s="198">
        <v>426611802</v>
      </c>
      <c r="B528" s="198">
        <v>617577884.35374999</v>
      </c>
      <c r="D528" s="198" t="s">
        <v>2351</v>
      </c>
      <c r="E528" s="198" t="s">
        <v>2352</v>
      </c>
    </row>
    <row r="529" spans="1:5">
      <c r="A529" s="198">
        <v>426709018</v>
      </c>
      <c r="B529" s="198">
        <v>617675100.35488296</v>
      </c>
      <c r="D529" s="198" t="s">
        <v>2353</v>
      </c>
      <c r="E529" s="198" t="s">
        <v>2354</v>
      </c>
    </row>
    <row r="530" spans="1:5">
      <c r="A530" s="198">
        <v>426780985</v>
      </c>
      <c r="B530" s="198">
        <v>617747067.35570705</v>
      </c>
      <c r="D530" s="198" t="s">
        <v>2355</v>
      </c>
      <c r="E530" s="198" t="s">
        <v>2356</v>
      </c>
    </row>
    <row r="531" spans="1:5">
      <c r="A531" s="198">
        <v>426874583</v>
      </c>
      <c r="B531" s="198">
        <v>617840665.35680997</v>
      </c>
      <c r="D531" s="198" t="s">
        <v>2357</v>
      </c>
      <c r="E531" s="198" t="s">
        <v>2358</v>
      </c>
    </row>
    <row r="532" spans="1:5">
      <c r="A532" s="198">
        <v>426935794</v>
      </c>
      <c r="B532" s="198">
        <v>617901876.35750699</v>
      </c>
      <c r="D532" s="198" t="s">
        <v>2359</v>
      </c>
      <c r="E532" s="198" t="s">
        <v>2360</v>
      </c>
    </row>
    <row r="533" spans="1:5">
      <c r="A533" s="198">
        <v>427040164</v>
      </c>
      <c r="B533" s="198">
        <v>618006246.35871994</v>
      </c>
      <c r="D533" s="198" t="s">
        <v>2361</v>
      </c>
      <c r="E533" s="198" t="s">
        <v>2362</v>
      </c>
    </row>
    <row r="534" spans="1:5">
      <c r="A534" s="198">
        <v>427159041</v>
      </c>
      <c r="B534" s="198">
        <v>618125123.36009002</v>
      </c>
      <c r="D534" s="198" t="s">
        <v>2363</v>
      </c>
      <c r="E534" s="198" t="s">
        <v>2364</v>
      </c>
    </row>
    <row r="535" spans="1:5">
      <c r="A535" s="198">
        <v>427245436</v>
      </c>
      <c r="B535" s="198">
        <v>618211518.361094</v>
      </c>
      <c r="D535" s="198" t="s">
        <v>2365</v>
      </c>
      <c r="E535" s="198" t="s">
        <v>2366</v>
      </c>
    </row>
    <row r="536" spans="1:5">
      <c r="A536" s="198">
        <v>427310163</v>
      </c>
      <c r="B536" s="198">
        <v>618276245.36188102</v>
      </c>
      <c r="D536" s="198" t="s">
        <v>2367</v>
      </c>
      <c r="E536" s="198" t="s">
        <v>2368</v>
      </c>
    </row>
    <row r="537" spans="1:5">
      <c r="A537" s="198">
        <v>427367760</v>
      </c>
      <c r="B537" s="198">
        <v>618333842.36255002</v>
      </c>
      <c r="D537" s="198" t="s">
        <v>2369</v>
      </c>
      <c r="E537" s="198" t="s">
        <v>2370</v>
      </c>
    </row>
    <row r="538" spans="1:5">
      <c r="A538" s="198">
        <v>427504604</v>
      </c>
      <c r="B538" s="198">
        <v>618470686.36414397</v>
      </c>
      <c r="D538" s="198" t="s">
        <v>2371</v>
      </c>
      <c r="E538" s="198" t="s">
        <v>2372</v>
      </c>
    </row>
    <row r="539" spans="1:5">
      <c r="A539" s="198">
        <v>427562120</v>
      </c>
      <c r="B539" s="198">
        <v>618528202.36480606</v>
      </c>
      <c r="D539" s="198" t="s">
        <v>2373</v>
      </c>
      <c r="E539" s="198" t="s">
        <v>2374</v>
      </c>
    </row>
    <row r="540" spans="1:5">
      <c r="A540" s="198">
        <v>427652119</v>
      </c>
      <c r="B540" s="198">
        <v>618618201.36584997</v>
      </c>
      <c r="D540" s="198" t="s">
        <v>2375</v>
      </c>
      <c r="E540" s="198" t="s">
        <v>2376</v>
      </c>
    </row>
    <row r="541" spans="1:5">
      <c r="A541" s="198">
        <v>427734906</v>
      </c>
      <c r="B541" s="198">
        <v>618700988.36681104</v>
      </c>
      <c r="D541" s="198" t="s">
        <v>2377</v>
      </c>
      <c r="E541" s="198" t="s">
        <v>2378</v>
      </c>
    </row>
    <row r="542" spans="1:5">
      <c r="A542" s="198">
        <v>427850167</v>
      </c>
      <c r="B542" s="198">
        <v>618816249.36815405</v>
      </c>
      <c r="D542" s="198" t="s">
        <v>2379</v>
      </c>
      <c r="E542" s="198" t="s">
        <v>2380</v>
      </c>
    </row>
    <row r="543" spans="1:5">
      <c r="A543" s="198">
        <v>427936558</v>
      </c>
      <c r="B543" s="198">
        <v>618902640.36913705</v>
      </c>
      <c r="D543" s="198" t="s">
        <v>2381</v>
      </c>
      <c r="E543" s="198" t="s">
        <v>2382</v>
      </c>
    </row>
    <row r="544" spans="1:5">
      <c r="A544" s="198">
        <v>427997681</v>
      </c>
      <c r="B544" s="198">
        <v>618963763.36987197</v>
      </c>
      <c r="D544" s="198" t="s">
        <v>2383</v>
      </c>
      <c r="E544" s="198" t="s">
        <v>2384</v>
      </c>
    </row>
    <row r="545" spans="1:5">
      <c r="A545" s="198">
        <v>428076868</v>
      </c>
      <c r="B545" s="198">
        <v>619042950.37077796</v>
      </c>
      <c r="D545" s="198" t="s">
        <v>2385</v>
      </c>
      <c r="E545" s="198" t="s">
        <v>2386</v>
      </c>
    </row>
    <row r="546" spans="1:5">
      <c r="A546" s="198">
        <v>428170468</v>
      </c>
      <c r="B546" s="198">
        <v>619136550.37186599</v>
      </c>
      <c r="D546" s="198" t="s">
        <v>2387</v>
      </c>
      <c r="E546" s="198" t="s">
        <v>2388</v>
      </c>
    </row>
    <row r="547" spans="1:5">
      <c r="A547" s="198">
        <v>428256860</v>
      </c>
      <c r="B547" s="198">
        <v>619222942.37288105</v>
      </c>
      <c r="D547" s="198" t="s">
        <v>2389</v>
      </c>
      <c r="E547" s="198" t="s">
        <v>2390</v>
      </c>
    </row>
    <row r="548" spans="1:5">
      <c r="A548" s="198">
        <v>428343253</v>
      </c>
      <c r="B548" s="198">
        <v>619309335.373873</v>
      </c>
      <c r="D548" s="198" t="s">
        <v>2391</v>
      </c>
      <c r="E548" s="198" t="s">
        <v>2392</v>
      </c>
    </row>
    <row r="549" spans="1:5">
      <c r="A549" s="198">
        <v>428426034</v>
      </c>
      <c r="B549" s="198">
        <v>619392116.37482703</v>
      </c>
      <c r="D549" s="198" t="s">
        <v>2393</v>
      </c>
      <c r="E549" s="198" t="s">
        <v>2394</v>
      </c>
    </row>
    <row r="550" spans="1:5">
      <c r="A550" s="198">
        <v>428487242</v>
      </c>
      <c r="B550" s="198">
        <v>619453324.37555206</v>
      </c>
      <c r="D550" s="198" t="s">
        <v>2395</v>
      </c>
      <c r="E550" s="198" t="s">
        <v>2396</v>
      </c>
    </row>
    <row r="551" spans="1:5">
      <c r="A551" s="198">
        <v>428602427</v>
      </c>
      <c r="B551" s="198">
        <v>619568509.37688899</v>
      </c>
      <c r="D551" s="198" t="s">
        <v>2397</v>
      </c>
      <c r="E551" s="198" t="s">
        <v>2398</v>
      </c>
    </row>
    <row r="552" spans="1:5">
      <c r="A552" s="198">
        <v>428714072</v>
      </c>
      <c r="B552" s="198">
        <v>619680154.37819195</v>
      </c>
      <c r="D552" s="198" t="s">
        <v>2399</v>
      </c>
      <c r="E552" s="198" t="s">
        <v>2400</v>
      </c>
    </row>
    <row r="553" spans="1:5">
      <c r="A553" s="198">
        <v>428800404</v>
      </c>
      <c r="B553" s="198">
        <v>619766486.37917101</v>
      </c>
      <c r="D553" s="198" t="s">
        <v>2401</v>
      </c>
      <c r="E553" s="198" t="s">
        <v>2402</v>
      </c>
    </row>
    <row r="554" spans="1:5">
      <c r="A554" s="198">
        <v>428861597</v>
      </c>
      <c r="B554" s="198">
        <v>619827679.37987196</v>
      </c>
      <c r="D554" s="198" t="s">
        <v>2403</v>
      </c>
      <c r="E554" s="198" t="s">
        <v>2404</v>
      </c>
    </row>
    <row r="555" spans="1:5">
      <c r="A555" s="198">
        <v>428973249</v>
      </c>
      <c r="B555" s="198">
        <v>619939331.38112998</v>
      </c>
      <c r="D555" s="198" t="s">
        <v>2405</v>
      </c>
      <c r="E555" s="198" t="s">
        <v>2406</v>
      </c>
    </row>
    <row r="556" spans="1:5">
      <c r="A556" s="198">
        <v>429030775</v>
      </c>
      <c r="B556" s="198">
        <v>619996857.38182998</v>
      </c>
      <c r="D556" s="198" t="s">
        <v>2407</v>
      </c>
      <c r="E556" s="198" t="s">
        <v>2408</v>
      </c>
    </row>
    <row r="557" spans="1:5">
      <c r="A557" s="198">
        <v>429117164</v>
      </c>
      <c r="B557" s="198">
        <v>620083246.38282597</v>
      </c>
      <c r="D557" s="198" t="s">
        <v>2409</v>
      </c>
      <c r="E557" s="198" t="s">
        <v>2410</v>
      </c>
    </row>
    <row r="558" spans="1:5">
      <c r="A558" s="198">
        <v>429192742</v>
      </c>
      <c r="B558" s="198">
        <v>620158824.38370395</v>
      </c>
      <c r="D558" s="198" t="s">
        <v>2411</v>
      </c>
      <c r="E558" s="198" t="s">
        <v>2412</v>
      </c>
    </row>
    <row r="559" spans="1:5">
      <c r="A559" s="198">
        <v>429286333</v>
      </c>
      <c r="B559" s="198">
        <v>620252415.38478303</v>
      </c>
      <c r="D559" s="198" t="s">
        <v>2413</v>
      </c>
      <c r="E559" s="198" t="s">
        <v>2414</v>
      </c>
    </row>
    <row r="560" spans="1:5">
      <c r="A560" s="198">
        <v>429361917</v>
      </c>
      <c r="B560" s="198">
        <v>620327999.38565302</v>
      </c>
      <c r="D560" s="198" t="s">
        <v>2415</v>
      </c>
      <c r="E560" s="198" t="s">
        <v>2416</v>
      </c>
    </row>
    <row r="561" spans="1:5">
      <c r="A561" s="198">
        <v>429459137</v>
      </c>
      <c r="B561" s="198">
        <v>620425219.38677597</v>
      </c>
      <c r="D561" s="198" t="s">
        <v>2417</v>
      </c>
      <c r="E561" s="198" t="s">
        <v>2418</v>
      </c>
    </row>
    <row r="562" spans="1:5">
      <c r="A562" s="198">
        <v>429750728</v>
      </c>
      <c r="B562" s="198">
        <v>620716810.39013696</v>
      </c>
      <c r="D562" s="198" t="s">
        <v>2419</v>
      </c>
      <c r="E562" s="198" t="s">
        <v>2420</v>
      </c>
    </row>
    <row r="563" spans="1:5">
      <c r="A563" s="198">
        <v>429865923</v>
      </c>
      <c r="B563" s="198">
        <v>620832005.39145303</v>
      </c>
      <c r="D563" s="198" t="s">
        <v>2421</v>
      </c>
      <c r="E563" s="198" t="s">
        <v>2422</v>
      </c>
    </row>
    <row r="564" spans="1:5">
      <c r="A564" s="198">
        <v>430009943</v>
      </c>
      <c r="B564" s="198">
        <v>620976025.39310706</v>
      </c>
      <c r="D564" s="198" t="s">
        <v>2423</v>
      </c>
      <c r="E564" s="198" t="s">
        <v>2424</v>
      </c>
    </row>
    <row r="565" spans="1:5">
      <c r="A565" s="198">
        <v>430067462</v>
      </c>
      <c r="B565" s="198">
        <v>621033544.39377797</v>
      </c>
      <c r="D565" s="198" t="s">
        <v>2425</v>
      </c>
      <c r="E565" s="198" t="s">
        <v>2426</v>
      </c>
    </row>
    <row r="566" spans="1:5">
      <c r="A566" s="198">
        <v>430182650</v>
      </c>
      <c r="B566" s="198">
        <v>621148732.39509404</v>
      </c>
      <c r="D566" s="198" t="s">
        <v>2427</v>
      </c>
      <c r="E566" s="198" t="s">
        <v>2428</v>
      </c>
    </row>
    <row r="567" spans="1:5">
      <c r="A567" s="198">
        <v>430269036</v>
      </c>
      <c r="B567" s="198">
        <v>621235118.39607704</v>
      </c>
      <c r="D567" s="198" t="s">
        <v>2429</v>
      </c>
      <c r="E567" s="198" t="s">
        <v>2430</v>
      </c>
    </row>
    <row r="568" spans="1:5">
      <c r="A568" s="198">
        <v>430319400</v>
      </c>
      <c r="B568" s="198">
        <v>621285482.39666295</v>
      </c>
      <c r="D568" s="198" t="s">
        <v>2431</v>
      </c>
      <c r="E568" s="198" t="s">
        <v>2432</v>
      </c>
    </row>
    <row r="569" spans="1:5">
      <c r="A569" s="198">
        <v>430441816</v>
      </c>
      <c r="B569" s="198">
        <v>621407898.39804804</v>
      </c>
      <c r="D569" s="198" t="s">
        <v>2433</v>
      </c>
      <c r="E569" s="198" t="s">
        <v>2434</v>
      </c>
    </row>
    <row r="570" spans="1:5">
      <c r="A570" s="198">
        <v>430495783</v>
      </c>
      <c r="B570" s="198">
        <v>621461865.39866698</v>
      </c>
      <c r="D570" s="198" t="s">
        <v>2435</v>
      </c>
      <c r="E570" s="198" t="s">
        <v>2436</v>
      </c>
    </row>
    <row r="571" spans="1:5">
      <c r="A571" s="198">
        <v>430614590</v>
      </c>
      <c r="B571" s="198">
        <v>621580672.40001798</v>
      </c>
      <c r="D571" s="198" t="s">
        <v>2437</v>
      </c>
      <c r="E571" s="198" t="s">
        <v>2438</v>
      </c>
    </row>
    <row r="572" spans="1:5">
      <c r="A572" s="198">
        <v>430700988</v>
      </c>
      <c r="B572" s="198">
        <v>621667070.40100896</v>
      </c>
      <c r="D572" s="198" t="s">
        <v>2439</v>
      </c>
      <c r="E572" s="198" t="s">
        <v>2440</v>
      </c>
    </row>
    <row r="573" spans="1:5">
      <c r="A573" s="198">
        <v>430783814</v>
      </c>
      <c r="B573" s="198">
        <v>621749896.40193498</v>
      </c>
      <c r="D573" s="198" t="s">
        <v>2441</v>
      </c>
      <c r="E573" s="198" t="s">
        <v>2442</v>
      </c>
    </row>
    <row r="574" spans="1:5">
      <c r="A574" s="198">
        <v>430830528</v>
      </c>
      <c r="B574" s="198">
        <v>621796610.40248895</v>
      </c>
      <c r="D574" s="198" t="s">
        <v>2443</v>
      </c>
      <c r="E574" s="198" t="s">
        <v>2444</v>
      </c>
    </row>
    <row r="575" spans="1:5">
      <c r="A575" s="198">
        <v>430956551</v>
      </c>
      <c r="B575" s="198">
        <v>621922633.40393305</v>
      </c>
      <c r="D575" s="198" t="s">
        <v>2445</v>
      </c>
      <c r="E575" s="198" t="s">
        <v>2446</v>
      </c>
    </row>
    <row r="576" spans="1:5">
      <c r="A576" s="198">
        <v>431003304</v>
      </c>
      <c r="B576" s="198">
        <v>621969386.40446603</v>
      </c>
      <c r="D576" s="198" t="s">
        <v>2447</v>
      </c>
      <c r="E576" s="198" t="s">
        <v>2448</v>
      </c>
    </row>
    <row r="577" spans="1:5">
      <c r="A577" s="198">
        <v>431096897</v>
      </c>
      <c r="B577" s="198">
        <v>622062979.40552199</v>
      </c>
      <c r="D577" s="198" t="s">
        <v>2449</v>
      </c>
      <c r="E577" s="198" t="s">
        <v>2450</v>
      </c>
    </row>
    <row r="578" spans="1:5">
      <c r="A578" s="198">
        <v>431186896</v>
      </c>
      <c r="B578" s="198">
        <v>622152978.40655303</v>
      </c>
      <c r="D578" s="198" t="s">
        <v>2451</v>
      </c>
      <c r="E578" s="198" t="s">
        <v>2452</v>
      </c>
    </row>
    <row r="579" spans="1:5">
      <c r="A579" s="198">
        <v>431302106</v>
      </c>
      <c r="B579" s="198">
        <v>622268188.40785503</v>
      </c>
      <c r="D579" s="198" t="s">
        <v>2453</v>
      </c>
      <c r="E579" s="198" t="s">
        <v>2454</v>
      </c>
    </row>
    <row r="580" spans="1:5">
      <c r="A580" s="198">
        <v>431330877</v>
      </c>
      <c r="B580" s="198">
        <v>622296959.40819395</v>
      </c>
      <c r="D580" s="198" t="s">
        <v>2455</v>
      </c>
      <c r="E580" s="198" t="s">
        <v>2456</v>
      </c>
    </row>
    <row r="581" spans="1:5">
      <c r="A581" s="198">
        <v>431474878</v>
      </c>
      <c r="B581" s="198">
        <v>622440960.40982902</v>
      </c>
      <c r="D581" s="198" t="s">
        <v>2457</v>
      </c>
      <c r="E581" s="198" t="s">
        <v>2458</v>
      </c>
    </row>
    <row r="582" spans="1:5">
      <c r="A582" s="198">
        <v>431561262</v>
      </c>
      <c r="B582" s="198">
        <v>622527344.41080499</v>
      </c>
      <c r="D582" s="198" t="s">
        <v>2459</v>
      </c>
      <c r="E582" s="198" t="s">
        <v>2460</v>
      </c>
    </row>
    <row r="583" spans="1:5">
      <c r="A583" s="198">
        <v>431651236</v>
      </c>
      <c r="B583" s="198">
        <v>622617318.41179895</v>
      </c>
      <c r="D583" s="198" t="s">
        <v>2461</v>
      </c>
      <c r="E583" s="198" t="s">
        <v>2462</v>
      </c>
    </row>
    <row r="584" spans="1:5">
      <c r="A584" s="198">
        <v>431665606</v>
      </c>
      <c r="B584" s="198">
        <v>622631688.41198802</v>
      </c>
      <c r="D584" s="198" t="s">
        <v>2463</v>
      </c>
      <c r="E584" s="198" t="s">
        <v>2464</v>
      </c>
    </row>
    <row r="585" spans="1:5">
      <c r="A585" s="198">
        <v>431780794</v>
      </c>
      <c r="B585" s="198">
        <v>622746876.41329801</v>
      </c>
      <c r="D585" s="198" t="s">
        <v>2465</v>
      </c>
      <c r="E585" s="198" t="s">
        <v>2466</v>
      </c>
    </row>
    <row r="586" spans="1:5">
      <c r="A586" s="198">
        <v>431964400</v>
      </c>
      <c r="B586" s="198">
        <v>622930482.41537404</v>
      </c>
      <c r="D586" s="198" t="s">
        <v>2467</v>
      </c>
      <c r="E586" s="198" t="s">
        <v>2468</v>
      </c>
    </row>
    <row r="587" spans="1:5">
      <c r="A587" s="198">
        <v>432075992</v>
      </c>
      <c r="B587" s="198">
        <v>623042074.41663504</v>
      </c>
      <c r="D587" s="198" t="s">
        <v>2469</v>
      </c>
      <c r="E587" s="198" t="s">
        <v>2470</v>
      </c>
    </row>
    <row r="588" spans="1:5">
      <c r="A588" s="198">
        <v>432133557</v>
      </c>
      <c r="B588" s="198">
        <v>623099639.41729903</v>
      </c>
      <c r="D588" s="198" t="s">
        <v>2471</v>
      </c>
      <c r="E588" s="198" t="s">
        <v>2472</v>
      </c>
    </row>
    <row r="589" spans="1:5">
      <c r="A589" s="198">
        <v>432421530</v>
      </c>
      <c r="B589" s="198">
        <v>623387612.42054498</v>
      </c>
      <c r="D589" s="198" t="s">
        <v>2473</v>
      </c>
      <c r="E589" s="198" t="s">
        <v>2474</v>
      </c>
    </row>
    <row r="590" spans="1:5">
      <c r="A590" s="198">
        <v>432515108</v>
      </c>
      <c r="B590" s="198">
        <v>623481190.42156994</v>
      </c>
      <c r="D590" s="198" t="s">
        <v>2475</v>
      </c>
      <c r="E590" s="198" t="s">
        <v>2476</v>
      </c>
    </row>
    <row r="591" spans="1:5">
      <c r="A591" s="198">
        <v>432601494</v>
      </c>
      <c r="B591" s="198">
        <v>623567576.42254305</v>
      </c>
      <c r="D591" s="198" t="s">
        <v>2477</v>
      </c>
      <c r="E591" s="198" t="s">
        <v>2478</v>
      </c>
    </row>
    <row r="592" spans="1:5">
      <c r="A592" s="198">
        <v>432651882</v>
      </c>
      <c r="B592" s="198">
        <v>623617964.42315698</v>
      </c>
      <c r="D592" s="198" t="s">
        <v>2479</v>
      </c>
      <c r="E592" s="198" t="s">
        <v>2480</v>
      </c>
    </row>
    <row r="593" spans="1:5">
      <c r="A593" s="198">
        <v>432767092</v>
      </c>
      <c r="B593" s="198">
        <v>623733174.42443895</v>
      </c>
      <c r="D593" s="198" t="s">
        <v>2481</v>
      </c>
      <c r="E593" s="198" t="s">
        <v>2482</v>
      </c>
    </row>
    <row r="594" spans="1:5">
      <c r="A594" s="198">
        <v>432993822</v>
      </c>
      <c r="B594" s="198">
        <v>623959904.42700005</v>
      </c>
      <c r="D594" s="198" t="s">
        <v>2483</v>
      </c>
      <c r="E594" s="198" t="s">
        <v>2484</v>
      </c>
    </row>
    <row r="595" spans="1:5">
      <c r="A595" s="198">
        <v>433119822</v>
      </c>
      <c r="B595" s="198">
        <v>624085904.42838705</v>
      </c>
      <c r="D595" s="198" t="s">
        <v>2485</v>
      </c>
      <c r="E595" s="198" t="s">
        <v>2486</v>
      </c>
    </row>
    <row r="596" spans="1:5">
      <c r="A596" s="198">
        <v>433137818</v>
      </c>
      <c r="B596" s="198">
        <v>624103900.42863095</v>
      </c>
      <c r="D596" s="198" t="s">
        <v>2487</v>
      </c>
      <c r="E596" s="198" t="s">
        <v>2488</v>
      </c>
    </row>
    <row r="597" spans="1:5">
      <c r="A597" s="198">
        <v>433285412</v>
      </c>
      <c r="B597" s="198">
        <v>624251494.43028605</v>
      </c>
      <c r="D597" s="198" t="s">
        <v>2489</v>
      </c>
      <c r="E597" s="198" t="s">
        <v>2490</v>
      </c>
    </row>
    <row r="598" spans="1:5">
      <c r="A598" s="198">
        <v>433368205</v>
      </c>
      <c r="B598" s="198">
        <v>624334287.43120301</v>
      </c>
      <c r="D598" s="198" t="s">
        <v>2491</v>
      </c>
      <c r="E598" s="198" t="s">
        <v>2492</v>
      </c>
    </row>
    <row r="599" spans="1:5">
      <c r="A599" s="198">
        <v>433483372</v>
      </c>
      <c r="B599" s="198">
        <v>624449454.43249595</v>
      </c>
      <c r="D599" s="198" t="s">
        <v>2493</v>
      </c>
      <c r="E599" s="198" t="s">
        <v>2494</v>
      </c>
    </row>
    <row r="600" spans="1:5">
      <c r="A600" s="198">
        <v>433629047</v>
      </c>
      <c r="B600" s="198">
        <v>624595129.43414795</v>
      </c>
      <c r="D600" s="198" t="s">
        <v>2495</v>
      </c>
      <c r="E600" s="198" t="s">
        <v>2496</v>
      </c>
    </row>
    <row r="601" spans="1:5">
      <c r="A601" s="198">
        <v>433724529</v>
      </c>
      <c r="B601" s="198">
        <v>624690611.43518198</v>
      </c>
      <c r="D601" s="198" t="s">
        <v>2497</v>
      </c>
      <c r="E601" s="198" t="s">
        <v>2498</v>
      </c>
    </row>
    <row r="602" spans="1:5">
      <c r="A602" s="198">
        <v>433771388</v>
      </c>
      <c r="B602" s="198">
        <v>624737470.43573904</v>
      </c>
      <c r="D602" s="198" t="s">
        <v>2499</v>
      </c>
      <c r="E602" s="198" t="s">
        <v>2500</v>
      </c>
    </row>
    <row r="603" spans="1:5">
      <c r="A603" s="198">
        <v>433857707</v>
      </c>
      <c r="B603" s="198">
        <v>624823789.43670797</v>
      </c>
      <c r="D603" s="198" t="s">
        <v>2501</v>
      </c>
      <c r="E603" s="198" t="s">
        <v>2502</v>
      </c>
    </row>
    <row r="604" spans="1:5">
      <c r="A604" s="198">
        <v>433972915</v>
      </c>
      <c r="B604" s="198">
        <v>624938997.43799698</v>
      </c>
      <c r="D604" s="198" t="s">
        <v>2503</v>
      </c>
      <c r="E604" s="198" t="s">
        <v>2504</v>
      </c>
    </row>
    <row r="605" spans="1:5">
      <c r="A605" s="198">
        <v>434026874</v>
      </c>
      <c r="B605" s="198">
        <v>624992956.43859994</v>
      </c>
      <c r="D605" s="198" t="s">
        <v>2505</v>
      </c>
      <c r="E605" s="198" t="s">
        <v>2506</v>
      </c>
    </row>
    <row r="606" spans="1:5">
      <c r="A606" s="198">
        <v>434300443</v>
      </c>
      <c r="B606" s="198">
        <v>625266525.44162595</v>
      </c>
      <c r="D606" s="198" t="s">
        <v>2507</v>
      </c>
      <c r="E606" s="198" t="s">
        <v>2508</v>
      </c>
    </row>
    <row r="607" spans="1:5">
      <c r="A607" s="198">
        <v>434376044</v>
      </c>
      <c r="B607" s="198">
        <v>625342126.44250202</v>
      </c>
      <c r="D607" s="198" t="s">
        <v>2509</v>
      </c>
      <c r="E607" s="198" t="s">
        <v>2510</v>
      </c>
    </row>
    <row r="608" spans="1:5">
      <c r="A608" s="198">
        <v>434448008</v>
      </c>
      <c r="B608" s="198">
        <v>625414090.44328904</v>
      </c>
      <c r="D608" s="198" t="s">
        <v>2511</v>
      </c>
      <c r="E608" s="198" t="s">
        <v>2512</v>
      </c>
    </row>
    <row r="609" spans="1:5">
      <c r="A609" s="198">
        <v>434545207</v>
      </c>
      <c r="B609" s="198">
        <v>625511289.44439006</v>
      </c>
      <c r="D609" s="198" t="s">
        <v>2513</v>
      </c>
      <c r="E609" s="198" t="s">
        <v>2514</v>
      </c>
    </row>
    <row r="610" spans="1:5">
      <c r="A610" s="198">
        <v>434645989</v>
      </c>
      <c r="B610" s="198">
        <v>625612071.44548702</v>
      </c>
      <c r="D610" s="198" t="s">
        <v>2515</v>
      </c>
      <c r="E610" s="198" t="s">
        <v>2516</v>
      </c>
    </row>
    <row r="611" spans="1:5">
      <c r="A611" s="198">
        <v>434717979</v>
      </c>
      <c r="B611" s="198">
        <v>625684061.44630897</v>
      </c>
      <c r="D611" s="198" t="s">
        <v>2517</v>
      </c>
      <c r="E611" s="198" t="s">
        <v>2518</v>
      </c>
    </row>
    <row r="612" spans="1:5">
      <c r="A612" s="198">
        <v>434847657</v>
      </c>
      <c r="B612" s="198">
        <v>625813739.44775605</v>
      </c>
      <c r="D612" s="198" t="s">
        <v>2519</v>
      </c>
      <c r="E612" s="198" t="s">
        <v>2520</v>
      </c>
    </row>
    <row r="613" spans="1:5">
      <c r="A613" s="198">
        <v>434854835</v>
      </c>
      <c r="B613" s="198">
        <v>625820917.44781494</v>
      </c>
      <c r="D613" s="198" t="s">
        <v>2521</v>
      </c>
      <c r="E613" s="198" t="s">
        <v>2522</v>
      </c>
    </row>
    <row r="614" spans="1:5">
      <c r="A614" s="198">
        <v>434973537</v>
      </c>
      <c r="B614" s="198">
        <v>625939619.44916701</v>
      </c>
      <c r="D614" s="198" t="s">
        <v>2523</v>
      </c>
      <c r="E614" s="198" t="s">
        <v>2524</v>
      </c>
    </row>
    <row r="615" spans="1:5">
      <c r="A615" s="198">
        <v>435063529</v>
      </c>
      <c r="B615" s="198">
        <v>626029611.45015895</v>
      </c>
      <c r="D615" s="198" t="s">
        <v>2525</v>
      </c>
      <c r="E615" s="198" t="s">
        <v>2526</v>
      </c>
    </row>
    <row r="616" spans="1:5">
      <c r="A616" s="198">
        <v>435178736</v>
      </c>
      <c r="B616" s="198">
        <v>626144818.45142996</v>
      </c>
      <c r="D616" s="198" t="s">
        <v>2527</v>
      </c>
      <c r="E616" s="198" t="s">
        <v>2528</v>
      </c>
    </row>
    <row r="617" spans="1:5">
      <c r="A617" s="198">
        <v>435207520</v>
      </c>
      <c r="B617" s="198">
        <v>626173602.45175803</v>
      </c>
      <c r="D617" s="198" t="s">
        <v>2529</v>
      </c>
      <c r="E617" s="198" t="s">
        <v>2530</v>
      </c>
    </row>
    <row r="618" spans="1:5">
      <c r="A618" s="198">
        <v>435362298</v>
      </c>
      <c r="B618" s="198">
        <v>626328380.45346403</v>
      </c>
      <c r="D618" s="198" t="s">
        <v>2531</v>
      </c>
      <c r="E618" s="198" t="s">
        <v>2532</v>
      </c>
    </row>
    <row r="619" spans="1:5">
      <c r="A619" s="198">
        <v>435524293</v>
      </c>
      <c r="B619" s="198">
        <v>626490375.45527506</v>
      </c>
      <c r="D619" s="198" t="s">
        <v>2533</v>
      </c>
      <c r="E619" s="198" t="s">
        <v>2534</v>
      </c>
    </row>
    <row r="620" spans="1:5">
      <c r="A620" s="198">
        <v>435603466</v>
      </c>
      <c r="B620" s="198">
        <v>626569548.45614195</v>
      </c>
      <c r="D620" s="198" t="s">
        <v>2535</v>
      </c>
      <c r="E620" s="198" t="s">
        <v>2536</v>
      </c>
    </row>
    <row r="621" spans="1:5">
      <c r="A621" s="198">
        <v>435697079</v>
      </c>
      <c r="B621" s="198">
        <v>626663161.45719194</v>
      </c>
      <c r="D621" s="198" t="s">
        <v>2537</v>
      </c>
      <c r="E621" s="198" t="s">
        <v>2538</v>
      </c>
    </row>
    <row r="622" spans="1:5">
      <c r="A622" s="198">
        <v>435751037</v>
      </c>
      <c r="B622" s="198">
        <v>626717119.45780396</v>
      </c>
      <c r="D622" s="198" t="s">
        <v>2539</v>
      </c>
      <c r="E622" s="198" t="s">
        <v>2540</v>
      </c>
    </row>
    <row r="623" spans="1:5">
      <c r="A623" s="198">
        <v>435830221</v>
      </c>
      <c r="B623" s="198">
        <v>626796303.45867503</v>
      </c>
      <c r="D623" s="198" t="s">
        <v>2541</v>
      </c>
      <c r="E623" s="198" t="s">
        <v>2542</v>
      </c>
    </row>
    <row r="624" spans="1:5">
      <c r="A624" s="198">
        <v>435970621</v>
      </c>
      <c r="B624" s="198">
        <v>626936703.46020699</v>
      </c>
      <c r="D624" s="198" t="s">
        <v>2543</v>
      </c>
      <c r="E624" s="198" t="s">
        <v>2544</v>
      </c>
    </row>
    <row r="625" spans="1:5">
      <c r="A625" s="198">
        <v>435981410</v>
      </c>
      <c r="B625" s="198">
        <v>626947492.46033394</v>
      </c>
      <c r="D625" s="198" t="s">
        <v>2545</v>
      </c>
      <c r="E625" s="198" t="s">
        <v>2546</v>
      </c>
    </row>
    <row r="626" spans="1:5">
      <c r="A626" s="198">
        <v>436136201</v>
      </c>
      <c r="B626" s="198">
        <v>627102283.46202397</v>
      </c>
      <c r="D626" s="198" t="s">
        <v>2547</v>
      </c>
      <c r="E626" s="198" t="s">
        <v>2548</v>
      </c>
    </row>
    <row r="627" spans="1:5">
      <c r="A627" s="198">
        <v>436222592</v>
      </c>
      <c r="B627" s="198">
        <v>627188674.46298003</v>
      </c>
      <c r="D627" s="198" t="s">
        <v>2549</v>
      </c>
      <c r="E627" s="198" t="s">
        <v>2550</v>
      </c>
    </row>
    <row r="628" spans="1:5">
      <c r="A628" s="198">
        <v>436262166</v>
      </c>
      <c r="B628" s="198">
        <v>627228248.46344304</v>
      </c>
      <c r="D628" s="198" t="s">
        <v>2551</v>
      </c>
      <c r="E628" s="198" t="s">
        <v>2552</v>
      </c>
    </row>
    <row r="629" spans="1:5">
      <c r="A629" s="198">
        <v>436352157</v>
      </c>
      <c r="B629" s="198">
        <v>627318239.46445501</v>
      </c>
      <c r="D629" s="198" t="s">
        <v>2553</v>
      </c>
      <c r="E629" s="198" t="s">
        <v>2554</v>
      </c>
    </row>
    <row r="630" spans="1:5">
      <c r="A630" s="198">
        <v>436470969</v>
      </c>
      <c r="B630" s="198">
        <v>627437051.46574903</v>
      </c>
      <c r="D630" s="198" t="s">
        <v>2555</v>
      </c>
      <c r="E630" s="198" t="s">
        <v>2556</v>
      </c>
    </row>
    <row r="631" spans="1:5">
      <c r="A631" s="198">
        <v>436575347</v>
      </c>
      <c r="B631" s="198">
        <v>627541429.46690094</v>
      </c>
      <c r="D631" s="198" t="s">
        <v>2557</v>
      </c>
      <c r="E631" s="198" t="s">
        <v>2558</v>
      </c>
    </row>
    <row r="632" spans="1:5">
      <c r="A632" s="198">
        <v>436586147</v>
      </c>
      <c r="B632" s="198">
        <v>627552229.46701896</v>
      </c>
      <c r="D632" s="198" t="s">
        <v>2559</v>
      </c>
      <c r="E632" s="198" t="s">
        <v>2560</v>
      </c>
    </row>
    <row r="633" spans="1:5">
      <c r="A633" s="198">
        <v>436748123</v>
      </c>
      <c r="B633" s="198">
        <v>627714205.46880496</v>
      </c>
      <c r="D633" s="198" t="s">
        <v>2561</v>
      </c>
      <c r="E633" s="198" t="s">
        <v>2562</v>
      </c>
    </row>
    <row r="634" spans="1:5">
      <c r="A634" s="198">
        <v>436816535</v>
      </c>
      <c r="B634" s="198">
        <v>627782617.46955895</v>
      </c>
      <c r="D634" s="198" t="s">
        <v>2563</v>
      </c>
      <c r="E634" s="198" t="s">
        <v>2564</v>
      </c>
    </row>
    <row r="635" spans="1:5">
      <c r="A635" s="198">
        <v>436920906</v>
      </c>
      <c r="B635" s="198">
        <v>627886988.47070098</v>
      </c>
      <c r="D635" s="198" t="s">
        <v>2565</v>
      </c>
      <c r="E635" s="198" t="s">
        <v>2566</v>
      </c>
    </row>
    <row r="636" spans="1:5">
      <c r="A636" s="198">
        <v>436989322</v>
      </c>
      <c r="B636" s="198">
        <v>627955404.47145998</v>
      </c>
      <c r="D636" s="198" t="s">
        <v>2567</v>
      </c>
      <c r="E636" s="198" t="s">
        <v>2568</v>
      </c>
    </row>
    <row r="637" spans="1:5">
      <c r="A637" s="198">
        <v>437043282</v>
      </c>
      <c r="B637" s="198">
        <v>628009364.472067</v>
      </c>
      <c r="D637" s="198" t="s">
        <v>2569</v>
      </c>
      <c r="E637" s="198" t="s">
        <v>2570</v>
      </c>
    </row>
    <row r="638" spans="1:5">
      <c r="A638" s="198">
        <v>437388843</v>
      </c>
      <c r="B638" s="198">
        <v>628354925.47586</v>
      </c>
      <c r="D638" s="198" t="s">
        <v>2571</v>
      </c>
      <c r="E638" s="198" t="s">
        <v>2572</v>
      </c>
    </row>
    <row r="639" spans="1:5">
      <c r="A639" s="198">
        <v>437525635</v>
      </c>
      <c r="B639" s="198">
        <v>628491717.47736597</v>
      </c>
      <c r="D639" s="198" t="s">
        <v>2573</v>
      </c>
      <c r="E639" s="198" t="s">
        <v>2574</v>
      </c>
    </row>
    <row r="640" spans="1:5">
      <c r="A640" s="198">
        <v>437590454</v>
      </c>
      <c r="B640" s="198">
        <v>628556536.478073</v>
      </c>
      <c r="D640" s="198" t="s">
        <v>2575</v>
      </c>
      <c r="E640" s="198" t="s">
        <v>2576</v>
      </c>
    </row>
    <row r="641" spans="1:5">
      <c r="A641" s="198">
        <v>437648017</v>
      </c>
      <c r="B641" s="198">
        <v>628614099.47871196</v>
      </c>
      <c r="D641" s="198" t="s">
        <v>2577</v>
      </c>
      <c r="E641" s="198" t="s">
        <v>2578</v>
      </c>
    </row>
    <row r="642" spans="1:5">
      <c r="A642" s="198">
        <v>437777682</v>
      </c>
      <c r="B642" s="198">
        <v>628743764.48015106</v>
      </c>
      <c r="D642" s="198" t="s">
        <v>2579</v>
      </c>
      <c r="E642" s="198" t="s">
        <v>2580</v>
      </c>
    </row>
    <row r="643" spans="1:5">
      <c r="A643" s="198">
        <v>437820800</v>
      </c>
      <c r="B643" s="198">
        <v>628786882.48061001</v>
      </c>
      <c r="D643" s="198" t="s">
        <v>2581</v>
      </c>
      <c r="E643" s="198" t="s">
        <v>2582</v>
      </c>
    </row>
    <row r="644" spans="1:5">
      <c r="A644" s="198">
        <v>438191575</v>
      </c>
      <c r="B644" s="198">
        <v>629157657.48466694</v>
      </c>
      <c r="D644" s="198" t="s">
        <v>2583</v>
      </c>
      <c r="E644" s="198" t="s">
        <v>2584</v>
      </c>
    </row>
    <row r="645" spans="1:5">
      <c r="A645" s="198">
        <v>438303171</v>
      </c>
      <c r="B645" s="198">
        <v>629269253.48589003</v>
      </c>
      <c r="D645" s="198" t="s">
        <v>2585</v>
      </c>
      <c r="E645" s="198" t="s">
        <v>2586</v>
      </c>
    </row>
    <row r="646" spans="1:5">
      <c r="A646" s="198">
        <v>438335545</v>
      </c>
      <c r="B646" s="198">
        <v>629301627.486251</v>
      </c>
      <c r="D646" s="198" t="s">
        <v>2587</v>
      </c>
      <c r="E646" s="198" t="s">
        <v>2588</v>
      </c>
    </row>
    <row r="647" spans="1:5">
      <c r="A647" s="198">
        <v>438562343</v>
      </c>
      <c r="B647" s="198">
        <v>629528425.48873699</v>
      </c>
      <c r="D647" s="198" t="s">
        <v>2589</v>
      </c>
      <c r="E647" s="198" t="s">
        <v>2590</v>
      </c>
    </row>
    <row r="648" spans="1:5">
      <c r="A648" s="198">
        <v>438623539</v>
      </c>
      <c r="B648" s="198">
        <v>629589621.489393</v>
      </c>
      <c r="D648" s="198" t="s">
        <v>2591</v>
      </c>
      <c r="E648" s="198" t="s">
        <v>2592</v>
      </c>
    </row>
    <row r="649" spans="1:5">
      <c r="A649" s="198">
        <v>438702716</v>
      </c>
      <c r="B649" s="198">
        <v>629668798.49025297</v>
      </c>
      <c r="D649" s="198" t="s">
        <v>2593</v>
      </c>
      <c r="E649" s="198" t="s">
        <v>2594</v>
      </c>
    </row>
    <row r="650" spans="1:5">
      <c r="A650" s="198">
        <v>438796324</v>
      </c>
      <c r="B650" s="198">
        <v>629762406.49128199</v>
      </c>
      <c r="D650" s="198" t="s">
        <v>2595</v>
      </c>
      <c r="E650" s="198" t="s">
        <v>2596</v>
      </c>
    </row>
    <row r="651" spans="1:5">
      <c r="A651" s="198">
        <v>438907914</v>
      </c>
      <c r="B651" s="198">
        <v>629873996.49251902</v>
      </c>
      <c r="D651" s="198" t="s">
        <v>2597</v>
      </c>
      <c r="E651" s="198" t="s">
        <v>2598</v>
      </c>
    </row>
    <row r="652" spans="1:5">
      <c r="A652" s="198">
        <v>438994306</v>
      </c>
      <c r="B652" s="198">
        <v>629960388.49346304</v>
      </c>
      <c r="D652" s="198" t="s">
        <v>2599</v>
      </c>
      <c r="E652" s="198" t="s">
        <v>2600</v>
      </c>
    </row>
    <row r="653" spans="1:5">
      <c r="A653" s="198">
        <v>438997904</v>
      </c>
      <c r="B653" s="198">
        <v>629963986.49351001</v>
      </c>
      <c r="D653" s="198" t="s">
        <v>2601</v>
      </c>
      <c r="E653" s="198" t="s">
        <v>2602</v>
      </c>
    </row>
    <row r="654" spans="1:5">
      <c r="A654" s="198">
        <v>439167085</v>
      </c>
      <c r="B654" s="198">
        <v>630133167.49531603</v>
      </c>
      <c r="D654" s="198" t="s">
        <v>2603</v>
      </c>
      <c r="E654" s="198" t="s">
        <v>2604</v>
      </c>
    </row>
    <row r="655" spans="1:5">
      <c r="A655" s="198">
        <v>439177859</v>
      </c>
      <c r="B655" s="198">
        <v>630143941.495453</v>
      </c>
      <c r="D655" s="198" t="s">
        <v>2605</v>
      </c>
      <c r="E655" s="198" t="s">
        <v>2606</v>
      </c>
    </row>
    <row r="656" spans="1:5">
      <c r="A656" s="198">
        <v>439314729</v>
      </c>
      <c r="B656" s="198">
        <v>630280811.49696505</v>
      </c>
      <c r="D656" s="198" t="s">
        <v>2607</v>
      </c>
      <c r="E656" s="198" t="s">
        <v>2608</v>
      </c>
    </row>
    <row r="657" spans="1:5">
      <c r="A657" s="198">
        <v>439476656</v>
      </c>
      <c r="B657" s="198">
        <v>630442738.49871898</v>
      </c>
      <c r="D657" s="198" t="s">
        <v>2609</v>
      </c>
      <c r="E657" s="198" t="s">
        <v>2610</v>
      </c>
    </row>
    <row r="658" spans="1:5">
      <c r="A658" s="198">
        <v>439771881</v>
      </c>
      <c r="B658" s="198">
        <v>630737963.50195396</v>
      </c>
      <c r="D658" s="198" t="s">
        <v>2611</v>
      </c>
      <c r="E658" s="198" t="s">
        <v>2612</v>
      </c>
    </row>
    <row r="659" spans="1:5">
      <c r="A659" s="198">
        <v>439858235</v>
      </c>
      <c r="B659" s="198">
        <v>630824317.50285399</v>
      </c>
      <c r="D659" s="198" t="s">
        <v>2613</v>
      </c>
      <c r="E659" s="198" t="s">
        <v>2614</v>
      </c>
    </row>
    <row r="660" spans="1:5">
      <c r="A660" s="198">
        <v>439944629</v>
      </c>
      <c r="B660" s="198">
        <v>630910711.50381196</v>
      </c>
      <c r="D660" s="198" t="s">
        <v>2615</v>
      </c>
      <c r="E660" s="198" t="s">
        <v>2616</v>
      </c>
    </row>
    <row r="661" spans="1:5">
      <c r="A661" s="198">
        <v>440023827</v>
      </c>
      <c r="B661" s="198">
        <v>630989909.50469697</v>
      </c>
      <c r="D661" s="198" t="s">
        <v>2617</v>
      </c>
      <c r="E661" s="198" t="s">
        <v>2618</v>
      </c>
    </row>
    <row r="662" spans="1:5">
      <c r="A662" s="198">
        <v>440376607</v>
      </c>
      <c r="B662" s="198">
        <v>631342689.50853598</v>
      </c>
      <c r="D662" s="198" t="s">
        <v>2619</v>
      </c>
      <c r="E662" s="198" t="s">
        <v>2620</v>
      </c>
    </row>
    <row r="663" spans="1:5">
      <c r="A663" s="198">
        <v>440434226</v>
      </c>
      <c r="B663" s="198">
        <v>631400308.50917399</v>
      </c>
      <c r="D663" s="198" t="s">
        <v>2621</v>
      </c>
      <c r="E663" s="198" t="s">
        <v>2622</v>
      </c>
    </row>
    <row r="664" spans="1:5">
      <c r="A664" s="198">
        <v>440549395</v>
      </c>
      <c r="B664" s="198">
        <v>631515477.510414</v>
      </c>
      <c r="D664" s="198" t="s">
        <v>2623</v>
      </c>
      <c r="E664" s="198" t="s">
        <v>2624</v>
      </c>
    </row>
    <row r="665" spans="1:5">
      <c r="A665" s="198">
        <v>440607017</v>
      </c>
      <c r="B665" s="198">
        <v>631573099.51108205</v>
      </c>
      <c r="D665" s="198" t="s">
        <v>2625</v>
      </c>
      <c r="E665" s="198" t="s">
        <v>2626</v>
      </c>
    </row>
    <row r="666" spans="1:5">
      <c r="A666" s="198">
        <v>440682586</v>
      </c>
      <c r="B666" s="198">
        <v>631648668.51188195</v>
      </c>
      <c r="D666" s="198" t="s">
        <v>2627</v>
      </c>
      <c r="E666" s="198" t="s">
        <v>2628</v>
      </c>
    </row>
    <row r="667" spans="1:5">
      <c r="A667" s="198">
        <v>440808587</v>
      </c>
      <c r="B667" s="198">
        <v>631774669.51323998</v>
      </c>
      <c r="D667" s="198" t="s">
        <v>2629</v>
      </c>
      <c r="E667" s="198" t="s">
        <v>2630</v>
      </c>
    </row>
    <row r="668" spans="1:5">
      <c r="A668" s="198">
        <v>440981379</v>
      </c>
      <c r="B668" s="198">
        <v>631947461.51511502</v>
      </c>
      <c r="D668" s="198" t="s">
        <v>2631</v>
      </c>
      <c r="E668" s="198" t="s">
        <v>2632</v>
      </c>
    </row>
    <row r="669" spans="1:5">
      <c r="A669" s="198">
        <v>441064176</v>
      </c>
      <c r="B669" s="198">
        <v>632030258.51602197</v>
      </c>
      <c r="D669" s="198" t="s">
        <v>2633</v>
      </c>
      <c r="E669" s="198" t="s">
        <v>2634</v>
      </c>
    </row>
    <row r="670" spans="1:5">
      <c r="A670" s="198">
        <v>441154172</v>
      </c>
      <c r="B670" s="198">
        <v>632120254.51699996</v>
      </c>
      <c r="D670" s="198" t="s">
        <v>2635</v>
      </c>
      <c r="E670" s="198" t="s">
        <v>2636</v>
      </c>
    </row>
    <row r="671" spans="1:5">
      <c r="A671" s="198">
        <v>441161347</v>
      </c>
      <c r="B671" s="198">
        <v>632127429.517084</v>
      </c>
      <c r="D671" s="198" t="s">
        <v>2637</v>
      </c>
      <c r="E671" s="198" t="s">
        <v>2638</v>
      </c>
    </row>
    <row r="672" spans="1:5">
      <c r="A672" s="198">
        <v>441287360</v>
      </c>
      <c r="B672" s="198">
        <v>632253442.518448</v>
      </c>
      <c r="D672" s="198" t="s">
        <v>2639</v>
      </c>
      <c r="E672" s="198" t="s">
        <v>2640</v>
      </c>
    </row>
    <row r="673" spans="1:5">
      <c r="A673" s="198">
        <v>441370159</v>
      </c>
      <c r="B673" s="198">
        <v>632336241.51935101</v>
      </c>
      <c r="D673" s="198" t="s">
        <v>2641</v>
      </c>
      <c r="E673" s="198" t="s">
        <v>2642</v>
      </c>
    </row>
    <row r="674" spans="1:5">
      <c r="A674" s="198">
        <v>441499761</v>
      </c>
      <c r="B674" s="198">
        <v>632465843.52076101</v>
      </c>
      <c r="D674" s="198" t="s">
        <v>2643</v>
      </c>
      <c r="E674" s="198" t="s">
        <v>2644</v>
      </c>
    </row>
    <row r="675" spans="1:5">
      <c r="A675" s="198">
        <v>441553776</v>
      </c>
      <c r="B675" s="198">
        <v>632519858.52135301</v>
      </c>
      <c r="D675" s="198" t="s">
        <v>2645</v>
      </c>
      <c r="E675" s="198" t="s">
        <v>2646</v>
      </c>
    </row>
    <row r="676" spans="1:5">
      <c r="A676" s="198">
        <v>441611347</v>
      </c>
      <c r="B676" s="198">
        <v>632577429.52199399</v>
      </c>
      <c r="D676" s="198" t="s">
        <v>2647</v>
      </c>
      <c r="E676" s="198" t="s">
        <v>2648</v>
      </c>
    </row>
    <row r="677" spans="1:5">
      <c r="A677" s="198">
        <v>441726571</v>
      </c>
      <c r="B677" s="198">
        <v>632692653.52324104</v>
      </c>
      <c r="D677" s="198" t="s">
        <v>2649</v>
      </c>
      <c r="E677" s="198" t="s">
        <v>2650</v>
      </c>
    </row>
    <row r="678" spans="1:5">
      <c r="A678" s="198">
        <v>441830951</v>
      </c>
      <c r="B678" s="198">
        <v>632797033.524369</v>
      </c>
      <c r="D678" s="198" t="s">
        <v>2651</v>
      </c>
      <c r="E678" s="198" t="s">
        <v>2652</v>
      </c>
    </row>
    <row r="679" spans="1:5">
      <c r="A679" s="198">
        <v>442190941</v>
      </c>
      <c r="B679" s="198">
        <v>633157023.52827096</v>
      </c>
      <c r="D679" s="198" t="s">
        <v>2653</v>
      </c>
      <c r="E679" s="198" t="s">
        <v>2654</v>
      </c>
    </row>
    <row r="680" spans="1:5">
      <c r="A680" s="198">
        <v>442273770</v>
      </c>
      <c r="B680" s="198">
        <v>633239852.529199</v>
      </c>
      <c r="D680" s="198" t="s">
        <v>2655</v>
      </c>
      <c r="E680" s="198" t="s">
        <v>2656</v>
      </c>
    </row>
    <row r="681" spans="1:5">
      <c r="A681" s="198">
        <v>442316932</v>
      </c>
      <c r="B681" s="198">
        <v>633283014.52966297</v>
      </c>
      <c r="D681" s="198" t="s">
        <v>2657</v>
      </c>
      <c r="E681" s="198" t="s">
        <v>2658</v>
      </c>
    </row>
    <row r="682" spans="1:5">
      <c r="A682" s="198">
        <v>442622935</v>
      </c>
      <c r="B682" s="198">
        <v>633589017.53299105</v>
      </c>
      <c r="D682" s="198" t="s">
        <v>2659</v>
      </c>
      <c r="E682" s="198" t="s">
        <v>2660</v>
      </c>
    </row>
    <row r="683" spans="1:5">
      <c r="A683" s="198">
        <v>442691334</v>
      </c>
      <c r="B683" s="198">
        <v>633657416.53374398</v>
      </c>
      <c r="D683" s="198" t="s">
        <v>2661</v>
      </c>
      <c r="E683" s="198" t="s">
        <v>2662</v>
      </c>
    </row>
    <row r="684" spans="1:5">
      <c r="A684" s="198">
        <v>442871342</v>
      </c>
      <c r="B684" s="198">
        <v>633837424.53568006</v>
      </c>
      <c r="D684" s="198" t="s">
        <v>2663</v>
      </c>
      <c r="E684" s="198" t="s">
        <v>2664</v>
      </c>
    </row>
    <row r="685" spans="1:5">
      <c r="A685" s="198">
        <v>442903726</v>
      </c>
      <c r="B685" s="198">
        <v>633869808.53608894</v>
      </c>
      <c r="D685" s="198" t="s">
        <v>2665</v>
      </c>
      <c r="E685" s="198" t="s">
        <v>2666</v>
      </c>
    </row>
    <row r="686" spans="1:5">
      <c r="A686" s="198">
        <v>443018941</v>
      </c>
      <c r="B686" s="198">
        <v>633985023.53733504</v>
      </c>
      <c r="D686" s="198" t="s">
        <v>2667</v>
      </c>
      <c r="E686" s="198" t="s">
        <v>2668</v>
      </c>
    </row>
    <row r="687" spans="1:5">
      <c r="A687" s="198">
        <v>443220562</v>
      </c>
      <c r="B687" s="198">
        <v>634186644.53954899</v>
      </c>
      <c r="D687" s="198" t="s">
        <v>2669</v>
      </c>
      <c r="E687" s="198" t="s">
        <v>2670</v>
      </c>
    </row>
    <row r="688" spans="1:5">
      <c r="A688" s="198">
        <v>443393360</v>
      </c>
      <c r="B688" s="198">
        <v>634359442.54143596</v>
      </c>
      <c r="D688" s="198" t="s">
        <v>2671</v>
      </c>
      <c r="E688" s="198" t="s">
        <v>2672</v>
      </c>
    </row>
    <row r="689" spans="1:5">
      <c r="A689" s="198">
        <v>443487023</v>
      </c>
      <c r="B689" s="198">
        <v>634453105.542431</v>
      </c>
      <c r="D689" s="198" t="s">
        <v>2673</v>
      </c>
      <c r="E689" s="198" t="s">
        <v>2674</v>
      </c>
    </row>
    <row r="690" spans="1:5">
      <c r="A690" s="198">
        <v>443555337</v>
      </c>
      <c r="B690" s="198">
        <v>634521419.54319406</v>
      </c>
      <c r="D690" s="198" t="s">
        <v>2675</v>
      </c>
      <c r="E690" s="198" t="s">
        <v>2676</v>
      </c>
    </row>
    <row r="691" spans="1:5">
      <c r="A691" s="198">
        <v>443623754</v>
      </c>
      <c r="B691" s="198">
        <v>634589836.54395294</v>
      </c>
      <c r="D691" s="198" t="s">
        <v>2677</v>
      </c>
      <c r="E691" s="198" t="s">
        <v>2678</v>
      </c>
    </row>
    <row r="692" spans="1:5">
      <c r="A692" s="198">
        <v>443738968</v>
      </c>
      <c r="B692" s="198">
        <v>634705050.54517496</v>
      </c>
      <c r="D692" s="198" t="s">
        <v>2679</v>
      </c>
      <c r="E692" s="198" t="s">
        <v>2680</v>
      </c>
    </row>
    <row r="693" spans="1:5">
      <c r="A693" s="198">
        <v>443803739</v>
      </c>
      <c r="B693" s="198">
        <v>634769821.54589903</v>
      </c>
      <c r="D693" s="198" t="s">
        <v>2681</v>
      </c>
      <c r="E693" s="198" t="s">
        <v>2682</v>
      </c>
    </row>
    <row r="694" spans="1:5">
      <c r="A694" s="198">
        <v>444005428</v>
      </c>
      <c r="B694" s="198">
        <v>634971510.54812896</v>
      </c>
      <c r="D694" s="198" t="s">
        <v>2683</v>
      </c>
      <c r="E694" s="198" t="s">
        <v>2684</v>
      </c>
    </row>
    <row r="695" spans="1:5">
      <c r="A695" s="198">
        <v>444091829</v>
      </c>
      <c r="B695" s="198">
        <v>635057911.54902899</v>
      </c>
      <c r="D695" s="198" t="s">
        <v>2685</v>
      </c>
      <c r="E695" s="198" t="s">
        <v>2686</v>
      </c>
    </row>
    <row r="696" spans="1:5">
      <c r="A696" s="198">
        <v>444167373</v>
      </c>
      <c r="B696" s="198">
        <v>635133455.54989898</v>
      </c>
      <c r="D696" s="198" t="s">
        <v>2687</v>
      </c>
      <c r="E696" s="198" t="s">
        <v>2688</v>
      </c>
    </row>
    <row r="697" spans="1:5">
      <c r="A697" s="198">
        <v>444224952</v>
      </c>
      <c r="B697" s="198">
        <v>635191034.55497003</v>
      </c>
      <c r="D697" s="198" t="s">
        <v>2689</v>
      </c>
      <c r="E697" s="198" t="s">
        <v>2690</v>
      </c>
    </row>
    <row r="698" spans="1:5">
      <c r="A698" s="198">
        <v>444426578</v>
      </c>
      <c r="B698" s="198">
        <v>635392660.55723798</v>
      </c>
      <c r="D698" s="198" t="s">
        <v>2691</v>
      </c>
      <c r="E698" s="198" t="s">
        <v>2692</v>
      </c>
    </row>
    <row r="699" spans="1:5">
      <c r="A699" s="198">
        <v>444599378</v>
      </c>
      <c r="B699" s="198">
        <v>635565460.55915201</v>
      </c>
      <c r="D699" s="198" t="s">
        <v>2693</v>
      </c>
      <c r="E699" s="198" t="s">
        <v>2694</v>
      </c>
    </row>
    <row r="700" spans="1:5">
      <c r="A700" s="198">
        <v>444693042</v>
      </c>
      <c r="B700" s="198">
        <v>635659124.56018305</v>
      </c>
      <c r="D700" s="198" t="s">
        <v>2695</v>
      </c>
      <c r="E700" s="198" t="s">
        <v>2696</v>
      </c>
    </row>
    <row r="701" spans="1:5">
      <c r="A701" s="198">
        <v>444743370</v>
      </c>
      <c r="B701" s="198">
        <v>635709452.56075394</v>
      </c>
      <c r="D701" s="198" t="s">
        <v>2697</v>
      </c>
      <c r="E701" s="198" t="s">
        <v>2698</v>
      </c>
    </row>
    <row r="702" spans="1:5">
      <c r="A702" s="198">
        <v>444829775</v>
      </c>
      <c r="B702" s="198">
        <v>635795857.56173098</v>
      </c>
      <c r="D702" s="198" t="s">
        <v>2699</v>
      </c>
      <c r="E702" s="198" t="s">
        <v>2700</v>
      </c>
    </row>
    <row r="703" spans="1:5">
      <c r="A703" s="198">
        <v>444916181</v>
      </c>
      <c r="B703" s="198">
        <v>635882263.56269395</v>
      </c>
      <c r="D703" s="198" t="s">
        <v>2701</v>
      </c>
      <c r="E703" s="198" t="s">
        <v>2702</v>
      </c>
    </row>
    <row r="704" spans="1:5">
      <c r="A704" s="198">
        <v>444980965</v>
      </c>
      <c r="B704" s="198">
        <v>635947047.56338096</v>
      </c>
      <c r="D704" s="198" t="s">
        <v>2703</v>
      </c>
      <c r="E704" s="198" t="s">
        <v>2704</v>
      </c>
    </row>
    <row r="705" spans="1:5">
      <c r="A705" s="198">
        <v>445067362</v>
      </c>
      <c r="B705" s="198">
        <v>636033444.56436598</v>
      </c>
      <c r="D705" s="198" t="s">
        <v>2705</v>
      </c>
      <c r="E705" s="198" t="s">
        <v>2706</v>
      </c>
    </row>
    <row r="706" spans="1:5">
      <c r="A706" s="198">
        <v>445211461</v>
      </c>
      <c r="B706" s="198">
        <v>636177543.56599295</v>
      </c>
      <c r="D706" s="198" t="s">
        <v>2707</v>
      </c>
      <c r="E706" s="198" t="s">
        <v>2708</v>
      </c>
    </row>
    <row r="707" spans="1:5">
      <c r="A707" s="198">
        <v>445279769</v>
      </c>
      <c r="B707" s="198">
        <v>636245851.56675196</v>
      </c>
      <c r="D707" s="198" t="s">
        <v>2709</v>
      </c>
      <c r="E707" s="198" t="s">
        <v>2710</v>
      </c>
    </row>
    <row r="708" spans="1:5">
      <c r="A708" s="198">
        <v>445373396</v>
      </c>
      <c r="B708" s="198">
        <v>636339478.56780696</v>
      </c>
      <c r="D708" s="198" t="s">
        <v>2711</v>
      </c>
      <c r="E708" s="198" t="s">
        <v>2712</v>
      </c>
    </row>
    <row r="709" spans="1:5">
      <c r="A709" s="198">
        <v>445546207</v>
      </c>
      <c r="B709" s="198">
        <v>636512289.56975198</v>
      </c>
      <c r="D709" s="198" t="s">
        <v>2713</v>
      </c>
      <c r="E709" s="198" t="s">
        <v>2714</v>
      </c>
    </row>
    <row r="710" spans="1:5">
      <c r="A710" s="198">
        <v>445647074</v>
      </c>
      <c r="B710" s="198">
        <v>636613156.57083905</v>
      </c>
      <c r="D710" s="198" t="s">
        <v>2715</v>
      </c>
      <c r="E710" s="198" t="s">
        <v>2716</v>
      </c>
    </row>
    <row r="711" spans="1:5">
      <c r="A711" s="198">
        <v>445719017</v>
      </c>
      <c r="B711" s="198">
        <v>636685099.57168901</v>
      </c>
      <c r="D711" s="198" t="s">
        <v>2717</v>
      </c>
      <c r="E711" s="198" t="s">
        <v>2718</v>
      </c>
    </row>
    <row r="712" spans="1:5">
      <c r="A712" s="198">
        <v>445819881</v>
      </c>
      <c r="B712" s="198">
        <v>636785963.57280195</v>
      </c>
      <c r="D712" s="198" t="s">
        <v>2719</v>
      </c>
      <c r="E712" s="198" t="s">
        <v>2720</v>
      </c>
    </row>
    <row r="713" spans="1:5">
      <c r="A713" s="198">
        <v>445891817</v>
      </c>
      <c r="B713" s="198">
        <v>636857899.57364094</v>
      </c>
      <c r="D713" s="198" t="s">
        <v>2721</v>
      </c>
      <c r="E713" s="198" t="s">
        <v>2722</v>
      </c>
    </row>
    <row r="714" spans="1:5">
      <c r="A714" s="198">
        <v>445960192</v>
      </c>
      <c r="B714" s="198">
        <v>636926274.57437003</v>
      </c>
      <c r="D714" s="198" t="s">
        <v>2723</v>
      </c>
      <c r="E714" s="198" t="s">
        <v>2724</v>
      </c>
    </row>
    <row r="715" spans="1:5">
      <c r="A715" s="198">
        <v>446061011</v>
      </c>
      <c r="B715" s="198">
        <v>637027093.57552004</v>
      </c>
      <c r="D715" s="198" t="s">
        <v>2725</v>
      </c>
      <c r="E715" s="198" t="s">
        <v>2726</v>
      </c>
    </row>
    <row r="716" spans="1:5">
      <c r="A716" s="198">
        <v>446132997</v>
      </c>
      <c r="B716" s="198">
        <v>637099079.57632899</v>
      </c>
      <c r="D716" s="198" t="s">
        <v>2727</v>
      </c>
      <c r="E716" s="198" t="s">
        <v>2728</v>
      </c>
    </row>
    <row r="717" spans="1:5">
      <c r="A717" s="198">
        <v>446280598</v>
      </c>
      <c r="B717" s="198">
        <v>637246680.577986</v>
      </c>
      <c r="D717" s="198" t="s">
        <v>2729</v>
      </c>
      <c r="E717" s="198" t="s">
        <v>2730</v>
      </c>
    </row>
    <row r="718" spans="1:5">
      <c r="A718" s="198">
        <v>446424692</v>
      </c>
      <c r="B718" s="198">
        <v>637390774.579597</v>
      </c>
      <c r="D718" s="198" t="s">
        <v>2731</v>
      </c>
      <c r="E718" s="198" t="s">
        <v>2732</v>
      </c>
    </row>
    <row r="719" spans="1:5">
      <c r="A719" s="198">
        <v>446489425</v>
      </c>
      <c r="B719" s="198">
        <v>637455507.580351</v>
      </c>
      <c r="D719" s="198" t="s">
        <v>2733</v>
      </c>
      <c r="E719" s="198" t="s">
        <v>2734</v>
      </c>
    </row>
    <row r="720" spans="1:5">
      <c r="A720" s="198">
        <v>446565015</v>
      </c>
      <c r="B720" s="198">
        <v>637531097.58118403</v>
      </c>
      <c r="D720" s="198" t="s">
        <v>2735</v>
      </c>
      <c r="E720" s="198" t="s">
        <v>2736</v>
      </c>
    </row>
    <row r="721" spans="1:5">
      <c r="A721" s="198">
        <v>446665846</v>
      </c>
      <c r="B721" s="198">
        <v>637631928.58234</v>
      </c>
      <c r="D721" s="198" t="s">
        <v>2737</v>
      </c>
      <c r="E721" s="198" t="s">
        <v>2738</v>
      </c>
    </row>
    <row r="722" spans="1:5">
      <c r="A722" s="198">
        <v>446709021</v>
      </c>
      <c r="B722" s="198">
        <v>637675103.58280694</v>
      </c>
      <c r="D722" s="198" t="s">
        <v>2739</v>
      </c>
      <c r="E722" s="198" t="s">
        <v>2740</v>
      </c>
    </row>
    <row r="723" spans="1:5">
      <c r="A723" s="198">
        <v>446802621</v>
      </c>
      <c r="B723" s="198">
        <v>637768703.58388305</v>
      </c>
      <c r="D723" s="198" t="s">
        <v>2741</v>
      </c>
      <c r="E723" s="198" t="s">
        <v>2742</v>
      </c>
    </row>
    <row r="724" spans="1:5">
      <c r="A724" s="198">
        <v>446878230</v>
      </c>
      <c r="B724" s="198">
        <v>637844312.58471</v>
      </c>
      <c r="D724" s="198" t="s">
        <v>2743</v>
      </c>
      <c r="E724" s="198" t="s">
        <v>2744</v>
      </c>
    </row>
    <row r="725" spans="1:5">
      <c r="A725" s="198">
        <v>447018714</v>
      </c>
      <c r="B725" s="198">
        <v>637984796.58629596</v>
      </c>
      <c r="D725" s="198" t="s">
        <v>2745</v>
      </c>
      <c r="E725" s="198" t="s">
        <v>2746</v>
      </c>
    </row>
    <row r="726" spans="1:5">
      <c r="A726" s="198">
        <v>447069053</v>
      </c>
      <c r="B726" s="198">
        <v>638035135.58689499</v>
      </c>
      <c r="D726" s="198" t="s">
        <v>2747</v>
      </c>
      <c r="E726" s="198" t="s">
        <v>2748</v>
      </c>
    </row>
    <row r="727" spans="1:5">
      <c r="A727" s="198">
        <v>447241871</v>
      </c>
      <c r="B727" s="198">
        <v>638207953.58884799</v>
      </c>
      <c r="D727" s="198" t="s">
        <v>2749</v>
      </c>
      <c r="E727" s="198" t="s">
        <v>2750</v>
      </c>
    </row>
    <row r="728" spans="1:5">
      <c r="A728" s="198">
        <v>447357084</v>
      </c>
      <c r="B728" s="198">
        <v>638323166.59015405</v>
      </c>
      <c r="D728" s="198" t="s">
        <v>2751</v>
      </c>
      <c r="E728" s="198" t="s">
        <v>2752</v>
      </c>
    </row>
    <row r="729" spans="1:5">
      <c r="A729" s="198">
        <v>447411057</v>
      </c>
      <c r="B729" s="198">
        <v>638377139.59075606</v>
      </c>
      <c r="D729" s="198" t="s">
        <v>2753</v>
      </c>
      <c r="E729" s="198" t="s">
        <v>2754</v>
      </c>
    </row>
    <row r="730" spans="1:5">
      <c r="A730" s="198">
        <v>447486652</v>
      </c>
      <c r="B730" s="198">
        <v>638452734.59160995</v>
      </c>
      <c r="D730" s="198" t="s">
        <v>2755</v>
      </c>
      <c r="E730" s="198" t="s">
        <v>2756</v>
      </c>
    </row>
    <row r="731" spans="1:5">
      <c r="A731" s="198">
        <v>447587489</v>
      </c>
      <c r="B731" s="198">
        <v>638553571.59275603</v>
      </c>
      <c r="D731" s="198" t="s">
        <v>2757</v>
      </c>
      <c r="E731" s="198" t="s">
        <v>2758</v>
      </c>
    </row>
    <row r="732" spans="1:5">
      <c r="A732" s="198">
        <v>447720754</v>
      </c>
      <c r="B732" s="198">
        <v>638686836.59428596</v>
      </c>
      <c r="D732" s="198" t="s">
        <v>2759</v>
      </c>
      <c r="E732" s="198" t="s">
        <v>2760</v>
      </c>
    </row>
    <row r="733" spans="1:5">
      <c r="A733" s="198">
        <v>447789102</v>
      </c>
      <c r="B733" s="198">
        <v>638755184.59505796</v>
      </c>
      <c r="D733" s="198" t="s">
        <v>2761</v>
      </c>
      <c r="E733" s="198" t="s">
        <v>2762</v>
      </c>
    </row>
    <row r="734" spans="1:5">
      <c r="A734" s="198">
        <v>447951086</v>
      </c>
      <c r="B734" s="198">
        <v>638917168.59687805</v>
      </c>
      <c r="D734" s="198" t="s">
        <v>2763</v>
      </c>
      <c r="E734" s="198" t="s">
        <v>2764</v>
      </c>
    </row>
    <row r="735" spans="1:5">
      <c r="A735" s="198">
        <v>448120292</v>
      </c>
      <c r="B735" s="198">
        <v>639086374.59880602</v>
      </c>
      <c r="D735" s="198" t="s">
        <v>2765</v>
      </c>
      <c r="E735" s="198" t="s">
        <v>2766</v>
      </c>
    </row>
    <row r="736" spans="1:5">
      <c r="A736" s="198">
        <v>448239189</v>
      </c>
      <c r="B736" s="198">
        <v>639205271.60016</v>
      </c>
      <c r="D736" s="198" t="s">
        <v>2767</v>
      </c>
      <c r="E736" s="198" t="s">
        <v>2768</v>
      </c>
    </row>
    <row r="737" spans="1:5">
      <c r="A737" s="198">
        <v>448303916</v>
      </c>
      <c r="B737" s="198">
        <v>639269998.60090399</v>
      </c>
      <c r="D737" s="198" t="s">
        <v>2769</v>
      </c>
      <c r="E737" s="198" t="s">
        <v>2770</v>
      </c>
    </row>
    <row r="738" spans="1:5">
      <c r="A738" s="198">
        <v>448465910</v>
      </c>
      <c r="B738" s="198">
        <v>639431992.60273397</v>
      </c>
      <c r="D738" s="198" t="s">
        <v>2771</v>
      </c>
      <c r="E738" s="198" t="s">
        <v>2772</v>
      </c>
    </row>
    <row r="739" spans="1:5">
      <c r="A739" s="198">
        <v>448563171</v>
      </c>
      <c r="B739" s="198">
        <v>639529253.60386801</v>
      </c>
      <c r="D739" s="198" t="s">
        <v>2773</v>
      </c>
      <c r="E739" s="198" t="s">
        <v>2774</v>
      </c>
    </row>
    <row r="740" spans="1:5">
      <c r="A740" s="198">
        <v>448649546</v>
      </c>
      <c r="B740" s="198">
        <v>639615628.60483694</v>
      </c>
      <c r="D740" s="198" t="s">
        <v>2775</v>
      </c>
      <c r="E740" s="198" t="s">
        <v>2776</v>
      </c>
    </row>
    <row r="741" spans="1:5">
      <c r="A741" s="198">
        <v>448743220</v>
      </c>
      <c r="B741" s="198">
        <v>639709302.60590303</v>
      </c>
      <c r="D741" s="198" t="s">
        <v>2777</v>
      </c>
      <c r="E741" s="198" t="s">
        <v>2778</v>
      </c>
    </row>
    <row r="742" spans="1:5">
      <c r="A742" s="198">
        <v>448793549</v>
      </c>
      <c r="B742" s="198">
        <v>639759631.60649395</v>
      </c>
      <c r="D742" s="198" t="s">
        <v>2779</v>
      </c>
      <c r="E742" s="198" t="s">
        <v>2780</v>
      </c>
    </row>
    <row r="743" spans="1:5">
      <c r="A743" s="198">
        <v>448908766</v>
      </c>
      <c r="B743" s="198">
        <v>639874848.60780001</v>
      </c>
      <c r="D743" s="198" t="s">
        <v>2781</v>
      </c>
      <c r="E743" s="198" t="s">
        <v>2782</v>
      </c>
    </row>
    <row r="744" spans="1:5">
      <c r="A744" s="198">
        <v>449103227</v>
      </c>
      <c r="B744" s="198">
        <v>640069309.61004198</v>
      </c>
      <c r="D744" s="198" t="s">
        <v>2783</v>
      </c>
      <c r="E744" s="198" t="s">
        <v>2784</v>
      </c>
    </row>
    <row r="745" spans="1:5">
      <c r="A745" s="198">
        <v>449164377</v>
      </c>
      <c r="B745" s="198">
        <v>640130459.61071897</v>
      </c>
      <c r="D745" s="198" t="s">
        <v>2785</v>
      </c>
      <c r="E745" s="198" t="s">
        <v>2786</v>
      </c>
    </row>
    <row r="746" spans="1:5">
      <c r="A746" s="198">
        <v>449243551</v>
      </c>
      <c r="B746" s="198">
        <v>640209633.61162305</v>
      </c>
      <c r="D746" s="198" t="s">
        <v>2787</v>
      </c>
      <c r="E746" s="198" t="s">
        <v>2788</v>
      </c>
    </row>
    <row r="747" spans="1:5">
      <c r="A747" s="198">
        <v>449391176</v>
      </c>
      <c r="B747" s="198">
        <v>640357258.61332202</v>
      </c>
      <c r="D747" s="198" t="s">
        <v>2789</v>
      </c>
      <c r="E747" s="198" t="s">
        <v>2790</v>
      </c>
    </row>
    <row r="748" spans="1:5">
      <c r="A748" s="198">
        <v>449509997</v>
      </c>
      <c r="B748" s="198">
        <v>640476079.61467505</v>
      </c>
      <c r="D748" s="198" t="s">
        <v>2791</v>
      </c>
      <c r="E748" s="198" t="s">
        <v>2792</v>
      </c>
    </row>
    <row r="749" spans="1:5">
      <c r="A749" s="198">
        <v>449592776</v>
      </c>
      <c r="B749" s="198">
        <v>640558858.61563599</v>
      </c>
      <c r="D749" s="198" t="s">
        <v>2793</v>
      </c>
      <c r="E749" s="198" t="s">
        <v>2794</v>
      </c>
    </row>
    <row r="750" spans="1:5">
      <c r="A750" s="198">
        <v>449690067</v>
      </c>
      <c r="B750" s="198">
        <v>640656149.61672795</v>
      </c>
      <c r="D750" s="198" t="s">
        <v>2795</v>
      </c>
      <c r="E750" s="198" t="s">
        <v>2796</v>
      </c>
    </row>
    <row r="751" spans="1:5">
      <c r="A751" s="198">
        <v>449740448</v>
      </c>
      <c r="B751" s="198">
        <v>640706530.61732197</v>
      </c>
      <c r="D751" s="198" t="s">
        <v>2797</v>
      </c>
      <c r="E751" s="198" t="s">
        <v>2798</v>
      </c>
    </row>
    <row r="752" spans="1:5">
      <c r="A752" s="198">
        <v>450028467</v>
      </c>
      <c r="B752" s="198">
        <v>640994549.62064004</v>
      </c>
      <c r="D752" s="198" t="s">
        <v>2799</v>
      </c>
      <c r="E752" s="198" t="s">
        <v>2800</v>
      </c>
    </row>
    <row r="753" spans="1:5">
      <c r="A753" s="198">
        <v>450428058</v>
      </c>
      <c r="B753" s="198">
        <v>641394140.62520397</v>
      </c>
      <c r="D753" s="198" t="s">
        <v>2801</v>
      </c>
      <c r="E753" s="198" t="s">
        <v>2802</v>
      </c>
    </row>
    <row r="754" spans="1:5">
      <c r="A754" s="198">
        <v>450644114</v>
      </c>
      <c r="B754" s="198">
        <v>641610196.62767804</v>
      </c>
      <c r="D754" s="198" t="s">
        <v>2803</v>
      </c>
      <c r="E754" s="198" t="s">
        <v>2804</v>
      </c>
    </row>
    <row r="755" spans="1:5">
      <c r="A755" s="198">
        <v>450906928</v>
      </c>
      <c r="B755" s="198">
        <v>641873010.63070798</v>
      </c>
      <c r="D755" s="198" t="s">
        <v>2805</v>
      </c>
      <c r="E755" s="198" t="s">
        <v>2806</v>
      </c>
    </row>
    <row r="756" spans="1:5">
      <c r="A756" s="198">
        <v>451234531</v>
      </c>
      <c r="B756" s="198">
        <v>642200613.63448906</v>
      </c>
      <c r="D756" s="198" t="s">
        <v>2807</v>
      </c>
      <c r="E756" s="198" t="s">
        <v>2808</v>
      </c>
    </row>
    <row r="757" spans="1:5">
      <c r="A757" s="198">
        <v>451551334</v>
      </c>
      <c r="B757" s="198">
        <v>642517416.63813698</v>
      </c>
      <c r="D757" s="198" t="s">
        <v>2809</v>
      </c>
      <c r="E757" s="198" t="s">
        <v>2810</v>
      </c>
    </row>
    <row r="758" spans="1:5">
      <c r="A758" s="198">
        <v>451846540</v>
      </c>
      <c r="B758" s="198">
        <v>642812622.64153397</v>
      </c>
      <c r="D758" s="198" t="s">
        <v>2811</v>
      </c>
      <c r="E758" s="198" t="s">
        <v>2812</v>
      </c>
    </row>
    <row r="759" spans="1:5">
      <c r="A759" s="198">
        <v>452181363</v>
      </c>
      <c r="B759" s="198">
        <v>643147445.64541495</v>
      </c>
      <c r="D759" s="198" t="s">
        <v>2813</v>
      </c>
      <c r="E759" s="198" t="s">
        <v>2814</v>
      </c>
    </row>
    <row r="760" spans="1:5">
      <c r="A760" s="198">
        <v>452473881</v>
      </c>
      <c r="B760" s="198">
        <v>643439963.64875996</v>
      </c>
      <c r="D760" s="198" t="s">
        <v>2815</v>
      </c>
      <c r="E760" s="198" t="s">
        <v>2816</v>
      </c>
    </row>
    <row r="761" spans="1:5">
      <c r="A761" s="198">
        <v>452498127</v>
      </c>
      <c r="B761" s="198">
        <v>643464209.649055</v>
      </c>
      <c r="D761" s="198" t="s">
        <v>2817</v>
      </c>
      <c r="E761" s="198" t="s">
        <v>2818</v>
      </c>
    </row>
    <row r="762" spans="1:5">
      <c r="A762" s="198">
        <v>452818581</v>
      </c>
      <c r="B762" s="198">
        <v>643784663.65274203</v>
      </c>
      <c r="D762" s="198" t="s">
        <v>2819</v>
      </c>
      <c r="E762" s="198" t="s">
        <v>2820</v>
      </c>
    </row>
    <row r="763" spans="1:5">
      <c r="A763" s="198">
        <v>452840135</v>
      </c>
      <c r="B763" s="198">
        <v>643806217.65300298</v>
      </c>
      <c r="D763" s="198" t="s">
        <v>2821</v>
      </c>
      <c r="E763" s="198" t="s">
        <v>2822</v>
      </c>
    </row>
    <row r="764" spans="1:5">
      <c r="A764" s="198">
        <v>453077782</v>
      </c>
      <c r="B764" s="198">
        <v>644043864.65573394</v>
      </c>
      <c r="D764" s="198" t="s">
        <v>2823</v>
      </c>
      <c r="E764" s="198" t="s">
        <v>2824</v>
      </c>
    </row>
    <row r="765" spans="1:5">
      <c r="A765" s="198">
        <v>453138987</v>
      </c>
      <c r="B765" s="198">
        <v>644105069.65645397</v>
      </c>
      <c r="D765" s="198" t="s">
        <v>2825</v>
      </c>
      <c r="E765" s="198" t="s">
        <v>2826</v>
      </c>
    </row>
    <row r="766" spans="1:5">
      <c r="A766" s="198">
        <v>453336996</v>
      </c>
      <c r="B766" s="198">
        <v>644303078.65872896</v>
      </c>
      <c r="D766" s="198" t="s">
        <v>2827</v>
      </c>
      <c r="E766" s="198" t="s">
        <v>2828</v>
      </c>
    </row>
    <row r="767" spans="1:5">
      <c r="A767" s="198">
        <v>453358577</v>
      </c>
      <c r="B767" s="198">
        <v>644324659.65901005</v>
      </c>
      <c r="D767" s="198" t="s">
        <v>2829</v>
      </c>
      <c r="E767" s="198" t="s">
        <v>2830</v>
      </c>
    </row>
    <row r="768" spans="1:5">
      <c r="A768" s="198">
        <v>453646577</v>
      </c>
      <c r="B768" s="198">
        <v>644612659.66234696</v>
      </c>
      <c r="D768" s="198" t="s">
        <v>2831</v>
      </c>
      <c r="E768" s="198" t="s">
        <v>2832</v>
      </c>
    </row>
    <row r="769" spans="1:5">
      <c r="A769" s="198">
        <v>453992179</v>
      </c>
      <c r="B769" s="198">
        <v>644958261.66634595</v>
      </c>
      <c r="D769" s="198" t="s">
        <v>2833</v>
      </c>
      <c r="E769" s="198" t="s">
        <v>2834</v>
      </c>
    </row>
    <row r="770" spans="1:5">
      <c r="A770" s="198">
        <v>454064127</v>
      </c>
      <c r="B770" s="198">
        <v>645030209.66715503</v>
      </c>
      <c r="D770" s="198" t="s">
        <v>2835</v>
      </c>
      <c r="E770" s="198" t="s">
        <v>2836</v>
      </c>
    </row>
    <row r="771" spans="1:5">
      <c r="A771" s="198">
        <v>454287367</v>
      </c>
      <c r="B771" s="198">
        <v>645253449.66973305</v>
      </c>
      <c r="D771" s="198" t="s">
        <v>2837</v>
      </c>
      <c r="E771" s="198" t="s">
        <v>2838</v>
      </c>
    </row>
    <row r="772" spans="1:5">
      <c r="A772" s="198">
        <v>454308967</v>
      </c>
      <c r="B772" s="198">
        <v>645275049.67000198</v>
      </c>
      <c r="D772" s="198" t="s">
        <v>2839</v>
      </c>
      <c r="E772" s="198" t="s">
        <v>2840</v>
      </c>
    </row>
    <row r="773" spans="1:5">
      <c r="A773" s="198">
        <v>454593371</v>
      </c>
      <c r="B773" s="198">
        <v>645559453.67330599</v>
      </c>
      <c r="D773" s="198" t="s">
        <v>2841</v>
      </c>
      <c r="E773" s="198" t="s">
        <v>2842</v>
      </c>
    </row>
    <row r="774" spans="1:5">
      <c r="A774" s="198">
        <v>454719360</v>
      </c>
      <c r="B774" s="198">
        <v>645685442.67473495</v>
      </c>
      <c r="D774" s="198" t="s">
        <v>2843</v>
      </c>
      <c r="E774" s="198" t="s">
        <v>2844</v>
      </c>
    </row>
    <row r="775" spans="1:5">
      <c r="A775" s="198">
        <v>454726519</v>
      </c>
      <c r="B775" s="198">
        <v>645692601.67482197</v>
      </c>
      <c r="D775" s="198" t="s">
        <v>2845</v>
      </c>
      <c r="E775" s="198" t="s">
        <v>2846</v>
      </c>
    </row>
    <row r="776" spans="1:5">
      <c r="A776" s="198">
        <v>454892156</v>
      </c>
      <c r="B776" s="198">
        <v>645858238.67672396</v>
      </c>
      <c r="D776" s="198" t="s">
        <v>2847</v>
      </c>
      <c r="E776" s="198" t="s">
        <v>2848</v>
      </c>
    </row>
    <row r="777" spans="1:5">
      <c r="A777" s="198">
        <v>454910175</v>
      </c>
      <c r="B777" s="198">
        <v>645876257.67695606</v>
      </c>
      <c r="D777" s="198" t="s">
        <v>2849</v>
      </c>
      <c r="E777" s="198" t="s">
        <v>2850</v>
      </c>
    </row>
    <row r="778" spans="1:5">
      <c r="A778" s="198">
        <v>455237761</v>
      </c>
      <c r="B778" s="198">
        <v>646203843.68072701</v>
      </c>
      <c r="D778" s="198" t="s">
        <v>2851</v>
      </c>
      <c r="E778" s="198" t="s">
        <v>2852</v>
      </c>
    </row>
    <row r="779" spans="1:5">
      <c r="A779" s="198">
        <v>455255765</v>
      </c>
      <c r="B779" s="198">
        <v>646221847.68094397</v>
      </c>
      <c r="D779" s="198" t="s">
        <v>2853</v>
      </c>
      <c r="E779" s="198" t="s">
        <v>2854</v>
      </c>
    </row>
    <row r="780" spans="1:5">
      <c r="A780" s="198">
        <v>455457361</v>
      </c>
      <c r="B780" s="198">
        <v>646423443.68329406</v>
      </c>
      <c r="D780" s="198" t="s">
        <v>2855</v>
      </c>
      <c r="E780" s="198" t="s">
        <v>2856</v>
      </c>
    </row>
    <row r="781" spans="1:5">
      <c r="A781" s="198">
        <v>455622910</v>
      </c>
      <c r="B781" s="198">
        <v>646588992.685197</v>
      </c>
      <c r="D781" s="198" t="s">
        <v>2857</v>
      </c>
      <c r="E781" s="198" t="s">
        <v>2858</v>
      </c>
    </row>
    <row r="782" spans="1:5">
      <c r="A782" s="198">
        <v>455842520</v>
      </c>
      <c r="B782" s="198">
        <v>646808602.68771505</v>
      </c>
      <c r="D782" s="198" t="s">
        <v>2859</v>
      </c>
      <c r="E782" s="198" t="s">
        <v>2860</v>
      </c>
    </row>
    <row r="783" spans="1:5">
      <c r="A783" s="198">
        <v>455860543</v>
      </c>
      <c r="B783" s="198">
        <v>646826625.68794405</v>
      </c>
      <c r="D783" s="198" t="s">
        <v>2861</v>
      </c>
      <c r="E783" s="198" t="s">
        <v>2862</v>
      </c>
    </row>
    <row r="784" spans="1:5">
      <c r="A784" s="198">
        <v>456015313</v>
      </c>
      <c r="B784" s="198">
        <v>646981395.68971705</v>
      </c>
      <c r="D784" s="198" t="s">
        <v>2863</v>
      </c>
      <c r="E784" s="198" t="s">
        <v>2864</v>
      </c>
    </row>
    <row r="785" spans="1:5">
      <c r="A785" s="198">
        <v>456065748</v>
      </c>
      <c r="B785" s="198">
        <v>647031830.69029796</v>
      </c>
      <c r="D785" s="198" t="s">
        <v>2865</v>
      </c>
      <c r="E785" s="198" t="s">
        <v>2866</v>
      </c>
    </row>
    <row r="786" spans="1:5">
      <c r="A786" s="198">
        <v>456188106</v>
      </c>
      <c r="B786" s="198">
        <v>647154188.69171202</v>
      </c>
      <c r="D786" s="198" t="s">
        <v>2867</v>
      </c>
      <c r="E786" s="198" t="s">
        <v>2868</v>
      </c>
    </row>
    <row r="787" spans="1:5">
      <c r="A787" s="198">
        <v>456216883</v>
      </c>
      <c r="B787" s="198">
        <v>647182965.69204104</v>
      </c>
      <c r="D787" s="198" t="s">
        <v>2869</v>
      </c>
      <c r="E787" s="198" t="s">
        <v>2870</v>
      </c>
    </row>
    <row r="788" spans="1:5">
      <c r="A788" s="198">
        <v>456404128</v>
      </c>
      <c r="B788" s="198">
        <v>647370210.69420695</v>
      </c>
      <c r="D788" s="198" t="s">
        <v>2871</v>
      </c>
      <c r="E788" s="198" t="s">
        <v>2872</v>
      </c>
    </row>
    <row r="789" spans="1:5">
      <c r="A789" s="198">
        <v>456706482</v>
      </c>
      <c r="B789" s="198">
        <v>647672564.69769895</v>
      </c>
      <c r="D789" s="198" t="s">
        <v>2873</v>
      </c>
      <c r="E789" s="198" t="s">
        <v>2874</v>
      </c>
    </row>
    <row r="790" spans="1:5">
      <c r="A790" s="198">
        <v>456735256</v>
      </c>
      <c r="B790" s="198">
        <v>647701338.69801497</v>
      </c>
      <c r="D790" s="198" t="s">
        <v>2875</v>
      </c>
      <c r="E790" s="198" t="s">
        <v>2876</v>
      </c>
    </row>
    <row r="791" spans="1:5">
      <c r="A791" s="198">
        <v>456908054</v>
      </c>
      <c r="B791" s="198">
        <v>647874136.700014</v>
      </c>
      <c r="D791" s="198" t="s">
        <v>2877</v>
      </c>
      <c r="E791" s="198" t="s">
        <v>2878</v>
      </c>
    </row>
    <row r="792" spans="1:5">
      <c r="A792" s="198">
        <v>457005301</v>
      </c>
      <c r="B792" s="198">
        <v>647971383.70115805</v>
      </c>
      <c r="D792" s="198" t="s">
        <v>2879</v>
      </c>
      <c r="E792" s="198" t="s">
        <v>2880</v>
      </c>
    </row>
    <row r="793" spans="1:5">
      <c r="A793" s="198">
        <v>457311247</v>
      </c>
      <c r="B793" s="198">
        <v>648277329.70465195</v>
      </c>
      <c r="D793" s="198" t="s">
        <v>2881</v>
      </c>
      <c r="E793" s="198" t="s">
        <v>2882</v>
      </c>
    </row>
    <row r="794" spans="1:5">
      <c r="A794" s="198">
        <v>457322068</v>
      </c>
      <c r="B794" s="198">
        <v>648288150.70478904</v>
      </c>
      <c r="D794" s="198" t="s">
        <v>2883</v>
      </c>
      <c r="E794" s="198" t="s">
        <v>2884</v>
      </c>
    </row>
    <row r="795" spans="1:5">
      <c r="A795" s="198">
        <v>457566799</v>
      </c>
      <c r="B795" s="198">
        <v>648532881.70759499</v>
      </c>
      <c r="D795" s="198" t="s">
        <v>2885</v>
      </c>
      <c r="E795" s="198" t="s">
        <v>2886</v>
      </c>
    </row>
    <row r="796" spans="1:5">
      <c r="A796" s="198">
        <v>457656792</v>
      </c>
      <c r="B796" s="198">
        <v>648622874.708637</v>
      </c>
      <c r="D796" s="198" t="s">
        <v>2887</v>
      </c>
      <c r="E796" s="198" t="s">
        <v>2888</v>
      </c>
    </row>
    <row r="797" spans="1:5">
      <c r="A797" s="198">
        <v>457743188</v>
      </c>
      <c r="B797" s="198">
        <v>648709270.70961201</v>
      </c>
      <c r="D797" s="198" t="s">
        <v>2889</v>
      </c>
      <c r="E797" s="198" t="s">
        <v>2890</v>
      </c>
    </row>
    <row r="798" spans="1:5">
      <c r="A798" s="198">
        <v>457754067</v>
      </c>
      <c r="B798" s="198">
        <v>648720149.70974696</v>
      </c>
      <c r="D798" s="198" t="s">
        <v>2891</v>
      </c>
      <c r="E798" s="198" t="s">
        <v>2892</v>
      </c>
    </row>
    <row r="799" spans="1:5">
      <c r="A799" s="198">
        <v>457915978</v>
      </c>
      <c r="B799" s="198">
        <v>648882060.71159601</v>
      </c>
      <c r="D799" s="198" t="s">
        <v>2893</v>
      </c>
      <c r="E799" s="198" t="s">
        <v>2894</v>
      </c>
    </row>
    <row r="800" spans="1:5">
      <c r="A800" s="198">
        <v>457919555</v>
      </c>
      <c r="B800" s="198">
        <v>648885637.71165299</v>
      </c>
      <c r="D800" s="198" t="s">
        <v>2895</v>
      </c>
      <c r="E800" s="198" t="s">
        <v>2896</v>
      </c>
    </row>
    <row r="801" spans="1:5">
      <c r="A801" s="198">
        <v>458175154</v>
      </c>
      <c r="B801" s="198">
        <v>649141236.71457398</v>
      </c>
      <c r="D801" s="198" t="s">
        <v>2897</v>
      </c>
      <c r="E801" s="198" t="s">
        <v>2898</v>
      </c>
    </row>
    <row r="802" spans="1:5">
      <c r="A802" s="198">
        <v>458240014</v>
      </c>
      <c r="B802" s="198">
        <v>649206096.71532595</v>
      </c>
      <c r="D802" s="198" t="s">
        <v>2899</v>
      </c>
      <c r="E802" s="198" t="s">
        <v>2900</v>
      </c>
    </row>
    <row r="803" spans="1:5">
      <c r="A803" s="198">
        <v>458297557</v>
      </c>
      <c r="B803" s="198">
        <v>649263639.71597898</v>
      </c>
      <c r="D803" s="198" t="s">
        <v>2901</v>
      </c>
      <c r="E803" s="198" t="s">
        <v>2902</v>
      </c>
    </row>
    <row r="804" spans="1:5">
      <c r="A804" s="198">
        <v>458434336</v>
      </c>
      <c r="B804" s="198">
        <v>649400418.71754098</v>
      </c>
      <c r="D804" s="198" t="s">
        <v>2903</v>
      </c>
      <c r="E804" s="198" t="s">
        <v>2904</v>
      </c>
    </row>
    <row r="805" spans="1:5">
      <c r="A805" s="198">
        <v>458520727</v>
      </c>
      <c r="B805" s="198">
        <v>649486809.71851695</v>
      </c>
      <c r="D805" s="198" t="s">
        <v>2905</v>
      </c>
      <c r="E805" s="198" t="s">
        <v>2906</v>
      </c>
    </row>
    <row r="806" spans="1:5">
      <c r="A806" s="198">
        <v>458556737</v>
      </c>
      <c r="B806" s="198">
        <v>649522819.71895194</v>
      </c>
      <c r="D806" s="198" t="s">
        <v>2907</v>
      </c>
      <c r="E806" s="198" t="s">
        <v>2908</v>
      </c>
    </row>
    <row r="807" spans="1:5">
      <c r="A807" s="198">
        <v>458689914</v>
      </c>
      <c r="B807" s="198">
        <v>649655996.72046399</v>
      </c>
      <c r="D807" s="198" t="s">
        <v>2909</v>
      </c>
      <c r="E807" s="198" t="s">
        <v>2910</v>
      </c>
    </row>
    <row r="808" spans="1:5">
      <c r="A808" s="198">
        <v>458815903</v>
      </c>
      <c r="B808" s="198">
        <v>649781985.72191894</v>
      </c>
      <c r="D808" s="198" t="s">
        <v>2911</v>
      </c>
      <c r="E808" s="198" t="s">
        <v>2912</v>
      </c>
    </row>
    <row r="809" spans="1:5">
      <c r="A809" s="198">
        <v>458952694</v>
      </c>
      <c r="B809" s="198">
        <v>649918776.72345996</v>
      </c>
      <c r="D809" s="198" t="s">
        <v>2913</v>
      </c>
      <c r="E809" s="198" t="s">
        <v>2914</v>
      </c>
    </row>
    <row r="810" spans="1:5">
      <c r="A810" s="198">
        <v>458959886</v>
      </c>
      <c r="B810" s="198">
        <v>649925968.72356606</v>
      </c>
      <c r="D810" s="198" t="s">
        <v>2915</v>
      </c>
      <c r="E810" s="198" t="s">
        <v>2916</v>
      </c>
    </row>
    <row r="811" spans="1:5">
      <c r="A811" s="198">
        <v>459125476</v>
      </c>
      <c r="B811" s="198">
        <v>650091558.72543705</v>
      </c>
      <c r="D811" s="198" t="s">
        <v>2917</v>
      </c>
      <c r="E811" s="198" t="s">
        <v>2918</v>
      </c>
    </row>
    <row r="812" spans="1:5">
      <c r="A812" s="198">
        <v>459183145</v>
      </c>
      <c r="B812" s="198">
        <v>650149227.72610903</v>
      </c>
      <c r="D812" s="198" t="s">
        <v>2919</v>
      </c>
      <c r="E812" s="198" t="s">
        <v>2920</v>
      </c>
    </row>
    <row r="813" spans="1:5">
      <c r="A813" s="198">
        <v>459237042</v>
      </c>
      <c r="B813" s="198">
        <v>650203124.726717</v>
      </c>
      <c r="D813" s="198" t="s">
        <v>2921</v>
      </c>
      <c r="E813" s="198" t="s">
        <v>2922</v>
      </c>
    </row>
    <row r="814" spans="1:5">
      <c r="A814" s="198">
        <v>459384654</v>
      </c>
      <c r="B814" s="198">
        <v>650350736.72840095</v>
      </c>
      <c r="D814" s="198" t="s">
        <v>2923</v>
      </c>
      <c r="E814" s="198" t="s">
        <v>2924</v>
      </c>
    </row>
    <row r="815" spans="1:5">
      <c r="A815" s="198">
        <v>459471041</v>
      </c>
      <c r="B815" s="198">
        <v>650437123.72939003</v>
      </c>
      <c r="D815" s="198" t="s">
        <v>2925</v>
      </c>
      <c r="E815" s="198" t="s">
        <v>2926</v>
      </c>
    </row>
    <row r="816" spans="1:5">
      <c r="A816" s="198">
        <v>459553834</v>
      </c>
      <c r="B816" s="198">
        <v>650519916.73031604</v>
      </c>
      <c r="D816" s="198" t="s">
        <v>2927</v>
      </c>
      <c r="E816" s="198" t="s">
        <v>2928</v>
      </c>
    </row>
    <row r="817" spans="1:5">
      <c r="A817" s="198">
        <v>459636622</v>
      </c>
      <c r="B817" s="198">
        <v>650602704.73125505</v>
      </c>
      <c r="D817" s="198" t="s">
        <v>2929</v>
      </c>
      <c r="E817" s="198" t="s">
        <v>2930</v>
      </c>
    </row>
    <row r="818" spans="1:5">
      <c r="A818" s="198">
        <v>459676218</v>
      </c>
      <c r="B818" s="198">
        <v>650642300.73172796</v>
      </c>
      <c r="D818" s="198" t="s">
        <v>2931</v>
      </c>
      <c r="E818" s="198" t="s">
        <v>2932</v>
      </c>
    </row>
    <row r="819" spans="1:5">
      <c r="A819" s="198">
        <v>459816656</v>
      </c>
      <c r="B819" s="198">
        <v>650782738.73331702</v>
      </c>
      <c r="D819" s="198" t="s">
        <v>2933</v>
      </c>
      <c r="E819" s="198" t="s">
        <v>2934</v>
      </c>
    </row>
    <row r="820" spans="1:5">
      <c r="A820" s="198">
        <v>459902998</v>
      </c>
      <c r="B820" s="198">
        <v>650869080.734303</v>
      </c>
      <c r="D820" s="198" t="s">
        <v>2935</v>
      </c>
      <c r="E820" s="198" t="s">
        <v>2936</v>
      </c>
    </row>
    <row r="821" spans="1:5">
      <c r="A821" s="198">
        <v>460050648</v>
      </c>
      <c r="B821" s="198">
        <v>651016730.73600197</v>
      </c>
      <c r="D821" s="198" t="s">
        <v>2937</v>
      </c>
      <c r="E821" s="198" t="s">
        <v>2938</v>
      </c>
    </row>
    <row r="822" spans="1:5">
      <c r="A822" s="198">
        <v>460108185</v>
      </c>
      <c r="B822" s="198">
        <v>651074267.73664105</v>
      </c>
      <c r="D822" s="198" t="s">
        <v>2939</v>
      </c>
      <c r="E822" s="198" t="s">
        <v>2940</v>
      </c>
    </row>
    <row r="823" spans="1:5">
      <c r="A823" s="198">
        <v>460248570</v>
      </c>
      <c r="B823" s="198">
        <v>651214652.73823297</v>
      </c>
      <c r="D823" s="198" t="s">
        <v>2941</v>
      </c>
      <c r="E823" s="198" t="s">
        <v>2942</v>
      </c>
    </row>
    <row r="824" spans="1:5">
      <c r="A824" s="198">
        <v>460334954</v>
      </c>
      <c r="B824" s="198">
        <v>651301036.73921895</v>
      </c>
      <c r="D824" s="198" t="s">
        <v>2943</v>
      </c>
      <c r="E824" s="198" t="s">
        <v>2944</v>
      </c>
    </row>
    <row r="825" spans="1:5">
      <c r="A825" s="198">
        <v>460417741</v>
      </c>
      <c r="B825" s="198">
        <v>651383823.74015296</v>
      </c>
      <c r="D825" s="198" t="s">
        <v>2945</v>
      </c>
      <c r="E825" s="198" t="s">
        <v>2946</v>
      </c>
    </row>
    <row r="826" spans="1:5">
      <c r="A826" s="198">
        <v>460518511</v>
      </c>
      <c r="B826" s="198">
        <v>651484593.74128604</v>
      </c>
      <c r="D826" s="198" t="s">
        <v>2947</v>
      </c>
      <c r="E826" s="198" t="s">
        <v>2948</v>
      </c>
    </row>
    <row r="827" spans="1:5">
      <c r="A827" s="198">
        <v>460680516</v>
      </c>
      <c r="B827" s="198">
        <v>651646598.74314594</v>
      </c>
      <c r="D827" s="198" t="s">
        <v>2949</v>
      </c>
      <c r="E827" s="198" t="s">
        <v>2950</v>
      </c>
    </row>
    <row r="828" spans="1:5">
      <c r="A828" s="198">
        <v>460766956</v>
      </c>
      <c r="B828" s="198">
        <v>651733038.744115</v>
      </c>
      <c r="D828" s="198" t="s">
        <v>2951</v>
      </c>
      <c r="E828" s="198" t="s">
        <v>2952</v>
      </c>
    </row>
    <row r="829" spans="1:5">
      <c r="A829" s="198">
        <v>460849688</v>
      </c>
      <c r="B829" s="198">
        <v>651815770.74504697</v>
      </c>
      <c r="D829" s="198" t="s">
        <v>2953</v>
      </c>
      <c r="E829" s="198" t="s">
        <v>2954</v>
      </c>
    </row>
    <row r="830" spans="1:5">
      <c r="A830" s="198">
        <v>460939701</v>
      </c>
      <c r="B830" s="198">
        <v>651905783.74608195</v>
      </c>
      <c r="D830" s="198" t="s">
        <v>2955</v>
      </c>
      <c r="E830" s="198" t="s">
        <v>2956</v>
      </c>
    </row>
    <row r="831" spans="1:5">
      <c r="A831" s="198">
        <v>461022469</v>
      </c>
      <c r="B831" s="198">
        <v>651988551.74700499</v>
      </c>
      <c r="D831" s="198" t="s">
        <v>2957</v>
      </c>
      <c r="E831" s="198" t="s">
        <v>2958</v>
      </c>
    </row>
    <row r="832" spans="1:5">
      <c r="A832" s="198">
        <v>461112478</v>
      </c>
      <c r="B832" s="198">
        <v>652078560.74804497</v>
      </c>
      <c r="D832" s="198" t="s">
        <v>2959</v>
      </c>
      <c r="E832" s="198" t="s">
        <v>2960</v>
      </c>
    </row>
    <row r="833" spans="1:5">
      <c r="A833" s="198">
        <v>461141263</v>
      </c>
      <c r="B833" s="198">
        <v>652107345.74836195</v>
      </c>
      <c r="D833" s="198" t="s">
        <v>2961</v>
      </c>
      <c r="E833" s="198" t="s">
        <v>2962</v>
      </c>
    </row>
    <row r="834" spans="1:5">
      <c r="A834" s="198">
        <v>461285242</v>
      </c>
      <c r="B834" s="198">
        <v>652251324.74999106</v>
      </c>
      <c r="D834" s="198" t="s">
        <v>2963</v>
      </c>
      <c r="E834" s="198" t="s">
        <v>2964</v>
      </c>
    </row>
    <row r="835" spans="1:5">
      <c r="A835" s="198">
        <v>461314043</v>
      </c>
      <c r="B835" s="198">
        <v>652280125.75033295</v>
      </c>
      <c r="D835" s="198" t="s">
        <v>2965</v>
      </c>
      <c r="E835" s="198" t="s">
        <v>2966</v>
      </c>
    </row>
    <row r="836" spans="1:5">
      <c r="A836" s="198">
        <v>461440019</v>
      </c>
      <c r="B836" s="198">
        <v>652406101.75172305</v>
      </c>
      <c r="D836" s="198" t="s">
        <v>2967</v>
      </c>
      <c r="E836" s="198" t="s">
        <v>2968</v>
      </c>
    </row>
    <row r="837" spans="1:5">
      <c r="A837" s="198">
        <v>461486874</v>
      </c>
      <c r="B837" s="198">
        <v>652452956.75227594</v>
      </c>
      <c r="D837" s="198" t="s">
        <v>2969</v>
      </c>
      <c r="E837" s="198" t="s">
        <v>2970</v>
      </c>
    </row>
    <row r="838" spans="1:5">
      <c r="A838" s="198">
        <v>461630861</v>
      </c>
      <c r="B838" s="198">
        <v>652596943.75390601</v>
      </c>
      <c r="D838" s="198" t="s">
        <v>2971</v>
      </c>
      <c r="E838" s="198" t="s">
        <v>2972</v>
      </c>
    </row>
    <row r="839" spans="1:5">
      <c r="A839" s="198">
        <v>461718406</v>
      </c>
      <c r="B839" s="198">
        <v>652684488.75486398</v>
      </c>
      <c r="D839" s="198" t="s">
        <v>2973</v>
      </c>
      <c r="E839" s="198" t="s">
        <v>2974</v>
      </c>
    </row>
    <row r="840" spans="1:5">
      <c r="A840" s="198">
        <v>461803591</v>
      </c>
      <c r="B840" s="198">
        <v>652769673.75585604</v>
      </c>
      <c r="D840" s="198" t="s">
        <v>2975</v>
      </c>
      <c r="E840" s="198" t="s">
        <v>2976</v>
      </c>
    </row>
    <row r="841" spans="1:5">
      <c r="A841" s="198">
        <v>461889977</v>
      </c>
      <c r="B841" s="198">
        <v>652856059.75682795</v>
      </c>
      <c r="D841" s="198" t="s">
        <v>2977</v>
      </c>
      <c r="E841" s="198" t="s">
        <v>2978</v>
      </c>
    </row>
    <row r="842" spans="1:5">
      <c r="A842" s="198">
        <v>461976375</v>
      </c>
      <c r="B842" s="198">
        <v>652942457.75780797</v>
      </c>
      <c r="D842" s="198" t="s">
        <v>2979</v>
      </c>
      <c r="E842" s="198" t="s">
        <v>2980</v>
      </c>
    </row>
    <row r="843" spans="1:5">
      <c r="A843" s="198">
        <v>462001538</v>
      </c>
      <c r="B843" s="198">
        <v>652967620.75808096</v>
      </c>
      <c r="D843" s="198" t="s">
        <v>2981</v>
      </c>
      <c r="E843" s="198" t="s">
        <v>2982</v>
      </c>
    </row>
    <row r="844" spans="1:5">
      <c r="A844" s="198">
        <v>462145545</v>
      </c>
      <c r="B844" s="198">
        <v>653111627.759709</v>
      </c>
      <c r="D844" s="198" t="s">
        <v>2983</v>
      </c>
      <c r="E844" s="198" t="s">
        <v>2984</v>
      </c>
    </row>
    <row r="845" spans="1:5">
      <c r="A845" s="198">
        <v>462235536</v>
      </c>
      <c r="B845" s="198">
        <v>653201618.76071703</v>
      </c>
      <c r="D845" s="198" t="s">
        <v>2985</v>
      </c>
      <c r="E845" s="198" t="s">
        <v>2986</v>
      </c>
    </row>
    <row r="846" spans="1:5">
      <c r="A846" s="198">
        <v>462321928</v>
      </c>
      <c r="B846" s="198">
        <v>653288010.76166499</v>
      </c>
      <c r="D846" s="198" t="s">
        <v>2987</v>
      </c>
      <c r="E846" s="198" t="s">
        <v>2988</v>
      </c>
    </row>
    <row r="847" spans="1:5">
      <c r="A847" s="198">
        <v>462347087</v>
      </c>
      <c r="B847" s="198">
        <v>653313169.76196504</v>
      </c>
      <c r="D847" s="198" t="s">
        <v>2989</v>
      </c>
      <c r="E847" s="198" t="s">
        <v>2990</v>
      </c>
    </row>
    <row r="848" spans="1:5">
      <c r="A848" s="198">
        <v>462433496</v>
      </c>
      <c r="B848" s="198">
        <v>653399578.762936</v>
      </c>
      <c r="D848" s="198" t="s">
        <v>2991</v>
      </c>
      <c r="E848" s="198" t="s">
        <v>2992</v>
      </c>
    </row>
    <row r="849" spans="1:5">
      <c r="A849" s="198">
        <v>462606270</v>
      </c>
      <c r="B849" s="198">
        <v>653572352.76721597</v>
      </c>
      <c r="D849" s="198" t="s">
        <v>2993</v>
      </c>
      <c r="E849" s="198" t="s">
        <v>2994</v>
      </c>
    </row>
    <row r="850" spans="1:5">
      <c r="A850" s="198">
        <v>462750255</v>
      </c>
      <c r="B850" s="198">
        <v>653716337.76888204</v>
      </c>
      <c r="D850" s="198" t="s">
        <v>2995</v>
      </c>
      <c r="E850" s="198" t="s">
        <v>2996</v>
      </c>
    </row>
    <row r="851" spans="1:5">
      <c r="A851" s="198">
        <v>462836638</v>
      </c>
      <c r="B851" s="198">
        <v>653802720.769871</v>
      </c>
      <c r="D851" s="198" t="s">
        <v>2997</v>
      </c>
      <c r="E851" s="198" t="s">
        <v>2998</v>
      </c>
    </row>
    <row r="852" spans="1:5">
      <c r="A852" s="198">
        <v>463013019</v>
      </c>
      <c r="B852" s="198">
        <v>653979101.77185297</v>
      </c>
      <c r="D852" s="198" t="s">
        <v>2999</v>
      </c>
      <c r="E852" s="198" t="s">
        <v>3000</v>
      </c>
    </row>
    <row r="853" spans="1:5">
      <c r="A853" s="198">
        <v>463095814</v>
      </c>
      <c r="B853" s="198">
        <v>654061896.77282298</v>
      </c>
      <c r="D853" s="198" t="s">
        <v>3001</v>
      </c>
      <c r="E853" s="198" t="s">
        <v>3002</v>
      </c>
    </row>
    <row r="854" spans="1:5">
      <c r="A854" s="198">
        <v>463354981</v>
      </c>
      <c r="B854" s="198">
        <v>654321063.77578294</v>
      </c>
      <c r="D854" s="198" t="s">
        <v>3003</v>
      </c>
      <c r="E854" s="198" t="s">
        <v>3004</v>
      </c>
    </row>
    <row r="855" spans="1:5">
      <c r="A855" s="198">
        <v>463437753</v>
      </c>
      <c r="B855" s="198">
        <v>654403835.77673197</v>
      </c>
      <c r="D855" s="198" t="s">
        <v>3005</v>
      </c>
      <c r="E855" s="198" t="s">
        <v>3006</v>
      </c>
    </row>
    <row r="856" spans="1:5">
      <c r="A856" s="198">
        <v>463527758</v>
      </c>
      <c r="B856" s="198">
        <v>654493840.777758</v>
      </c>
      <c r="D856" s="198" t="s">
        <v>3007</v>
      </c>
      <c r="E856" s="198" t="s">
        <v>3008</v>
      </c>
    </row>
    <row r="857" spans="1:5">
      <c r="A857" s="198">
        <v>463552931</v>
      </c>
      <c r="B857" s="198">
        <v>654519013.77803302</v>
      </c>
      <c r="D857" s="198" t="s">
        <v>3009</v>
      </c>
      <c r="E857" s="198" t="s">
        <v>3010</v>
      </c>
    </row>
    <row r="858" spans="1:5">
      <c r="A858" s="198">
        <v>463704108</v>
      </c>
      <c r="B858" s="198">
        <v>654670190.77974105</v>
      </c>
      <c r="D858" s="198" t="s">
        <v>3011</v>
      </c>
      <c r="E858" s="198" t="s">
        <v>3012</v>
      </c>
    </row>
    <row r="859" spans="1:5">
      <c r="A859" s="198">
        <v>463718478</v>
      </c>
      <c r="B859" s="198">
        <v>654684560.77992594</v>
      </c>
      <c r="D859" s="198" t="s">
        <v>3013</v>
      </c>
      <c r="E859" s="198" t="s">
        <v>3014</v>
      </c>
    </row>
    <row r="860" spans="1:5">
      <c r="A860" s="198">
        <v>463878372</v>
      </c>
      <c r="B860" s="198">
        <v>654844454.781726</v>
      </c>
      <c r="D860" s="198" t="s">
        <v>3015</v>
      </c>
      <c r="E860" s="198" t="s">
        <v>3016</v>
      </c>
    </row>
    <row r="861" spans="1:5">
      <c r="A861" s="198">
        <v>463964163</v>
      </c>
      <c r="B861" s="198">
        <v>654930245.782686</v>
      </c>
      <c r="D861" s="198" t="s">
        <v>3017</v>
      </c>
      <c r="E861" s="198" t="s">
        <v>3018</v>
      </c>
    </row>
    <row r="862" spans="1:5">
      <c r="A862" s="198">
        <v>464049656</v>
      </c>
      <c r="B862" s="198">
        <v>655015738.783656</v>
      </c>
      <c r="D862" s="198" t="s">
        <v>3019</v>
      </c>
      <c r="E862" s="198" t="s">
        <v>3020</v>
      </c>
    </row>
    <row r="863" spans="1:5">
      <c r="A863" s="198">
        <v>464136660</v>
      </c>
      <c r="B863" s="198">
        <v>655102742.78464901</v>
      </c>
      <c r="D863" s="198" t="s">
        <v>3021</v>
      </c>
      <c r="E863" s="198" t="s">
        <v>3022</v>
      </c>
    </row>
    <row r="864" spans="1:5">
      <c r="A864" s="198">
        <v>464222632</v>
      </c>
      <c r="B864" s="198">
        <v>655188714.78563797</v>
      </c>
      <c r="D864" s="198" t="s">
        <v>3023</v>
      </c>
      <c r="E864" s="198" t="s">
        <v>3024</v>
      </c>
    </row>
    <row r="865" spans="1:5">
      <c r="A865" s="198">
        <v>464301639</v>
      </c>
      <c r="B865" s="198">
        <v>655267721.78655505</v>
      </c>
      <c r="D865" s="198" t="s">
        <v>3025</v>
      </c>
      <c r="E865" s="198" t="s">
        <v>3026</v>
      </c>
    </row>
    <row r="866" spans="1:5">
      <c r="A866" s="198">
        <v>464395208</v>
      </c>
      <c r="B866" s="198">
        <v>655361290.78757906</v>
      </c>
      <c r="D866" s="198" t="s">
        <v>3027</v>
      </c>
      <c r="E866" s="198" t="s">
        <v>3028</v>
      </c>
    </row>
    <row r="867" spans="1:5">
      <c r="A867" s="198">
        <v>464483170</v>
      </c>
      <c r="B867" s="198">
        <v>655449252.78858399</v>
      </c>
      <c r="D867" s="198" t="s">
        <v>3029</v>
      </c>
      <c r="E867" s="198" t="s">
        <v>3030</v>
      </c>
    </row>
    <row r="868" spans="1:5">
      <c r="A868" s="198">
        <v>464560806</v>
      </c>
      <c r="B868" s="198">
        <v>655526888.78949499</v>
      </c>
      <c r="D868" s="198" t="s">
        <v>3031</v>
      </c>
      <c r="E868" s="198" t="s">
        <v>3032</v>
      </c>
    </row>
    <row r="869" spans="1:5">
      <c r="A869" s="198">
        <v>464654364</v>
      </c>
      <c r="B869" s="198">
        <v>655620446.79052103</v>
      </c>
      <c r="D869" s="198" t="s">
        <v>3033</v>
      </c>
      <c r="E869" s="198" t="s">
        <v>3034</v>
      </c>
    </row>
    <row r="870" spans="1:5">
      <c r="A870" s="198">
        <v>464733572</v>
      </c>
      <c r="B870" s="198">
        <v>655699654.79144704</v>
      </c>
      <c r="D870" s="198" t="s">
        <v>3035</v>
      </c>
      <c r="E870" s="198" t="s">
        <v>3036</v>
      </c>
    </row>
    <row r="871" spans="1:5">
      <c r="A871" s="198">
        <v>464819961</v>
      </c>
      <c r="B871" s="198">
        <v>655786043.79242802</v>
      </c>
      <c r="D871" s="198" t="s">
        <v>3037</v>
      </c>
      <c r="E871" s="198" t="s">
        <v>3038</v>
      </c>
    </row>
    <row r="872" spans="1:5">
      <c r="A872" s="198">
        <v>464906351</v>
      </c>
      <c r="B872" s="198">
        <v>655872433.79338896</v>
      </c>
      <c r="D872" s="198" t="s">
        <v>3039</v>
      </c>
      <c r="E872" s="198" t="s">
        <v>3040</v>
      </c>
    </row>
    <row r="873" spans="1:5">
      <c r="A873" s="198">
        <v>465001434</v>
      </c>
      <c r="B873" s="198">
        <v>655967516.79444003</v>
      </c>
      <c r="D873" s="198" t="s">
        <v>3041</v>
      </c>
      <c r="E873" s="198" t="s">
        <v>3042</v>
      </c>
    </row>
    <row r="874" spans="1:5">
      <c r="A874" s="198">
        <v>465010691</v>
      </c>
      <c r="B874" s="198">
        <v>655976773.79455805</v>
      </c>
      <c r="D874" s="198" t="s">
        <v>3043</v>
      </c>
      <c r="E874" s="198" t="s">
        <v>3044</v>
      </c>
    </row>
    <row r="875" spans="1:5">
      <c r="A875" s="198">
        <v>465248288</v>
      </c>
      <c r="B875" s="198">
        <v>656214370.79724205</v>
      </c>
      <c r="D875" s="198" t="s">
        <v>3045</v>
      </c>
      <c r="E875" s="198" t="s">
        <v>3046</v>
      </c>
    </row>
    <row r="876" spans="1:5">
      <c r="A876" s="198">
        <v>465335604</v>
      </c>
      <c r="B876" s="198">
        <v>656301686.79820096</v>
      </c>
      <c r="D876" s="198" t="s">
        <v>3047</v>
      </c>
      <c r="E876" s="198" t="s">
        <v>3048</v>
      </c>
    </row>
    <row r="877" spans="1:5">
      <c r="A877" s="198">
        <v>465429152</v>
      </c>
      <c r="B877" s="198">
        <v>656395234.79922605</v>
      </c>
      <c r="D877" s="198" t="s">
        <v>3049</v>
      </c>
      <c r="E877" s="198" t="s">
        <v>3050</v>
      </c>
    </row>
    <row r="878" spans="1:5">
      <c r="A878" s="198">
        <v>465503916</v>
      </c>
      <c r="B878" s="198">
        <v>656469998.80012405</v>
      </c>
      <c r="D878" s="198" t="s">
        <v>3051</v>
      </c>
      <c r="E878" s="198" t="s">
        <v>3052</v>
      </c>
    </row>
    <row r="879" spans="1:5">
      <c r="A879" s="198">
        <v>465593912</v>
      </c>
      <c r="B879" s="198">
        <v>656559994.80114198</v>
      </c>
      <c r="D879" s="198" t="s">
        <v>3053</v>
      </c>
      <c r="E879" s="198" t="s">
        <v>3054</v>
      </c>
    </row>
    <row r="880" spans="1:5">
      <c r="A880" s="198">
        <v>465691096</v>
      </c>
      <c r="B880" s="198">
        <v>656657178.80220497</v>
      </c>
      <c r="D880" s="198" t="s">
        <v>3055</v>
      </c>
      <c r="E880" s="198" t="s">
        <v>3056</v>
      </c>
    </row>
    <row r="881" spans="1:5">
      <c r="A881" s="198">
        <v>465777483</v>
      </c>
      <c r="B881" s="198">
        <v>656743565.80317903</v>
      </c>
      <c r="D881" s="198" t="s">
        <v>3057</v>
      </c>
      <c r="E881" s="198" t="s">
        <v>3058</v>
      </c>
    </row>
    <row r="882" spans="1:5">
      <c r="A882" s="198">
        <v>465849475</v>
      </c>
      <c r="B882" s="198">
        <v>656815557.80401099</v>
      </c>
      <c r="D882" s="198" t="s">
        <v>3059</v>
      </c>
      <c r="E882" s="198" t="s">
        <v>3060</v>
      </c>
    </row>
    <row r="883" spans="1:5">
      <c r="A883" s="198">
        <v>465950178</v>
      </c>
      <c r="B883" s="198">
        <v>656916260.80512404</v>
      </c>
      <c r="D883" s="198" t="s">
        <v>3061</v>
      </c>
      <c r="E883" s="198" t="s">
        <v>3062</v>
      </c>
    </row>
    <row r="884" spans="1:5">
      <c r="A884" s="198">
        <v>466036566</v>
      </c>
      <c r="B884" s="198">
        <v>657002648.80608499</v>
      </c>
      <c r="D884" s="198" t="s">
        <v>3063</v>
      </c>
      <c r="E884" s="198" t="s">
        <v>3064</v>
      </c>
    </row>
    <row r="885" spans="1:5">
      <c r="A885" s="198">
        <v>466122955</v>
      </c>
      <c r="B885" s="198">
        <v>657089037.80707204</v>
      </c>
      <c r="D885" s="198" t="s">
        <v>3065</v>
      </c>
      <c r="E885" s="198" t="s">
        <v>3066</v>
      </c>
    </row>
    <row r="886" spans="1:5">
      <c r="A886" s="198">
        <v>466137367</v>
      </c>
      <c r="B886" s="198">
        <v>657103449.80724001</v>
      </c>
      <c r="D886" s="198" t="s">
        <v>3067</v>
      </c>
      <c r="E886" s="198" t="s">
        <v>3068</v>
      </c>
    </row>
    <row r="887" spans="1:5">
      <c r="A887" s="198">
        <v>466382118</v>
      </c>
      <c r="B887" s="198">
        <v>657348200.80996001</v>
      </c>
      <c r="D887" s="198" t="s">
        <v>3069</v>
      </c>
      <c r="E887" s="198" t="s">
        <v>3070</v>
      </c>
    </row>
    <row r="888" spans="1:5">
      <c r="A888" s="198">
        <v>466468503</v>
      </c>
      <c r="B888" s="198">
        <v>657434585.81094098</v>
      </c>
      <c r="D888" s="198" t="s">
        <v>3071</v>
      </c>
      <c r="E888" s="198" t="s">
        <v>3072</v>
      </c>
    </row>
    <row r="889" spans="1:5">
      <c r="A889" s="198">
        <v>466556338</v>
      </c>
      <c r="B889" s="198">
        <v>657522420.81191599</v>
      </c>
      <c r="D889" s="198" t="s">
        <v>3073</v>
      </c>
      <c r="E889" s="198" t="s">
        <v>3074</v>
      </c>
    </row>
    <row r="890" spans="1:5">
      <c r="A890" s="198">
        <v>466626907</v>
      </c>
      <c r="B890" s="198">
        <v>657592989.81272197</v>
      </c>
      <c r="D890" s="198" t="s">
        <v>3075</v>
      </c>
      <c r="E890" s="198" t="s">
        <v>3076</v>
      </c>
    </row>
    <row r="891" spans="1:5">
      <c r="A891" s="198">
        <v>466828470</v>
      </c>
      <c r="B891" s="198">
        <v>657794552.81497598</v>
      </c>
      <c r="D891" s="198" t="s">
        <v>3077</v>
      </c>
      <c r="E891" s="198" t="s">
        <v>3078</v>
      </c>
    </row>
    <row r="892" spans="1:5">
      <c r="A892" s="198">
        <v>466986833</v>
      </c>
      <c r="B892" s="198">
        <v>657952915.81672704</v>
      </c>
      <c r="D892" s="198" t="s">
        <v>3079</v>
      </c>
      <c r="E892" s="198" t="s">
        <v>3080</v>
      </c>
    </row>
    <row r="893" spans="1:5">
      <c r="A893" s="198">
        <v>466994021</v>
      </c>
      <c r="B893" s="198">
        <v>657960103.81681895</v>
      </c>
      <c r="D893" s="198" t="s">
        <v>3081</v>
      </c>
      <c r="E893" s="198" t="s">
        <v>3082</v>
      </c>
    </row>
    <row r="894" spans="1:5">
      <c r="A894" s="198">
        <v>467246000</v>
      </c>
      <c r="B894" s="198">
        <v>658212082.81961095</v>
      </c>
      <c r="D894" s="198" t="s">
        <v>3083</v>
      </c>
      <c r="E894" s="198" t="s">
        <v>3084</v>
      </c>
    </row>
    <row r="895" spans="1:5">
      <c r="A895" s="198">
        <v>467318017</v>
      </c>
      <c r="B895" s="198">
        <v>658284099.82044196</v>
      </c>
      <c r="D895" s="198" t="s">
        <v>3085</v>
      </c>
      <c r="E895" s="198" t="s">
        <v>3086</v>
      </c>
    </row>
    <row r="896" spans="1:5">
      <c r="A896" s="198">
        <v>467346803</v>
      </c>
      <c r="B896" s="198">
        <v>658312885.82076502</v>
      </c>
      <c r="D896" s="198" t="s">
        <v>3087</v>
      </c>
      <c r="E896" s="198" t="s">
        <v>3088</v>
      </c>
    </row>
    <row r="897" spans="1:5">
      <c r="A897" s="198">
        <v>467577181</v>
      </c>
      <c r="B897" s="198">
        <v>658543263.82332695</v>
      </c>
      <c r="D897" s="198" t="s">
        <v>3089</v>
      </c>
      <c r="E897" s="198" t="s">
        <v>3090</v>
      </c>
    </row>
    <row r="898" spans="1:5">
      <c r="A898" s="198">
        <v>467677947</v>
      </c>
      <c r="B898" s="198">
        <v>658644029.82442701</v>
      </c>
      <c r="D898" s="198" t="s">
        <v>3091</v>
      </c>
      <c r="E898" s="198" t="s">
        <v>3092</v>
      </c>
    </row>
    <row r="899" spans="1:5">
      <c r="A899" s="198">
        <v>467764338</v>
      </c>
      <c r="B899" s="198">
        <v>658730420.82539201</v>
      </c>
      <c r="D899" s="198" t="s">
        <v>3093</v>
      </c>
      <c r="E899" s="198" t="s">
        <v>3094</v>
      </c>
    </row>
    <row r="900" spans="1:5">
      <c r="A900" s="198">
        <v>467843529</v>
      </c>
      <c r="B900" s="198">
        <v>658809611.82625306</v>
      </c>
      <c r="D900" s="198" t="s">
        <v>3095</v>
      </c>
      <c r="E900" s="198" t="s">
        <v>3096</v>
      </c>
    </row>
    <row r="901" spans="1:5">
      <c r="A901" s="198">
        <v>467937114</v>
      </c>
      <c r="B901" s="198">
        <v>658903196.82731104</v>
      </c>
      <c r="D901" s="198" t="s">
        <v>3097</v>
      </c>
      <c r="E901" s="198" t="s">
        <v>3098</v>
      </c>
    </row>
    <row r="902" spans="1:5">
      <c r="A902" s="198">
        <v>467947918</v>
      </c>
      <c r="B902" s="198">
        <v>658914000.82744706</v>
      </c>
      <c r="D902" s="198" t="s">
        <v>3099</v>
      </c>
      <c r="E902" s="198" t="s">
        <v>3100</v>
      </c>
    </row>
    <row r="903" spans="1:5">
      <c r="A903" s="198">
        <v>468196280</v>
      </c>
      <c r="B903" s="198">
        <v>659162362.83018196</v>
      </c>
      <c r="D903" s="198" t="s">
        <v>3101</v>
      </c>
      <c r="E903" s="198" t="s">
        <v>3102</v>
      </c>
    </row>
    <row r="904" spans="1:5">
      <c r="A904" s="198">
        <v>468282673</v>
      </c>
      <c r="B904" s="198">
        <v>659248755.83113599</v>
      </c>
      <c r="D904" s="198" t="s">
        <v>3103</v>
      </c>
      <c r="E904" s="198" t="s">
        <v>3104</v>
      </c>
    </row>
    <row r="905" spans="1:5">
      <c r="A905" s="198">
        <v>468369065</v>
      </c>
      <c r="B905" s="198">
        <v>659335147.83210301</v>
      </c>
      <c r="D905" s="198" t="s">
        <v>3105</v>
      </c>
      <c r="E905" s="198" t="s">
        <v>3106</v>
      </c>
    </row>
    <row r="906" spans="1:5">
      <c r="A906" s="198">
        <v>468455456</v>
      </c>
      <c r="B906" s="198">
        <v>659421538.83305705</v>
      </c>
      <c r="D906" s="198" t="s">
        <v>3107</v>
      </c>
      <c r="E906" s="198" t="s">
        <v>3108</v>
      </c>
    </row>
    <row r="907" spans="1:5">
      <c r="A907" s="198">
        <v>468523865</v>
      </c>
      <c r="B907" s="198">
        <v>659489947.83381605</v>
      </c>
      <c r="D907" s="198" t="s">
        <v>3109</v>
      </c>
      <c r="E907" s="198" t="s">
        <v>3110</v>
      </c>
    </row>
    <row r="908" spans="1:5">
      <c r="A908" s="198">
        <v>468714625</v>
      </c>
      <c r="B908" s="198">
        <v>659680707.83591998</v>
      </c>
      <c r="D908" s="198" t="s">
        <v>3111</v>
      </c>
      <c r="E908" s="198" t="s">
        <v>3112</v>
      </c>
    </row>
    <row r="909" spans="1:5">
      <c r="A909" s="198">
        <v>468801012</v>
      </c>
      <c r="B909" s="198">
        <v>659767094.83688903</v>
      </c>
      <c r="D909" s="198" t="s">
        <v>3113</v>
      </c>
      <c r="E909" s="198" t="s">
        <v>3114</v>
      </c>
    </row>
    <row r="910" spans="1:5">
      <c r="A910" s="198">
        <v>468808224</v>
      </c>
      <c r="B910" s="198">
        <v>659774306.83697605</v>
      </c>
      <c r="D910" s="198" t="s">
        <v>3115</v>
      </c>
      <c r="E910" s="198" t="s">
        <v>3116</v>
      </c>
    </row>
    <row r="911" spans="1:5">
      <c r="A911" s="198">
        <v>468973796</v>
      </c>
      <c r="B911" s="198">
        <v>659939878.83879304</v>
      </c>
      <c r="D911" s="198" t="s">
        <v>3117</v>
      </c>
      <c r="E911" s="198" t="s">
        <v>3118</v>
      </c>
    </row>
    <row r="912" spans="1:5">
      <c r="A912" s="198">
        <v>469139373</v>
      </c>
      <c r="B912" s="198">
        <v>660105455.84060097</v>
      </c>
      <c r="D912" s="198" t="s">
        <v>3119</v>
      </c>
      <c r="E912" s="198" t="s">
        <v>3120</v>
      </c>
    </row>
    <row r="913" spans="1:5">
      <c r="A913" s="198">
        <v>469232968</v>
      </c>
      <c r="B913" s="198">
        <v>660199050.84166205</v>
      </c>
      <c r="D913" s="198" t="s">
        <v>3121</v>
      </c>
      <c r="E913" s="198" t="s">
        <v>3122</v>
      </c>
    </row>
    <row r="914" spans="1:5">
      <c r="A914" s="198">
        <v>469286954</v>
      </c>
      <c r="B914" s="198">
        <v>660253036.84223604</v>
      </c>
      <c r="D914" s="198" t="s">
        <v>3123</v>
      </c>
      <c r="E914" s="198" t="s">
        <v>3124</v>
      </c>
    </row>
    <row r="915" spans="1:5">
      <c r="A915" s="198">
        <v>469376947</v>
      </c>
      <c r="B915" s="198">
        <v>660343029.84323597</v>
      </c>
      <c r="D915" s="198" t="s">
        <v>3125</v>
      </c>
      <c r="E915" s="198" t="s">
        <v>3126</v>
      </c>
    </row>
    <row r="916" spans="1:5">
      <c r="A916" s="198">
        <v>469470552</v>
      </c>
      <c r="B916" s="198">
        <v>660436634.84428501</v>
      </c>
      <c r="D916" s="198" t="s">
        <v>3127</v>
      </c>
      <c r="E916" s="198" t="s">
        <v>3128</v>
      </c>
    </row>
    <row r="917" spans="1:5">
      <c r="A917" s="198">
        <v>469578534</v>
      </c>
      <c r="B917" s="198">
        <v>660544616.84547698</v>
      </c>
      <c r="D917" s="198" t="s">
        <v>3129</v>
      </c>
      <c r="E917" s="198" t="s">
        <v>3130</v>
      </c>
    </row>
    <row r="918" spans="1:5">
      <c r="A918" s="198">
        <v>469636121</v>
      </c>
      <c r="B918" s="198">
        <v>660602203.84609401</v>
      </c>
      <c r="D918" s="198" t="s">
        <v>3131</v>
      </c>
      <c r="E918" s="198" t="s">
        <v>3132</v>
      </c>
    </row>
    <row r="919" spans="1:5">
      <c r="A919" s="198">
        <v>469744114</v>
      </c>
      <c r="B919" s="198">
        <v>660710196.84729099</v>
      </c>
      <c r="D919" s="198" t="s">
        <v>3133</v>
      </c>
      <c r="E919" s="198" t="s">
        <v>3134</v>
      </c>
    </row>
    <row r="920" spans="1:5">
      <c r="A920" s="198">
        <v>469898900</v>
      </c>
      <c r="B920" s="198">
        <v>660864982.84899998</v>
      </c>
      <c r="D920" s="198" t="s">
        <v>3135</v>
      </c>
      <c r="E920" s="198" t="s">
        <v>3136</v>
      </c>
    </row>
    <row r="921" spans="1:5">
      <c r="A921" s="198">
        <v>470010501</v>
      </c>
      <c r="B921" s="198">
        <v>660976583.85023904</v>
      </c>
      <c r="D921" s="198" t="s">
        <v>3137</v>
      </c>
      <c r="E921" s="198" t="s">
        <v>3138</v>
      </c>
    </row>
    <row r="922" spans="1:5">
      <c r="A922" s="198">
        <v>470075309</v>
      </c>
      <c r="B922" s="198">
        <v>661041391.85094702</v>
      </c>
      <c r="D922" s="198" t="s">
        <v>3139</v>
      </c>
      <c r="E922" s="198" t="s">
        <v>3140</v>
      </c>
    </row>
    <row r="923" spans="1:5">
      <c r="A923" s="198">
        <v>470183277</v>
      </c>
      <c r="B923" s="198">
        <v>661149359.852139</v>
      </c>
      <c r="D923" s="198" t="s">
        <v>3141</v>
      </c>
      <c r="E923" s="198" t="s">
        <v>3142</v>
      </c>
    </row>
    <row r="924" spans="1:5">
      <c r="A924" s="198">
        <v>470186872</v>
      </c>
      <c r="B924" s="198">
        <v>661152954.85217202</v>
      </c>
      <c r="D924" s="198" t="s">
        <v>3143</v>
      </c>
      <c r="E924" s="198" t="s">
        <v>3144</v>
      </c>
    </row>
    <row r="925" spans="1:5">
      <c r="A925" s="198">
        <v>470356065</v>
      </c>
      <c r="B925" s="198">
        <v>661322147.85402501</v>
      </c>
      <c r="D925" s="198" t="s">
        <v>3145</v>
      </c>
      <c r="E925" s="198" t="s">
        <v>3146</v>
      </c>
    </row>
    <row r="926" spans="1:5">
      <c r="A926" s="198">
        <v>470359655</v>
      </c>
      <c r="B926" s="198">
        <v>661325737.85408401</v>
      </c>
      <c r="D926" s="198" t="s">
        <v>3147</v>
      </c>
      <c r="E926" s="198" t="s">
        <v>3148</v>
      </c>
    </row>
    <row r="927" spans="1:5">
      <c r="A927" s="198">
        <v>470582835</v>
      </c>
      <c r="B927" s="198">
        <v>661548917.85651195</v>
      </c>
      <c r="D927" s="198" t="s">
        <v>3149</v>
      </c>
      <c r="E927" s="198" t="s">
        <v>3150</v>
      </c>
    </row>
    <row r="928" spans="1:5">
      <c r="A928" s="198">
        <v>470701651</v>
      </c>
      <c r="B928" s="198">
        <v>661667733.85782397</v>
      </c>
      <c r="D928" s="198" t="s">
        <v>3151</v>
      </c>
      <c r="E928" s="198" t="s">
        <v>3152</v>
      </c>
    </row>
    <row r="929" spans="1:5">
      <c r="A929" s="198">
        <v>470777226</v>
      </c>
      <c r="B929" s="198">
        <v>661743308.85864997</v>
      </c>
      <c r="D929" s="198" t="s">
        <v>3153</v>
      </c>
      <c r="E929" s="198" t="s">
        <v>3154</v>
      </c>
    </row>
    <row r="930" spans="1:5">
      <c r="A930" s="198">
        <v>470960862</v>
      </c>
      <c r="B930" s="198">
        <v>661926944.86068106</v>
      </c>
      <c r="D930" s="198" t="s">
        <v>3155</v>
      </c>
      <c r="E930" s="198" t="s">
        <v>3156</v>
      </c>
    </row>
    <row r="931" spans="1:5">
      <c r="A931" s="198">
        <v>471011244</v>
      </c>
      <c r="B931" s="198">
        <v>661977326.86121595</v>
      </c>
      <c r="D931" s="198" t="s">
        <v>3157</v>
      </c>
      <c r="E931" s="198" t="s">
        <v>3158</v>
      </c>
    </row>
    <row r="932" spans="1:5">
      <c r="A932" s="198">
        <v>471392880</v>
      </c>
      <c r="B932" s="198">
        <v>662358962.86541796</v>
      </c>
      <c r="D932" s="198" t="s">
        <v>3159</v>
      </c>
      <c r="E932" s="198" t="s">
        <v>3160</v>
      </c>
    </row>
    <row r="933" spans="1:5">
      <c r="A933" s="198">
        <v>471824793</v>
      </c>
      <c r="B933" s="198">
        <v>662790875.87015104</v>
      </c>
      <c r="D933" s="198" t="s">
        <v>3161</v>
      </c>
      <c r="E933" s="198" t="s">
        <v>3162</v>
      </c>
    </row>
    <row r="934" spans="1:5">
      <c r="A934" s="198">
        <v>471882365</v>
      </c>
      <c r="B934" s="198">
        <v>662848447.87078094</v>
      </c>
      <c r="D934" s="198" t="s">
        <v>3163</v>
      </c>
      <c r="E934" s="198" t="s">
        <v>3164</v>
      </c>
    </row>
    <row r="935" spans="1:5">
      <c r="A935" s="198">
        <v>471975959</v>
      </c>
      <c r="B935" s="198">
        <v>662942041.87176704</v>
      </c>
      <c r="D935" s="198" t="s">
        <v>3165</v>
      </c>
      <c r="E935" s="198" t="s">
        <v>3166</v>
      </c>
    </row>
    <row r="936" spans="1:5">
      <c r="A936" s="198">
        <v>472022826</v>
      </c>
      <c r="B936" s="198">
        <v>662988908.87231195</v>
      </c>
      <c r="D936" s="198" t="s">
        <v>3167</v>
      </c>
      <c r="E936" s="198" t="s">
        <v>3168</v>
      </c>
    </row>
    <row r="937" spans="1:5">
      <c r="A937" s="198">
        <v>472141564</v>
      </c>
      <c r="B937" s="198">
        <v>663107646.87361395</v>
      </c>
      <c r="D937" s="198" t="s">
        <v>3169</v>
      </c>
      <c r="E937" s="198" t="s">
        <v>3170</v>
      </c>
    </row>
    <row r="938" spans="1:5">
      <c r="A938" s="198">
        <v>472206359</v>
      </c>
      <c r="B938" s="198">
        <v>663172441.87429404</v>
      </c>
      <c r="D938" s="198" t="s">
        <v>3171</v>
      </c>
      <c r="E938" s="198" t="s">
        <v>3172</v>
      </c>
    </row>
    <row r="939" spans="1:5">
      <c r="A939" s="198">
        <v>472343227</v>
      </c>
      <c r="B939" s="198">
        <v>663309309.87576103</v>
      </c>
      <c r="D939" s="198" t="s">
        <v>3173</v>
      </c>
      <c r="E939" s="198" t="s">
        <v>3174</v>
      </c>
    </row>
    <row r="940" spans="1:5">
      <c r="A940" s="198">
        <v>472400754</v>
      </c>
      <c r="B940" s="198">
        <v>663366836.87641597</v>
      </c>
      <c r="D940" s="198" t="s">
        <v>3175</v>
      </c>
      <c r="E940" s="198" t="s">
        <v>3176</v>
      </c>
    </row>
    <row r="941" spans="1:5">
      <c r="A941" s="198">
        <v>472706801</v>
      </c>
      <c r="B941" s="198">
        <v>663672883.87971699</v>
      </c>
      <c r="D941" s="198" t="s">
        <v>3177</v>
      </c>
      <c r="E941" s="198" t="s">
        <v>3178</v>
      </c>
    </row>
    <row r="942" spans="1:5">
      <c r="A942" s="198">
        <v>472890328</v>
      </c>
      <c r="B942" s="198">
        <v>663856410.881724</v>
      </c>
      <c r="D942" s="198" t="s">
        <v>3179</v>
      </c>
      <c r="E942" s="198" t="s">
        <v>3180</v>
      </c>
    </row>
    <row r="943" spans="1:5">
      <c r="A943" s="198">
        <v>473117137</v>
      </c>
      <c r="B943" s="198">
        <v>664083219.88417196</v>
      </c>
      <c r="D943" s="198" t="s">
        <v>3181</v>
      </c>
      <c r="E943" s="198" t="s">
        <v>3182</v>
      </c>
    </row>
    <row r="944" spans="1:5">
      <c r="A944" s="198">
        <v>473289918</v>
      </c>
      <c r="B944" s="198">
        <v>664256000.88605905</v>
      </c>
      <c r="D944" s="198" t="s">
        <v>3183</v>
      </c>
      <c r="E944" s="198" t="s">
        <v>3184</v>
      </c>
    </row>
    <row r="945" spans="1:5">
      <c r="A945" s="198">
        <v>473376592</v>
      </c>
      <c r="B945" s="198">
        <v>664342674.88699806</v>
      </c>
      <c r="D945" s="198" t="s">
        <v>3185</v>
      </c>
      <c r="E945" s="198" t="s">
        <v>3186</v>
      </c>
    </row>
    <row r="946" spans="1:5">
      <c r="A946" s="198">
        <v>473426788</v>
      </c>
      <c r="B946" s="198">
        <v>664392870.88753998</v>
      </c>
      <c r="D946" s="198" t="s">
        <v>3187</v>
      </c>
      <c r="E946" s="198" t="s">
        <v>3188</v>
      </c>
    </row>
    <row r="947" spans="1:5">
      <c r="A947" s="198">
        <v>473624686</v>
      </c>
      <c r="B947" s="198">
        <v>664590768.88967001</v>
      </c>
      <c r="D947" s="198" t="s">
        <v>3189</v>
      </c>
      <c r="E947" s="198" t="s">
        <v>3190</v>
      </c>
    </row>
    <row r="948" spans="1:5">
      <c r="A948" s="198">
        <v>473714694</v>
      </c>
      <c r="B948" s="198">
        <v>664680776.89066505</v>
      </c>
      <c r="D948" s="198" t="s">
        <v>3191</v>
      </c>
      <c r="E948" s="198" t="s">
        <v>3192</v>
      </c>
    </row>
    <row r="949" spans="1:5">
      <c r="A949" s="198">
        <v>473797486</v>
      </c>
      <c r="B949" s="198">
        <v>664763568.89155996</v>
      </c>
      <c r="D949" s="198" t="s">
        <v>3193</v>
      </c>
      <c r="E949" s="198" t="s">
        <v>3194</v>
      </c>
    </row>
    <row r="950" spans="1:5">
      <c r="A950" s="198">
        <v>473876679</v>
      </c>
      <c r="B950" s="198">
        <v>664842761.89239395</v>
      </c>
      <c r="D950" s="198" t="s">
        <v>3195</v>
      </c>
      <c r="E950" s="198" t="s">
        <v>3196</v>
      </c>
    </row>
    <row r="951" spans="1:5">
      <c r="A951" s="198">
        <v>473977516</v>
      </c>
      <c r="B951" s="198">
        <v>664943598.89352596</v>
      </c>
      <c r="D951" s="198" t="s">
        <v>3197</v>
      </c>
      <c r="E951" s="198" t="s">
        <v>3198</v>
      </c>
    </row>
    <row r="952" spans="1:5">
      <c r="A952" s="198">
        <v>474236706</v>
      </c>
      <c r="B952" s="198">
        <v>665202788.89632905</v>
      </c>
      <c r="D952" s="198" t="s">
        <v>3199</v>
      </c>
      <c r="E952" s="198" t="s">
        <v>3200</v>
      </c>
    </row>
    <row r="953" spans="1:5">
      <c r="A953" s="198">
        <v>474312278</v>
      </c>
      <c r="B953" s="198">
        <v>665278360.89713395</v>
      </c>
      <c r="D953" s="198" t="s">
        <v>3201</v>
      </c>
      <c r="E953" s="198" t="s">
        <v>3202</v>
      </c>
    </row>
    <row r="954" spans="1:5">
      <c r="A954" s="198">
        <v>474380685</v>
      </c>
      <c r="B954" s="198">
        <v>665346767.89790404</v>
      </c>
      <c r="D954" s="198" t="s">
        <v>3203</v>
      </c>
      <c r="E954" s="198" t="s">
        <v>3204</v>
      </c>
    </row>
    <row r="955" spans="1:5">
      <c r="A955" s="198">
        <v>474477887</v>
      </c>
      <c r="B955" s="198">
        <v>665443969.89893699</v>
      </c>
      <c r="D955" s="198" t="s">
        <v>3205</v>
      </c>
      <c r="E955" s="198" t="s">
        <v>3206</v>
      </c>
    </row>
    <row r="956" spans="1:5">
      <c r="A956" s="198">
        <v>474539072</v>
      </c>
      <c r="B956" s="198">
        <v>665505154.89960504</v>
      </c>
      <c r="D956" s="198" t="s">
        <v>3207</v>
      </c>
      <c r="E956" s="198" t="s">
        <v>3208</v>
      </c>
    </row>
    <row r="957" spans="1:5">
      <c r="A957" s="198">
        <v>474849364</v>
      </c>
      <c r="B957" s="198">
        <v>665815446.90299702</v>
      </c>
      <c r="D957" s="198" t="s">
        <v>3209</v>
      </c>
      <c r="E957" s="198" t="s">
        <v>3210</v>
      </c>
    </row>
    <row r="958" spans="1:5">
      <c r="A958" s="198">
        <v>474927907</v>
      </c>
      <c r="B958" s="198">
        <v>665893989.90387201</v>
      </c>
      <c r="D958" s="198" t="s">
        <v>3211</v>
      </c>
      <c r="E958" s="198" t="s">
        <v>3212</v>
      </c>
    </row>
    <row r="959" spans="1:5">
      <c r="A959" s="198">
        <v>475014305</v>
      </c>
      <c r="B959" s="198">
        <v>665980387.90480602</v>
      </c>
      <c r="D959" s="198" t="s">
        <v>3213</v>
      </c>
      <c r="E959" s="198" t="s">
        <v>3214</v>
      </c>
    </row>
    <row r="960" spans="1:5">
      <c r="A960" s="198">
        <v>475082678</v>
      </c>
      <c r="B960" s="198">
        <v>666048760.90552795</v>
      </c>
      <c r="D960" s="198" t="s">
        <v>3215</v>
      </c>
      <c r="E960" s="198" t="s">
        <v>3216</v>
      </c>
    </row>
    <row r="961" spans="1:5">
      <c r="A961" s="198">
        <v>475176276</v>
      </c>
      <c r="B961" s="198">
        <v>666142358.906564</v>
      </c>
      <c r="D961" s="198" t="s">
        <v>3217</v>
      </c>
      <c r="E961" s="198" t="s">
        <v>3218</v>
      </c>
    </row>
    <row r="962" spans="1:5">
      <c r="A962" s="198">
        <v>475453481</v>
      </c>
      <c r="B962" s="198">
        <v>666419563.90956604</v>
      </c>
      <c r="D962" s="198" t="s">
        <v>3219</v>
      </c>
      <c r="E962" s="198" t="s">
        <v>3220</v>
      </c>
    </row>
    <row r="963" spans="1:5">
      <c r="A963" s="198">
        <v>475529101</v>
      </c>
      <c r="B963" s="198">
        <v>666495183.91042602</v>
      </c>
      <c r="D963" s="198" t="s">
        <v>3221</v>
      </c>
      <c r="E963" s="198" t="s">
        <v>3222</v>
      </c>
    </row>
    <row r="964" spans="1:5">
      <c r="A964" s="198">
        <v>475626288</v>
      </c>
      <c r="B964" s="198">
        <v>666592370.91147101</v>
      </c>
      <c r="D964" s="198" t="s">
        <v>3223</v>
      </c>
      <c r="E964" s="198" t="s">
        <v>3224</v>
      </c>
    </row>
    <row r="965" spans="1:5">
      <c r="A965" s="198">
        <v>475662280</v>
      </c>
      <c r="B965" s="198">
        <v>666628362.91185904</v>
      </c>
      <c r="D965" s="198" t="s">
        <v>3225</v>
      </c>
      <c r="E965" s="198" t="s">
        <v>3226</v>
      </c>
    </row>
    <row r="966" spans="1:5">
      <c r="A966" s="198">
        <v>475799089</v>
      </c>
      <c r="B966" s="198">
        <v>666765171.91335404</v>
      </c>
      <c r="D966" s="198" t="s">
        <v>3227</v>
      </c>
      <c r="E966" s="198" t="s">
        <v>3228</v>
      </c>
    </row>
    <row r="967" spans="1:5">
      <c r="A967" s="198">
        <v>475885488</v>
      </c>
      <c r="B967" s="198">
        <v>666851570.91430295</v>
      </c>
      <c r="D967" s="198" t="s">
        <v>3229</v>
      </c>
      <c r="E967" s="198" t="s">
        <v>3230</v>
      </c>
    </row>
    <row r="968" spans="1:5">
      <c r="A968" s="198">
        <v>475971889</v>
      </c>
      <c r="B968" s="198">
        <v>666937971.91523898</v>
      </c>
      <c r="D968" s="198" t="s">
        <v>3231</v>
      </c>
      <c r="E968" s="198" t="s">
        <v>3232</v>
      </c>
    </row>
    <row r="969" spans="1:5">
      <c r="A969" s="198">
        <v>476007889</v>
      </c>
      <c r="B969" s="198">
        <v>666973971.91564095</v>
      </c>
      <c r="D969" s="198" t="s">
        <v>3233</v>
      </c>
      <c r="E969" s="198" t="s">
        <v>3234</v>
      </c>
    </row>
    <row r="970" spans="1:5">
      <c r="A970" s="198">
        <v>476094291</v>
      </c>
      <c r="B970" s="198">
        <v>667060373.91658604</v>
      </c>
      <c r="D970" s="198" t="s">
        <v>3235</v>
      </c>
      <c r="E970" s="198" t="s">
        <v>3236</v>
      </c>
    </row>
    <row r="971" spans="1:5">
      <c r="A971" s="198">
        <v>476180693</v>
      </c>
      <c r="B971" s="198">
        <v>667146775.91752803</v>
      </c>
      <c r="D971" s="198" t="s">
        <v>3237</v>
      </c>
      <c r="E971" s="198" t="s">
        <v>3238</v>
      </c>
    </row>
    <row r="972" spans="1:5">
      <c r="A972" s="198">
        <v>476267094</v>
      </c>
      <c r="B972" s="198">
        <v>667233176.91847503</v>
      </c>
      <c r="D972" s="198" t="s">
        <v>3239</v>
      </c>
      <c r="E972" s="198" t="s">
        <v>3240</v>
      </c>
    </row>
    <row r="973" spans="1:5">
      <c r="A973" s="198">
        <v>476393097</v>
      </c>
      <c r="B973" s="198">
        <v>667359179.91984403</v>
      </c>
      <c r="D973" s="198" t="s">
        <v>3241</v>
      </c>
      <c r="E973" s="198" t="s">
        <v>3242</v>
      </c>
    </row>
    <row r="974" spans="1:5">
      <c r="A974" s="198">
        <v>476439899</v>
      </c>
      <c r="B974" s="198">
        <v>667405981.92037201</v>
      </c>
      <c r="D974" s="198" t="s">
        <v>3243</v>
      </c>
      <c r="E974" s="198" t="s">
        <v>3244</v>
      </c>
    </row>
    <row r="975" spans="1:5">
      <c r="A975" s="198">
        <v>476547899</v>
      </c>
      <c r="B975" s="198">
        <v>667513981.92154396</v>
      </c>
      <c r="D975" s="198" t="s">
        <v>3245</v>
      </c>
      <c r="E975" s="198" t="s">
        <v>3246</v>
      </c>
    </row>
    <row r="976" spans="1:5">
      <c r="A976" s="198">
        <v>476663106</v>
      </c>
      <c r="B976" s="198">
        <v>667629188.92281306</v>
      </c>
      <c r="D976" s="198" t="s">
        <v>3247</v>
      </c>
      <c r="E976" s="198" t="s">
        <v>3248</v>
      </c>
    </row>
    <row r="977" spans="1:5">
      <c r="A977" s="198">
        <v>476727907</v>
      </c>
      <c r="B977" s="198">
        <v>667693989.92354298</v>
      </c>
      <c r="D977" s="198" t="s">
        <v>3249</v>
      </c>
      <c r="E977" s="198" t="s">
        <v>3250</v>
      </c>
    </row>
    <row r="978" spans="1:5">
      <c r="A978" s="198">
        <v>476785509</v>
      </c>
      <c r="B978" s="198">
        <v>667751591.92416894</v>
      </c>
      <c r="D978" s="198" t="s">
        <v>3251</v>
      </c>
      <c r="E978" s="198" t="s">
        <v>3252</v>
      </c>
    </row>
    <row r="979" spans="1:5">
      <c r="A979" s="198">
        <v>476879119</v>
      </c>
      <c r="B979" s="198">
        <v>667845201.92520702</v>
      </c>
      <c r="D979" s="198" t="s">
        <v>3253</v>
      </c>
      <c r="E979" s="198" t="s">
        <v>3254</v>
      </c>
    </row>
    <row r="980" spans="1:5">
      <c r="A980" s="198">
        <v>476990726</v>
      </c>
      <c r="B980" s="198">
        <v>667956808.92643094</v>
      </c>
      <c r="D980" s="198" t="s">
        <v>3255</v>
      </c>
      <c r="E980" s="198" t="s">
        <v>3256</v>
      </c>
    </row>
    <row r="981" spans="1:5">
      <c r="A981" s="198">
        <v>477077124</v>
      </c>
      <c r="B981" s="198">
        <v>668043206.92737699</v>
      </c>
      <c r="D981" s="198" t="s">
        <v>3257</v>
      </c>
      <c r="E981" s="198" t="s">
        <v>3258</v>
      </c>
    </row>
    <row r="982" spans="1:5">
      <c r="A982" s="198">
        <v>477249938</v>
      </c>
      <c r="B982" s="198">
        <v>668216020.92929101</v>
      </c>
      <c r="D982" s="198" t="s">
        <v>3259</v>
      </c>
      <c r="E982" s="198" t="s">
        <v>3260</v>
      </c>
    </row>
    <row r="983" spans="1:5">
      <c r="A983" s="198">
        <v>477311134</v>
      </c>
      <c r="B983" s="198">
        <v>668277216.92996097</v>
      </c>
      <c r="D983" s="198" t="s">
        <v>3261</v>
      </c>
      <c r="E983" s="198" t="s">
        <v>3262</v>
      </c>
    </row>
    <row r="984" spans="1:5">
      <c r="A984" s="198">
        <v>477397542</v>
      </c>
      <c r="B984" s="198">
        <v>668363624.93091905</v>
      </c>
      <c r="D984" s="198" t="s">
        <v>3263</v>
      </c>
      <c r="E984" s="198" t="s">
        <v>3264</v>
      </c>
    </row>
    <row r="985" spans="1:5">
      <c r="A985" s="198">
        <v>477498336</v>
      </c>
      <c r="B985" s="198">
        <v>668464418.93200195</v>
      </c>
      <c r="D985" s="198" t="s">
        <v>3265</v>
      </c>
      <c r="E985" s="198" t="s">
        <v>3266</v>
      </c>
    </row>
    <row r="986" spans="1:5">
      <c r="A986" s="198">
        <v>477570351</v>
      </c>
      <c r="B986" s="198">
        <v>668536433.93281901</v>
      </c>
      <c r="D986" s="198" t="s">
        <v>3267</v>
      </c>
      <c r="E986" s="198" t="s">
        <v>3268</v>
      </c>
    </row>
    <row r="987" spans="1:5">
      <c r="A987" s="198">
        <v>477663949</v>
      </c>
      <c r="B987" s="198">
        <v>668630031.93382704</v>
      </c>
      <c r="D987" s="198" t="s">
        <v>3269</v>
      </c>
      <c r="E987" s="198" t="s">
        <v>3270</v>
      </c>
    </row>
    <row r="988" spans="1:5">
      <c r="A988" s="198">
        <v>477872751</v>
      </c>
      <c r="B988" s="198">
        <v>668838833.93615901</v>
      </c>
      <c r="D988" s="198" t="s">
        <v>3271</v>
      </c>
      <c r="E988" s="198" t="s">
        <v>3272</v>
      </c>
    </row>
    <row r="989" spans="1:5">
      <c r="A989" s="198">
        <v>477944755</v>
      </c>
      <c r="B989" s="198">
        <v>668910837.93691599</v>
      </c>
      <c r="D989" s="198" t="s">
        <v>3273</v>
      </c>
      <c r="E989" s="198" t="s">
        <v>3274</v>
      </c>
    </row>
    <row r="990" spans="1:5">
      <c r="A990" s="198">
        <v>478020354</v>
      </c>
      <c r="B990" s="198">
        <v>668986436.93777394</v>
      </c>
      <c r="D990" s="198" t="s">
        <v>3275</v>
      </c>
      <c r="E990" s="198" t="s">
        <v>3276</v>
      </c>
    </row>
    <row r="991" spans="1:5">
      <c r="A991" s="198">
        <v>478099555</v>
      </c>
      <c r="B991" s="198">
        <v>669065637.93865299</v>
      </c>
      <c r="D991" s="198" t="s">
        <v>3277</v>
      </c>
      <c r="E991" s="198" t="s">
        <v>3278</v>
      </c>
    </row>
    <row r="992" spans="1:5">
      <c r="A992" s="198">
        <v>478211270</v>
      </c>
      <c r="B992" s="198">
        <v>669177352.93989098</v>
      </c>
      <c r="D992" s="198" t="s">
        <v>3279</v>
      </c>
      <c r="E992" s="198" t="s">
        <v>3280</v>
      </c>
    </row>
    <row r="993" spans="1:5">
      <c r="A993" s="198">
        <v>478257978</v>
      </c>
      <c r="B993" s="198">
        <v>669224060.940418</v>
      </c>
      <c r="D993" s="198" t="s">
        <v>3281</v>
      </c>
      <c r="E993" s="198" t="s">
        <v>3282</v>
      </c>
    </row>
    <row r="994" spans="1:5">
      <c r="A994" s="198">
        <v>478380375</v>
      </c>
      <c r="B994" s="198">
        <v>669346457.94175005</v>
      </c>
      <c r="D994" s="198" t="s">
        <v>3283</v>
      </c>
      <c r="E994" s="198" t="s">
        <v>3284</v>
      </c>
    </row>
    <row r="995" spans="1:5">
      <c r="A995" s="198">
        <v>478477581</v>
      </c>
      <c r="B995" s="198">
        <v>669443663.94283903</v>
      </c>
      <c r="D995" s="198" t="s">
        <v>3285</v>
      </c>
      <c r="E995" s="198" t="s">
        <v>3286</v>
      </c>
    </row>
    <row r="996" spans="1:5">
      <c r="A996" s="198">
        <v>478535294</v>
      </c>
      <c r="B996" s="198">
        <v>669501376.94346905</v>
      </c>
      <c r="D996" s="198" t="s">
        <v>3287</v>
      </c>
      <c r="E996" s="198" t="s">
        <v>3288</v>
      </c>
    </row>
    <row r="997" spans="1:5">
      <c r="A997" s="198">
        <v>478636105</v>
      </c>
      <c r="B997" s="198">
        <v>669602187.94455302</v>
      </c>
      <c r="D997" s="198" t="s">
        <v>3289</v>
      </c>
      <c r="E997" s="198" t="s">
        <v>3290</v>
      </c>
    </row>
    <row r="998" spans="1:5">
      <c r="A998" s="198">
        <v>478689999</v>
      </c>
      <c r="B998" s="198">
        <v>669656081.94520795</v>
      </c>
      <c r="D998" s="198" t="s">
        <v>3291</v>
      </c>
      <c r="E998" s="198" t="s">
        <v>3292</v>
      </c>
    </row>
    <row r="999" spans="1:5">
      <c r="A999" s="198">
        <v>478812393</v>
      </c>
      <c r="B999" s="198">
        <v>669778475.94654298</v>
      </c>
      <c r="D999" s="198" t="s">
        <v>3293</v>
      </c>
      <c r="E999" s="198" t="s">
        <v>3294</v>
      </c>
    </row>
    <row r="1000" spans="1:5">
      <c r="A1000" s="198">
        <v>478905999</v>
      </c>
      <c r="B1000" s="198">
        <v>669872081.94758499</v>
      </c>
      <c r="D1000" s="198" t="s">
        <v>3295</v>
      </c>
      <c r="E1000" s="198" t="s">
        <v>3296</v>
      </c>
    </row>
    <row r="1001" spans="1:5">
      <c r="A1001" s="198">
        <v>478992408</v>
      </c>
      <c r="B1001" s="198">
        <v>669958490.94855905</v>
      </c>
      <c r="D1001" s="198" t="s">
        <v>3297</v>
      </c>
      <c r="E1001" s="198" t="s">
        <v>3298</v>
      </c>
    </row>
    <row r="1002" spans="1:5">
      <c r="A1002" s="198">
        <v>479032010</v>
      </c>
      <c r="B1002" s="198">
        <v>669998092.94900703</v>
      </c>
      <c r="D1002" s="198" t="s">
        <v>3299</v>
      </c>
      <c r="E1002" s="198" t="s">
        <v>3300</v>
      </c>
    </row>
    <row r="1003" spans="1:5">
      <c r="A1003" s="198">
        <v>479168813</v>
      </c>
      <c r="B1003" s="198">
        <v>670134895.95052397</v>
      </c>
      <c r="D1003" s="198" t="s">
        <v>3301</v>
      </c>
      <c r="E1003" s="198" t="s">
        <v>3302</v>
      </c>
    </row>
    <row r="1004" spans="1:5">
      <c r="A1004" s="198">
        <v>479330823</v>
      </c>
      <c r="B1004" s="198">
        <v>670296905.95230603</v>
      </c>
      <c r="D1004" s="198" t="s">
        <v>3303</v>
      </c>
      <c r="E1004" s="198" t="s">
        <v>3304</v>
      </c>
    </row>
    <row r="1005" spans="1:5">
      <c r="A1005" s="198">
        <v>479428028</v>
      </c>
      <c r="B1005" s="198">
        <v>670394110.95340502</v>
      </c>
      <c r="D1005" s="198" t="s">
        <v>3305</v>
      </c>
      <c r="E1005" s="198" t="s">
        <v>3306</v>
      </c>
    </row>
    <row r="1006" spans="1:5">
      <c r="A1006" s="198">
        <v>479514430</v>
      </c>
      <c r="B1006" s="198">
        <v>670480512.95437598</v>
      </c>
      <c r="D1006" s="198" t="s">
        <v>3307</v>
      </c>
      <c r="E1006" s="198" t="s">
        <v>3308</v>
      </c>
    </row>
    <row r="1007" spans="1:5">
      <c r="A1007" s="198">
        <v>479550436</v>
      </c>
      <c r="B1007" s="198">
        <v>670516518.95477295</v>
      </c>
      <c r="D1007" s="198" t="s">
        <v>3309</v>
      </c>
      <c r="E1007" s="198" t="s">
        <v>3310</v>
      </c>
    </row>
    <row r="1008" spans="1:5">
      <c r="A1008" s="198">
        <v>479687244</v>
      </c>
      <c r="B1008" s="198">
        <v>670653326.95630205</v>
      </c>
      <c r="D1008" s="198" t="s">
        <v>3311</v>
      </c>
      <c r="E1008" s="198" t="s">
        <v>3312</v>
      </c>
    </row>
    <row r="1009" spans="1:5">
      <c r="A1009" s="198">
        <v>479737709</v>
      </c>
      <c r="B1009" s="198">
        <v>670703791.95685005</v>
      </c>
      <c r="D1009" s="198" t="s">
        <v>3313</v>
      </c>
      <c r="E1009" s="198" t="s">
        <v>3314</v>
      </c>
    </row>
    <row r="1010" spans="1:5">
      <c r="A1010" s="198">
        <v>479860054</v>
      </c>
      <c r="B1010" s="198">
        <v>670826136.95824099</v>
      </c>
      <c r="D1010" s="198" t="s">
        <v>3315</v>
      </c>
      <c r="E1010" s="198" t="s">
        <v>3316</v>
      </c>
    </row>
    <row r="1011" spans="1:5">
      <c r="A1011" s="198">
        <v>479932049</v>
      </c>
      <c r="B1011" s="198">
        <v>670898131.95902598</v>
      </c>
      <c r="D1011" s="198" t="s">
        <v>3317</v>
      </c>
      <c r="E1011" s="198" t="s">
        <v>3318</v>
      </c>
    </row>
    <row r="1012" spans="1:5">
      <c r="A1012" s="198">
        <v>480014854</v>
      </c>
      <c r="B1012" s="198">
        <v>670980936.95994794</v>
      </c>
      <c r="D1012" s="198" t="s">
        <v>3319</v>
      </c>
      <c r="E1012" s="198" t="s">
        <v>3320</v>
      </c>
    </row>
    <row r="1013" spans="1:5">
      <c r="A1013" s="198">
        <v>480119267</v>
      </c>
      <c r="B1013" s="198">
        <v>671085349.96113801</v>
      </c>
      <c r="D1013" s="198" t="s">
        <v>3321</v>
      </c>
      <c r="E1013" s="198" t="s">
        <v>3322</v>
      </c>
    </row>
    <row r="1014" spans="1:5">
      <c r="A1014" s="198">
        <v>480140857</v>
      </c>
      <c r="B1014" s="198">
        <v>671106939.96134996</v>
      </c>
      <c r="D1014" s="198" t="s">
        <v>3323</v>
      </c>
      <c r="E1014" s="198" t="s">
        <v>3324</v>
      </c>
    </row>
    <row r="1015" spans="1:5">
      <c r="A1015" s="198">
        <v>480292075</v>
      </c>
      <c r="B1015" s="198">
        <v>671258157.96305501</v>
      </c>
      <c r="D1015" s="198" t="s">
        <v>3325</v>
      </c>
      <c r="E1015" s="198" t="s">
        <v>3326</v>
      </c>
    </row>
    <row r="1016" spans="1:5">
      <c r="A1016" s="198">
        <v>480349734</v>
      </c>
      <c r="B1016" s="198">
        <v>671315816.963709</v>
      </c>
      <c r="D1016" s="198" t="s">
        <v>3327</v>
      </c>
      <c r="E1016" s="198" t="s">
        <v>3328</v>
      </c>
    </row>
    <row r="1017" spans="1:5">
      <c r="A1017" s="198">
        <v>480464886</v>
      </c>
      <c r="B1017" s="198">
        <v>671430968.96499002</v>
      </c>
      <c r="D1017" s="198" t="s">
        <v>3329</v>
      </c>
      <c r="E1017" s="198" t="s">
        <v>3330</v>
      </c>
    </row>
    <row r="1018" spans="1:5">
      <c r="A1018" s="198">
        <v>480544086</v>
      </c>
      <c r="B1018" s="198">
        <v>671510168.965873</v>
      </c>
      <c r="D1018" s="198" t="s">
        <v>3331</v>
      </c>
      <c r="E1018" s="198" t="s">
        <v>3332</v>
      </c>
    </row>
    <row r="1019" spans="1:5">
      <c r="A1019" s="198">
        <v>480637705</v>
      </c>
      <c r="B1019" s="198">
        <v>671603787.96692705</v>
      </c>
      <c r="D1019" s="198" t="s">
        <v>3333</v>
      </c>
      <c r="E1019" s="198" t="s">
        <v>3334</v>
      </c>
    </row>
    <row r="1020" spans="1:5">
      <c r="A1020" s="198">
        <v>480720499</v>
      </c>
      <c r="B1020" s="198">
        <v>671686581.96786702</v>
      </c>
      <c r="D1020" s="198" t="s">
        <v>3335</v>
      </c>
      <c r="E1020" s="198" t="s">
        <v>3336</v>
      </c>
    </row>
    <row r="1021" spans="1:5">
      <c r="A1021" s="198">
        <v>480968906</v>
      </c>
      <c r="B1021" s="198">
        <v>671934988.97063303</v>
      </c>
      <c r="D1021" s="198" t="s">
        <v>3337</v>
      </c>
      <c r="E1021" s="198" t="s">
        <v>3338</v>
      </c>
    </row>
    <row r="1022" spans="1:5">
      <c r="A1022" s="198">
        <v>481040971</v>
      </c>
      <c r="B1022" s="198">
        <v>672007053.97148001</v>
      </c>
      <c r="D1022" s="198" t="s">
        <v>3339</v>
      </c>
      <c r="E1022" s="198" t="s">
        <v>3340</v>
      </c>
    </row>
    <row r="1023" spans="1:5">
      <c r="A1023" s="198">
        <v>481148919</v>
      </c>
      <c r="B1023" s="198">
        <v>672115001.97268105</v>
      </c>
      <c r="D1023" s="198" t="s">
        <v>3341</v>
      </c>
      <c r="E1023" s="198" t="s">
        <v>3342</v>
      </c>
    </row>
    <row r="1024" spans="1:5">
      <c r="A1024" s="198">
        <v>481238924</v>
      </c>
      <c r="B1024" s="198">
        <v>672205006.97369301</v>
      </c>
      <c r="D1024" s="198" t="s">
        <v>3343</v>
      </c>
      <c r="E1024" s="198" t="s">
        <v>3344</v>
      </c>
    </row>
    <row r="1025" spans="1:5">
      <c r="A1025" s="198">
        <v>481415335</v>
      </c>
      <c r="B1025" s="198">
        <v>672381417.97568595</v>
      </c>
      <c r="D1025" s="198" t="s">
        <v>3345</v>
      </c>
      <c r="E1025" s="198" t="s">
        <v>3346</v>
      </c>
    </row>
    <row r="1026" spans="1:5">
      <c r="A1026" s="198">
        <v>481469398</v>
      </c>
      <c r="B1026" s="198">
        <v>672435480.97630095</v>
      </c>
      <c r="D1026" s="198" t="s">
        <v>3347</v>
      </c>
      <c r="E1026" s="198" t="s">
        <v>3348</v>
      </c>
    </row>
    <row r="1027" spans="1:5">
      <c r="A1027" s="198">
        <v>481555738</v>
      </c>
      <c r="B1027" s="198">
        <v>672521820.97723103</v>
      </c>
      <c r="D1027" s="198" t="s">
        <v>3349</v>
      </c>
      <c r="E1027" s="198" t="s">
        <v>3350</v>
      </c>
    </row>
    <row r="1028" spans="1:5">
      <c r="A1028" s="198">
        <v>481667342</v>
      </c>
      <c r="B1028" s="198">
        <v>672633424.97851396</v>
      </c>
      <c r="D1028" s="198" t="s">
        <v>3351</v>
      </c>
      <c r="E1028" s="198" t="s">
        <v>3352</v>
      </c>
    </row>
    <row r="1029" spans="1:5">
      <c r="A1029" s="198">
        <v>481753746</v>
      </c>
      <c r="B1029" s="198">
        <v>672719828.97948897</v>
      </c>
      <c r="D1029" s="198" t="s">
        <v>3353</v>
      </c>
      <c r="E1029" s="198" t="s">
        <v>3354</v>
      </c>
    </row>
    <row r="1030" spans="1:5">
      <c r="A1030" s="198">
        <v>481847358</v>
      </c>
      <c r="B1030" s="198">
        <v>672813440.98055506</v>
      </c>
      <c r="D1030" s="198" t="s">
        <v>3355</v>
      </c>
      <c r="E1030" s="198" t="s">
        <v>3356</v>
      </c>
    </row>
    <row r="1031" spans="1:5">
      <c r="A1031" s="198">
        <v>481933765</v>
      </c>
      <c r="B1031" s="198">
        <v>672899847.98153102</v>
      </c>
      <c r="D1031" s="198" t="s">
        <v>3357</v>
      </c>
      <c r="E1031" s="198" t="s">
        <v>3358</v>
      </c>
    </row>
    <row r="1032" spans="1:5">
      <c r="A1032" s="198">
        <v>482005759</v>
      </c>
      <c r="B1032" s="198">
        <v>672971841.98232901</v>
      </c>
      <c r="D1032" s="198" t="s">
        <v>3359</v>
      </c>
      <c r="E1032" s="198" t="s">
        <v>3360</v>
      </c>
    </row>
    <row r="1033" spans="1:5">
      <c r="A1033" s="198">
        <v>482095764</v>
      </c>
      <c r="B1033" s="198">
        <v>673061846.98335099</v>
      </c>
      <c r="D1033" s="198" t="s">
        <v>3361</v>
      </c>
      <c r="E1033" s="198" t="s">
        <v>3362</v>
      </c>
    </row>
    <row r="1034" spans="1:5">
      <c r="A1034" s="198">
        <v>482192982</v>
      </c>
      <c r="B1034" s="198">
        <v>673159064.98445904</v>
      </c>
      <c r="D1034" s="198" t="s">
        <v>3363</v>
      </c>
      <c r="E1034" s="198" t="s">
        <v>3364</v>
      </c>
    </row>
    <row r="1035" spans="1:5">
      <c r="A1035" s="198">
        <v>482250582</v>
      </c>
      <c r="B1035" s="198">
        <v>673216664.98512101</v>
      </c>
      <c r="D1035" s="198" t="s">
        <v>3365</v>
      </c>
      <c r="E1035" s="198" t="s">
        <v>3366</v>
      </c>
    </row>
    <row r="1036" spans="1:5">
      <c r="A1036" s="198">
        <v>482358572</v>
      </c>
      <c r="B1036" s="198">
        <v>673324654.98633599</v>
      </c>
      <c r="D1036" s="198" t="s">
        <v>3367</v>
      </c>
      <c r="E1036" s="198" t="s">
        <v>3368</v>
      </c>
    </row>
    <row r="1037" spans="1:5">
      <c r="A1037" s="198">
        <v>482617815</v>
      </c>
      <c r="B1037" s="198">
        <v>673583897.98927402</v>
      </c>
      <c r="D1037" s="198" t="s">
        <v>3369</v>
      </c>
      <c r="E1037" s="198" t="s">
        <v>3370</v>
      </c>
    </row>
    <row r="1038" spans="1:5">
      <c r="A1038" s="198">
        <v>483046233</v>
      </c>
      <c r="B1038" s="198">
        <v>674012315.99412203</v>
      </c>
      <c r="D1038" s="198" t="s">
        <v>3371</v>
      </c>
      <c r="E1038" s="198" t="s">
        <v>3372</v>
      </c>
    </row>
    <row r="1039" spans="1:5">
      <c r="A1039" s="198">
        <v>483078594</v>
      </c>
      <c r="B1039" s="198">
        <v>674044676.99448502</v>
      </c>
      <c r="D1039" s="198" t="s">
        <v>3373</v>
      </c>
      <c r="E1039" s="198" t="s">
        <v>3374</v>
      </c>
    </row>
    <row r="1040" spans="1:5">
      <c r="A1040" s="198">
        <v>483258633</v>
      </c>
      <c r="B1040" s="198">
        <v>674224715.99653399</v>
      </c>
      <c r="D1040" s="198" t="s">
        <v>3375</v>
      </c>
      <c r="E1040" s="198" t="s">
        <v>3376</v>
      </c>
    </row>
    <row r="1041" spans="1:5">
      <c r="A1041" s="198">
        <v>483402648</v>
      </c>
      <c r="B1041" s="198">
        <v>674368730.99815702</v>
      </c>
      <c r="D1041" s="198" t="s">
        <v>3377</v>
      </c>
      <c r="E1041" s="198" t="s">
        <v>3378</v>
      </c>
    </row>
    <row r="1042" spans="1:5">
      <c r="A1042" s="198">
        <v>483489052</v>
      </c>
      <c r="B1042" s="198">
        <v>674455134.999143</v>
      </c>
      <c r="D1042" s="198" t="s">
        <v>3379</v>
      </c>
      <c r="E1042" s="198" t="s">
        <v>3380</v>
      </c>
    </row>
    <row r="1043" spans="1:5">
      <c r="A1043" s="198">
        <v>483568221</v>
      </c>
      <c r="B1043" s="198">
        <v>674534304.00004399</v>
      </c>
      <c r="D1043" s="198" t="s">
        <v>3381</v>
      </c>
      <c r="E1043" s="198" t="s">
        <v>3382</v>
      </c>
    </row>
    <row r="1044" spans="1:5">
      <c r="A1044" s="198">
        <v>483647420</v>
      </c>
      <c r="B1044" s="198">
        <v>674613503.00093305</v>
      </c>
      <c r="D1044" s="198" t="s">
        <v>3383</v>
      </c>
      <c r="E1044" s="198" t="s">
        <v>3384</v>
      </c>
    </row>
    <row r="1045" spans="1:5">
      <c r="A1045" s="198">
        <v>483748261</v>
      </c>
      <c r="B1045" s="198">
        <v>674714344.00207102</v>
      </c>
      <c r="D1045" s="198" t="s">
        <v>3385</v>
      </c>
      <c r="E1045" s="198" t="s">
        <v>3386</v>
      </c>
    </row>
    <row r="1046" spans="1:5">
      <c r="A1046" s="198">
        <v>483802249</v>
      </c>
      <c r="B1046" s="198">
        <v>674768332.00268805</v>
      </c>
      <c r="D1046" s="198" t="s">
        <v>3387</v>
      </c>
      <c r="E1046" s="198" t="s">
        <v>3388</v>
      </c>
    </row>
    <row r="1047" spans="1:5">
      <c r="A1047" s="198">
        <v>483913833</v>
      </c>
      <c r="B1047" s="198">
        <v>674879916.00396299</v>
      </c>
      <c r="D1047" s="198" t="s">
        <v>3389</v>
      </c>
      <c r="E1047" s="198" t="s">
        <v>3390</v>
      </c>
    </row>
    <row r="1048" spans="1:5">
      <c r="A1048" s="198">
        <v>484003848</v>
      </c>
      <c r="B1048" s="198">
        <v>674969931.00498903</v>
      </c>
      <c r="D1048" s="198" t="s">
        <v>3391</v>
      </c>
      <c r="E1048" s="198" t="s">
        <v>3392</v>
      </c>
    </row>
    <row r="1049" spans="1:5">
      <c r="A1049" s="198">
        <v>484090285</v>
      </c>
      <c r="B1049" s="198">
        <v>675056368.00596499</v>
      </c>
      <c r="D1049" s="198" t="s">
        <v>3393</v>
      </c>
      <c r="E1049" s="198" t="s">
        <v>3394</v>
      </c>
    </row>
    <row r="1050" spans="1:5">
      <c r="A1050" s="198">
        <v>484147857</v>
      </c>
      <c r="B1050" s="198">
        <v>675113940.00661695</v>
      </c>
      <c r="D1050" s="198" t="s">
        <v>3395</v>
      </c>
      <c r="E1050" s="198" t="s">
        <v>3396</v>
      </c>
    </row>
    <row r="1051" spans="1:5">
      <c r="A1051" s="198">
        <v>484267331</v>
      </c>
      <c r="B1051" s="198">
        <v>675233414.00795197</v>
      </c>
      <c r="D1051" s="198" t="s">
        <v>3397</v>
      </c>
      <c r="E1051" s="198" t="s">
        <v>3398</v>
      </c>
    </row>
    <row r="1052" spans="1:5">
      <c r="A1052" s="198">
        <v>484345846</v>
      </c>
      <c r="B1052" s="198">
        <v>675311929.00887001</v>
      </c>
      <c r="D1052" s="198" t="s">
        <v>3399</v>
      </c>
      <c r="E1052" s="198" t="s">
        <v>3400</v>
      </c>
    </row>
    <row r="1053" spans="1:5">
      <c r="A1053" s="198">
        <v>484407073</v>
      </c>
      <c r="B1053" s="198">
        <v>675373156.00956798</v>
      </c>
      <c r="D1053" s="198" t="s">
        <v>3401</v>
      </c>
      <c r="E1053" s="198" t="s">
        <v>3402</v>
      </c>
    </row>
    <row r="1054" spans="1:5">
      <c r="A1054" s="198">
        <v>484515045</v>
      </c>
      <c r="B1054" s="198">
        <v>675481128.01079905</v>
      </c>
      <c r="D1054" s="198" t="s">
        <v>3403</v>
      </c>
      <c r="E1054" s="198" t="s">
        <v>3404</v>
      </c>
    </row>
    <row r="1055" spans="1:5">
      <c r="A1055" s="198">
        <v>484612312</v>
      </c>
      <c r="B1055" s="198">
        <v>675578395.01188302</v>
      </c>
      <c r="D1055" s="198" t="s">
        <v>3405</v>
      </c>
      <c r="E1055" s="198" t="s">
        <v>3406</v>
      </c>
    </row>
    <row r="1056" spans="1:5">
      <c r="A1056" s="198">
        <v>484695075</v>
      </c>
      <c r="B1056" s="198">
        <v>675661158.01284599</v>
      </c>
      <c r="D1056" s="198" t="s">
        <v>3407</v>
      </c>
      <c r="E1056" s="198" t="s">
        <v>3408</v>
      </c>
    </row>
    <row r="1057" spans="1:5">
      <c r="A1057" s="198">
        <v>484767044</v>
      </c>
      <c r="B1057" s="198">
        <v>675733127.013641</v>
      </c>
      <c r="D1057" s="198" t="s">
        <v>3409</v>
      </c>
      <c r="E1057" s="198" t="s">
        <v>3410</v>
      </c>
    </row>
    <row r="1058" spans="1:5">
      <c r="A1058" s="198">
        <v>484831848</v>
      </c>
      <c r="B1058" s="198">
        <v>675797931.01439297</v>
      </c>
      <c r="D1058" s="198" t="s">
        <v>3411</v>
      </c>
      <c r="E1058" s="198" t="s">
        <v>3412</v>
      </c>
    </row>
    <row r="1059" spans="1:5">
      <c r="A1059" s="198">
        <v>484918252</v>
      </c>
      <c r="B1059" s="198">
        <v>675884335.01537704</v>
      </c>
      <c r="D1059" s="198" t="s">
        <v>3413</v>
      </c>
      <c r="E1059" s="198" t="s">
        <v>3414</v>
      </c>
    </row>
    <row r="1060" spans="1:5">
      <c r="A1060" s="198">
        <v>485033455</v>
      </c>
      <c r="B1060" s="198">
        <v>675999538.01669002</v>
      </c>
      <c r="D1060" s="198" t="s">
        <v>3415</v>
      </c>
      <c r="E1060" s="198" t="s">
        <v>3416</v>
      </c>
    </row>
    <row r="1061" spans="1:5">
      <c r="A1061" s="198">
        <v>485130720</v>
      </c>
      <c r="B1061" s="198">
        <v>676096803.01775396</v>
      </c>
      <c r="D1061" s="198" t="s">
        <v>3417</v>
      </c>
      <c r="E1061" s="198" t="s">
        <v>3418</v>
      </c>
    </row>
    <row r="1062" spans="1:5">
      <c r="A1062" s="198">
        <v>485209863</v>
      </c>
      <c r="B1062" s="198">
        <v>676175946.01870799</v>
      </c>
      <c r="D1062" s="198" t="s">
        <v>3419</v>
      </c>
      <c r="E1062" s="198" t="s">
        <v>3420</v>
      </c>
    </row>
    <row r="1063" spans="1:5">
      <c r="A1063" s="198">
        <v>485289053</v>
      </c>
      <c r="B1063" s="198">
        <v>676255136.019593</v>
      </c>
      <c r="D1063" s="198" t="s">
        <v>3421</v>
      </c>
      <c r="E1063" s="198" t="s">
        <v>3422</v>
      </c>
    </row>
    <row r="1064" spans="1:5">
      <c r="A1064" s="198">
        <v>485555471</v>
      </c>
      <c r="B1064" s="198">
        <v>676521554.02264595</v>
      </c>
      <c r="D1064" s="198" t="s">
        <v>3423</v>
      </c>
      <c r="E1064" s="198" t="s">
        <v>3424</v>
      </c>
    </row>
    <row r="1065" spans="1:5">
      <c r="A1065" s="198">
        <v>485641873</v>
      </c>
      <c r="B1065" s="198">
        <v>676607956.02364004</v>
      </c>
      <c r="D1065" s="198" t="s">
        <v>3425</v>
      </c>
      <c r="E1065" s="198" t="s">
        <v>3426</v>
      </c>
    </row>
    <row r="1066" spans="1:5">
      <c r="A1066" s="198">
        <v>485724662</v>
      </c>
      <c r="B1066" s="198">
        <v>676690745.02457297</v>
      </c>
      <c r="D1066" s="198" t="s">
        <v>3427</v>
      </c>
      <c r="E1066" s="198" t="s">
        <v>3428</v>
      </c>
    </row>
    <row r="1067" spans="1:5">
      <c r="A1067" s="198">
        <v>485814687</v>
      </c>
      <c r="B1067" s="198">
        <v>676780770.02560902</v>
      </c>
      <c r="D1067" s="198" t="s">
        <v>3429</v>
      </c>
      <c r="E1067" s="198" t="s">
        <v>3430</v>
      </c>
    </row>
    <row r="1068" spans="1:5">
      <c r="A1068" s="198">
        <v>485890251</v>
      </c>
      <c r="B1068" s="198">
        <v>676856334.02646601</v>
      </c>
      <c r="D1068" s="198" t="s">
        <v>3431</v>
      </c>
      <c r="E1068" s="198" t="s">
        <v>3432</v>
      </c>
    </row>
    <row r="1069" spans="1:5">
      <c r="A1069" s="198">
        <v>485987485</v>
      </c>
      <c r="B1069" s="198">
        <v>676953568.02758002</v>
      </c>
      <c r="D1069" s="198" t="s">
        <v>3433</v>
      </c>
      <c r="E1069" s="198" t="s">
        <v>3434</v>
      </c>
    </row>
    <row r="1070" spans="1:5">
      <c r="A1070" s="198">
        <v>486034246</v>
      </c>
      <c r="B1070" s="198">
        <v>677000329.02808404</v>
      </c>
      <c r="D1070" s="198" t="s">
        <v>3435</v>
      </c>
      <c r="E1070" s="198" t="s">
        <v>3436</v>
      </c>
    </row>
    <row r="1071" spans="1:5">
      <c r="A1071" s="198">
        <v>486135046</v>
      </c>
      <c r="B1071" s="198">
        <v>677101129.02923095</v>
      </c>
      <c r="D1071" s="198" t="s">
        <v>3437</v>
      </c>
      <c r="E1071" s="198" t="s">
        <v>3438</v>
      </c>
    </row>
    <row r="1072" spans="1:5">
      <c r="A1072" s="198">
        <v>486221445</v>
      </c>
      <c r="B1072" s="198">
        <v>677187528.03022003</v>
      </c>
      <c r="D1072" s="198" t="s">
        <v>3439</v>
      </c>
      <c r="E1072" s="198" t="s">
        <v>3440</v>
      </c>
    </row>
    <row r="1073" spans="1:5">
      <c r="A1073" s="198">
        <v>486340919</v>
      </c>
      <c r="B1073" s="198">
        <v>677307002.03159499</v>
      </c>
      <c r="D1073" s="198" t="s">
        <v>3441</v>
      </c>
      <c r="E1073" s="198" t="s">
        <v>3442</v>
      </c>
    </row>
    <row r="1074" spans="1:5">
      <c r="A1074" s="198">
        <v>486415861</v>
      </c>
      <c r="B1074" s="198">
        <v>677381944.03246605</v>
      </c>
      <c r="D1074" s="198" t="s">
        <v>3443</v>
      </c>
      <c r="E1074" s="198" t="s">
        <v>3444</v>
      </c>
    </row>
    <row r="1075" spans="1:5">
      <c r="A1075" s="198">
        <v>486491443</v>
      </c>
      <c r="B1075" s="198">
        <v>677457526.03332698</v>
      </c>
      <c r="D1075" s="198" t="s">
        <v>3445</v>
      </c>
      <c r="E1075" s="198" t="s">
        <v>3446</v>
      </c>
    </row>
    <row r="1076" spans="1:5">
      <c r="A1076" s="198">
        <v>486574242</v>
      </c>
      <c r="B1076" s="198">
        <v>677540325.034271</v>
      </c>
      <c r="D1076" s="198" t="s">
        <v>3447</v>
      </c>
      <c r="E1076" s="198" t="s">
        <v>3448</v>
      </c>
    </row>
    <row r="1077" spans="1:5">
      <c r="A1077" s="198">
        <v>486671444</v>
      </c>
      <c r="B1077" s="198">
        <v>677637527.03538299</v>
      </c>
      <c r="D1077" s="198" t="s">
        <v>3449</v>
      </c>
      <c r="E1077" s="198" t="s">
        <v>3450</v>
      </c>
    </row>
    <row r="1078" spans="1:5">
      <c r="A1078" s="198">
        <v>486732665</v>
      </c>
      <c r="B1078" s="198">
        <v>677698748.03607297</v>
      </c>
      <c r="D1078" s="198" t="s">
        <v>3451</v>
      </c>
      <c r="E1078" s="198" t="s">
        <v>3452</v>
      </c>
    </row>
    <row r="1079" spans="1:5">
      <c r="A1079" s="198">
        <v>486847878</v>
      </c>
      <c r="B1079" s="198">
        <v>677813961.03740001</v>
      </c>
      <c r="D1079" s="198" t="s">
        <v>3453</v>
      </c>
      <c r="E1079" s="198" t="s">
        <v>3454</v>
      </c>
    </row>
    <row r="1080" spans="1:5">
      <c r="A1080" s="198">
        <v>486945111</v>
      </c>
      <c r="B1080" s="198">
        <v>677911194.03848004</v>
      </c>
      <c r="D1080" s="198" t="s">
        <v>3455</v>
      </c>
      <c r="E1080" s="198" t="s">
        <v>3456</v>
      </c>
    </row>
    <row r="1081" spans="1:5">
      <c r="A1081" s="198">
        <v>487032695</v>
      </c>
      <c r="B1081" s="198">
        <v>677998778.03949106</v>
      </c>
      <c r="D1081" s="198" t="s">
        <v>3457</v>
      </c>
      <c r="E1081" s="198" t="s">
        <v>3458</v>
      </c>
    </row>
    <row r="1082" spans="1:5">
      <c r="A1082" s="198">
        <v>487103445</v>
      </c>
      <c r="B1082" s="198">
        <v>678069528.04033005</v>
      </c>
      <c r="D1082" s="198" t="s">
        <v>3459</v>
      </c>
      <c r="E1082" s="198" t="s">
        <v>3460</v>
      </c>
    </row>
    <row r="1083" spans="1:5">
      <c r="A1083" s="198">
        <v>487164655</v>
      </c>
      <c r="B1083" s="198">
        <v>678130738.04102898</v>
      </c>
      <c r="D1083" s="198" t="s">
        <v>3461</v>
      </c>
      <c r="E1083" s="198" t="s">
        <v>3462</v>
      </c>
    </row>
    <row r="1084" spans="1:5">
      <c r="A1084" s="198">
        <v>487247452</v>
      </c>
      <c r="B1084" s="198">
        <v>678213535.04196596</v>
      </c>
      <c r="D1084" s="198" t="s">
        <v>3463</v>
      </c>
      <c r="E1084" s="198" t="s">
        <v>3464</v>
      </c>
    </row>
    <row r="1085" spans="1:5">
      <c r="A1085" s="198">
        <v>487333848</v>
      </c>
      <c r="B1085" s="198">
        <v>678299931.04295897</v>
      </c>
      <c r="D1085" s="198" t="s">
        <v>3465</v>
      </c>
      <c r="E1085" s="198" t="s">
        <v>3466</v>
      </c>
    </row>
    <row r="1086" spans="1:5">
      <c r="A1086" s="198">
        <v>487463511</v>
      </c>
      <c r="B1086" s="198">
        <v>678429594.04441702</v>
      </c>
      <c r="D1086" s="198" t="s">
        <v>3467</v>
      </c>
      <c r="E1086" s="198" t="s">
        <v>3468</v>
      </c>
    </row>
    <row r="1087" spans="1:5">
      <c r="A1087" s="198">
        <v>487531825</v>
      </c>
      <c r="B1087" s="198">
        <v>678497908.04521298</v>
      </c>
      <c r="D1087" s="198" t="s">
        <v>3469</v>
      </c>
      <c r="E1087" s="198" t="s">
        <v>3470</v>
      </c>
    </row>
    <row r="1088" spans="1:5">
      <c r="A1088" s="198">
        <v>487596612</v>
      </c>
      <c r="B1088" s="198">
        <v>678562695.04592705</v>
      </c>
      <c r="D1088" s="198" t="s">
        <v>3471</v>
      </c>
      <c r="E1088" s="198" t="s">
        <v>3472</v>
      </c>
    </row>
    <row r="1089" spans="1:5">
      <c r="A1089" s="198">
        <v>487704617</v>
      </c>
      <c r="B1089" s="198">
        <v>678670700.04718804</v>
      </c>
      <c r="D1089" s="198" t="s">
        <v>3473</v>
      </c>
      <c r="E1089" s="198" t="s">
        <v>3474</v>
      </c>
    </row>
    <row r="1090" spans="1:5">
      <c r="A1090" s="198">
        <v>487809112</v>
      </c>
      <c r="B1090" s="198">
        <v>678775195.04836297</v>
      </c>
      <c r="D1090" s="198" t="s">
        <v>3475</v>
      </c>
      <c r="E1090" s="198" t="s">
        <v>3476</v>
      </c>
    </row>
    <row r="1091" spans="1:5">
      <c r="A1091" s="198">
        <v>487881018</v>
      </c>
      <c r="B1091" s="198">
        <v>678847101.04920995</v>
      </c>
      <c r="D1091" s="198" t="s">
        <v>3477</v>
      </c>
      <c r="E1091" s="198" t="s">
        <v>3478</v>
      </c>
    </row>
    <row r="1092" spans="1:5">
      <c r="A1092" s="198">
        <v>487938632</v>
      </c>
      <c r="B1092" s="198">
        <v>678904715.04986095</v>
      </c>
      <c r="D1092" s="198" t="s">
        <v>3479</v>
      </c>
      <c r="E1092" s="198" t="s">
        <v>3480</v>
      </c>
    </row>
    <row r="1093" spans="1:5">
      <c r="A1093" s="198">
        <v>488042994</v>
      </c>
      <c r="B1093" s="198">
        <v>679009077.05104601</v>
      </c>
      <c r="D1093" s="198" t="s">
        <v>3481</v>
      </c>
      <c r="E1093" s="198" t="s">
        <v>3482</v>
      </c>
    </row>
    <row r="1094" spans="1:5">
      <c r="A1094" s="198">
        <v>488140230</v>
      </c>
      <c r="B1094" s="198">
        <v>679106313.05217803</v>
      </c>
      <c r="D1094" s="198" t="s">
        <v>3483</v>
      </c>
      <c r="E1094" s="198" t="s">
        <v>3484</v>
      </c>
    </row>
    <row r="1095" spans="1:5">
      <c r="A1095" s="198">
        <v>488241082</v>
      </c>
      <c r="B1095" s="198">
        <v>679207165.05330598</v>
      </c>
      <c r="D1095" s="198" t="s">
        <v>3485</v>
      </c>
      <c r="E1095" s="198" t="s">
        <v>3486</v>
      </c>
    </row>
    <row r="1096" spans="1:5">
      <c r="A1096" s="198">
        <v>488309391</v>
      </c>
      <c r="B1096" s="198">
        <v>679275474.05410004</v>
      </c>
      <c r="D1096" s="198" t="s">
        <v>3487</v>
      </c>
      <c r="E1096" s="198" t="s">
        <v>3488</v>
      </c>
    </row>
    <row r="1097" spans="1:5">
      <c r="A1097" s="198">
        <v>488399414</v>
      </c>
      <c r="B1097" s="198">
        <v>679365497.05513597</v>
      </c>
      <c r="D1097" s="198" t="s">
        <v>3489</v>
      </c>
      <c r="E1097" s="198" t="s">
        <v>3490</v>
      </c>
    </row>
    <row r="1098" spans="1:5">
      <c r="A1098" s="198">
        <v>488471373</v>
      </c>
      <c r="B1098" s="198">
        <v>679437456.05594504</v>
      </c>
      <c r="D1098" s="198" t="s">
        <v>3491</v>
      </c>
      <c r="E1098" s="198" t="s">
        <v>3492</v>
      </c>
    </row>
    <row r="1099" spans="1:5">
      <c r="A1099" s="198">
        <v>488572203</v>
      </c>
      <c r="B1099" s="198">
        <v>679538286.05711401</v>
      </c>
      <c r="D1099" s="198" t="s">
        <v>3493</v>
      </c>
      <c r="E1099" s="198" t="s">
        <v>3494</v>
      </c>
    </row>
    <row r="1100" spans="1:5">
      <c r="A1100" s="198">
        <v>488636963</v>
      </c>
      <c r="B1100" s="198">
        <v>679603046.05782998</v>
      </c>
      <c r="D1100" s="198" t="s">
        <v>3495</v>
      </c>
      <c r="E1100" s="198" t="s">
        <v>3496</v>
      </c>
    </row>
    <row r="1101" spans="1:5">
      <c r="A1101" s="198">
        <v>488759376</v>
      </c>
      <c r="B1101" s="198">
        <v>679725459.05923104</v>
      </c>
      <c r="D1101" s="198" t="s">
        <v>3497</v>
      </c>
      <c r="E1101" s="198" t="s">
        <v>3498</v>
      </c>
    </row>
    <row r="1102" spans="1:5">
      <c r="A1102" s="198">
        <v>488831396</v>
      </c>
      <c r="B1102" s="198">
        <v>679797479.06006396</v>
      </c>
      <c r="D1102" s="198" t="s">
        <v>3499</v>
      </c>
      <c r="E1102" s="198" t="s">
        <v>3500</v>
      </c>
    </row>
    <row r="1103" spans="1:5">
      <c r="A1103" s="198">
        <v>488910558</v>
      </c>
      <c r="B1103" s="198">
        <v>679876641.06096399</v>
      </c>
      <c r="D1103" s="198" t="s">
        <v>3501</v>
      </c>
      <c r="E1103" s="198" t="s">
        <v>3502</v>
      </c>
    </row>
    <row r="1104" spans="1:5">
      <c r="A1104" s="198">
        <v>489000557</v>
      </c>
      <c r="B1104" s="198">
        <v>679966640.06200302</v>
      </c>
      <c r="D1104" s="198" t="s">
        <v>3503</v>
      </c>
      <c r="E1104" s="198" t="s">
        <v>3504</v>
      </c>
    </row>
    <row r="1105" spans="1:5">
      <c r="A1105" s="198">
        <v>489104949</v>
      </c>
      <c r="B1105" s="198">
        <v>680071032.06317306</v>
      </c>
      <c r="D1105" s="198" t="s">
        <v>3505</v>
      </c>
      <c r="E1105" s="198" t="s">
        <v>3506</v>
      </c>
    </row>
    <row r="1106" spans="1:5">
      <c r="A1106" s="198">
        <v>489191342</v>
      </c>
      <c r="B1106" s="198">
        <v>680157425.064165</v>
      </c>
      <c r="D1106" s="198" t="s">
        <v>3507</v>
      </c>
      <c r="E1106" s="198" t="s">
        <v>3508</v>
      </c>
    </row>
    <row r="1107" spans="1:5">
      <c r="A1107" s="198">
        <v>489277740</v>
      </c>
      <c r="B1107" s="198">
        <v>680243823.06515002</v>
      </c>
      <c r="D1107" s="198" t="s">
        <v>3509</v>
      </c>
      <c r="E1107" s="198" t="s">
        <v>3510</v>
      </c>
    </row>
    <row r="1108" spans="1:5">
      <c r="A1108" s="198">
        <v>489338922</v>
      </c>
      <c r="B1108" s="198">
        <v>680305005.06586802</v>
      </c>
      <c r="D1108" s="198" t="s">
        <v>3511</v>
      </c>
      <c r="E1108" s="198" t="s">
        <v>3512</v>
      </c>
    </row>
    <row r="1109" spans="1:5">
      <c r="A1109" s="198">
        <v>489450530</v>
      </c>
      <c r="B1109" s="198">
        <v>680416613.067114</v>
      </c>
      <c r="D1109" s="198" t="s">
        <v>3513</v>
      </c>
      <c r="E1109" s="198" t="s">
        <v>3514</v>
      </c>
    </row>
    <row r="1110" spans="1:5">
      <c r="A1110" s="198">
        <v>489536920</v>
      </c>
      <c r="B1110" s="198">
        <v>680503003.06809902</v>
      </c>
      <c r="D1110" s="198" t="s">
        <v>3515</v>
      </c>
      <c r="E1110" s="198" t="s">
        <v>3516</v>
      </c>
    </row>
    <row r="1111" spans="1:5">
      <c r="A1111" s="198">
        <v>489605337</v>
      </c>
      <c r="B1111" s="198">
        <v>680571420.06889498</v>
      </c>
      <c r="D1111" s="198" t="s">
        <v>3517</v>
      </c>
      <c r="E1111" s="198" t="s">
        <v>3518</v>
      </c>
    </row>
    <row r="1112" spans="1:5">
      <c r="A1112" s="198">
        <v>489691735</v>
      </c>
      <c r="B1112" s="198">
        <v>680657818.06988704</v>
      </c>
      <c r="D1112" s="198" t="s">
        <v>3519</v>
      </c>
      <c r="E1112" s="198" t="s">
        <v>3520</v>
      </c>
    </row>
    <row r="1113" spans="1:5">
      <c r="A1113" s="198">
        <v>489778177</v>
      </c>
      <c r="B1113" s="198">
        <v>680744260.07086301</v>
      </c>
      <c r="D1113" s="198" t="s">
        <v>3521</v>
      </c>
      <c r="E1113" s="198" t="s">
        <v>3522</v>
      </c>
    </row>
    <row r="1114" spans="1:5">
      <c r="A1114" s="198">
        <v>489853744</v>
      </c>
      <c r="B1114" s="198">
        <v>680819827.07172894</v>
      </c>
      <c r="D1114" s="198" t="s">
        <v>3523</v>
      </c>
      <c r="E1114" s="198" t="s">
        <v>3524</v>
      </c>
    </row>
    <row r="1115" spans="1:5">
      <c r="A1115" s="198">
        <v>489940146</v>
      </c>
      <c r="B1115" s="198">
        <v>680906229.07271194</v>
      </c>
      <c r="D1115" s="198" t="s">
        <v>3525</v>
      </c>
      <c r="E1115" s="198" t="s">
        <v>3526</v>
      </c>
    </row>
    <row r="1116" spans="1:5">
      <c r="A1116" s="198">
        <v>490037300</v>
      </c>
      <c r="B1116" s="198">
        <v>681003383.07382095</v>
      </c>
      <c r="D1116" s="198" t="s">
        <v>3527</v>
      </c>
      <c r="E1116" s="198" t="s">
        <v>3528</v>
      </c>
    </row>
    <row r="1117" spans="1:5">
      <c r="A1117" s="198">
        <v>490141672</v>
      </c>
      <c r="B1117" s="198">
        <v>681107755.07499301</v>
      </c>
      <c r="D1117" s="198" t="s">
        <v>3529</v>
      </c>
      <c r="E1117" s="198" t="s">
        <v>3530</v>
      </c>
    </row>
    <row r="1118" spans="1:5">
      <c r="A1118" s="198">
        <v>490228068</v>
      </c>
      <c r="B1118" s="198">
        <v>681194151.07599199</v>
      </c>
      <c r="D1118" s="198" t="s">
        <v>3531</v>
      </c>
      <c r="E1118" s="198" t="s">
        <v>3532</v>
      </c>
    </row>
    <row r="1119" spans="1:5">
      <c r="A1119" s="198">
        <v>490314463</v>
      </c>
      <c r="B1119" s="198">
        <v>681280546.07696795</v>
      </c>
      <c r="D1119" s="198" t="s">
        <v>3533</v>
      </c>
      <c r="E1119" s="198" t="s">
        <v>3534</v>
      </c>
    </row>
    <row r="1120" spans="1:5">
      <c r="A1120" s="198">
        <v>490400851</v>
      </c>
      <c r="B1120" s="198">
        <v>681366934.07795501</v>
      </c>
      <c r="D1120" s="198" t="s">
        <v>3535</v>
      </c>
      <c r="E1120" s="198" t="s">
        <v>3536</v>
      </c>
    </row>
    <row r="1121" spans="1:5">
      <c r="A1121" s="198">
        <v>490487248</v>
      </c>
      <c r="B1121" s="198">
        <v>681453331.07894003</v>
      </c>
      <c r="D1121" s="198" t="s">
        <v>3537</v>
      </c>
      <c r="E1121" s="198" t="s">
        <v>3538</v>
      </c>
    </row>
    <row r="1122" spans="1:5">
      <c r="A1122" s="198">
        <v>490552088</v>
      </c>
      <c r="B1122" s="198">
        <v>681518171.07968295</v>
      </c>
      <c r="D1122" s="198" t="s">
        <v>3539</v>
      </c>
      <c r="E1122" s="198" t="s">
        <v>3540</v>
      </c>
    </row>
    <row r="1123" spans="1:5">
      <c r="A1123" s="198">
        <v>490660033</v>
      </c>
      <c r="B1123" s="198">
        <v>681626116.08089197</v>
      </c>
      <c r="D1123" s="198" t="s">
        <v>3541</v>
      </c>
      <c r="E1123" s="198" t="s">
        <v>3542</v>
      </c>
    </row>
    <row r="1124" spans="1:5">
      <c r="A1124" s="198">
        <v>490696039</v>
      </c>
      <c r="B1124" s="198">
        <v>681662122.08131003</v>
      </c>
      <c r="D1124" s="198" t="s">
        <v>3543</v>
      </c>
      <c r="E1124" s="198" t="s">
        <v>3544</v>
      </c>
    </row>
    <row r="1125" spans="1:5">
      <c r="A1125" s="198">
        <v>490832816</v>
      </c>
      <c r="B1125" s="198">
        <v>681798899.08286405</v>
      </c>
      <c r="D1125" s="198" t="s">
        <v>3545</v>
      </c>
      <c r="E1125" s="198" t="s">
        <v>3546</v>
      </c>
    </row>
    <row r="1126" spans="1:5">
      <c r="A1126" s="198">
        <v>490919322</v>
      </c>
      <c r="B1126" s="198">
        <v>681885405.08384097</v>
      </c>
      <c r="D1126" s="198" t="s">
        <v>3547</v>
      </c>
      <c r="E1126" s="198" t="s">
        <v>3548</v>
      </c>
    </row>
    <row r="1127" spans="1:5">
      <c r="A1127" s="198">
        <v>491005598</v>
      </c>
      <c r="B1127" s="198">
        <v>681971681.08483195</v>
      </c>
      <c r="D1127" s="198" t="s">
        <v>3549</v>
      </c>
      <c r="E1127" s="198" t="s">
        <v>3550</v>
      </c>
    </row>
    <row r="1128" spans="1:5">
      <c r="A1128" s="198">
        <v>491091990</v>
      </c>
      <c r="B1128" s="198">
        <v>682058073.08580399</v>
      </c>
      <c r="D1128" s="198" t="s">
        <v>3551</v>
      </c>
      <c r="E1128" s="198" t="s">
        <v>3552</v>
      </c>
    </row>
    <row r="1129" spans="1:5">
      <c r="A1129" s="198">
        <v>491153174</v>
      </c>
      <c r="B1129" s="198">
        <v>682119257.08651197</v>
      </c>
      <c r="D1129" s="198" t="s">
        <v>3553</v>
      </c>
      <c r="E1129" s="198" t="s">
        <v>3554</v>
      </c>
    </row>
    <row r="1130" spans="1:5">
      <c r="A1130" s="198">
        <v>491264857</v>
      </c>
      <c r="B1130" s="198">
        <v>682230940.08777797</v>
      </c>
      <c r="D1130" s="198" t="s">
        <v>3555</v>
      </c>
      <c r="E1130" s="198" t="s">
        <v>3556</v>
      </c>
    </row>
    <row r="1131" spans="1:5">
      <c r="A1131" s="198">
        <v>491351169</v>
      </c>
      <c r="B1131" s="198">
        <v>682317252.08875597</v>
      </c>
      <c r="D1131" s="198" t="s">
        <v>3557</v>
      </c>
      <c r="E1131" s="198" t="s">
        <v>3558</v>
      </c>
    </row>
    <row r="1132" spans="1:5">
      <c r="A1132" s="198">
        <v>491383576</v>
      </c>
      <c r="B1132" s="198">
        <v>682349659.08912599</v>
      </c>
      <c r="D1132" s="198" t="s">
        <v>3559</v>
      </c>
      <c r="E1132" s="198" t="s">
        <v>3560</v>
      </c>
    </row>
    <row r="1133" spans="1:5">
      <c r="A1133" s="198">
        <v>491469967</v>
      </c>
      <c r="B1133" s="198">
        <v>682436050.09010303</v>
      </c>
      <c r="D1133" s="198" t="s">
        <v>3561</v>
      </c>
      <c r="E1133" s="198" t="s">
        <v>3562</v>
      </c>
    </row>
    <row r="1134" spans="1:5">
      <c r="A1134" s="198">
        <v>491610339</v>
      </c>
      <c r="B1134" s="198">
        <v>682576422.091681</v>
      </c>
      <c r="D1134" s="198" t="s">
        <v>3563</v>
      </c>
      <c r="E1134" s="198" t="s">
        <v>3564</v>
      </c>
    </row>
    <row r="1135" spans="1:5">
      <c r="A1135" s="198">
        <v>491696735</v>
      </c>
      <c r="B1135" s="198">
        <v>682662818.09267199</v>
      </c>
      <c r="D1135" s="198" t="s">
        <v>3565</v>
      </c>
      <c r="E1135" s="198" t="s">
        <v>3566</v>
      </c>
    </row>
    <row r="1136" spans="1:5">
      <c r="A1136" s="198">
        <v>491772315</v>
      </c>
      <c r="B1136" s="198">
        <v>682738398.09350395</v>
      </c>
      <c r="D1136" s="198" t="s">
        <v>3567</v>
      </c>
      <c r="E1136" s="198" t="s">
        <v>3568</v>
      </c>
    </row>
    <row r="1137" spans="1:5">
      <c r="A1137" s="198">
        <v>491840696</v>
      </c>
      <c r="B1137" s="198">
        <v>682806779.09431303</v>
      </c>
      <c r="D1137" s="198" t="s">
        <v>3569</v>
      </c>
      <c r="E1137" s="198" t="s">
        <v>3570</v>
      </c>
    </row>
    <row r="1138" spans="1:5">
      <c r="A1138" s="198">
        <v>491955905</v>
      </c>
      <c r="B1138" s="198">
        <v>682921988.09560299</v>
      </c>
      <c r="D1138" s="198" t="s">
        <v>3571</v>
      </c>
      <c r="E1138" s="198" t="s">
        <v>3572</v>
      </c>
    </row>
    <row r="1139" spans="1:5">
      <c r="A1139" s="198">
        <v>491988300</v>
      </c>
      <c r="B1139" s="198">
        <v>682954383.09596598</v>
      </c>
      <c r="D1139" s="198" t="s">
        <v>3573</v>
      </c>
      <c r="E1139" s="198" t="s">
        <v>3574</v>
      </c>
    </row>
    <row r="1140" spans="1:5">
      <c r="A1140" s="198">
        <v>492128687</v>
      </c>
      <c r="B1140" s="198">
        <v>683094770.09756005</v>
      </c>
      <c r="D1140" s="198" t="s">
        <v>3575</v>
      </c>
      <c r="E1140" s="198" t="s">
        <v>3576</v>
      </c>
    </row>
    <row r="1141" spans="1:5">
      <c r="A1141" s="198">
        <v>492175452</v>
      </c>
      <c r="B1141" s="198">
        <v>683141535.09808099</v>
      </c>
      <c r="D1141" s="198" t="s">
        <v>3577</v>
      </c>
      <c r="E1141" s="198" t="s">
        <v>3578</v>
      </c>
    </row>
    <row r="1142" spans="1:5">
      <c r="A1142" s="198">
        <v>492387857</v>
      </c>
      <c r="B1142" s="198">
        <v>683353940.10048497</v>
      </c>
      <c r="D1142" s="198" t="s">
        <v>3579</v>
      </c>
      <c r="E1142" s="198" t="s">
        <v>3580</v>
      </c>
    </row>
    <row r="1143" spans="1:5">
      <c r="A1143" s="198">
        <v>492474243</v>
      </c>
      <c r="B1143" s="198">
        <v>683440326.10415697</v>
      </c>
      <c r="D1143" s="198" t="s">
        <v>3581</v>
      </c>
      <c r="E1143" s="198" t="s">
        <v>3582</v>
      </c>
    </row>
    <row r="1144" spans="1:5">
      <c r="A1144" s="198">
        <v>492524607</v>
      </c>
      <c r="B1144" s="198">
        <v>683490690.10474396</v>
      </c>
      <c r="D1144" s="198" t="s">
        <v>3583</v>
      </c>
      <c r="E1144" s="198" t="s">
        <v>3584</v>
      </c>
    </row>
    <row r="1145" spans="1:5">
      <c r="A1145" s="198">
        <v>492618212</v>
      </c>
      <c r="B1145" s="198">
        <v>683584295.10582101</v>
      </c>
      <c r="D1145" s="198" t="s">
        <v>3585</v>
      </c>
      <c r="E1145" s="198" t="s">
        <v>3586</v>
      </c>
    </row>
    <row r="1146" spans="1:5">
      <c r="A1146" s="198">
        <v>492675818</v>
      </c>
      <c r="B1146" s="198">
        <v>683641901.10646701</v>
      </c>
      <c r="D1146" s="198" t="s">
        <v>3587</v>
      </c>
      <c r="E1146" s="198" t="s">
        <v>3588</v>
      </c>
    </row>
    <row r="1147" spans="1:5">
      <c r="A1147" s="198">
        <v>492819800</v>
      </c>
      <c r="B1147" s="198">
        <v>683785883.10809803</v>
      </c>
      <c r="D1147" s="198" t="s">
        <v>3589</v>
      </c>
      <c r="E1147" s="198" t="s">
        <v>3590</v>
      </c>
    </row>
    <row r="1148" spans="1:5">
      <c r="A1148" s="198">
        <v>492877390</v>
      </c>
      <c r="B1148" s="198">
        <v>683843473.10878098</v>
      </c>
      <c r="D1148" s="198" t="s">
        <v>3591</v>
      </c>
      <c r="E1148" s="198" t="s">
        <v>3592</v>
      </c>
    </row>
    <row r="1149" spans="1:5">
      <c r="A1149" s="198">
        <v>492992591</v>
      </c>
      <c r="B1149" s="198">
        <v>683958674.11006904</v>
      </c>
      <c r="D1149" s="198" t="s">
        <v>3593</v>
      </c>
      <c r="E1149" s="198" t="s">
        <v>3594</v>
      </c>
    </row>
    <row r="1150" spans="1:5">
      <c r="A1150" s="198">
        <v>493078973</v>
      </c>
      <c r="B1150" s="198">
        <v>684045056.111063</v>
      </c>
      <c r="D1150" s="198" t="s">
        <v>3595</v>
      </c>
      <c r="E1150" s="198" t="s">
        <v>3596</v>
      </c>
    </row>
    <row r="1151" spans="1:5">
      <c r="A1151" s="198">
        <v>493100601</v>
      </c>
      <c r="B1151" s="198">
        <v>684066684.11129797</v>
      </c>
      <c r="D1151" s="198" t="s">
        <v>3597</v>
      </c>
      <c r="E1151" s="198" t="s">
        <v>3598</v>
      </c>
    </row>
    <row r="1152" spans="1:5">
      <c r="A1152" s="198">
        <v>493251760</v>
      </c>
      <c r="B1152" s="198">
        <v>684217843.11303997</v>
      </c>
      <c r="D1152" s="198" t="s">
        <v>3599</v>
      </c>
      <c r="E1152" s="198" t="s">
        <v>3600</v>
      </c>
    </row>
    <row r="1153" spans="1:5">
      <c r="A1153" s="198">
        <v>493269709</v>
      </c>
      <c r="B1153" s="198">
        <v>684235792.11323404</v>
      </c>
      <c r="D1153" s="198" t="s">
        <v>3601</v>
      </c>
      <c r="E1153" s="198" t="s">
        <v>3602</v>
      </c>
    </row>
    <row r="1154" spans="1:5">
      <c r="A1154" s="198">
        <v>493420925</v>
      </c>
      <c r="B1154" s="198">
        <v>684387008.11495697</v>
      </c>
      <c r="D1154" s="198" t="s">
        <v>3603</v>
      </c>
      <c r="E1154" s="198" t="s">
        <v>3604</v>
      </c>
    </row>
    <row r="1155" spans="1:5">
      <c r="A1155" s="198">
        <v>493474892</v>
      </c>
      <c r="B1155" s="198">
        <v>684440975.11556697</v>
      </c>
      <c r="D1155" s="198" t="s">
        <v>3605</v>
      </c>
      <c r="E1155" s="198" t="s">
        <v>3606</v>
      </c>
    </row>
    <row r="1156" spans="1:5">
      <c r="A1156" s="198">
        <v>493593695</v>
      </c>
      <c r="B1156" s="198">
        <v>684559778.11692297</v>
      </c>
      <c r="D1156" s="198" t="s">
        <v>3607</v>
      </c>
      <c r="E1156" s="198" t="s">
        <v>3608</v>
      </c>
    </row>
    <row r="1157" spans="1:5">
      <c r="A1157" s="198">
        <v>493683700</v>
      </c>
      <c r="B1157" s="198">
        <v>684649783.11795199</v>
      </c>
      <c r="D1157" s="198" t="s">
        <v>3609</v>
      </c>
      <c r="E1157" s="198" t="s">
        <v>3610</v>
      </c>
    </row>
    <row r="1158" spans="1:5">
      <c r="A1158" s="198">
        <v>493771733</v>
      </c>
      <c r="B1158" s="198">
        <v>684737816.11890304</v>
      </c>
      <c r="D1158" s="198" t="s">
        <v>3611</v>
      </c>
      <c r="E1158" s="198" t="s">
        <v>3612</v>
      </c>
    </row>
    <row r="1159" spans="1:5">
      <c r="A1159" s="198">
        <v>493856482</v>
      </c>
      <c r="B1159" s="198">
        <v>684822565.11990201</v>
      </c>
      <c r="D1159" s="198" t="s">
        <v>3613</v>
      </c>
      <c r="E1159" s="198" t="s">
        <v>3614</v>
      </c>
    </row>
    <row r="1160" spans="1:5">
      <c r="A1160" s="198">
        <v>493939252</v>
      </c>
      <c r="B1160" s="198">
        <v>684905335.12084305</v>
      </c>
      <c r="D1160" s="198" t="s">
        <v>3615</v>
      </c>
      <c r="E1160" s="198" t="s">
        <v>3616</v>
      </c>
    </row>
    <row r="1161" spans="1:5">
      <c r="A1161" s="198">
        <v>494025656</v>
      </c>
      <c r="B1161" s="198">
        <v>684991739.121822</v>
      </c>
      <c r="D1161" s="198" t="s">
        <v>3617</v>
      </c>
      <c r="E1161" s="198" t="s">
        <v>3618</v>
      </c>
    </row>
    <row r="1162" spans="1:5">
      <c r="A1162" s="198">
        <v>494083231</v>
      </c>
      <c r="B1162" s="198">
        <v>685049314.122473</v>
      </c>
      <c r="D1162" s="198" t="s">
        <v>3619</v>
      </c>
      <c r="E1162" s="198" t="s">
        <v>3620</v>
      </c>
    </row>
    <row r="1163" spans="1:5">
      <c r="A1163" s="198">
        <v>494137199</v>
      </c>
      <c r="B1163" s="198">
        <v>685103282.12307596</v>
      </c>
      <c r="D1163" s="198" t="s">
        <v>3621</v>
      </c>
      <c r="E1163" s="198" t="s">
        <v>3622</v>
      </c>
    </row>
    <row r="1164" spans="1:5">
      <c r="A1164" s="198">
        <v>494281204</v>
      </c>
      <c r="B1164" s="198">
        <v>685247287.12471604</v>
      </c>
      <c r="D1164" s="198" t="s">
        <v>3623</v>
      </c>
      <c r="E1164" s="198" t="s">
        <v>3624</v>
      </c>
    </row>
    <row r="1165" spans="1:5">
      <c r="A1165" s="198">
        <v>494371197</v>
      </c>
      <c r="B1165" s="198">
        <v>685337280.12573504</v>
      </c>
      <c r="D1165" s="198" t="s">
        <v>3625</v>
      </c>
      <c r="E1165" s="198" t="s">
        <v>3626</v>
      </c>
    </row>
    <row r="1166" spans="1:5">
      <c r="A1166" s="198">
        <v>494457589</v>
      </c>
      <c r="B1166" s="198">
        <v>685423672.12671399</v>
      </c>
      <c r="D1166" s="198" t="s">
        <v>3627</v>
      </c>
      <c r="E1166" s="198" t="s">
        <v>3628</v>
      </c>
    </row>
    <row r="1167" spans="1:5">
      <c r="A1167" s="198">
        <v>494504347</v>
      </c>
      <c r="B1167" s="198">
        <v>685470430.127249</v>
      </c>
      <c r="D1167" s="198" t="s">
        <v>3629</v>
      </c>
      <c r="E1167" s="198" t="s">
        <v>3630</v>
      </c>
    </row>
    <row r="1168" spans="1:5">
      <c r="A1168" s="198">
        <v>494893173</v>
      </c>
      <c r="B1168" s="198">
        <v>685859256.13159895</v>
      </c>
      <c r="D1168" s="198" t="s">
        <v>3631</v>
      </c>
      <c r="E1168" s="198" t="s">
        <v>3632</v>
      </c>
    </row>
    <row r="1169" spans="1:5">
      <c r="A1169" s="198">
        <v>494914981</v>
      </c>
      <c r="B1169" s="198">
        <v>685881064.13187099</v>
      </c>
      <c r="D1169" s="198" t="s">
        <v>3633</v>
      </c>
      <c r="E1169" s="198" t="s">
        <v>3634</v>
      </c>
    </row>
    <row r="1170" spans="1:5">
      <c r="A1170" s="198">
        <v>495375433</v>
      </c>
      <c r="B1170" s="198">
        <v>686341516.13706303</v>
      </c>
      <c r="D1170" s="198" t="s">
        <v>3635</v>
      </c>
      <c r="E1170" s="198" t="s">
        <v>3636</v>
      </c>
    </row>
    <row r="1171" spans="1:5">
      <c r="A1171" s="198">
        <v>495490639</v>
      </c>
      <c r="B1171" s="198">
        <v>686456722.138345</v>
      </c>
      <c r="D1171" s="198" t="s">
        <v>3637</v>
      </c>
      <c r="E1171" s="198" t="s">
        <v>3638</v>
      </c>
    </row>
    <row r="1172" spans="1:5">
      <c r="A1172" s="198">
        <v>495584219</v>
      </c>
      <c r="B1172" s="198">
        <v>686550302.139377</v>
      </c>
      <c r="D1172" s="198" t="s">
        <v>3639</v>
      </c>
      <c r="E1172" s="198" t="s">
        <v>3640</v>
      </c>
    </row>
    <row r="1173" spans="1:5">
      <c r="A1173" s="198">
        <v>495605818</v>
      </c>
      <c r="B1173" s="198">
        <v>686571901.13962996</v>
      </c>
      <c r="D1173" s="198" t="s">
        <v>3641</v>
      </c>
      <c r="E1173" s="198" t="s">
        <v>3642</v>
      </c>
    </row>
    <row r="1174" spans="1:5">
      <c r="A1174" s="198">
        <v>495756994</v>
      </c>
      <c r="B1174" s="198">
        <v>686723077.14129806</v>
      </c>
      <c r="D1174" s="198" t="s">
        <v>3643</v>
      </c>
      <c r="E1174" s="198" t="s">
        <v>3644</v>
      </c>
    </row>
    <row r="1175" spans="1:5">
      <c r="A1175" s="198">
        <v>495836252</v>
      </c>
      <c r="B1175" s="198">
        <v>686802335.14221096</v>
      </c>
      <c r="D1175" s="198" t="s">
        <v>3645</v>
      </c>
      <c r="E1175" s="198" t="s">
        <v>3646</v>
      </c>
    </row>
    <row r="1176" spans="1:5">
      <c r="A1176" s="198">
        <v>495886547</v>
      </c>
      <c r="B1176" s="198">
        <v>686852630.14277899</v>
      </c>
      <c r="D1176" s="198" t="s">
        <v>3647</v>
      </c>
      <c r="E1176" s="198" t="s">
        <v>3648</v>
      </c>
    </row>
    <row r="1177" spans="1:5">
      <c r="A1177" s="198">
        <v>495976548</v>
      </c>
      <c r="B1177" s="198">
        <v>686942631.14378202</v>
      </c>
      <c r="D1177" s="198" t="s">
        <v>3649</v>
      </c>
      <c r="E1177" s="198" t="s">
        <v>3650</v>
      </c>
    </row>
    <row r="1178" spans="1:5">
      <c r="A1178" s="198">
        <v>496095364</v>
      </c>
      <c r="B1178" s="198">
        <v>687061447.145105</v>
      </c>
      <c r="D1178" s="198" t="s">
        <v>3651</v>
      </c>
      <c r="E1178" s="198" t="s">
        <v>3652</v>
      </c>
    </row>
    <row r="1179" spans="1:5">
      <c r="A1179" s="198">
        <v>496275313</v>
      </c>
      <c r="B1179" s="198">
        <v>687241396.14708805</v>
      </c>
      <c r="D1179" s="198" t="s">
        <v>3653</v>
      </c>
      <c r="E1179" s="198" t="s">
        <v>3654</v>
      </c>
    </row>
    <row r="1180" spans="1:5">
      <c r="A1180" s="198">
        <v>496350906</v>
      </c>
      <c r="B1180" s="198">
        <v>687316989.14795494</v>
      </c>
      <c r="D1180" s="198" t="s">
        <v>3655</v>
      </c>
      <c r="E1180" s="198" t="s">
        <v>3656</v>
      </c>
    </row>
    <row r="1181" spans="1:5">
      <c r="A1181" s="198">
        <v>496440909</v>
      </c>
      <c r="B1181" s="198">
        <v>687406992.14895904</v>
      </c>
      <c r="D1181" s="198" t="s">
        <v>3657</v>
      </c>
      <c r="E1181" s="198" t="s">
        <v>3658</v>
      </c>
    </row>
    <row r="1182" spans="1:5">
      <c r="A1182" s="198">
        <v>496498501</v>
      </c>
      <c r="B1182" s="198">
        <v>687464584.14960802</v>
      </c>
      <c r="D1182" s="198" t="s">
        <v>3659</v>
      </c>
      <c r="E1182" s="198" t="s">
        <v>3660</v>
      </c>
    </row>
    <row r="1183" spans="1:5">
      <c r="A1183" s="198">
        <v>496620865</v>
      </c>
      <c r="B1183" s="198">
        <v>687586948.15093303</v>
      </c>
      <c r="D1183" s="198" t="s">
        <v>3661</v>
      </c>
      <c r="E1183" s="198" t="s">
        <v>3662</v>
      </c>
    </row>
    <row r="1184" spans="1:5">
      <c r="A1184" s="198">
        <v>496635248</v>
      </c>
      <c r="B1184" s="198">
        <v>687601331.15110898</v>
      </c>
      <c r="D1184" s="198" t="s">
        <v>3663</v>
      </c>
      <c r="E1184" s="198" t="s">
        <v>3664</v>
      </c>
    </row>
    <row r="1185" spans="1:5">
      <c r="A1185" s="198">
        <v>496793635</v>
      </c>
      <c r="B1185" s="198">
        <v>687759718.15285099</v>
      </c>
      <c r="D1185" s="198" t="s">
        <v>3665</v>
      </c>
      <c r="E1185" s="198" t="s">
        <v>3666</v>
      </c>
    </row>
    <row r="1186" spans="1:5">
      <c r="A1186" s="198">
        <v>496811641</v>
      </c>
      <c r="B1186" s="198">
        <v>687777724.15307403</v>
      </c>
      <c r="D1186" s="198" t="s">
        <v>3667</v>
      </c>
      <c r="E1186" s="198" t="s">
        <v>3668</v>
      </c>
    </row>
    <row r="1187" spans="1:5">
      <c r="A1187" s="198">
        <v>496952014</v>
      </c>
      <c r="B1187" s="198">
        <v>687918097.15463102</v>
      </c>
      <c r="D1187" s="198" t="s">
        <v>3669</v>
      </c>
      <c r="E1187" s="198" t="s">
        <v>3670</v>
      </c>
    </row>
    <row r="1188" spans="1:5">
      <c r="A1188" s="198">
        <v>497013203</v>
      </c>
      <c r="B1188" s="198">
        <v>687979286.15531397</v>
      </c>
      <c r="D1188" s="198" t="s">
        <v>3671</v>
      </c>
      <c r="E1188" s="198" t="s">
        <v>3672</v>
      </c>
    </row>
    <row r="1189" spans="1:5">
      <c r="A1189" s="198">
        <v>497099598</v>
      </c>
      <c r="B1189" s="198">
        <v>688065681.15628004</v>
      </c>
      <c r="D1189" s="198" t="s">
        <v>3673</v>
      </c>
      <c r="E1189" s="198" t="s">
        <v>3674</v>
      </c>
    </row>
    <row r="1190" spans="1:5">
      <c r="A1190" s="198">
        <v>497225572</v>
      </c>
      <c r="B1190" s="198">
        <v>688191655.15763998</v>
      </c>
      <c r="D1190" s="198" t="s">
        <v>3675</v>
      </c>
      <c r="E1190" s="198" t="s">
        <v>3676</v>
      </c>
    </row>
    <row r="1191" spans="1:5">
      <c r="A1191" s="198">
        <v>497301183</v>
      </c>
      <c r="B1191" s="198">
        <v>688267266.15850401</v>
      </c>
      <c r="D1191" s="198" t="s">
        <v>3677</v>
      </c>
      <c r="E1191" s="198" t="s">
        <v>3678</v>
      </c>
    </row>
    <row r="1192" spans="1:5">
      <c r="A1192" s="198">
        <v>497398347</v>
      </c>
      <c r="B1192" s="198">
        <v>688364430.159567</v>
      </c>
      <c r="D1192" s="198" t="s">
        <v>3679</v>
      </c>
      <c r="E1192" s="198" t="s">
        <v>3680</v>
      </c>
    </row>
    <row r="1193" spans="1:5">
      <c r="A1193" s="198">
        <v>497484735</v>
      </c>
      <c r="B1193" s="198">
        <v>688450818.16052902</v>
      </c>
      <c r="D1193" s="198" t="s">
        <v>3681</v>
      </c>
      <c r="E1193" s="198" t="s">
        <v>3682</v>
      </c>
    </row>
    <row r="1194" spans="1:5">
      <c r="A1194" s="198">
        <v>497560350</v>
      </c>
      <c r="B1194" s="198">
        <v>688526433.16138196</v>
      </c>
      <c r="D1194" s="198" t="s">
        <v>3683</v>
      </c>
      <c r="E1194" s="198" t="s">
        <v>3684</v>
      </c>
    </row>
    <row r="1195" spans="1:5">
      <c r="A1195" s="198">
        <v>497657512</v>
      </c>
      <c r="B1195" s="198">
        <v>688623595.16243398</v>
      </c>
      <c r="D1195" s="198" t="s">
        <v>3685</v>
      </c>
      <c r="E1195" s="198" t="s">
        <v>3686</v>
      </c>
    </row>
    <row r="1196" spans="1:5">
      <c r="A1196" s="198">
        <v>497725994</v>
      </c>
      <c r="B1196" s="198">
        <v>688692077.16323102</v>
      </c>
      <c r="D1196" s="198" t="s">
        <v>3687</v>
      </c>
      <c r="E1196" s="198" t="s">
        <v>3688</v>
      </c>
    </row>
    <row r="1197" spans="1:5">
      <c r="A1197" s="198">
        <v>497787083</v>
      </c>
      <c r="B1197" s="198">
        <v>688753166.16389501</v>
      </c>
      <c r="D1197" s="198" t="s">
        <v>3689</v>
      </c>
      <c r="E1197" s="198" t="s">
        <v>3690</v>
      </c>
    </row>
    <row r="1198" spans="1:5">
      <c r="A1198" s="198">
        <v>497916677</v>
      </c>
      <c r="B1198" s="198">
        <v>688882760.16530299</v>
      </c>
      <c r="D1198" s="198" t="s">
        <v>3691</v>
      </c>
      <c r="E1198" s="198" t="s">
        <v>3692</v>
      </c>
    </row>
    <row r="1199" spans="1:5">
      <c r="A1199" s="198">
        <v>497931080</v>
      </c>
      <c r="B1199" s="198">
        <v>688897163.165465</v>
      </c>
      <c r="D1199" s="198" t="s">
        <v>3693</v>
      </c>
      <c r="E1199" s="198" t="s">
        <v>3694</v>
      </c>
    </row>
    <row r="1200" spans="1:5">
      <c r="A1200" s="198">
        <v>498075065</v>
      </c>
      <c r="B1200" s="198">
        <v>689041148.16705501</v>
      </c>
      <c r="D1200" s="198" t="s">
        <v>3695</v>
      </c>
      <c r="E1200" s="198" t="s">
        <v>3696</v>
      </c>
    </row>
    <row r="1201" spans="1:5">
      <c r="A1201" s="198">
        <v>498175840</v>
      </c>
      <c r="B1201" s="198">
        <v>689141923.16814697</v>
      </c>
      <c r="D1201" s="198" t="s">
        <v>3697</v>
      </c>
      <c r="E1201" s="198" t="s">
        <v>3698</v>
      </c>
    </row>
    <row r="1202" spans="1:5">
      <c r="A1202" s="198">
        <v>498190253</v>
      </c>
      <c r="B1202" s="198">
        <v>689156336.16833699</v>
      </c>
      <c r="D1202" s="198" t="s">
        <v>3699</v>
      </c>
      <c r="E1202" s="198" t="s">
        <v>3700</v>
      </c>
    </row>
    <row r="1203" spans="1:5">
      <c r="A1203" s="198">
        <v>498280198</v>
      </c>
      <c r="B1203" s="198">
        <v>689246281.169294</v>
      </c>
      <c r="D1203" s="198" t="s">
        <v>3701</v>
      </c>
      <c r="E1203" s="198" t="s">
        <v>3702</v>
      </c>
    </row>
    <row r="1204" spans="1:5">
      <c r="A1204" s="198">
        <v>498420621</v>
      </c>
      <c r="B1204" s="198">
        <v>689386704.17085302</v>
      </c>
      <c r="D1204" s="198" t="s">
        <v>3703</v>
      </c>
      <c r="E1204" s="198" t="s">
        <v>3704</v>
      </c>
    </row>
    <row r="1205" spans="1:5">
      <c r="A1205" s="198">
        <v>498607782</v>
      </c>
      <c r="B1205" s="198">
        <v>689573865.172894</v>
      </c>
      <c r="D1205" s="198" t="s">
        <v>3705</v>
      </c>
      <c r="E1205" s="198" t="s">
        <v>3706</v>
      </c>
    </row>
    <row r="1206" spans="1:5">
      <c r="A1206" s="198">
        <v>498694171</v>
      </c>
      <c r="B1206" s="198">
        <v>689660254.17385805</v>
      </c>
      <c r="D1206" s="198" t="s">
        <v>3707</v>
      </c>
      <c r="E1206" s="198" t="s">
        <v>3708</v>
      </c>
    </row>
    <row r="1207" spans="1:5">
      <c r="A1207" s="198">
        <v>498762574</v>
      </c>
      <c r="B1207" s="198">
        <v>689728657.17461801</v>
      </c>
      <c r="D1207" s="198" t="s">
        <v>3709</v>
      </c>
      <c r="E1207" s="198" t="s">
        <v>3710</v>
      </c>
    </row>
    <row r="1208" spans="1:5">
      <c r="A1208" s="198">
        <v>498820142</v>
      </c>
      <c r="B1208" s="198">
        <v>689786225.17525303</v>
      </c>
      <c r="D1208" s="198" t="s">
        <v>3711</v>
      </c>
      <c r="E1208" s="198" t="s">
        <v>3712</v>
      </c>
    </row>
    <row r="1209" spans="1:5">
      <c r="A1209" s="198">
        <v>498895724</v>
      </c>
      <c r="B1209" s="198">
        <v>689861807.17608094</v>
      </c>
      <c r="D1209" s="198" t="s">
        <v>3713</v>
      </c>
      <c r="E1209" s="198" t="s">
        <v>3714</v>
      </c>
    </row>
    <row r="1210" spans="1:5">
      <c r="A1210" s="198">
        <v>499126748</v>
      </c>
      <c r="B1210" s="198">
        <v>690092831.17856801</v>
      </c>
      <c r="D1210" s="198" t="s">
        <v>3715</v>
      </c>
      <c r="E1210" s="198" t="s">
        <v>3716</v>
      </c>
    </row>
    <row r="1211" spans="1:5">
      <c r="A1211" s="198">
        <v>499212505</v>
      </c>
      <c r="B1211" s="198">
        <v>690178588.17954195</v>
      </c>
      <c r="D1211" s="198" t="s">
        <v>3717</v>
      </c>
      <c r="E1211" s="198" t="s">
        <v>3718</v>
      </c>
    </row>
    <row r="1212" spans="1:5">
      <c r="A1212" s="198">
        <v>499223319</v>
      </c>
      <c r="B1212" s="198">
        <v>690189402.17967296</v>
      </c>
      <c r="D1212" s="198" t="s">
        <v>3719</v>
      </c>
      <c r="E1212" s="198" t="s">
        <v>3720</v>
      </c>
    </row>
    <row r="1213" spans="1:5">
      <c r="A1213" s="198">
        <v>499367315</v>
      </c>
      <c r="B1213" s="198">
        <v>690333398.18124604</v>
      </c>
      <c r="D1213" s="198" t="s">
        <v>3721</v>
      </c>
      <c r="E1213" s="198" t="s">
        <v>3722</v>
      </c>
    </row>
    <row r="1214" spans="1:5">
      <c r="A1214" s="198">
        <v>499471669</v>
      </c>
      <c r="B1214" s="198">
        <v>690437752.18236601</v>
      </c>
      <c r="D1214" s="198" t="s">
        <v>3723</v>
      </c>
      <c r="E1214" s="198" t="s">
        <v>3724</v>
      </c>
    </row>
    <row r="1215" spans="1:5">
      <c r="A1215" s="198">
        <v>499496849</v>
      </c>
      <c r="B1215" s="198">
        <v>690462932.18265295</v>
      </c>
      <c r="D1215" s="198" t="s">
        <v>3725</v>
      </c>
      <c r="E1215" s="198" t="s">
        <v>3726</v>
      </c>
    </row>
    <row r="1216" spans="1:5">
      <c r="A1216" s="198">
        <v>499730840</v>
      </c>
      <c r="B1216" s="198">
        <v>690696923.18520701</v>
      </c>
      <c r="D1216" s="198" t="s">
        <v>3727</v>
      </c>
      <c r="E1216" s="198" t="s">
        <v>3728</v>
      </c>
    </row>
    <row r="1217" spans="1:5">
      <c r="A1217" s="198">
        <v>499795641</v>
      </c>
      <c r="B1217" s="198">
        <v>690761724.18591702</v>
      </c>
      <c r="D1217" s="198" t="s">
        <v>3729</v>
      </c>
      <c r="E1217" s="198" t="s">
        <v>3730</v>
      </c>
    </row>
    <row r="1218" spans="1:5">
      <c r="A1218" s="198">
        <v>499903619</v>
      </c>
      <c r="B1218" s="198">
        <v>690869702.18710101</v>
      </c>
      <c r="D1218" s="198" t="s">
        <v>3731</v>
      </c>
      <c r="E1218" s="198" t="s">
        <v>3732</v>
      </c>
    </row>
    <row r="1219" spans="1:5">
      <c r="A1219" s="198">
        <v>499964804</v>
      </c>
      <c r="B1219" s="198">
        <v>690930887.18777394</v>
      </c>
      <c r="D1219" s="198" t="s">
        <v>3733</v>
      </c>
      <c r="E1219" s="198" t="s">
        <v>3734</v>
      </c>
    </row>
    <row r="1220" spans="1:5">
      <c r="A1220" s="198">
        <v>500026007</v>
      </c>
      <c r="B1220" s="198">
        <v>690992090.18845105</v>
      </c>
      <c r="D1220" s="198" t="s">
        <v>3735</v>
      </c>
      <c r="E1220" s="198" t="s">
        <v>3736</v>
      </c>
    </row>
    <row r="1221" spans="1:5">
      <c r="A1221" s="198">
        <v>500162787</v>
      </c>
      <c r="B1221" s="198">
        <v>691128870.18991899</v>
      </c>
      <c r="D1221" s="198" t="s">
        <v>3737</v>
      </c>
      <c r="E1221" s="198" t="s">
        <v>3738</v>
      </c>
    </row>
    <row r="1222" spans="1:5">
      <c r="A1222" s="198">
        <v>500173597</v>
      </c>
      <c r="B1222" s="198">
        <v>691139680.19004798</v>
      </c>
      <c r="D1222" s="198" t="s">
        <v>3739</v>
      </c>
      <c r="E1222" s="198" t="s">
        <v>3740</v>
      </c>
    </row>
    <row r="1223" spans="1:5">
      <c r="A1223" s="198">
        <v>500403986</v>
      </c>
      <c r="B1223" s="198">
        <v>691370069.19256699</v>
      </c>
      <c r="D1223" s="198" t="s">
        <v>3741</v>
      </c>
      <c r="E1223" s="198" t="s">
        <v>3742</v>
      </c>
    </row>
    <row r="1224" spans="1:5">
      <c r="A1224" s="198">
        <v>500573158</v>
      </c>
      <c r="B1224" s="198">
        <v>691539241.19440198</v>
      </c>
      <c r="D1224" s="198" t="s">
        <v>3743</v>
      </c>
      <c r="E1224" s="198" t="s">
        <v>3744</v>
      </c>
    </row>
    <row r="1225" spans="1:5">
      <c r="A1225" s="198">
        <v>500767527</v>
      </c>
      <c r="B1225" s="198">
        <v>691733610.19651794</v>
      </c>
      <c r="D1225" s="198" t="s">
        <v>3745</v>
      </c>
      <c r="E1225" s="198" t="s">
        <v>3746</v>
      </c>
    </row>
    <row r="1226" spans="1:5">
      <c r="A1226" s="198">
        <v>500853916</v>
      </c>
      <c r="B1226" s="198">
        <v>691819999.19745505</v>
      </c>
      <c r="D1226" s="198" t="s">
        <v>3747</v>
      </c>
      <c r="E1226" s="198" t="s">
        <v>3748</v>
      </c>
    </row>
    <row r="1227" spans="1:5">
      <c r="A1227" s="198">
        <v>500915119</v>
      </c>
      <c r="B1227" s="198">
        <v>691881202.19811296</v>
      </c>
      <c r="D1227" s="198" t="s">
        <v>3749</v>
      </c>
      <c r="E1227" s="198" t="s">
        <v>3750</v>
      </c>
    </row>
    <row r="1228" spans="1:5">
      <c r="A1228" s="198">
        <v>501005110</v>
      </c>
      <c r="B1228" s="198">
        <v>691971193.19910598</v>
      </c>
      <c r="D1228" s="198" t="s">
        <v>3751</v>
      </c>
      <c r="E1228" s="198" t="s">
        <v>3752</v>
      </c>
    </row>
    <row r="1229" spans="1:5">
      <c r="A1229" s="198">
        <v>501087897</v>
      </c>
      <c r="B1229" s="198">
        <v>692053980.20000196</v>
      </c>
      <c r="D1229" s="198" t="s">
        <v>3753</v>
      </c>
      <c r="E1229" s="198" t="s">
        <v>3754</v>
      </c>
    </row>
    <row r="1230" spans="1:5">
      <c r="A1230" s="198">
        <v>501285879</v>
      </c>
      <c r="B1230" s="198">
        <v>692251962.20215094</v>
      </c>
      <c r="D1230" s="198" t="s">
        <v>3755</v>
      </c>
      <c r="E1230" s="198" t="s">
        <v>3756</v>
      </c>
    </row>
    <row r="1231" spans="1:5">
      <c r="A1231" s="198">
        <v>501293086</v>
      </c>
      <c r="B1231" s="198">
        <v>692259169.20223796</v>
      </c>
      <c r="D1231" s="198" t="s">
        <v>3757</v>
      </c>
      <c r="E1231" s="198" t="s">
        <v>3758</v>
      </c>
    </row>
    <row r="1232" spans="1:5">
      <c r="A1232" s="198">
        <v>501437079</v>
      </c>
      <c r="B1232" s="198">
        <v>692403162.20378494</v>
      </c>
      <c r="D1232" s="198" t="s">
        <v>3759</v>
      </c>
      <c r="E1232" s="198" t="s">
        <v>3760</v>
      </c>
    </row>
    <row r="1233" spans="1:5">
      <c r="A1233" s="198">
        <v>501545054</v>
      </c>
      <c r="B1233" s="198">
        <v>692511137.20495296</v>
      </c>
      <c r="D1233" s="198" t="s">
        <v>3761</v>
      </c>
      <c r="E1233" s="198" t="s">
        <v>3762</v>
      </c>
    </row>
    <row r="1234" spans="1:5">
      <c r="A1234" s="198">
        <v>501631450</v>
      </c>
      <c r="B1234" s="198">
        <v>692597533.20589697</v>
      </c>
      <c r="D1234" s="198" t="s">
        <v>3763</v>
      </c>
      <c r="E1234" s="198" t="s">
        <v>3764</v>
      </c>
    </row>
    <row r="1235" spans="1:5">
      <c r="A1235" s="198">
        <v>501635052</v>
      </c>
      <c r="B1235" s="198">
        <v>692601135.20594203</v>
      </c>
      <c r="D1235" s="198" t="s">
        <v>3765</v>
      </c>
      <c r="E1235" s="198" t="s">
        <v>3766</v>
      </c>
    </row>
    <row r="1236" spans="1:5">
      <c r="A1236" s="198">
        <v>501782652</v>
      </c>
      <c r="B1236" s="198">
        <v>692748735.20753801</v>
      </c>
      <c r="D1236" s="198" t="s">
        <v>3767</v>
      </c>
      <c r="E1236" s="198" t="s">
        <v>3768</v>
      </c>
    </row>
    <row r="1237" spans="1:5">
      <c r="A1237" s="198">
        <v>502038233</v>
      </c>
      <c r="B1237" s="198">
        <v>693004316.21031106</v>
      </c>
      <c r="D1237" s="198" t="s">
        <v>3769</v>
      </c>
      <c r="E1237" s="198" t="s">
        <v>3770</v>
      </c>
    </row>
    <row r="1238" spans="1:5">
      <c r="A1238" s="198">
        <v>502095806</v>
      </c>
      <c r="B1238" s="198">
        <v>693061889.210953</v>
      </c>
      <c r="D1238" s="198" t="s">
        <v>3771</v>
      </c>
      <c r="E1238" s="198" t="s">
        <v>3772</v>
      </c>
    </row>
    <row r="1239" spans="1:5">
      <c r="A1239" s="198">
        <v>502211013</v>
      </c>
      <c r="B1239" s="198">
        <v>693177096.21217895</v>
      </c>
      <c r="D1239" s="198" t="s">
        <v>3773</v>
      </c>
      <c r="E1239" s="198" t="s">
        <v>3774</v>
      </c>
    </row>
    <row r="1240" spans="1:5">
      <c r="A1240" s="198">
        <v>502383809</v>
      </c>
      <c r="B1240" s="198">
        <v>693349892.21406996</v>
      </c>
      <c r="D1240" s="198" t="s">
        <v>3775</v>
      </c>
      <c r="E1240" s="198" t="s">
        <v>3776</v>
      </c>
    </row>
    <row r="1241" spans="1:5">
      <c r="A1241" s="198">
        <v>502495376</v>
      </c>
      <c r="B1241" s="198">
        <v>693461459.21527398</v>
      </c>
      <c r="D1241" s="198" t="s">
        <v>3777</v>
      </c>
      <c r="E1241" s="198" t="s">
        <v>3778</v>
      </c>
    </row>
    <row r="1242" spans="1:5">
      <c r="A1242" s="198">
        <v>502498981</v>
      </c>
      <c r="B1242" s="198">
        <v>693465064.215307</v>
      </c>
      <c r="D1242" s="198" t="s">
        <v>3779</v>
      </c>
      <c r="E1242" s="198" t="s">
        <v>3780</v>
      </c>
    </row>
    <row r="1243" spans="1:5">
      <c r="A1243" s="198">
        <v>502754553</v>
      </c>
      <c r="B1243" s="198">
        <v>693720636.21804297</v>
      </c>
      <c r="D1243" s="198" t="s">
        <v>3781</v>
      </c>
      <c r="E1243" s="198" t="s">
        <v>3782</v>
      </c>
    </row>
    <row r="1244" spans="1:5">
      <c r="A1244" s="198">
        <v>502776125</v>
      </c>
      <c r="B1244" s="198">
        <v>693742208.21830499</v>
      </c>
      <c r="D1244" s="198" t="s">
        <v>3783</v>
      </c>
      <c r="E1244" s="198" t="s">
        <v>3784</v>
      </c>
    </row>
    <row r="1245" spans="1:5">
      <c r="A1245" s="198">
        <v>502927482</v>
      </c>
      <c r="B1245" s="198">
        <v>693893565.21995294</v>
      </c>
      <c r="D1245" s="198" t="s">
        <v>3785</v>
      </c>
      <c r="E1245" s="198" t="s">
        <v>3786</v>
      </c>
    </row>
    <row r="1246" spans="1:5">
      <c r="A1246" s="198">
        <v>502988564</v>
      </c>
      <c r="B1246" s="198">
        <v>693954647.22062099</v>
      </c>
      <c r="D1246" s="198" t="s">
        <v>3787</v>
      </c>
      <c r="E1246" s="198" t="s">
        <v>3788</v>
      </c>
    </row>
    <row r="1247" spans="1:5">
      <c r="A1247" s="198">
        <v>503074957</v>
      </c>
      <c r="B1247" s="198">
        <v>694041040.22155905</v>
      </c>
      <c r="D1247" s="198" t="s">
        <v>3789</v>
      </c>
      <c r="E1247" s="198" t="s">
        <v>3790</v>
      </c>
    </row>
    <row r="1248" spans="1:5">
      <c r="A1248" s="198">
        <v>503330522</v>
      </c>
      <c r="B1248" s="198">
        <v>694296605.22431302</v>
      </c>
      <c r="D1248" s="198" t="s">
        <v>3791</v>
      </c>
      <c r="E1248" s="198" t="s">
        <v>3792</v>
      </c>
    </row>
    <row r="1249" spans="1:5">
      <c r="A1249" s="198">
        <v>503445701</v>
      </c>
      <c r="B1249" s="198">
        <v>694411784.22553396</v>
      </c>
      <c r="D1249" s="198" t="s">
        <v>3793</v>
      </c>
      <c r="E1249" s="198" t="s">
        <v>3794</v>
      </c>
    </row>
    <row r="1250" spans="1:5">
      <c r="A1250" s="198">
        <v>503503312</v>
      </c>
      <c r="B1250" s="198">
        <v>694469395.22618997</v>
      </c>
      <c r="D1250" s="198" t="s">
        <v>3795</v>
      </c>
      <c r="E1250" s="198" t="s">
        <v>3796</v>
      </c>
    </row>
    <row r="1251" spans="1:5">
      <c r="A1251" s="198">
        <v>503647303</v>
      </c>
      <c r="B1251" s="198">
        <v>694613386.22776198</v>
      </c>
      <c r="D1251" s="198" t="s">
        <v>3797</v>
      </c>
      <c r="E1251" s="198" t="s">
        <v>3798</v>
      </c>
    </row>
    <row r="1252" spans="1:5">
      <c r="A1252" s="198">
        <v>503791288</v>
      </c>
      <c r="B1252" s="198">
        <v>694757371.22928703</v>
      </c>
      <c r="D1252" s="198" t="s">
        <v>3799</v>
      </c>
      <c r="E1252" s="198" t="s">
        <v>3800</v>
      </c>
    </row>
    <row r="1253" spans="1:5">
      <c r="A1253" s="198">
        <v>503935313</v>
      </c>
      <c r="B1253" s="198">
        <v>694901396.23088002</v>
      </c>
      <c r="D1253" s="198" t="s">
        <v>3801</v>
      </c>
      <c r="E1253" s="198" t="s">
        <v>3802</v>
      </c>
    </row>
    <row r="1254" spans="1:5">
      <c r="A1254" s="198">
        <v>504021706</v>
      </c>
      <c r="B1254" s="198">
        <v>694987789.23179901</v>
      </c>
      <c r="D1254" s="198" t="s">
        <v>3803</v>
      </c>
      <c r="E1254" s="198" t="s">
        <v>3804</v>
      </c>
    </row>
    <row r="1255" spans="1:5">
      <c r="A1255" s="198">
        <v>504072062</v>
      </c>
      <c r="B1255" s="198">
        <v>695038145.23233402</v>
      </c>
      <c r="D1255" s="198" t="s">
        <v>3805</v>
      </c>
      <c r="E1255" s="198" t="s">
        <v>3806</v>
      </c>
    </row>
    <row r="1256" spans="1:5">
      <c r="A1256" s="198">
        <v>504306067</v>
      </c>
      <c r="B1256" s="198">
        <v>695272150.234815</v>
      </c>
      <c r="D1256" s="198" t="s">
        <v>3807</v>
      </c>
      <c r="E1256" s="198" t="s">
        <v>3808</v>
      </c>
    </row>
    <row r="1257" spans="1:5">
      <c r="A1257" s="198">
        <v>504482458</v>
      </c>
      <c r="B1257" s="198">
        <v>695448541.23672605</v>
      </c>
      <c r="D1257" s="198" t="s">
        <v>3809</v>
      </c>
      <c r="E1257" s="198" t="s">
        <v>3810</v>
      </c>
    </row>
    <row r="1258" spans="1:5">
      <c r="A1258" s="198">
        <v>504568854</v>
      </c>
      <c r="B1258" s="198">
        <v>695534937.23765194</v>
      </c>
      <c r="D1258" s="198" t="s">
        <v>3811</v>
      </c>
      <c r="E1258" s="198" t="s">
        <v>3812</v>
      </c>
    </row>
    <row r="1259" spans="1:5">
      <c r="A1259" s="198">
        <v>504655251</v>
      </c>
      <c r="B1259" s="198">
        <v>695621334.238585</v>
      </c>
      <c r="D1259" s="198" t="s">
        <v>3813</v>
      </c>
      <c r="E1259" s="198" t="s">
        <v>3814</v>
      </c>
    </row>
    <row r="1260" spans="1:5">
      <c r="A1260" s="198">
        <v>504676852</v>
      </c>
      <c r="B1260" s="198">
        <v>695642935.23886597</v>
      </c>
      <c r="D1260" s="198" t="s">
        <v>3815</v>
      </c>
      <c r="E1260" s="198" t="s">
        <v>3816</v>
      </c>
    </row>
    <row r="1261" spans="1:5">
      <c r="A1261" s="198">
        <v>505083643</v>
      </c>
      <c r="B1261" s="198">
        <v>696049726.24320996</v>
      </c>
      <c r="D1261" s="198" t="s">
        <v>3817</v>
      </c>
      <c r="E1261" s="198" t="s">
        <v>3818</v>
      </c>
    </row>
    <row r="1262" spans="1:5">
      <c r="A1262" s="198">
        <v>505173638</v>
      </c>
      <c r="B1262" s="198">
        <v>696139721.24417806</v>
      </c>
      <c r="D1262" s="198" t="s">
        <v>3819</v>
      </c>
      <c r="E1262" s="198" t="s">
        <v>3820</v>
      </c>
    </row>
    <row r="1263" spans="1:5">
      <c r="A1263" s="198">
        <v>505198861</v>
      </c>
      <c r="B1263" s="198">
        <v>696164944.24448705</v>
      </c>
      <c r="D1263" s="198" t="s">
        <v>3821</v>
      </c>
      <c r="E1263" s="198" t="s">
        <v>3822</v>
      </c>
    </row>
    <row r="1264" spans="1:5">
      <c r="A1264" s="198">
        <v>505281626</v>
      </c>
      <c r="B1264" s="198">
        <v>696247709.24538398</v>
      </c>
      <c r="D1264" s="198" t="s">
        <v>3823</v>
      </c>
      <c r="E1264" s="198" t="s">
        <v>3824</v>
      </c>
    </row>
    <row r="1265" spans="1:5">
      <c r="A1265" s="198">
        <v>505396837</v>
      </c>
      <c r="B1265" s="198">
        <v>696362920.24662304</v>
      </c>
      <c r="D1265" s="198" t="s">
        <v>3825</v>
      </c>
      <c r="E1265" s="198" t="s">
        <v>3826</v>
      </c>
    </row>
    <row r="1266" spans="1:5">
      <c r="A1266" s="198">
        <v>505476028</v>
      </c>
      <c r="B1266" s="198">
        <v>696442111.24745905</v>
      </c>
      <c r="D1266" s="198" t="s">
        <v>3827</v>
      </c>
      <c r="E1266" s="198" t="s">
        <v>3828</v>
      </c>
    </row>
    <row r="1267" spans="1:5">
      <c r="A1267" s="198">
        <v>505627231</v>
      </c>
      <c r="B1267" s="198">
        <v>696593314.24911201</v>
      </c>
      <c r="D1267" s="198" t="s">
        <v>3829</v>
      </c>
      <c r="E1267" s="198" t="s">
        <v>3830</v>
      </c>
    </row>
    <row r="1268" spans="1:5">
      <c r="A1268" s="198">
        <v>505746066</v>
      </c>
      <c r="B1268" s="198">
        <v>696712149.25040305</v>
      </c>
      <c r="D1268" s="198" t="s">
        <v>3831</v>
      </c>
      <c r="E1268" s="198" t="s">
        <v>3832</v>
      </c>
    </row>
    <row r="1269" spans="1:5">
      <c r="A1269" s="198">
        <v>505828847</v>
      </c>
      <c r="B1269" s="198">
        <v>696794930.251284</v>
      </c>
      <c r="D1269" s="198" t="s">
        <v>3833</v>
      </c>
      <c r="E1269" s="198" t="s">
        <v>3834</v>
      </c>
    </row>
    <row r="1270" spans="1:5">
      <c r="A1270" s="198">
        <v>505915261</v>
      </c>
      <c r="B1270" s="198">
        <v>696881344.25221598</v>
      </c>
      <c r="D1270" s="198" t="s">
        <v>3835</v>
      </c>
      <c r="E1270" s="198" t="s">
        <v>3836</v>
      </c>
    </row>
    <row r="1271" spans="1:5">
      <c r="A1271" s="198">
        <v>506037627</v>
      </c>
      <c r="B1271" s="198">
        <v>697003710.25352502</v>
      </c>
      <c r="D1271" s="198" t="s">
        <v>3837</v>
      </c>
      <c r="E1271" s="198" t="s">
        <v>3838</v>
      </c>
    </row>
    <row r="1272" spans="1:5">
      <c r="A1272" s="198">
        <v>506048411</v>
      </c>
      <c r="B1272" s="198">
        <v>697014494.25366199</v>
      </c>
      <c r="D1272" s="198" t="s">
        <v>3839</v>
      </c>
      <c r="E1272" s="198" t="s">
        <v>3840</v>
      </c>
    </row>
    <row r="1273" spans="1:5">
      <c r="A1273" s="198">
        <v>506296832</v>
      </c>
      <c r="B1273" s="198">
        <v>697262915.25633502</v>
      </c>
      <c r="D1273" s="198" t="s">
        <v>3841</v>
      </c>
      <c r="E1273" s="198" t="s">
        <v>3842</v>
      </c>
    </row>
    <row r="1274" spans="1:5">
      <c r="A1274" s="198">
        <v>506376050</v>
      </c>
      <c r="B1274" s="198">
        <v>697342133.257218</v>
      </c>
      <c r="D1274" s="198" t="s">
        <v>3843</v>
      </c>
      <c r="E1274" s="198" t="s">
        <v>3844</v>
      </c>
    </row>
    <row r="1275" spans="1:5">
      <c r="A1275" s="198">
        <v>506469631</v>
      </c>
      <c r="B1275" s="198">
        <v>697435714.25819898</v>
      </c>
      <c r="D1275" s="198" t="s">
        <v>3845</v>
      </c>
      <c r="E1275" s="198" t="s">
        <v>3846</v>
      </c>
    </row>
    <row r="1276" spans="1:5">
      <c r="A1276" s="198">
        <v>506545236</v>
      </c>
      <c r="B1276" s="198">
        <v>697511319.25901198</v>
      </c>
      <c r="D1276" s="198" t="s">
        <v>3847</v>
      </c>
      <c r="E1276" s="198" t="s">
        <v>3848</v>
      </c>
    </row>
    <row r="1277" spans="1:5">
      <c r="A1277" s="198">
        <v>506635263</v>
      </c>
      <c r="B1277" s="198">
        <v>697601346.26002002</v>
      </c>
      <c r="D1277" s="198" t="s">
        <v>3849</v>
      </c>
      <c r="E1277" s="198" t="s">
        <v>3850</v>
      </c>
    </row>
    <row r="1278" spans="1:5">
      <c r="A1278" s="198">
        <v>506730029</v>
      </c>
      <c r="B1278" s="198">
        <v>697696112.26103306</v>
      </c>
      <c r="D1278" s="198" t="s">
        <v>3851</v>
      </c>
      <c r="E1278" s="198" t="s">
        <v>3852</v>
      </c>
    </row>
    <row r="1279" spans="1:5">
      <c r="A1279" s="198">
        <v>506739612</v>
      </c>
      <c r="B1279" s="198">
        <v>697705695.26114297</v>
      </c>
      <c r="D1279" s="198" t="s">
        <v>3853</v>
      </c>
      <c r="E1279" s="198" t="s">
        <v>3854</v>
      </c>
    </row>
    <row r="1280" spans="1:5">
      <c r="A1280" s="198">
        <v>506826048</v>
      </c>
      <c r="B1280" s="198">
        <v>697792131.26207995</v>
      </c>
      <c r="D1280" s="198" t="s">
        <v>3855</v>
      </c>
      <c r="E1280" s="198" t="s">
        <v>3856</v>
      </c>
    </row>
    <row r="1281" spans="1:5">
      <c r="A1281" s="198">
        <v>506988064</v>
      </c>
      <c r="B1281" s="198">
        <v>697954147.26383305</v>
      </c>
      <c r="D1281" s="198" t="s">
        <v>3857</v>
      </c>
      <c r="E1281" s="198" t="s">
        <v>3858</v>
      </c>
    </row>
    <row r="1282" spans="1:5">
      <c r="A1282" s="198">
        <v>507074433</v>
      </c>
      <c r="B1282" s="198">
        <v>698040516.26476097</v>
      </c>
      <c r="D1282" s="198" t="s">
        <v>3859</v>
      </c>
      <c r="E1282" s="198" t="s">
        <v>3860</v>
      </c>
    </row>
    <row r="1283" spans="1:5">
      <c r="A1283" s="198">
        <v>507135635</v>
      </c>
      <c r="B1283" s="198">
        <v>698101718.26542795</v>
      </c>
      <c r="D1283" s="198" t="s">
        <v>3861</v>
      </c>
      <c r="E1283" s="198" t="s">
        <v>3862</v>
      </c>
    </row>
    <row r="1284" spans="1:5">
      <c r="A1284" s="198">
        <v>507283234</v>
      </c>
      <c r="B1284" s="198">
        <v>698249317.26753998</v>
      </c>
      <c r="D1284" s="198" t="s">
        <v>3863</v>
      </c>
      <c r="E1284" s="198" t="s">
        <v>3864</v>
      </c>
    </row>
    <row r="1285" spans="1:5">
      <c r="A1285" s="198">
        <v>507420039</v>
      </c>
      <c r="B1285" s="198">
        <v>698386122.26902997</v>
      </c>
      <c r="D1285" s="198" t="s">
        <v>3865</v>
      </c>
      <c r="E1285" s="198" t="s">
        <v>3866</v>
      </c>
    </row>
    <row r="1286" spans="1:5">
      <c r="A1286" s="198">
        <v>507502842</v>
      </c>
      <c r="B1286" s="198">
        <v>698468925.26992202</v>
      </c>
      <c r="D1286" s="198" t="s">
        <v>3867</v>
      </c>
      <c r="E1286" s="198" t="s">
        <v>3868</v>
      </c>
    </row>
    <row r="1287" spans="1:5">
      <c r="A1287" s="198">
        <v>507592841</v>
      </c>
      <c r="B1287" s="198">
        <v>698558924.27091396</v>
      </c>
      <c r="D1287" s="198" t="s">
        <v>3869</v>
      </c>
      <c r="E1287" s="198" t="s">
        <v>3870</v>
      </c>
    </row>
    <row r="1288" spans="1:5">
      <c r="A1288" s="198">
        <v>507679246</v>
      </c>
      <c r="B1288" s="198">
        <v>698645329.27186704</v>
      </c>
      <c r="D1288" s="198" t="s">
        <v>3871</v>
      </c>
      <c r="E1288" s="198" t="s">
        <v>3872</v>
      </c>
    </row>
    <row r="1289" spans="1:5">
      <c r="A1289" s="198">
        <v>507722457</v>
      </c>
      <c r="B1289" s="198">
        <v>698688540.27233803</v>
      </c>
      <c r="D1289" s="198" t="s">
        <v>3873</v>
      </c>
      <c r="E1289" s="198" t="s">
        <v>3874</v>
      </c>
    </row>
    <row r="1290" spans="1:5">
      <c r="A1290" s="198">
        <v>507826843</v>
      </c>
      <c r="B1290" s="198">
        <v>698792926.27346694</v>
      </c>
      <c r="D1290" s="198" t="s">
        <v>3875</v>
      </c>
      <c r="E1290" s="198" t="s">
        <v>3876</v>
      </c>
    </row>
    <row r="1291" spans="1:5">
      <c r="A1291" s="198">
        <v>507895251</v>
      </c>
      <c r="B1291" s="198">
        <v>698861334.27423</v>
      </c>
      <c r="D1291" s="198" t="s">
        <v>3877</v>
      </c>
      <c r="E1291" s="198" t="s">
        <v>3878</v>
      </c>
    </row>
    <row r="1292" spans="1:5">
      <c r="A1292" s="198">
        <v>507956478</v>
      </c>
      <c r="B1292" s="198">
        <v>698922561.27491605</v>
      </c>
      <c r="D1292" s="198" t="s">
        <v>3879</v>
      </c>
      <c r="E1292" s="198" t="s">
        <v>3880</v>
      </c>
    </row>
    <row r="1293" spans="1:5">
      <c r="A1293" s="198">
        <v>508197656</v>
      </c>
      <c r="B1293" s="198">
        <v>699163739.27752995</v>
      </c>
      <c r="D1293" s="198" t="s">
        <v>3881</v>
      </c>
      <c r="E1293" s="198" t="s">
        <v>3882</v>
      </c>
    </row>
    <row r="1294" spans="1:5">
      <c r="A1294" s="198">
        <v>508266074</v>
      </c>
      <c r="B1294" s="198">
        <v>699232157.27829504</v>
      </c>
      <c r="D1294" s="198" t="s">
        <v>3883</v>
      </c>
      <c r="E1294" s="198" t="s">
        <v>3884</v>
      </c>
    </row>
    <row r="1295" spans="1:5">
      <c r="A1295" s="198">
        <v>508320056</v>
      </c>
      <c r="B1295" s="198">
        <v>699286139.27887106</v>
      </c>
      <c r="D1295" s="198" t="s">
        <v>3885</v>
      </c>
      <c r="E1295" s="198" t="s">
        <v>3886</v>
      </c>
    </row>
    <row r="1296" spans="1:5">
      <c r="A1296" s="198">
        <v>508413679</v>
      </c>
      <c r="B1296" s="198">
        <v>699379762.27991104</v>
      </c>
      <c r="D1296" s="198" t="s">
        <v>3887</v>
      </c>
      <c r="E1296" s="198" t="s">
        <v>3888</v>
      </c>
    </row>
    <row r="1297" spans="1:5">
      <c r="A1297" s="198">
        <v>508503694</v>
      </c>
      <c r="B1297" s="198">
        <v>699469777.2809</v>
      </c>
      <c r="D1297" s="198" t="s">
        <v>3889</v>
      </c>
      <c r="E1297" s="198" t="s">
        <v>3890</v>
      </c>
    </row>
    <row r="1298" spans="1:5">
      <c r="A1298" s="198">
        <v>508701694</v>
      </c>
      <c r="B1298" s="198">
        <v>699667777.28307498</v>
      </c>
      <c r="D1298" s="198" t="s">
        <v>3891</v>
      </c>
      <c r="E1298" s="198" t="s">
        <v>3892</v>
      </c>
    </row>
    <row r="1299" spans="1:5">
      <c r="A1299" s="198">
        <v>508802480</v>
      </c>
      <c r="B1299" s="198">
        <v>699768563.28417397</v>
      </c>
      <c r="D1299" s="198" t="s">
        <v>3893</v>
      </c>
      <c r="E1299" s="198" t="s">
        <v>3894</v>
      </c>
    </row>
    <row r="1300" spans="1:5">
      <c r="A1300" s="198">
        <v>508863680</v>
      </c>
      <c r="B1300" s="198">
        <v>699829763.284832</v>
      </c>
      <c r="D1300" s="198" t="s">
        <v>3895</v>
      </c>
      <c r="E1300" s="198" t="s">
        <v>3896</v>
      </c>
    </row>
    <row r="1301" spans="1:5">
      <c r="A1301" s="198">
        <v>508960899</v>
      </c>
      <c r="B1301" s="198">
        <v>699926982.28591597</v>
      </c>
      <c r="D1301" s="198" t="s">
        <v>3897</v>
      </c>
      <c r="E1301" s="198" t="s">
        <v>3898</v>
      </c>
    </row>
    <row r="1302" spans="1:5">
      <c r="A1302" s="198">
        <v>509047438</v>
      </c>
      <c r="B1302" s="198">
        <v>700013521.28687704</v>
      </c>
      <c r="D1302" s="198" t="s">
        <v>3899</v>
      </c>
      <c r="E1302" s="198" t="s">
        <v>3900</v>
      </c>
    </row>
    <row r="1303" spans="1:5">
      <c r="A1303" s="198">
        <v>509101291</v>
      </c>
      <c r="B1303" s="198">
        <v>700067374.28746402</v>
      </c>
      <c r="D1303" s="198" t="s">
        <v>3901</v>
      </c>
      <c r="E1303" s="198" t="s">
        <v>3902</v>
      </c>
    </row>
    <row r="1304" spans="1:5">
      <c r="A1304" s="198">
        <v>509320900</v>
      </c>
      <c r="B1304" s="198">
        <v>700286983.28986394</v>
      </c>
      <c r="D1304" s="198" t="s">
        <v>3903</v>
      </c>
      <c r="E1304" s="198" t="s">
        <v>3904</v>
      </c>
    </row>
    <row r="1305" spans="1:5">
      <c r="A1305" s="198">
        <v>509331690</v>
      </c>
      <c r="B1305" s="198">
        <v>700297773.290012</v>
      </c>
      <c r="D1305" s="198" t="s">
        <v>3905</v>
      </c>
      <c r="E1305" s="198" t="s">
        <v>3906</v>
      </c>
    </row>
    <row r="1306" spans="1:5">
      <c r="A1306" s="198">
        <v>509565704</v>
      </c>
      <c r="B1306" s="198">
        <v>700531787.29254794</v>
      </c>
      <c r="D1306" s="198" t="s">
        <v>3907</v>
      </c>
      <c r="E1306" s="198" t="s">
        <v>3908</v>
      </c>
    </row>
    <row r="1307" spans="1:5">
      <c r="A1307" s="198">
        <v>509641313</v>
      </c>
      <c r="B1307" s="198">
        <v>700607396.29339802</v>
      </c>
      <c r="D1307" s="198" t="s">
        <v>3909</v>
      </c>
      <c r="E1307" s="198" t="s">
        <v>3910</v>
      </c>
    </row>
    <row r="1308" spans="1:5">
      <c r="A1308" s="198">
        <v>509706122</v>
      </c>
      <c r="B1308" s="198">
        <v>700672205.29413402</v>
      </c>
      <c r="D1308" s="198" t="s">
        <v>3911</v>
      </c>
      <c r="E1308" s="198" t="s">
        <v>3912</v>
      </c>
    </row>
    <row r="1309" spans="1:5">
      <c r="A1309" s="198">
        <v>509806914</v>
      </c>
      <c r="B1309" s="198">
        <v>700772997.29523098</v>
      </c>
      <c r="D1309" s="198" t="s">
        <v>3913</v>
      </c>
      <c r="E1309" s="198" t="s">
        <v>3914</v>
      </c>
    </row>
    <row r="1310" spans="1:5">
      <c r="A1310" s="198">
        <v>509911325</v>
      </c>
      <c r="B1310" s="198">
        <v>700877408.29637802</v>
      </c>
      <c r="D1310" s="198" t="s">
        <v>3915</v>
      </c>
      <c r="E1310" s="198" t="s">
        <v>3916</v>
      </c>
    </row>
    <row r="1311" spans="1:5">
      <c r="A1311" s="198">
        <v>510012131</v>
      </c>
      <c r="B1311" s="198">
        <v>700978214.29751301</v>
      </c>
      <c r="D1311" s="198" t="s">
        <v>3917</v>
      </c>
      <c r="E1311" s="198" t="s">
        <v>3918</v>
      </c>
    </row>
    <row r="1312" spans="1:5">
      <c r="A1312" s="198">
        <v>510080563</v>
      </c>
      <c r="B1312" s="198">
        <v>701046646.29826796</v>
      </c>
      <c r="D1312" s="198" t="s">
        <v>3919</v>
      </c>
      <c r="E1312" s="198" t="s">
        <v>3920</v>
      </c>
    </row>
    <row r="1313" spans="1:5">
      <c r="A1313" s="198">
        <v>510134541</v>
      </c>
      <c r="B1313" s="198">
        <v>701100624.29885697</v>
      </c>
      <c r="D1313" s="198" t="s">
        <v>3921</v>
      </c>
      <c r="E1313" s="198" t="s">
        <v>3922</v>
      </c>
    </row>
    <row r="1314" spans="1:5">
      <c r="A1314" s="198">
        <v>510264143</v>
      </c>
      <c r="B1314" s="198">
        <v>701230226.30028701</v>
      </c>
      <c r="D1314" s="198" t="s">
        <v>3923</v>
      </c>
      <c r="E1314" s="198" t="s">
        <v>3924</v>
      </c>
    </row>
    <row r="1315" spans="1:5">
      <c r="A1315" s="198">
        <v>510307346</v>
      </c>
      <c r="B1315" s="198">
        <v>701273429.30076396</v>
      </c>
      <c r="D1315" s="198" t="s">
        <v>3925</v>
      </c>
      <c r="E1315" s="198" t="s">
        <v>3926</v>
      </c>
    </row>
    <row r="1316" spans="1:5">
      <c r="A1316" s="198">
        <v>510382939</v>
      </c>
      <c r="B1316" s="198">
        <v>701349022.30158305</v>
      </c>
      <c r="D1316" s="198" t="s">
        <v>3927</v>
      </c>
      <c r="E1316" s="198" t="s">
        <v>3928</v>
      </c>
    </row>
    <row r="1317" spans="1:5">
      <c r="A1317" s="198">
        <v>510595378</v>
      </c>
      <c r="B1317" s="198">
        <v>701561461.30397797</v>
      </c>
      <c r="D1317" s="198" t="s">
        <v>3929</v>
      </c>
      <c r="E1317" s="198" t="s">
        <v>3930</v>
      </c>
    </row>
    <row r="1318" spans="1:5">
      <c r="A1318" s="198">
        <v>510703365</v>
      </c>
      <c r="B1318" s="198">
        <v>701669448.30517304</v>
      </c>
      <c r="D1318" s="198" t="s">
        <v>3931</v>
      </c>
      <c r="E1318" s="198" t="s">
        <v>3932</v>
      </c>
    </row>
    <row r="1319" spans="1:5">
      <c r="A1319" s="198">
        <v>510764573</v>
      </c>
      <c r="B1319" s="198">
        <v>701730656.30583704</v>
      </c>
      <c r="D1319" s="198" t="s">
        <v>3933</v>
      </c>
      <c r="E1319" s="198" t="s">
        <v>3934</v>
      </c>
    </row>
    <row r="1320" spans="1:5">
      <c r="A1320" s="198">
        <v>510814966</v>
      </c>
      <c r="B1320" s="198">
        <v>701781049.30638504</v>
      </c>
      <c r="D1320" s="198" t="s">
        <v>3935</v>
      </c>
      <c r="E1320" s="198" t="s">
        <v>3936</v>
      </c>
    </row>
    <row r="1321" spans="1:5">
      <c r="A1321" s="198">
        <v>510955377</v>
      </c>
      <c r="B1321" s="198">
        <v>701921460.30795705</v>
      </c>
      <c r="D1321" s="198" t="s">
        <v>3937</v>
      </c>
      <c r="E1321" s="198" t="s">
        <v>3938</v>
      </c>
    </row>
    <row r="1322" spans="1:5">
      <c r="A1322" s="198">
        <v>510984170</v>
      </c>
      <c r="B1322" s="198">
        <v>701950253.30825603</v>
      </c>
      <c r="D1322" s="198" t="s">
        <v>3939</v>
      </c>
      <c r="E1322" s="198" t="s">
        <v>3940</v>
      </c>
    </row>
    <row r="1323" spans="1:5">
      <c r="A1323" s="198">
        <v>511117383</v>
      </c>
      <c r="B1323" s="198">
        <v>702083466.309726</v>
      </c>
      <c r="D1323" s="198" t="s">
        <v>3941</v>
      </c>
      <c r="E1323" s="198" t="s">
        <v>3942</v>
      </c>
    </row>
    <row r="1324" spans="1:5">
      <c r="A1324" s="198">
        <v>511221795</v>
      </c>
      <c r="B1324" s="198">
        <v>702187878.31092095</v>
      </c>
      <c r="D1324" s="198" t="s">
        <v>3943</v>
      </c>
      <c r="E1324" s="198" t="s">
        <v>3944</v>
      </c>
    </row>
    <row r="1325" spans="1:5">
      <c r="A1325" s="198">
        <v>511286608</v>
      </c>
      <c r="B1325" s="198">
        <v>702252691.31164098</v>
      </c>
      <c r="D1325" s="198" t="s">
        <v>3945</v>
      </c>
      <c r="E1325" s="198" t="s">
        <v>3946</v>
      </c>
    </row>
    <row r="1326" spans="1:5">
      <c r="A1326" s="198">
        <v>511387400</v>
      </c>
      <c r="B1326" s="198">
        <v>702353483.312765</v>
      </c>
      <c r="D1326" s="198" t="s">
        <v>3947</v>
      </c>
      <c r="E1326" s="198" t="s">
        <v>3948</v>
      </c>
    </row>
    <row r="1327" spans="1:5">
      <c r="A1327" s="198">
        <v>511423401</v>
      </c>
      <c r="B1327" s="198">
        <v>702389484.31315303</v>
      </c>
      <c r="D1327" s="198" t="s">
        <v>3949</v>
      </c>
      <c r="E1327" s="198" t="s">
        <v>3950</v>
      </c>
    </row>
    <row r="1328" spans="1:5">
      <c r="A1328" s="198">
        <v>511621415</v>
      </c>
      <c r="B1328" s="198">
        <v>702587498.31536305</v>
      </c>
      <c r="D1328" s="198" t="s">
        <v>3951</v>
      </c>
      <c r="E1328" s="198" t="s">
        <v>3952</v>
      </c>
    </row>
    <row r="1329" spans="1:5">
      <c r="A1329" s="198">
        <v>511707820</v>
      </c>
      <c r="B1329" s="198">
        <v>702673903.31631804</v>
      </c>
      <c r="D1329" s="198" t="s">
        <v>3953</v>
      </c>
      <c r="E1329" s="198" t="s">
        <v>3954</v>
      </c>
    </row>
    <row r="1330" spans="1:5">
      <c r="A1330" s="198">
        <v>511819422</v>
      </c>
      <c r="B1330" s="198">
        <v>702785505.31758106</v>
      </c>
      <c r="D1330" s="198" t="s">
        <v>3955</v>
      </c>
      <c r="E1330" s="198" t="s">
        <v>3956</v>
      </c>
    </row>
    <row r="1331" spans="1:5">
      <c r="A1331" s="198">
        <v>511877022</v>
      </c>
      <c r="B1331" s="198">
        <v>702843105.31821799</v>
      </c>
      <c r="D1331" s="198" t="s">
        <v>3957</v>
      </c>
      <c r="E1331" s="198" t="s">
        <v>3958</v>
      </c>
    </row>
    <row r="1332" spans="1:5">
      <c r="A1332" s="198">
        <v>511992232</v>
      </c>
      <c r="B1332" s="198">
        <v>702958315.31950402</v>
      </c>
      <c r="D1332" s="198" t="s">
        <v>3959</v>
      </c>
      <c r="E1332" s="198" t="s">
        <v>3960</v>
      </c>
    </row>
    <row r="1333" spans="1:5">
      <c r="A1333" s="198">
        <v>512085846</v>
      </c>
      <c r="B1333" s="198">
        <v>703051929.32057095</v>
      </c>
      <c r="D1333" s="198" t="s">
        <v>3961</v>
      </c>
      <c r="E1333" s="198" t="s">
        <v>3962</v>
      </c>
    </row>
    <row r="1334" spans="1:5">
      <c r="A1334" s="198">
        <v>512165042</v>
      </c>
      <c r="B1334" s="198">
        <v>703131125.32145095</v>
      </c>
      <c r="D1334" s="198" t="s">
        <v>3963</v>
      </c>
      <c r="E1334" s="198" t="s">
        <v>3964</v>
      </c>
    </row>
    <row r="1335" spans="1:5">
      <c r="A1335" s="198">
        <v>512193835</v>
      </c>
      <c r="B1335" s="198">
        <v>703159918.32176101</v>
      </c>
      <c r="D1335" s="198" t="s">
        <v>3965</v>
      </c>
      <c r="E1335" s="198" t="s">
        <v>3966</v>
      </c>
    </row>
    <row r="1336" spans="1:5">
      <c r="A1336" s="198">
        <v>512345061</v>
      </c>
      <c r="B1336" s="198">
        <v>703311144.32346499</v>
      </c>
      <c r="D1336" s="198" t="s">
        <v>3967</v>
      </c>
      <c r="E1336" s="198" t="s">
        <v>3968</v>
      </c>
    </row>
    <row r="1337" spans="1:5">
      <c r="A1337" s="198">
        <v>512406276</v>
      </c>
      <c r="B1337" s="198">
        <v>703372359.32414603</v>
      </c>
      <c r="D1337" s="198" t="s">
        <v>3969</v>
      </c>
      <c r="E1337" s="198" t="s">
        <v>3970</v>
      </c>
    </row>
    <row r="1338" spans="1:5">
      <c r="A1338" s="198">
        <v>512489062</v>
      </c>
      <c r="B1338" s="198">
        <v>703455145.32506895</v>
      </c>
      <c r="D1338" s="198" t="s">
        <v>3971</v>
      </c>
      <c r="E1338" s="198" t="s">
        <v>3972</v>
      </c>
    </row>
    <row r="1339" spans="1:5">
      <c r="A1339" s="198">
        <v>512597064</v>
      </c>
      <c r="B1339" s="198">
        <v>703563147.32629204</v>
      </c>
      <c r="D1339" s="198" t="s">
        <v>3973</v>
      </c>
      <c r="E1339" s="198" t="s">
        <v>3974</v>
      </c>
    </row>
    <row r="1340" spans="1:5">
      <c r="A1340" s="198">
        <v>512683468</v>
      </c>
      <c r="B1340" s="198">
        <v>703649551.32724798</v>
      </c>
      <c r="D1340" s="198" t="s">
        <v>3975</v>
      </c>
      <c r="E1340" s="198" t="s">
        <v>3976</v>
      </c>
    </row>
    <row r="1341" spans="1:5">
      <c r="A1341" s="198">
        <v>512715870</v>
      </c>
      <c r="B1341" s="198">
        <v>703681953.32761896</v>
      </c>
      <c r="D1341" s="198" t="s">
        <v>3977</v>
      </c>
      <c r="E1341" s="198" t="s">
        <v>3978</v>
      </c>
    </row>
    <row r="1342" spans="1:5">
      <c r="A1342" s="198">
        <v>512888672</v>
      </c>
      <c r="B1342" s="198">
        <v>703854755.32954895</v>
      </c>
      <c r="D1342" s="198" t="s">
        <v>3979</v>
      </c>
      <c r="E1342" s="198" t="s">
        <v>3980</v>
      </c>
    </row>
    <row r="1343" spans="1:5">
      <c r="A1343" s="198">
        <v>512982299</v>
      </c>
      <c r="B1343" s="198">
        <v>703948382.33061099</v>
      </c>
      <c r="D1343" s="198" t="s">
        <v>3981</v>
      </c>
      <c r="E1343" s="198" t="s">
        <v>3982</v>
      </c>
    </row>
    <row r="1344" spans="1:5">
      <c r="A1344" s="198">
        <v>513111890</v>
      </c>
      <c r="B1344" s="198">
        <v>704077973.33205795</v>
      </c>
      <c r="D1344" s="198" t="s">
        <v>3983</v>
      </c>
      <c r="E1344" s="198" t="s">
        <v>3984</v>
      </c>
    </row>
    <row r="1345" spans="1:5">
      <c r="A1345" s="198">
        <v>513180301</v>
      </c>
      <c r="B1345" s="198">
        <v>704146384.33283401</v>
      </c>
      <c r="D1345" s="198" t="s">
        <v>3985</v>
      </c>
      <c r="E1345" s="198" t="s">
        <v>3986</v>
      </c>
    </row>
    <row r="1346" spans="1:5">
      <c r="A1346" s="198">
        <v>513255893</v>
      </c>
      <c r="B1346" s="198">
        <v>704221976.33366597</v>
      </c>
      <c r="D1346" s="198" t="s">
        <v>3987</v>
      </c>
      <c r="E1346" s="198" t="s">
        <v>3988</v>
      </c>
    </row>
    <row r="1347" spans="1:5">
      <c r="A1347" s="198">
        <v>513374703</v>
      </c>
      <c r="B1347" s="198">
        <v>704340786.33501804</v>
      </c>
      <c r="D1347" s="198" t="s">
        <v>3989</v>
      </c>
      <c r="E1347" s="198" t="s">
        <v>3990</v>
      </c>
    </row>
    <row r="1348" spans="1:5">
      <c r="A1348" s="198">
        <v>513464710</v>
      </c>
      <c r="B1348" s="198">
        <v>704430793.33603299</v>
      </c>
      <c r="D1348" s="198" t="s">
        <v>3991</v>
      </c>
      <c r="E1348" s="198" t="s">
        <v>3992</v>
      </c>
    </row>
    <row r="1349" spans="1:5">
      <c r="A1349" s="198">
        <v>513554723</v>
      </c>
      <c r="B1349" s="198">
        <v>704520806.33706796</v>
      </c>
      <c r="D1349" s="198" t="s">
        <v>3993</v>
      </c>
      <c r="E1349" s="198" t="s">
        <v>3994</v>
      </c>
    </row>
    <row r="1350" spans="1:5">
      <c r="A1350" s="198">
        <v>513641135</v>
      </c>
      <c r="B1350" s="198">
        <v>704607218.33802903</v>
      </c>
      <c r="D1350" s="198" t="s">
        <v>3995</v>
      </c>
      <c r="E1350" s="198" t="s">
        <v>3996</v>
      </c>
    </row>
    <row r="1351" spans="1:5">
      <c r="A1351" s="198">
        <v>513716719</v>
      </c>
      <c r="B1351" s="198">
        <v>704682802.33886802</v>
      </c>
      <c r="D1351" s="198" t="s">
        <v>3997</v>
      </c>
      <c r="E1351" s="198" t="s">
        <v>3998</v>
      </c>
    </row>
    <row r="1352" spans="1:5">
      <c r="A1352" s="198">
        <v>513806745</v>
      </c>
      <c r="B1352" s="198">
        <v>704772828.33988905</v>
      </c>
      <c r="D1352" s="198" t="s">
        <v>3999</v>
      </c>
      <c r="E1352" s="198" t="s">
        <v>4000</v>
      </c>
    </row>
    <row r="1353" spans="1:5">
      <c r="A1353" s="198">
        <v>513835556</v>
      </c>
      <c r="B1353" s="198">
        <v>704801639.34021103</v>
      </c>
      <c r="D1353" s="198" t="s">
        <v>4001</v>
      </c>
      <c r="E1353" s="198" t="s">
        <v>4002</v>
      </c>
    </row>
    <row r="1354" spans="1:5">
      <c r="A1354" s="198">
        <v>513925573</v>
      </c>
      <c r="B1354" s="198">
        <v>704891656.341223</v>
      </c>
      <c r="D1354" s="198" t="s">
        <v>4003</v>
      </c>
      <c r="E1354" s="198" t="s">
        <v>4004</v>
      </c>
    </row>
    <row r="1355" spans="1:5">
      <c r="A1355" s="198">
        <v>514101996</v>
      </c>
      <c r="B1355" s="198">
        <v>705068079.34322798</v>
      </c>
      <c r="D1355" s="198" t="s">
        <v>4005</v>
      </c>
      <c r="E1355" s="198" t="s">
        <v>4006</v>
      </c>
    </row>
    <row r="1356" spans="1:5">
      <c r="A1356" s="198">
        <v>514246007</v>
      </c>
      <c r="B1356" s="198">
        <v>705212090.34486496</v>
      </c>
      <c r="D1356" s="198" t="s">
        <v>4007</v>
      </c>
      <c r="E1356" s="198" t="s">
        <v>4008</v>
      </c>
    </row>
    <row r="1357" spans="1:5">
      <c r="A1357" s="198">
        <v>514325174</v>
      </c>
      <c r="B1357" s="198">
        <v>705291257.34574795</v>
      </c>
      <c r="D1357" s="198" t="s">
        <v>4009</v>
      </c>
      <c r="E1357" s="198" t="s">
        <v>4010</v>
      </c>
    </row>
    <row r="1358" spans="1:5">
      <c r="A1358" s="198">
        <v>514357605</v>
      </c>
      <c r="B1358" s="198">
        <v>705323688.34611499</v>
      </c>
      <c r="D1358" s="198" t="s">
        <v>4011</v>
      </c>
      <c r="E1358" s="198" t="s">
        <v>4012</v>
      </c>
    </row>
    <row r="1359" spans="1:5">
      <c r="A1359" s="198">
        <v>514447635</v>
      </c>
      <c r="B1359" s="198">
        <v>705413718.34713697</v>
      </c>
      <c r="D1359" s="198" t="s">
        <v>4013</v>
      </c>
      <c r="E1359" s="198" t="s">
        <v>4014</v>
      </c>
    </row>
    <row r="1360" spans="1:5">
      <c r="A1360" s="198">
        <v>514555595</v>
      </c>
      <c r="B1360" s="198">
        <v>705521678.34834599</v>
      </c>
      <c r="D1360" s="198" t="s">
        <v>4015</v>
      </c>
      <c r="E1360" s="198" t="s">
        <v>4016</v>
      </c>
    </row>
    <row r="1361" spans="1:5">
      <c r="A1361" s="198">
        <v>514613183</v>
      </c>
      <c r="B1361" s="198">
        <v>705579266.34898996</v>
      </c>
      <c r="D1361" s="198" t="s">
        <v>4017</v>
      </c>
      <c r="E1361" s="198" t="s">
        <v>4018</v>
      </c>
    </row>
    <row r="1362" spans="1:5">
      <c r="A1362" s="198">
        <v>514735647</v>
      </c>
      <c r="B1362" s="198">
        <v>705701730.35040605</v>
      </c>
      <c r="D1362" s="198" t="s">
        <v>4019</v>
      </c>
      <c r="E1362" s="198" t="s">
        <v>4020</v>
      </c>
    </row>
    <row r="1363" spans="1:5">
      <c r="A1363" s="198">
        <v>514814804</v>
      </c>
      <c r="B1363" s="198">
        <v>705780887.35129094</v>
      </c>
      <c r="D1363" s="198" t="s">
        <v>4021</v>
      </c>
      <c r="E1363" s="198" t="s">
        <v>4022</v>
      </c>
    </row>
    <row r="1364" spans="1:5">
      <c r="A1364" s="198">
        <v>514904973</v>
      </c>
      <c r="B1364" s="198">
        <v>705871056.35231996</v>
      </c>
      <c r="D1364" s="198" t="s">
        <v>4023</v>
      </c>
      <c r="E1364" s="198" t="s">
        <v>4024</v>
      </c>
    </row>
    <row r="1365" spans="1:5">
      <c r="A1365" s="198">
        <v>514984007</v>
      </c>
      <c r="B1365" s="198">
        <v>705950090.35319602</v>
      </c>
      <c r="D1365" s="198" t="s">
        <v>4025</v>
      </c>
      <c r="E1365" s="198" t="s">
        <v>4026</v>
      </c>
    </row>
    <row r="1366" spans="1:5">
      <c r="A1366" s="198">
        <v>515041592</v>
      </c>
      <c r="B1366" s="198">
        <v>706007675.35384297</v>
      </c>
      <c r="D1366" s="198" t="s">
        <v>4027</v>
      </c>
      <c r="E1366" s="198" t="s">
        <v>4028</v>
      </c>
    </row>
    <row r="1367" spans="1:5">
      <c r="A1367" s="198">
        <v>515164041</v>
      </c>
      <c r="B1367" s="198">
        <v>706130124.35526204</v>
      </c>
      <c r="D1367" s="198" t="s">
        <v>4029</v>
      </c>
      <c r="E1367" s="198" t="s">
        <v>4030</v>
      </c>
    </row>
    <row r="1368" spans="1:5">
      <c r="A1368" s="198">
        <v>515214399</v>
      </c>
      <c r="B1368" s="198">
        <v>706180482.35581398</v>
      </c>
      <c r="D1368" s="198" t="s">
        <v>4031</v>
      </c>
      <c r="E1368" s="198" t="s">
        <v>4032</v>
      </c>
    </row>
    <row r="1369" spans="1:5">
      <c r="A1369" s="198">
        <v>515326015</v>
      </c>
      <c r="B1369" s="198">
        <v>706292098.35707796</v>
      </c>
      <c r="D1369" s="198" t="s">
        <v>4033</v>
      </c>
      <c r="E1369" s="198" t="s">
        <v>4034</v>
      </c>
    </row>
    <row r="1370" spans="1:5">
      <c r="A1370" s="198">
        <v>515445699</v>
      </c>
      <c r="B1370" s="198">
        <v>706411782.35779297</v>
      </c>
      <c r="D1370" s="198" t="s">
        <v>4035</v>
      </c>
      <c r="E1370" s="198" t="s">
        <v>4036</v>
      </c>
    </row>
    <row r="1371" spans="1:5">
      <c r="A1371" s="198">
        <v>515509684</v>
      </c>
      <c r="B1371" s="198">
        <v>706475767.35918903</v>
      </c>
      <c r="D1371" s="198" t="s">
        <v>4037</v>
      </c>
      <c r="E1371" s="198" t="s">
        <v>4038</v>
      </c>
    </row>
    <row r="1372" spans="1:5">
      <c r="A1372" s="198">
        <v>515585217</v>
      </c>
      <c r="B1372" s="198">
        <v>706551300.36002696</v>
      </c>
      <c r="D1372" s="198" t="s">
        <v>4039</v>
      </c>
      <c r="E1372" s="198" t="s">
        <v>4040</v>
      </c>
    </row>
    <row r="1373" spans="1:5">
      <c r="A1373" s="198">
        <v>515650023</v>
      </c>
      <c r="B1373" s="198">
        <v>706616106.36077404</v>
      </c>
      <c r="D1373" s="198" t="s">
        <v>4041</v>
      </c>
      <c r="E1373" s="198" t="s">
        <v>4042</v>
      </c>
    </row>
    <row r="1374" spans="1:5">
      <c r="A1374" s="198">
        <v>515736500</v>
      </c>
      <c r="B1374" s="198">
        <v>706702583.36176205</v>
      </c>
      <c r="D1374" s="198" t="s">
        <v>4043</v>
      </c>
      <c r="E1374" s="198" t="s">
        <v>4044</v>
      </c>
    </row>
    <row r="1375" spans="1:5">
      <c r="A1375" s="198">
        <v>515851707</v>
      </c>
      <c r="B1375" s="198">
        <v>706817790.36307502</v>
      </c>
      <c r="D1375" s="198" t="s">
        <v>4045</v>
      </c>
      <c r="E1375" s="198" t="s">
        <v>4046</v>
      </c>
    </row>
    <row r="1376" spans="1:5">
      <c r="A1376" s="198">
        <v>515960510</v>
      </c>
      <c r="B1376" s="198">
        <v>706926593.36372697</v>
      </c>
      <c r="D1376" s="198" t="s">
        <v>4047</v>
      </c>
      <c r="E1376" s="198" t="s">
        <v>4048</v>
      </c>
    </row>
    <row r="1377" spans="1:5">
      <c r="A1377" s="198">
        <v>516049736</v>
      </c>
      <c r="B1377" s="198">
        <v>707015819.36533201</v>
      </c>
      <c r="D1377" s="198" t="s">
        <v>4049</v>
      </c>
      <c r="E1377" s="198" t="s">
        <v>4050</v>
      </c>
    </row>
    <row r="1378" spans="1:5">
      <c r="A1378" s="198">
        <v>516110911</v>
      </c>
      <c r="B1378" s="198">
        <v>707076994.36602497</v>
      </c>
      <c r="D1378" s="198" t="s">
        <v>4051</v>
      </c>
      <c r="E1378" s="198" t="s">
        <v>4052</v>
      </c>
    </row>
    <row r="1379" spans="1:5">
      <c r="A1379" s="198">
        <v>516218929</v>
      </c>
      <c r="B1379" s="198">
        <v>707185012.36724102</v>
      </c>
      <c r="D1379" s="198" t="s">
        <v>4053</v>
      </c>
      <c r="E1379" s="198" t="s">
        <v>4054</v>
      </c>
    </row>
    <row r="1380" spans="1:5">
      <c r="A1380" s="198">
        <v>516287328</v>
      </c>
      <c r="B1380" s="198">
        <v>707253411.36800098</v>
      </c>
      <c r="D1380" s="198" t="s">
        <v>4055</v>
      </c>
      <c r="E1380" s="198" t="s">
        <v>4056</v>
      </c>
    </row>
    <row r="1381" spans="1:5">
      <c r="A1381" s="198">
        <v>516395247</v>
      </c>
      <c r="B1381" s="198">
        <v>707361330.36925697</v>
      </c>
      <c r="D1381" s="198" t="s">
        <v>4057</v>
      </c>
      <c r="E1381" s="198" t="s">
        <v>4058</v>
      </c>
    </row>
    <row r="1382" spans="1:5">
      <c r="A1382" s="198">
        <v>539991576</v>
      </c>
      <c r="B1382" s="198">
        <v>730957659.62999701</v>
      </c>
      <c r="D1382" s="198" t="s">
        <v>4059</v>
      </c>
      <c r="E1382" s="198" t="s">
        <v>4060</v>
      </c>
    </row>
    <row r="1383" spans="1:5">
      <c r="A1383" s="198">
        <v>540057121</v>
      </c>
      <c r="B1383" s="198">
        <v>731023204.63011599</v>
      </c>
      <c r="D1383" s="198" t="s">
        <v>4061</v>
      </c>
      <c r="E1383" s="198" t="s">
        <v>4062</v>
      </c>
    </row>
    <row r="1384" spans="1:5">
      <c r="A1384" s="198">
        <v>540164401</v>
      </c>
      <c r="B1384" s="198">
        <v>731130484.63191402</v>
      </c>
      <c r="D1384" s="198" t="s">
        <v>4063</v>
      </c>
      <c r="E1384" s="198" t="s">
        <v>4064</v>
      </c>
    </row>
    <row r="1385" spans="1:5">
      <c r="A1385" s="198">
        <v>540236397</v>
      </c>
      <c r="B1385" s="198">
        <v>731202480.63269103</v>
      </c>
      <c r="D1385" s="198" t="s">
        <v>4065</v>
      </c>
      <c r="E1385" s="198" t="s">
        <v>4066</v>
      </c>
    </row>
    <row r="1386" spans="1:5">
      <c r="A1386" s="198">
        <v>540322807</v>
      </c>
      <c r="B1386" s="198">
        <v>731288890.63358498</v>
      </c>
      <c r="D1386" s="198" t="s">
        <v>4067</v>
      </c>
      <c r="E1386" s="198" t="s">
        <v>4068</v>
      </c>
    </row>
    <row r="1387" spans="1:5">
      <c r="A1387" s="198">
        <v>540495478</v>
      </c>
      <c r="B1387" s="198">
        <v>731461561.63551605</v>
      </c>
      <c r="D1387" s="198" t="s">
        <v>4069</v>
      </c>
      <c r="E1387" s="198" t="s">
        <v>4070</v>
      </c>
    </row>
    <row r="1388" spans="1:5">
      <c r="A1388" s="198">
        <v>540545956</v>
      </c>
      <c r="B1388" s="198">
        <v>731512039.63606095</v>
      </c>
      <c r="D1388" s="198" t="s">
        <v>4071</v>
      </c>
      <c r="E1388" s="198" t="s">
        <v>4072</v>
      </c>
    </row>
    <row r="1389" spans="1:5">
      <c r="A1389" s="198">
        <v>540653846</v>
      </c>
      <c r="B1389" s="198">
        <v>731619929.63720405</v>
      </c>
      <c r="D1389" s="198" t="s">
        <v>4073</v>
      </c>
      <c r="E1389" s="198" t="s">
        <v>4074</v>
      </c>
    </row>
    <row r="1390" spans="1:5">
      <c r="A1390" s="198">
        <v>540754690</v>
      </c>
      <c r="B1390" s="198">
        <v>731720773.63832498</v>
      </c>
      <c r="D1390" s="198" t="s">
        <v>4075</v>
      </c>
      <c r="E1390" s="198" t="s">
        <v>4076</v>
      </c>
    </row>
    <row r="1391" spans="1:5">
      <c r="A1391" s="198">
        <v>540833862</v>
      </c>
      <c r="B1391" s="198">
        <v>731799945.63918698</v>
      </c>
      <c r="D1391" s="198" t="s">
        <v>4077</v>
      </c>
      <c r="E1391" s="198" t="s">
        <v>4078</v>
      </c>
    </row>
    <row r="1392" spans="1:5">
      <c r="A1392" s="198">
        <v>540941999</v>
      </c>
      <c r="B1392" s="198">
        <v>731908082.64033902</v>
      </c>
      <c r="D1392" s="198" t="s">
        <v>4079</v>
      </c>
      <c r="E1392" s="198" t="s">
        <v>4080</v>
      </c>
    </row>
    <row r="1393" spans="1:5">
      <c r="A1393" s="198">
        <v>541013901</v>
      </c>
      <c r="B1393" s="198">
        <v>731979984.64114106</v>
      </c>
      <c r="D1393" s="198" t="s">
        <v>4081</v>
      </c>
      <c r="E1393" s="198" t="s">
        <v>4082</v>
      </c>
    </row>
    <row r="1394" spans="1:5">
      <c r="A1394" s="198">
        <v>541089463</v>
      </c>
      <c r="B1394" s="198">
        <v>732055546.64196002</v>
      </c>
      <c r="D1394" s="198" t="s">
        <v>4083</v>
      </c>
      <c r="E1394" s="198" t="s">
        <v>4084</v>
      </c>
    </row>
    <row r="1395" spans="1:5">
      <c r="A1395" s="198">
        <v>541186707</v>
      </c>
      <c r="B1395" s="198">
        <v>732152790.64303005</v>
      </c>
      <c r="D1395" s="198" t="s">
        <v>4085</v>
      </c>
      <c r="E1395" s="198" t="s">
        <v>4086</v>
      </c>
    </row>
    <row r="1396" spans="1:5">
      <c r="A1396" s="198">
        <v>541287599</v>
      </c>
      <c r="B1396" s="198">
        <v>732253682.64411795</v>
      </c>
      <c r="D1396" s="198" t="s">
        <v>4087</v>
      </c>
      <c r="E1396" s="198" t="s">
        <v>4088</v>
      </c>
    </row>
    <row r="1397" spans="1:5">
      <c r="A1397" s="198">
        <v>541355926</v>
      </c>
      <c r="B1397" s="198">
        <v>732322009.64487505</v>
      </c>
      <c r="D1397" s="198" t="s">
        <v>4089</v>
      </c>
      <c r="E1397" s="198" t="s">
        <v>4090</v>
      </c>
    </row>
    <row r="1398" spans="1:5">
      <c r="A1398" s="198">
        <v>541402806</v>
      </c>
      <c r="B1398" s="198">
        <v>732368889.64534795</v>
      </c>
      <c r="D1398" s="198" t="s">
        <v>4091</v>
      </c>
      <c r="E1398" s="198" t="s">
        <v>4092</v>
      </c>
    </row>
    <row r="1399" spans="1:5">
      <c r="A1399" s="198">
        <v>541514286</v>
      </c>
      <c r="B1399" s="198">
        <v>732480369.64657903</v>
      </c>
      <c r="D1399" s="198" t="s">
        <v>4093</v>
      </c>
      <c r="E1399" s="198" t="s">
        <v>4094</v>
      </c>
    </row>
    <row r="1400" spans="1:5">
      <c r="A1400" s="198">
        <v>541607888</v>
      </c>
      <c r="B1400" s="198">
        <v>732573971.64760602</v>
      </c>
      <c r="D1400" s="198" t="s">
        <v>4095</v>
      </c>
      <c r="E1400" s="198" t="s">
        <v>4096</v>
      </c>
    </row>
    <row r="1401" spans="1:5">
      <c r="A1401" s="198">
        <v>541806026</v>
      </c>
      <c r="B1401" s="198">
        <v>732772109.64976799</v>
      </c>
      <c r="D1401" s="198" t="s">
        <v>4097</v>
      </c>
      <c r="E1401" s="198" t="s">
        <v>4098</v>
      </c>
    </row>
    <row r="1402" spans="1:5">
      <c r="A1402" s="198">
        <v>541874350</v>
      </c>
      <c r="B1402" s="198">
        <v>732840433.65052402</v>
      </c>
      <c r="D1402" s="198" t="s">
        <v>4099</v>
      </c>
      <c r="E1402" s="198" t="s">
        <v>4100</v>
      </c>
    </row>
    <row r="1403" spans="1:5">
      <c r="A1403" s="198">
        <v>541960744</v>
      </c>
      <c r="B1403" s="198">
        <v>732926827.651474</v>
      </c>
      <c r="D1403" s="198" t="s">
        <v>4101</v>
      </c>
      <c r="E1403" s="198" t="s">
        <v>4102</v>
      </c>
    </row>
    <row r="1404" spans="1:5">
      <c r="A1404" s="198">
        <v>542011108</v>
      </c>
      <c r="B1404" s="198">
        <v>732977191.65201294</v>
      </c>
      <c r="D1404" s="198" t="s">
        <v>4103</v>
      </c>
      <c r="E1404" s="198" t="s">
        <v>4104</v>
      </c>
    </row>
    <row r="1405" spans="1:5">
      <c r="A1405" s="198">
        <v>542122714</v>
      </c>
      <c r="B1405" s="198">
        <v>733088797.65323901</v>
      </c>
      <c r="D1405" s="198" t="s">
        <v>4105</v>
      </c>
      <c r="E1405" s="198" t="s">
        <v>4106</v>
      </c>
    </row>
    <row r="1406" spans="1:5">
      <c r="A1406" s="198">
        <v>542306368</v>
      </c>
      <c r="B1406" s="198">
        <v>733272451.65526402</v>
      </c>
      <c r="D1406" s="198" t="s">
        <v>4107</v>
      </c>
      <c r="E1406" s="198" t="s">
        <v>4108</v>
      </c>
    </row>
    <row r="1407" spans="1:5">
      <c r="A1407" s="198">
        <v>542360343</v>
      </c>
      <c r="B1407" s="198">
        <v>733326426.65584397</v>
      </c>
      <c r="D1407" s="198" t="s">
        <v>4109</v>
      </c>
      <c r="E1407" s="198" t="s">
        <v>4110</v>
      </c>
    </row>
    <row r="1408" spans="1:5">
      <c r="A1408" s="198">
        <v>542464729</v>
      </c>
      <c r="B1408" s="198">
        <v>733430812.65698195</v>
      </c>
      <c r="D1408" s="198" t="s">
        <v>4111</v>
      </c>
      <c r="E1408" s="198" t="s">
        <v>4112</v>
      </c>
    </row>
    <row r="1409" spans="1:5">
      <c r="A1409" s="198">
        <v>542583664</v>
      </c>
      <c r="B1409" s="198">
        <v>733549747.65826797</v>
      </c>
      <c r="D1409" s="198" t="s">
        <v>4113</v>
      </c>
      <c r="E1409" s="198" t="s">
        <v>4114</v>
      </c>
    </row>
    <row r="1410" spans="1:5">
      <c r="A1410" s="198">
        <v>542648385</v>
      </c>
      <c r="B1410" s="198">
        <v>733614468.65901399</v>
      </c>
      <c r="D1410" s="198" t="s">
        <v>4115</v>
      </c>
      <c r="E1410" s="198" t="s">
        <v>4116</v>
      </c>
    </row>
    <row r="1411" spans="1:5">
      <c r="A1411" s="198">
        <v>542723944</v>
      </c>
      <c r="B1411" s="198">
        <v>733690027.65981305</v>
      </c>
      <c r="D1411" s="198" t="s">
        <v>4117</v>
      </c>
      <c r="E1411" s="198" t="s">
        <v>4118</v>
      </c>
    </row>
    <row r="1412" spans="1:5">
      <c r="A1412" s="198">
        <v>542821191</v>
      </c>
      <c r="B1412" s="198">
        <v>733787274.66090798</v>
      </c>
      <c r="D1412" s="198" t="s">
        <v>4119</v>
      </c>
      <c r="E1412" s="198" t="s">
        <v>4120</v>
      </c>
    </row>
    <row r="1413" spans="1:5">
      <c r="A1413" s="198">
        <v>542893148</v>
      </c>
      <c r="B1413" s="198">
        <v>733859231.66167295</v>
      </c>
      <c r="D1413" s="198" t="s">
        <v>4121</v>
      </c>
      <c r="E1413" s="198" t="s">
        <v>4122</v>
      </c>
    </row>
    <row r="1414" spans="1:5">
      <c r="A1414" s="198">
        <v>542983160</v>
      </c>
      <c r="B1414" s="198">
        <v>733949243.66266596</v>
      </c>
      <c r="D1414" s="198" t="s">
        <v>4123</v>
      </c>
      <c r="E1414" s="198" t="s">
        <v>4124</v>
      </c>
    </row>
    <row r="1415" spans="1:5">
      <c r="A1415" s="198">
        <v>543069564</v>
      </c>
      <c r="B1415" s="198">
        <v>734035647.66363204</v>
      </c>
      <c r="D1415" s="198" t="s">
        <v>4125</v>
      </c>
      <c r="E1415" s="198" t="s">
        <v>4126</v>
      </c>
    </row>
    <row r="1416" spans="1:5">
      <c r="A1416" s="198">
        <v>543249583</v>
      </c>
      <c r="B1416" s="198">
        <v>734215666.66561496</v>
      </c>
      <c r="D1416" s="198" t="s">
        <v>4127</v>
      </c>
      <c r="E1416" s="198" t="s">
        <v>4128</v>
      </c>
    </row>
    <row r="1417" spans="1:5">
      <c r="A1417" s="198">
        <v>543357728</v>
      </c>
      <c r="B1417" s="198">
        <v>734323811.66676605</v>
      </c>
      <c r="D1417" s="198" t="s">
        <v>4129</v>
      </c>
      <c r="E1417" s="198" t="s">
        <v>4130</v>
      </c>
    </row>
    <row r="1418" spans="1:5">
      <c r="A1418" s="198">
        <v>543415184</v>
      </c>
      <c r="B1418" s="198">
        <v>734381267.66744101</v>
      </c>
      <c r="D1418" s="198" t="s">
        <v>4131</v>
      </c>
      <c r="E1418" s="198" t="s">
        <v>4132</v>
      </c>
    </row>
    <row r="1419" spans="1:5">
      <c r="A1419" s="198">
        <v>543512427</v>
      </c>
      <c r="B1419" s="198">
        <v>734478510.66851997</v>
      </c>
      <c r="D1419" s="198" t="s">
        <v>4133</v>
      </c>
      <c r="E1419" s="198" t="s">
        <v>4134</v>
      </c>
    </row>
    <row r="1420" spans="1:5">
      <c r="A1420" s="198">
        <v>543566397</v>
      </c>
      <c r="B1420" s="198">
        <v>734532480.669101</v>
      </c>
      <c r="D1420" s="198" t="s">
        <v>4135</v>
      </c>
      <c r="E1420" s="198" t="s">
        <v>4136</v>
      </c>
    </row>
    <row r="1421" spans="1:5">
      <c r="A1421" s="198">
        <v>543685230</v>
      </c>
      <c r="B1421" s="198">
        <v>734651313.67042696</v>
      </c>
      <c r="D1421" s="198" t="s">
        <v>4137</v>
      </c>
      <c r="E1421" s="198" t="s">
        <v>4138</v>
      </c>
    </row>
    <row r="1422" spans="1:5">
      <c r="A1422" s="198">
        <v>543764409</v>
      </c>
      <c r="B1422" s="198">
        <v>734730492.67130399</v>
      </c>
      <c r="D1422" s="198" t="s">
        <v>4139</v>
      </c>
      <c r="E1422" s="198" t="s">
        <v>4140</v>
      </c>
    </row>
    <row r="1423" spans="1:5">
      <c r="A1423" s="198">
        <v>543879739</v>
      </c>
      <c r="B1423" s="198">
        <v>734845822.67254698</v>
      </c>
      <c r="D1423" s="198" t="s">
        <v>4141</v>
      </c>
      <c r="E1423" s="198" t="s">
        <v>4142</v>
      </c>
    </row>
    <row r="1424" spans="1:5">
      <c r="A1424" s="198">
        <v>543937221</v>
      </c>
      <c r="B1424" s="198">
        <v>734903304.67319906</v>
      </c>
      <c r="D1424" s="198" t="s">
        <v>4143</v>
      </c>
      <c r="E1424" s="198" t="s">
        <v>4144</v>
      </c>
    </row>
    <row r="1425" spans="1:5">
      <c r="A1425" s="198">
        <v>544027256</v>
      </c>
      <c r="B1425" s="198">
        <v>734993339.67421401</v>
      </c>
      <c r="D1425" s="198" t="s">
        <v>4145</v>
      </c>
      <c r="E1425" s="198" t="s">
        <v>4146</v>
      </c>
    </row>
    <row r="1426" spans="1:5">
      <c r="A1426" s="198">
        <v>544106414</v>
      </c>
      <c r="B1426" s="198">
        <v>735072497.67506695</v>
      </c>
      <c r="D1426" s="198" t="s">
        <v>4147</v>
      </c>
      <c r="E1426" s="198" t="s">
        <v>4148</v>
      </c>
    </row>
    <row r="1427" spans="1:5">
      <c r="A1427" s="198">
        <v>544552963</v>
      </c>
      <c r="B1427" s="198">
        <v>735519046.68003297</v>
      </c>
      <c r="D1427" s="198" t="s">
        <v>4149</v>
      </c>
      <c r="E1427" s="198" t="s">
        <v>4150</v>
      </c>
    </row>
    <row r="1428" spans="1:5">
      <c r="A1428" s="198">
        <v>544646595</v>
      </c>
      <c r="B1428" s="198">
        <v>735612678.68110704</v>
      </c>
      <c r="D1428" s="198" t="s">
        <v>4151</v>
      </c>
      <c r="E1428" s="198" t="s">
        <v>4152</v>
      </c>
    </row>
    <row r="1429" spans="1:5">
      <c r="A1429" s="198">
        <v>545168616</v>
      </c>
      <c r="B1429" s="198">
        <v>736134699.68688202</v>
      </c>
      <c r="D1429" s="198" t="s">
        <v>4153</v>
      </c>
      <c r="E1429" s="198" t="s">
        <v>4154</v>
      </c>
    </row>
    <row r="1430" spans="1:5">
      <c r="A1430" s="198">
        <v>545251400</v>
      </c>
      <c r="B1430" s="198">
        <v>736217483.68776095</v>
      </c>
      <c r="D1430" s="198" t="s">
        <v>4155</v>
      </c>
      <c r="E1430" s="198" t="s">
        <v>4156</v>
      </c>
    </row>
    <row r="1431" spans="1:5">
      <c r="A1431" s="198">
        <v>545755418</v>
      </c>
      <c r="B1431" s="198">
        <v>736721501.69337702</v>
      </c>
      <c r="D1431" s="198" t="s">
        <v>4157</v>
      </c>
      <c r="E1431" s="198" t="s">
        <v>4158</v>
      </c>
    </row>
    <row r="1432" spans="1:5">
      <c r="A1432" s="198">
        <v>545856242</v>
      </c>
      <c r="B1432" s="198">
        <v>736822325.69456005</v>
      </c>
      <c r="D1432" s="198" t="s">
        <v>4159</v>
      </c>
      <c r="E1432" s="198" t="s">
        <v>4160</v>
      </c>
    </row>
    <row r="1433" spans="1:5">
      <c r="A1433" s="198">
        <v>546381862</v>
      </c>
      <c r="B1433" s="198">
        <v>737347945.70043004</v>
      </c>
      <c r="D1433" s="198" t="s">
        <v>4161</v>
      </c>
      <c r="E1433" s="198" t="s">
        <v>4162</v>
      </c>
    </row>
    <row r="1434" spans="1:5">
      <c r="A1434" s="198">
        <v>546464646</v>
      </c>
      <c r="B1434" s="198">
        <v>737430729.70135605</v>
      </c>
      <c r="D1434" s="198" t="s">
        <v>4163</v>
      </c>
      <c r="E1434" s="198" t="s">
        <v>4164</v>
      </c>
    </row>
    <row r="1435" spans="1:5">
      <c r="A1435" s="198">
        <v>546991438</v>
      </c>
      <c r="B1435" s="198">
        <v>737957521.70721495</v>
      </c>
      <c r="D1435" s="198" t="s">
        <v>4165</v>
      </c>
      <c r="E1435" s="198" t="s">
        <v>4166</v>
      </c>
    </row>
    <row r="1436" spans="1:5">
      <c r="A1436" s="198">
        <v>547069493</v>
      </c>
      <c r="B1436" s="198">
        <v>738035576.70808697</v>
      </c>
      <c r="D1436" s="198" t="s">
        <v>4167</v>
      </c>
      <c r="E1436" s="198" t="s">
        <v>4168</v>
      </c>
    </row>
    <row r="1437" spans="1:5">
      <c r="A1437" s="198">
        <v>547681405</v>
      </c>
      <c r="B1437" s="198">
        <v>738647488.71496499</v>
      </c>
      <c r="D1437" s="198" t="s">
        <v>4169</v>
      </c>
      <c r="E1437" s="198" t="s">
        <v>4170</v>
      </c>
    </row>
    <row r="1438" spans="1:5">
      <c r="A1438" s="198">
        <v>547724550</v>
      </c>
      <c r="B1438" s="198">
        <v>738690633.71547699</v>
      </c>
      <c r="D1438" s="198" t="s">
        <v>4171</v>
      </c>
      <c r="E1438" s="198" t="s">
        <v>4172</v>
      </c>
    </row>
    <row r="1439" spans="1:5">
      <c r="A1439" s="198">
        <v>547814562</v>
      </c>
      <c r="B1439" s="198">
        <v>738780645.71650505</v>
      </c>
      <c r="D1439" s="198" t="s">
        <v>4173</v>
      </c>
      <c r="E1439" s="198" t="s">
        <v>4174</v>
      </c>
    </row>
    <row r="1440" spans="1:5">
      <c r="A1440" s="198">
        <v>547875772</v>
      </c>
      <c r="B1440" s="198">
        <v>738841855.71718097</v>
      </c>
      <c r="D1440" s="198" t="s">
        <v>4175</v>
      </c>
      <c r="E1440" s="198" t="s">
        <v>4176</v>
      </c>
    </row>
    <row r="1441" spans="1:5">
      <c r="A1441" s="198">
        <v>548019779</v>
      </c>
      <c r="B1441" s="198">
        <v>738985862.71880805</v>
      </c>
      <c r="D1441" s="198" t="s">
        <v>4177</v>
      </c>
      <c r="E1441" s="198" t="s">
        <v>4178</v>
      </c>
    </row>
    <row r="1442" spans="1:5">
      <c r="A1442" s="198">
        <v>548098965</v>
      </c>
      <c r="B1442" s="198">
        <v>739065048.71970701</v>
      </c>
      <c r="D1442" s="198" t="s">
        <v>4179</v>
      </c>
      <c r="E1442" s="198" t="s">
        <v>4180</v>
      </c>
    </row>
    <row r="1443" spans="1:5">
      <c r="A1443" s="198">
        <v>548196214</v>
      </c>
      <c r="B1443" s="198">
        <v>739162297.72081101</v>
      </c>
      <c r="D1443" s="198" t="s">
        <v>4181</v>
      </c>
      <c r="E1443" s="198" t="s">
        <v>4182</v>
      </c>
    </row>
    <row r="1444" spans="1:5">
      <c r="A1444" s="198">
        <v>548271764</v>
      </c>
      <c r="B1444" s="198">
        <v>739237847.72163999</v>
      </c>
      <c r="D1444" s="198" t="s">
        <v>4183</v>
      </c>
      <c r="E1444" s="198" t="s">
        <v>4184</v>
      </c>
    </row>
    <row r="1445" spans="1:5">
      <c r="A1445" s="198">
        <v>548372596</v>
      </c>
      <c r="B1445" s="198">
        <v>739338679.72276103</v>
      </c>
      <c r="D1445" s="198" t="s">
        <v>4185</v>
      </c>
      <c r="E1445" s="198" t="s">
        <v>4186</v>
      </c>
    </row>
    <row r="1446" spans="1:5">
      <c r="A1446" s="198">
        <v>548433759</v>
      </c>
      <c r="B1446" s="198">
        <v>739399842.72346795</v>
      </c>
      <c r="D1446" s="198" t="s">
        <v>4187</v>
      </c>
      <c r="E1446" s="198" t="s">
        <v>4188</v>
      </c>
    </row>
    <row r="1447" spans="1:5">
      <c r="A1447" s="198">
        <v>548480581</v>
      </c>
      <c r="B1447" s="198">
        <v>739446664.72400498</v>
      </c>
      <c r="D1447" s="198" t="s">
        <v>4189</v>
      </c>
      <c r="E1447" s="198" t="s">
        <v>4190</v>
      </c>
    </row>
    <row r="1448" spans="1:5">
      <c r="A1448" s="198">
        <v>548632993</v>
      </c>
      <c r="B1448" s="198">
        <v>739599076.725685</v>
      </c>
      <c r="D1448" s="198" t="s">
        <v>4191</v>
      </c>
      <c r="E1448" s="198" t="s">
        <v>4192</v>
      </c>
    </row>
    <row r="1449" spans="1:5">
      <c r="A1449" s="198">
        <v>548671366</v>
      </c>
      <c r="B1449" s="198">
        <v>739637449.72615194</v>
      </c>
      <c r="D1449" s="198" t="s">
        <v>4193</v>
      </c>
      <c r="E1449" s="198" t="s">
        <v>4194</v>
      </c>
    </row>
    <row r="1450" spans="1:5">
      <c r="A1450" s="198">
        <v>548797402</v>
      </c>
      <c r="B1450" s="198">
        <v>739763485.72757995</v>
      </c>
      <c r="D1450" s="198" t="s">
        <v>4195</v>
      </c>
      <c r="E1450" s="198" t="s">
        <v>4196</v>
      </c>
    </row>
    <row r="1451" spans="1:5">
      <c r="A1451" s="198">
        <v>548891598</v>
      </c>
      <c r="B1451" s="198">
        <v>739857681.72860003</v>
      </c>
      <c r="D1451" s="198" t="s">
        <v>4197</v>
      </c>
      <c r="E1451" s="198" t="s">
        <v>4198</v>
      </c>
    </row>
    <row r="1452" spans="1:5">
      <c r="A1452" s="198">
        <v>548937774</v>
      </c>
      <c r="B1452" s="198">
        <v>739903857.72916305</v>
      </c>
      <c r="D1452" s="198" t="s">
        <v>4199</v>
      </c>
      <c r="E1452" s="198" t="s">
        <v>4200</v>
      </c>
    </row>
    <row r="1453" spans="1:5">
      <c r="A1453" s="198">
        <v>549042162</v>
      </c>
      <c r="B1453" s="198">
        <v>740008245.73033202</v>
      </c>
      <c r="D1453" s="198" t="s">
        <v>4201</v>
      </c>
      <c r="E1453" s="198" t="s">
        <v>4202</v>
      </c>
    </row>
    <row r="1454" spans="1:5">
      <c r="A1454" s="198">
        <v>549103364</v>
      </c>
      <c r="B1454" s="198">
        <v>740069447.73101199</v>
      </c>
      <c r="D1454" s="198" t="s">
        <v>4203</v>
      </c>
      <c r="E1454" s="198" t="s">
        <v>4204</v>
      </c>
    </row>
    <row r="1455" spans="1:5">
      <c r="A1455" s="198">
        <v>549236600</v>
      </c>
      <c r="B1455" s="198">
        <v>740202683.73249197</v>
      </c>
      <c r="D1455" s="198" t="s">
        <v>4205</v>
      </c>
      <c r="E1455" s="198" t="s">
        <v>4206</v>
      </c>
    </row>
    <row r="1456" spans="1:5">
      <c r="A1456" s="198">
        <v>549312183</v>
      </c>
      <c r="B1456" s="198">
        <v>740278266.733392</v>
      </c>
      <c r="D1456" s="198" t="s">
        <v>4207</v>
      </c>
      <c r="E1456" s="198" t="s">
        <v>4208</v>
      </c>
    </row>
    <row r="1457" spans="1:5">
      <c r="A1457" s="198">
        <v>549384159</v>
      </c>
      <c r="B1457" s="198">
        <v>740350242.73418105</v>
      </c>
      <c r="D1457" s="198" t="s">
        <v>4209</v>
      </c>
      <c r="E1457" s="198" t="s">
        <v>4210</v>
      </c>
    </row>
    <row r="1458" spans="1:5">
      <c r="A1458" s="198">
        <v>549488607</v>
      </c>
      <c r="B1458" s="198">
        <v>740454690.73538303</v>
      </c>
      <c r="D1458" s="198" t="s">
        <v>4211</v>
      </c>
      <c r="E1458" s="198" t="s">
        <v>4212</v>
      </c>
    </row>
    <row r="1459" spans="1:5">
      <c r="A1459" s="198">
        <v>549582180</v>
      </c>
      <c r="B1459" s="198">
        <v>740548263.73640394</v>
      </c>
      <c r="D1459" s="198" t="s">
        <v>4213</v>
      </c>
      <c r="E1459" s="198" t="s">
        <v>4214</v>
      </c>
    </row>
    <row r="1460" spans="1:5">
      <c r="A1460" s="198">
        <v>549657775</v>
      </c>
      <c r="B1460" s="198">
        <v>740623858.73727906</v>
      </c>
      <c r="D1460" s="198" t="s">
        <v>4215</v>
      </c>
      <c r="E1460" s="198" t="s">
        <v>4216</v>
      </c>
    </row>
    <row r="1461" spans="1:5">
      <c r="A1461" s="198">
        <v>549697475</v>
      </c>
      <c r="B1461" s="198">
        <v>740663558.73786402</v>
      </c>
      <c r="D1461" s="198" t="s">
        <v>4217</v>
      </c>
      <c r="E1461" s="198" t="s">
        <v>4218</v>
      </c>
    </row>
    <row r="1462" spans="1:5">
      <c r="A1462" s="198">
        <v>549830648</v>
      </c>
      <c r="B1462" s="198">
        <v>740796731.739411</v>
      </c>
      <c r="D1462" s="198" t="s">
        <v>4219</v>
      </c>
      <c r="E1462" s="198" t="s">
        <v>4220</v>
      </c>
    </row>
    <row r="1463" spans="1:5">
      <c r="A1463" s="198">
        <v>549929023</v>
      </c>
      <c r="B1463" s="198">
        <v>740895106.74049604</v>
      </c>
      <c r="D1463" s="198" t="s">
        <v>4221</v>
      </c>
      <c r="E1463" s="198" t="s">
        <v>4222</v>
      </c>
    </row>
    <row r="1464" spans="1:5">
      <c r="A1464" s="198">
        <v>549996153</v>
      </c>
      <c r="B1464" s="198">
        <v>740962236.74126303</v>
      </c>
      <c r="D1464" s="198" t="s">
        <v>4223</v>
      </c>
      <c r="E1464" s="198" t="s">
        <v>4224</v>
      </c>
    </row>
    <row r="1465" spans="1:5">
      <c r="A1465" s="198">
        <v>550082550</v>
      </c>
      <c r="B1465" s="198">
        <v>741048633.742239</v>
      </c>
      <c r="D1465" s="198" t="s">
        <v>4225</v>
      </c>
      <c r="E1465" s="198" t="s">
        <v>4226</v>
      </c>
    </row>
    <row r="1466" spans="1:5">
      <c r="A1466" s="198">
        <v>550143764</v>
      </c>
      <c r="B1466" s="198">
        <v>741109847.74294603</v>
      </c>
      <c r="D1466" s="198" t="s">
        <v>4227</v>
      </c>
      <c r="E1466" s="198" t="s">
        <v>4228</v>
      </c>
    </row>
    <row r="1467" spans="1:5">
      <c r="A1467" s="198">
        <v>550251748</v>
      </c>
      <c r="B1467" s="198">
        <v>741217831.74416399</v>
      </c>
      <c r="D1467" s="198" t="s">
        <v>4229</v>
      </c>
      <c r="E1467" s="198" t="s">
        <v>4230</v>
      </c>
    </row>
    <row r="1468" spans="1:5">
      <c r="A1468" s="198">
        <v>550359758</v>
      </c>
      <c r="B1468" s="198">
        <v>741325841.74536097</v>
      </c>
      <c r="D1468" s="198" t="s">
        <v>4231</v>
      </c>
      <c r="E1468" s="198" t="s">
        <v>4232</v>
      </c>
    </row>
    <row r="1469" spans="1:5">
      <c r="A1469" s="198">
        <v>550435382</v>
      </c>
      <c r="B1469" s="198">
        <v>741401465.74624705</v>
      </c>
      <c r="D1469" s="198" t="s">
        <v>4233</v>
      </c>
      <c r="E1469" s="198" t="s">
        <v>4234</v>
      </c>
    </row>
    <row r="1470" spans="1:5">
      <c r="A1470" s="198">
        <v>550510937</v>
      </c>
      <c r="B1470" s="198">
        <v>741477020.74709201</v>
      </c>
      <c r="D1470" s="198" t="s">
        <v>4235</v>
      </c>
      <c r="E1470" s="198" t="s">
        <v>4236</v>
      </c>
    </row>
    <row r="1471" spans="1:5">
      <c r="A1471" s="198">
        <v>550597338</v>
      </c>
      <c r="B1471" s="198">
        <v>741563421.74806094</v>
      </c>
      <c r="D1471" s="198" t="s">
        <v>4237</v>
      </c>
      <c r="E1471" s="198" t="s">
        <v>4238</v>
      </c>
    </row>
    <row r="1472" spans="1:5">
      <c r="A1472" s="198">
        <v>550705348</v>
      </c>
      <c r="B1472" s="198">
        <v>741671431.74927104</v>
      </c>
      <c r="D1472" s="198" t="s">
        <v>4239</v>
      </c>
      <c r="E1472" s="198" t="s">
        <v>4240</v>
      </c>
    </row>
    <row r="1473" spans="1:5">
      <c r="A1473" s="198">
        <v>550780967</v>
      </c>
      <c r="B1473" s="198">
        <v>741747050.75014901</v>
      </c>
      <c r="D1473" s="198" t="s">
        <v>4241</v>
      </c>
      <c r="E1473" s="198" t="s">
        <v>4242</v>
      </c>
    </row>
    <row r="1474" spans="1:5">
      <c r="A1474" s="198">
        <v>550856527</v>
      </c>
      <c r="B1474" s="198">
        <v>741822610.75098705</v>
      </c>
      <c r="D1474" s="198" t="s">
        <v>4243</v>
      </c>
      <c r="E1474" s="198" t="s">
        <v>4244</v>
      </c>
    </row>
    <row r="1475" spans="1:5">
      <c r="A1475" s="198">
        <v>551050932</v>
      </c>
      <c r="B1475" s="198">
        <v>742017015.75317204</v>
      </c>
      <c r="D1475" s="198" t="s">
        <v>4245</v>
      </c>
      <c r="E1475" s="198" t="s">
        <v>4246</v>
      </c>
    </row>
    <row r="1476" spans="1:5">
      <c r="A1476" s="198">
        <v>551137328</v>
      </c>
      <c r="B1476" s="198">
        <v>742103411.75414205</v>
      </c>
      <c r="D1476" s="198" t="s">
        <v>4247</v>
      </c>
      <c r="E1476" s="198" t="s">
        <v>4248</v>
      </c>
    </row>
    <row r="1477" spans="1:5">
      <c r="A1477" s="198">
        <v>551209342</v>
      </c>
      <c r="B1477" s="198">
        <v>742175425.75498903</v>
      </c>
      <c r="D1477" s="198" t="s">
        <v>4249</v>
      </c>
      <c r="E1477" s="198" t="s">
        <v>4250</v>
      </c>
    </row>
    <row r="1478" spans="1:5">
      <c r="A1478" s="198">
        <v>551310120</v>
      </c>
      <c r="B1478" s="198">
        <v>742276203.75609398</v>
      </c>
      <c r="D1478" s="198" t="s">
        <v>4251</v>
      </c>
      <c r="E1478" s="198" t="s">
        <v>4252</v>
      </c>
    </row>
    <row r="1479" spans="1:5">
      <c r="A1479" s="198">
        <v>551396519</v>
      </c>
      <c r="B1479" s="198">
        <v>742362602.75707603</v>
      </c>
      <c r="D1479" s="198" t="s">
        <v>4253</v>
      </c>
      <c r="E1479" s="198" t="s">
        <v>4254</v>
      </c>
    </row>
    <row r="1480" spans="1:5">
      <c r="A1480" s="198">
        <v>551482921</v>
      </c>
      <c r="B1480" s="198">
        <v>742449004.75805795</v>
      </c>
      <c r="D1480" s="198" t="s">
        <v>4255</v>
      </c>
      <c r="E1480" s="198" t="s">
        <v>4256</v>
      </c>
    </row>
    <row r="1481" spans="1:5">
      <c r="A1481" s="198">
        <v>551569314</v>
      </c>
      <c r="B1481" s="198">
        <v>742535397.75903296</v>
      </c>
      <c r="D1481" s="198" t="s">
        <v>4257</v>
      </c>
      <c r="E1481" s="198" t="s">
        <v>4258</v>
      </c>
    </row>
    <row r="1482" spans="1:5">
      <c r="A1482" s="198">
        <v>551655708</v>
      </c>
      <c r="B1482" s="198">
        <v>742621791.759992</v>
      </c>
      <c r="D1482" s="198" t="s">
        <v>4259</v>
      </c>
      <c r="E1482" s="198" t="s">
        <v>4260</v>
      </c>
    </row>
    <row r="1483" spans="1:5">
      <c r="A1483" s="198">
        <v>551742102</v>
      </c>
      <c r="B1483" s="198">
        <v>742708185.76097202</v>
      </c>
      <c r="D1483" s="198" t="s">
        <v>4261</v>
      </c>
      <c r="E1483" s="198" t="s">
        <v>4262</v>
      </c>
    </row>
    <row r="1484" spans="1:5">
      <c r="A1484" s="198">
        <v>551828502</v>
      </c>
      <c r="B1484" s="198">
        <v>742794585.76195502</v>
      </c>
      <c r="D1484" s="198" t="s">
        <v>4263</v>
      </c>
      <c r="E1484" s="198" t="s">
        <v>4264</v>
      </c>
    </row>
    <row r="1485" spans="1:5">
      <c r="A1485" s="198">
        <v>551914896</v>
      </c>
      <c r="B1485" s="198">
        <v>742880979.762923</v>
      </c>
      <c r="D1485" s="198" t="s">
        <v>4265</v>
      </c>
      <c r="E1485" s="198" t="s">
        <v>4266</v>
      </c>
    </row>
    <row r="1486" spans="1:5">
      <c r="A1486" s="198">
        <v>552001295</v>
      </c>
      <c r="B1486" s="198">
        <v>742967378.76389599</v>
      </c>
      <c r="D1486" s="198" t="s">
        <v>4267</v>
      </c>
      <c r="E1486" s="198" t="s">
        <v>4268</v>
      </c>
    </row>
    <row r="1487" spans="1:5">
      <c r="A1487" s="198">
        <v>552069695</v>
      </c>
      <c r="B1487" s="198">
        <v>743035778.76469004</v>
      </c>
      <c r="D1487" s="198" t="s">
        <v>4269</v>
      </c>
      <c r="E1487" s="198" t="s">
        <v>4270</v>
      </c>
    </row>
    <row r="1488" spans="1:5">
      <c r="A1488" s="198">
        <v>552174083</v>
      </c>
      <c r="B1488" s="198">
        <v>743140166.76584995</v>
      </c>
      <c r="D1488" s="198" t="s">
        <v>4271</v>
      </c>
      <c r="E1488" s="198" t="s">
        <v>4272</v>
      </c>
    </row>
    <row r="1489" spans="1:5">
      <c r="A1489" s="198">
        <v>552242483</v>
      </c>
      <c r="B1489" s="198">
        <v>743208566.76664305</v>
      </c>
      <c r="D1489" s="198" t="s">
        <v>4273</v>
      </c>
      <c r="E1489" s="198" t="s">
        <v>4274</v>
      </c>
    </row>
    <row r="1490" spans="1:5">
      <c r="A1490" s="198">
        <v>552346868</v>
      </c>
      <c r="B1490" s="198">
        <v>743312951.76779306</v>
      </c>
      <c r="D1490" s="198" t="s">
        <v>4275</v>
      </c>
      <c r="E1490" s="198" t="s">
        <v>4276</v>
      </c>
    </row>
    <row r="1491" spans="1:5">
      <c r="A1491" s="198">
        <v>552433263</v>
      </c>
      <c r="B1491" s="198">
        <v>743399346.76877797</v>
      </c>
      <c r="D1491" s="198" t="s">
        <v>4277</v>
      </c>
      <c r="E1491" s="198" t="s">
        <v>4278</v>
      </c>
    </row>
    <row r="1492" spans="1:5">
      <c r="A1492" s="198">
        <v>552519659</v>
      </c>
      <c r="B1492" s="198">
        <v>743485742.76973903</v>
      </c>
      <c r="D1492" s="198" t="s">
        <v>4279</v>
      </c>
      <c r="E1492" s="198" t="s">
        <v>4280</v>
      </c>
    </row>
    <row r="1493" spans="1:5">
      <c r="A1493" s="198">
        <v>552562827</v>
      </c>
      <c r="B1493" s="198">
        <v>743528910.77021694</v>
      </c>
      <c r="D1493" s="198" t="s">
        <v>4281</v>
      </c>
      <c r="E1493" s="198" t="s">
        <v>4282</v>
      </c>
    </row>
    <row r="1494" spans="1:5">
      <c r="A1494" s="198">
        <v>552692443</v>
      </c>
      <c r="B1494" s="198">
        <v>743658526.77170503</v>
      </c>
      <c r="D1494" s="198" t="s">
        <v>4283</v>
      </c>
      <c r="E1494" s="198" t="s">
        <v>4284</v>
      </c>
    </row>
    <row r="1495" spans="1:5">
      <c r="A1495" s="198">
        <v>552757243</v>
      </c>
      <c r="B1495" s="198">
        <v>743723326.77244794</v>
      </c>
      <c r="D1495" s="198" t="s">
        <v>4285</v>
      </c>
      <c r="E1495" s="198" t="s">
        <v>4286</v>
      </c>
    </row>
    <row r="1496" spans="1:5">
      <c r="A1496" s="198">
        <v>552865233</v>
      </c>
      <c r="B1496" s="198">
        <v>743831316.77363801</v>
      </c>
      <c r="D1496" s="198" t="s">
        <v>4287</v>
      </c>
      <c r="E1496" s="198" t="s">
        <v>4288</v>
      </c>
    </row>
    <row r="1497" spans="1:5">
      <c r="A1497" s="198">
        <v>552948027</v>
      </c>
      <c r="B1497" s="198">
        <v>743914110.77458</v>
      </c>
      <c r="D1497" s="198" t="s">
        <v>4289</v>
      </c>
      <c r="E1497" s="198" t="s">
        <v>4290</v>
      </c>
    </row>
    <row r="1498" spans="1:5">
      <c r="A1498" s="198">
        <v>553016407</v>
      </c>
      <c r="B1498" s="198">
        <v>743982490.77535498</v>
      </c>
      <c r="D1498" s="198" t="s">
        <v>4291</v>
      </c>
      <c r="E1498" s="198" t="s">
        <v>4292</v>
      </c>
    </row>
    <row r="1499" spans="1:5">
      <c r="A1499" s="198">
        <v>553124414</v>
      </c>
      <c r="B1499" s="198">
        <v>744090497.77657402</v>
      </c>
      <c r="D1499" s="198" t="s">
        <v>4293</v>
      </c>
      <c r="E1499" s="198" t="s">
        <v>4294</v>
      </c>
    </row>
    <row r="1500" spans="1:5">
      <c r="A1500" s="198">
        <v>553160409</v>
      </c>
      <c r="B1500" s="198">
        <v>744126492.77697694</v>
      </c>
      <c r="D1500" s="198" t="s">
        <v>4295</v>
      </c>
      <c r="E1500" s="198" t="s">
        <v>4296</v>
      </c>
    </row>
    <row r="1501" spans="1:5">
      <c r="A1501" s="198">
        <v>553221620</v>
      </c>
      <c r="B1501" s="198">
        <v>744187703.77766895</v>
      </c>
      <c r="D1501" s="198" t="s">
        <v>4297</v>
      </c>
      <c r="E1501" s="198" t="s">
        <v>4298</v>
      </c>
    </row>
    <row r="1502" spans="1:5">
      <c r="A1502" s="198">
        <v>553333197</v>
      </c>
      <c r="B1502" s="198">
        <v>744299280.778934</v>
      </c>
      <c r="D1502" s="198" t="s">
        <v>4299</v>
      </c>
      <c r="E1502" s="198" t="s">
        <v>4300</v>
      </c>
    </row>
    <row r="1503" spans="1:5">
      <c r="A1503" s="198">
        <v>553448387</v>
      </c>
      <c r="B1503" s="198">
        <v>744414470.78022397</v>
      </c>
      <c r="D1503" s="198" t="s">
        <v>4301</v>
      </c>
      <c r="E1503" s="198" t="s">
        <v>4302</v>
      </c>
    </row>
    <row r="1504" spans="1:5">
      <c r="A1504" s="198">
        <v>554074770</v>
      </c>
      <c r="B1504" s="198">
        <v>745040853.78725898</v>
      </c>
      <c r="D1504" s="198" t="s">
        <v>4303</v>
      </c>
      <c r="E1504" s="198" t="s">
        <v>4304</v>
      </c>
    </row>
    <row r="1505" spans="1:5">
      <c r="A1505" s="198">
        <v>554082001</v>
      </c>
      <c r="B1505" s="198">
        <v>745048084.78735602</v>
      </c>
      <c r="D1505" s="198" t="s">
        <v>4305</v>
      </c>
      <c r="E1505" s="198" t="s">
        <v>4306</v>
      </c>
    </row>
    <row r="1506" spans="1:5">
      <c r="A1506" s="198">
        <v>554679546</v>
      </c>
      <c r="B1506" s="198">
        <v>745645629.79404199</v>
      </c>
      <c r="D1506" s="198" t="s">
        <v>4307</v>
      </c>
      <c r="E1506" s="198" t="s">
        <v>4308</v>
      </c>
    </row>
    <row r="1507" spans="1:5">
      <c r="A1507" s="198">
        <v>554711963</v>
      </c>
      <c r="B1507" s="198">
        <v>745678046.79441905</v>
      </c>
      <c r="D1507" s="198" t="s">
        <v>4309</v>
      </c>
      <c r="E1507" s="198" t="s">
        <v>4310</v>
      </c>
    </row>
    <row r="1508" spans="1:5">
      <c r="A1508" s="198">
        <v>555197878</v>
      </c>
      <c r="B1508" s="198">
        <v>746163961.79986298</v>
      </c>
      <c r="D1508" s="198" t="s">
        <v>4311</v>
      </c>
      <c r="E1508" s="198" t="s">
        <v>4312</v>
      </c>
    </row>
    <row r="1509" spans="1:5">
      <c r="A1509" s="198">
        <v>555284257</v>
      </c>
      <c r="B1509" s="198">
        <v>746250340.80083096</v>
      </c>
      <c r="D1509" s="198" t="s">
        <v>4313</v>
      </c>
      <c r="E1509" s="198" t="s">
        <v>4314</v>
      </c>
    </row>
    <row r="1510" spans="1:5">
      <c r="A1510" s="198">
        <v>555287885</v>
      </c>
      <c r="B1510" s="198">
        <v>746253968.80088305</v>
      </c>
      <c r="D1510" s="198" t="s">
        <v>4315</v>
      </c>
      <c r="E1510" s="198" t="s">
        <v>4316</v>
      </c>
    </row>
    <row r="1511" spans="1:5">
      <c r="A1511" s="198">
        <v>555889053</v>
      </c>
      <c r="B1511" s="198">
        <v>746855136.80764902</v>
      </c>
      <c r="D1511" s="198" t="s">
        <v>4317</v>
      </c>
      <c r="E1511" s="198" t="s">
        <v>4318</v>
      </c>
    </row>
    <row r="1512" spans="1:5">
      <c r="A1512" s="198">
        <v>555917881</v>
      </c>
      <c r="B1512" s="198">
        <v>746883964.80793595</v>
      </c>
      <c r="D1512" s="198" t="s">
        <v>4319</v>
      </c>
      <c r="E1512" s="198" t="s">
        <v>4320</v>
      </c>
    </row>
    <row r="1513" spans="1:5">
      <c r="A1513" s="198">
        <v>556493758</v>
      </c>
      <c r="B1513" s="198">
        <v>747459841.81432295</v>
      </c>
      <c r="D1513" s="198" t="s">
        <v>4321</v>
      </c>
      <c r="E1513" s="198" t="s">
        <v>4322</v>
      </c>
    </row>
    <row r="1514" spans="1:5">
      <c r="A1514" s="198">
        <v>557094878</v>
      </c>
      <c r="B1514" s="198">
        <v>748060961.82103503</v>
      </c>
      <c r="D1514" s="198" t="s">
        <v>4323</v>
      </c>
      <c r="E1514" s="198" t="s">
        <v>4324</v>
      </c>
    </row>
    <row r="1515" spans="1:5">
      <c r="A1515" s="198">
        <v>557123665</v>
      </c>
      <c r="B1515" s="198">
        <v>748089748.82137299</v>
      </c>
      <c r="D1515" s="198" t="s">
        <v>4325</v>
      </c>
      <c r="E1515" s="198" t="s">
        <v>4326</v>
      </c>
    </row>
    <row r="1516" spans="1:5">
      <c r="A1516" s="198">
        <v>557357510</v>
      </c>
      <c r="B1516" s="198">
        <v>748323593.82394397</v>
      </c>
      <c r="D1516" s="198" t="s">
        <v>4327</v>
      </c>
      <c r="E1516" s="198" t="s">
        <v>4328</v>
      </c>
    </row>
    <row r="1517" spans="1:5">
      <c r="A1517" s="198">
        <v>557440431</v>
      </c>
      <c r="B1517" s="198">
        <v>748406514.82490003</v>
      </c>
      <c r="D1517" s="198" t="s">
        <v>4329</v>
      </c>
      <c r="E1517" s="198" t="s">
        <v>4330</v>
      </c>
    </row>
    <row r="1518" spans="1:5">
      <c r="A1518" s="198">
        <v>558102633</v>
      </c>
      <c r="B1518" s="198">
        <v>749068716.83224106</v>
      </c>
      <c r="D1518" s="198" t="s">
        <v>4331</v>
      </c>
      <c r="E1518" s="198" t="s">
        <v>4332</v>
      </c>
    </row>
    <row r="1519" spans="1:5">
      <c r="A1519" s="198">
        <v>558189047</v>
      </c>
      <c r="B1519" s="198">
        <v>749155130.83320999</v>
      </c>
      <c r="D1519" s="198" t="s">
        <v>4333</v>
      </c>
      <c r="E1519" s="198" t="s">
        <v>4334</v>
      </c>
    </row>
    <row r="1520" spans="1:5">
      <c r="A1520" s="198">
        <v>558307808</v>
      </c>
      <c r="B1520" s="198">
        <v>749273891.83446896</v>
      </c>
      <c r="D1520" s="198" t="s">
        <v>4335</v>
      </c>
      <c r="E1520" s="198" t="s">
        <v>4336</v>
      </c>
    </row>
    <row r="1521" spans="1:5">
      <c r="A1521" s="198">
        <v>558394194</v>
      </c>
      <c r="B1521" s="198">
        <v>749360277.83544195</v>
      </c>
      <c r="D1521" s="198" t="s">
        <v>4337</v>
      </c>
      <c r="E1521" s="198" t="s">
        <v>4338</v>
      </c>
    </row>
    <row r="1522" spans="1:5">
      <c r="A1522" s="198">
        <v>558477012</v>
      </c>
      <c r="B1522" s="198">
        <v>749443095.83637297</v>
      </c>
      <c r="D1522" s="198" t="s">
        <v>4339</v>
      </c>
      <c r="E1522" s="198" t="s">
        <v>4340</v>
      </c>
    </row>
    <row r="1523" spans="1:5">
      <c r="A1523" s="198">
        <v>558559773</v>
      </c>
      <c r="B1523" s="198">
        <v>749525856.83730304</v>
      </c>
      <c r="D1523" s="198" t="s">
        <v>4341</v>
      </c>
      <c r="E1523" s="198" t="s">
        <v>4342</v>
      </c>
    </row>
    <row r="1524" spans="1:5">
      <c r="A1524" s="198">
        <v>558646444</v>
      </c>
      <c r="B1524" s="198">
        <v>749612527.83825397</v>
      </c>
      <c r="D1524" s="198" t="s">
        <v>4343</v>
      </c>
      <c r="E1524" s="198" t="s">
        <v>4344</v>
      </c>
    </row>
    <row r="1525" spans="1:5">
      <c r="A1525" s="198">
        <v>558739744</v>
      </c>
      <c r="B1525" s="198">
        <v>749705827.839252</v>
      </c>
      <c r="D1525" s="198" t="s">
        <v>4345</v>
      </c>
      <c r="E1525" s="198" t="s">
        <v>4346</v>
      </c>
    </row>
    <row r="1526" spans="1:5">
      <c r="A1526" s="198">
        <v>558782910</v>
      </c>
      <c r="B1526" s="198">
        <v>749748993.83975804</v>
      </c>
      <c r="D1526" s="198" t="s">
        <v>4347</v>
      </c>
      <c r="E1526" s="198" t="s">
        <v>4348</v>
      </c>
    </row>
    <row r="1527" spans="1:5">
      <c r="A1527" s="198">
        <v>558905327</v>
      </c>
      <c r="B1527" s="198">
        <v>749871410.841097</v>
      </c>
      <c r="D1527" s="198" t="s">
        <v>4349</v>
      </c>
      <c r="E1527" s="198" t="s">
        <v>4350</v>
      </c>
    </row>
    <row r="1528" spans="1:5">
      <c r="A1528" s="198">
        <v>558991886</v>
      </c>
      <c r="B1528" s="198">
        <v>749957969.84205699</v>
      </c>
      <c r="D1528" s="198" t="s">
        <v>4351</v>
      </c>
      <c r="E1528" s="198" t="s">
        <v>4352</v>
      </c>
    </row>
    <row r="1529" spans="1:5">
      <c r="A1529" s="198">
        <v>559078122</v>
      </c>
      <c r="B1529" s="198">
        <v>750044205.84301102</v>
      </c>
      <c r="D1529" s="198" t="s">
        <v>4353</v>
      </c>
      <c r="E1529" s="198" t="s">
        <v>4354</v>
      </c>
    </row>
    <row r="1530" spans="1:5">
      <c r="A1530" s="198">
        <v>559171673</v>
      </c>
      <c r="B1530" s="198">
        <v>750137756.84400797</v>
      </c>
      <c r="D1530" s="198" t="s">
        <v>4355</v>
      </c>
      <c r="E1530" s="198" t="s">
        <v>4356</v>
      </c>
    </row>
    <row r="1531" spans="1:5">
      <c r="A1531" s="198">
        <v>559250898</v>
      </c>
      <c r="B1531" s="198">
        <v>750216981.84489405</v>
      </c>
      <c r="D1531" s="198" t="s">
        <v>4357</v>
      </c>
      <c r="E1531" s="198" t="s">
        <v>4358</v>
      </c>
    </row>
    <row r="1532" spans="1:5">
      <c r="A1532" s="198">
        <v>559308476</v>
      </c>
      <c r="B1532" s="198">
        <v>750274559.84554505</v>
      </c>
      <c r="D1532" s="198" t="s">
        <v>4359</v>
      </c>
      <c r="E1532" s="198" t="s">
        <v>4360</v>
      </c>
    </row>
    <row r="1533" spans="1:5">
      <c r="A1533" s="198">
        <v>559420047</v>
      </c>
      <c r="B1533" s="198">
        <v>750386130.84675598</v>
      </c>
      <c r="D1533" s="198" t="s">
        <v>4361</v>
      </c>
      <c r="E1533" s="198" t="s">
        <v>4362</v>
      </c>
    </row>
    <row r="1534" spans="1:5">
      <c r="A1534" s="198">
        <v>559510061</v>
      </c>
      <c r="B1534" s="198">
        <v>750476144.84774196</v>
      </c>
      <c r="D1534" s="198" t="s">
        <v>4363</v>
      </c>
      <c r="E1534" s="198" t="s">
        <v>4364</v>
      </c>
    </row>
    <row r="1535" spans="1:5">
      <c r="A1535" s="198">
        <v>559592852</v>
      </c>
      <c r="B1535" s="198">
        <v>750558935.84864497</v>
      </c>
      <c r="D1535" s="198" t="s">
        <v>4365</v>
      </c>
      <c r="E1535" s="198" t="s">
        <v>4366</v>
      </c>
    </row>
    <row r="1536" spans="1:5">
      <c r="A1536" s="198">
        <v>559668398</v>
      </c>
      <c r="B1536" s="198">
        <v>750634481.84945095</v>
      </c>
      <c r="D1536" s="198" t="s">
        <v>4367</v>
      </c>
      <c r="E1536" s="198" t="s">
        <v>4368</v>
      </c>
    </row>
    <row r="1537" spans="1:5">
      <c r="A1537" s="198">
        <v>559736795</v>
      </c>
      <c r="B1537" s="198">
        <v>750702878.85022795</v>
      </c>
      <c r="D1537" s="198" t="s">
        <v>4369</v>
      </c>
      <c r="E1537" s="198" t="s">
        <v>4370</v>
      </c>
    </row>
    <row r="1538" spans="1:5">
      <c r="A1538" s="198">
        <v>559823187</v>
      </c>
      <c r="B1538" s="198">
        <v>750789270.85117698</v>
      </c>
      <c r="D1538" s="198" t="s">
        <v>4371</v>
      </c>
      <c r="E1538" s="198" t="s">
        <v>4372</v>
      </c>
    </row>
    <row r="1539" spans="1:5">
      <c r="A1539" s="198">
        <v>559913194</v>
      </c>
      <c r="B1539" s="198">
        <v>750879277.85216796</v>
      </c>
      <c r="D1539" s="198" t="s">
        <v>4373</v>
      </c>
      <c r="E1539" s="198" t="s">
        <v>4374</v>
      </c>
    </row>
    <row r="1540" spans="1:5">
      <c r="A1540" s="198">
        <v>559995952</v>
      </c>
      <c r="B1540" s="198">
        <v>750962035.85305905</v>
      </c>
      <c r="D1540" s="198" t="s">
        <v>4375</v>
      </c>
      <c r="E1540" s="198" t="s">
        <v>4376</v>
      </c>
    </row>
    <row r="1541" spans="1:5">
      <c r="A1541" s="198">
        <v>560111150</v>
      </c>
      <c r="B1541" s="198">
        <v>751077233.85430706</v>
      </c>
      <c r="D1541" s="198" t="s">
        <v>4377</v>
      </c>
      <c r="E1541" s="198" t="s">
        <v>4378</v>
      </c>
    </row>
    <row r="1542" spans="1:5">
      <c r="A1542" s="198">
        <v>560197531</v>
      </c>
      <c r="B1542" s="198">
        <v>751163614.85526097</v>
      </c>
      <c r="D1542" s="198" t="s">
        <v>4379</v>
      </c>
      <c r="E1542" s="198" t="s">
        <v>4380</v>
      </c>
    </row>
    <row r="1543" spans="1:5">
      <c r="A1543" s="198">
        <v>560280329</v>
      </c>
      <c r="B1543" s="198">
        <v>751246412.856161</v>
      </c>
      <c r="D1543" s="198" t="s">
        <v>4381</v>
      </c>
      <c r="E1543" s="198" t="s">
        <v>4382</v>
      </c>
    </row>
    <row r="1544" spans="1:5">
      <c r="A1544" s="198">
        <v>560370334</v>
      </c>
      <c r="B1544" s="198">
        <v>751336417.85714197</v>
      </c>
      <c r="D1544" s="198" t="s">
        <v>4383</v>
      </c>
      <c r="E1544" s="198" t="s">
        <v>4384</v>
      </c>
    </row>
    <row r="1545" spans="1:5">
      <c r="A1545" s="198">
        <v>560420672</v>
      </c>
      <c r="B1545" s="198">
        <v>751386755.85770202</v>
      </c>
      <c r="D1545" s="198" t="s">
        <v>4385</v>
      </c>
      <c r="E1545" s="198" t="s">
        <v>4386</v>
      </c>
    </row>
    <row r="1546" spans="1:5">
      <c r="A1546" s="198">
        <v>560553871</v>
      </c>
      <c r="B1546" s="198">
        <v>751519954.85911703</v>
      </c>
      <c r="D1546" s="198" t="s">
        <v>4387</v>
      </c>
      <c r="E1546" s="198" t="s">
        <v>4388</v>
      </c>
    </row>
    <row r="1547" spans="1:5">
      <c r="A1547" s="198">
        <v>560589843</v>
      </c>
      <c r="B1547" s="198">
        <v>751555926.85954201</v>
      </c>
      <c r="D1547" s="198" t="s">
        <v>4389</v>
      </c>
      <c r="E1547" s="198" t="s">
        <v>4390</v>
      </c>
    </row>
    <row r="1548" spans="1:5">
      <c r="A1548" s="198">
        <v>560676231</v>
      </c>
      <c r="B1548" s="198">
        <v>751642314.86048305</v>
      </c>
      <c r="D1548" s="198" t="s">
        <v>4391</v>
      </c>
      <c r="E1548" s="198" t="s">
        <v>4392</v>
      </c>
    </row>
    <row r="1549" spans="1:5">
      <c r="A1549" s="198">
        <v>560802282</v>
      </c>
      <c r="B1549" s="198">
        <v>751768365.86184001</v>
      </c>
      <c r="D1549" s="198" t="s">
        <v>4393</v>
      </c>
      <c r="E1549" s="198" t="s">
        <v>4394</v>
      </c>
    </row>
    <row r="1550" spans="1:5">
      <c r="A1550" s="198">
        <v>560888655</v>
      </c>
      <c r="B1550" s="198">
        <v>751854738.862795</v>
      </c>
      <c r="D1550" s="198" t="s">
        <v>4395</v>
      </c>
      <c r="E1550" s="198" t="s">
        <v>4396</v>
      </c>
    </row>
    <row r="1551" spans="1:5">
      <c r="A1551" s="198">
        <v>560946239</v>
      </c>
      <c r="B1551" s="198">
        <v>751912322.86342597</v>
      </c>
      <c r="D1551" s="198" t="s">
        <v>4397</v>
      </c>
      <c r="E1551" s="198" t="s">
        <v>4398</v>
      </c>
    </row>
    <row r="1552" spans="1:5">
      <c r="A1552" s="198">
        <v>561072196</v>
      </c>
      <c r="B1552" s="198">
        <v>752038279.86476696</v>
      </c>
      <c r="D1552" s="198" t="s">
        <v>4399</v>
      </c>
      <c r="E1552" s="198" t="s">
        <v>4400</v>
      </c>
    </row>
    <row r="1553" spans="1:5">
      <c r="A1553" s="198">
        <v>561144211</v>
      </c>
      <c r="B1553" s="198">
        <v>752110294.86555898</v>
      </c>
      <c r="D1553" s="198" t="s">
        <v>4401</v>
      </c>
      <c r="E1553" s="198" t="s">
        <v>4402</v>
      </c>
    </row>
    <row r="1554" spans="1:5">
      <c r="A1554" s="198">
        <v>561230606</v>
      </c>
      <c r="B1554" s="198">
        <v>752196689.86650395</v>
      </c>
      <c r="D1554" s="198" t="s">
        <v>4403</v>
      </c>
      <c r="E1554" s="198" t="s">
        <v>4404</v>
      </c>
    </row>
    <row r="1555" spans="1:5">
      <c r="A1555" s="198">
        <v>561316997</v>
      </c>
      <c r="B1555" s="198">
        <v>752283080.86742997</v>
      </c>
      <c r="D1555" s="198" t="s">
        <v>4405</v>
      </c>
      <c r="E1555" s="198" t="s">
        <v>4406</v>
      </c>
    </row>
    <row r="1556" spans="1:5">
      <c r="A1556" s="198">
        <v>561403388</v>
      </c>
      <c r="B1556" s="198">
        <v>752369471.86837602</v>
      </c>
      <c r="D1556" s="198" t="s">
        <v>4407</v>
      </c>
      <c r="E1556" s="198" t="s">
        <v>4408</v>
      </c>
    </row>
    <row r="1557" spans="1:5">
      <c r="A1557" s="198">
        <v>561489779</v>
      </c>
      <c r="B1557" s="198">
        <v>752455862.86930597</v>
      </c>
      <c r="D1557" s="198" t="s">
        <v>4409</v>
      </c>
      <c r="E1557" s="198" t="s">
        <v>4410</v>
      </c>
    </row>
    <row r="1558" spans="1:5">
      <c r="A1558" s="198">
        <v>561591438</v>
      </c>
      <c r="B1558" s="198">
        <v>752557521.87039304</v>
      </c>
      <c r="D1558" s="198" t="s">
        <v>4411</v>
      </c>
      <c r="E1558" s="198" t="s">
        <v>4412</v>
      </c>
    </row>
    <row r="1559" spans="1:5">
      <c r="A1559" s="198">
        <v>561676917</v>
      </c>
      <c r="B1559" s="198">
        <v>752643000.87132096</v>
      </c>
      <c r="D1559" s="198" t="s">
        <v>4413</v>
      </c>
      <c r="E1559" s="198" t="s">
        <v>4414</v>
      </c>
    </row>
    <row r="1560" spans="1:5">
      <c r="A1560" s="198">
        <v>561720126</v>
      </c>
      <c r="B1560" s="198">
        <v>752686209.87179995</v>
      </c>
      <c r="D1560" s="198" t="s">
        <v>4415</v>
      </c>
      <c r="E1560" s="198" t="s">
        <v>4416</v>
      </c>
    </row>
    <row r="1561" spans="1:5">
      <c r="A1561" s="198">
        <v>561806510</v>
      </c>
      <c r="B1561" s="198">
        <v>752772593.87273896</v>
      </c>
      <c r="D1561" s="198" t="s">
        <v>4417</v>
      </c>
      <c r="E1561" s="198" t="s">
        <v>4418</v>
      </c>
    </row>
    <row r="1562" spans="1:5">
      <c r="A1562" s="198">
        <v>561936706</v>
      </c>
      <c r="B1562" s="198">
        <v>752902789.87413394</v>
      </c>
      <c r="D1562" s="198" t="s">
        <v>4419</v>
      </c>
      <c r="E1562" s="198" t="s">
        <v>4420</v>
      </c>
    </row>
    <row r="1563" spans="1:5">
      <c r="A1563" s="198">
        <v>562008115</v>
      </c>
      <c r="B1563" s="198">
        <v>752974198.87492299</v>
      </c>
      <c r="D1563" s="198" t="s">
        <v>4421</v>
      </c>
      <c r="E1563" s="198" t="s">
        <v>4422</v>
      </c>
    </row>
    <row r="1564" spans="1:5">
      <c r="A1564" s="198">
        <v>562108864</v>
      </c>
      <c r="B1564" s="198">
        <v>753074947.87598598</v>
      </c>
      <c r="D1564" s="198" t="s">
        <v>4423</v>
      </c>
      <c r="E1564" s="198" t="s">
        <v>4424</v>
      </c>
    </row>
    <row r="1565" spans="1:5">
      <c r="A1565" s="198">
        <v>562180883</v>
      </c>
      <c r="B1565" s="198">
        <v>753146966.876773</v>
      </c>
      <c r="D1565" s="198" t="s">
        <v>4425</v>
      </c>
      <c r="E1565" s="198" t="s">
        <v>4426</v>
      </c>
    </row>
    <row r="1566" spans="1:5">
      <c r="A1566" s="198">
        <v>562267270</v>
      </c>
      <c r="B1566" s="198">
        <v>753233353.87770796</v>
      </c>
      <c r="D1566" s="198" t="s">
        <v>4427</v>
      </c>
      <c r="E1566" s="198" t="s">
        <v>4428</v>
      </c>
    </row>
    <row r="1567" spans="1:5">
      <c r="A1567" s="198">
        <v>562350040</v>
      </c>
      <c r="B1567" s="198">
        <v>753316123.87860298</v>
      </c>
      <c r="D1567" s="198" t="s">
        <v>4429</v>
      </c>
      <c r="E1567" s="198" t="s">
        <v>4430</v>
      </c>
    </row>
    <row r="1568" spans="1:5">
      <c r="A1568" s="198">
        <v>562386004</v>
      </c>
      <c r="B1568" s="198">
        <v>753352087.87895894</v>
      </c>
      <c r="D1568" s="198" t="s">
        <v>4431</v>
      </c>
      <c r="E1568" s="198" t="s">
        <v>4432</v>
      </c>
    </row>
    <row r="1569" spans="1:5">
      <c r="A1569" s="198">
        <v>562540808</v>
      </c>
      <c r="B1569" s="198">
        <v>753506891.88063097</v>
      </c>
      <c r="D1569" s="198" t="s">
        <v>4433</v>
      </c>
      <c r="E1569" s="198" t="s">
        <v>4434</v>
      </c>
    </row>
    <row r="1570" spans="1:5">
      <c r="A1570" s="198">
        <v>562627199</v>
      </c>
      <c r="B1570" s="198">
        <v>753593282.88156199</v>
      </c>
      <c r="D1570" s="198" t="s">
        <v>4435</v>
      </c>
      <c r="E1570" s="198" t="s">
        <v>4436</v>
      </c>
    </row>
    <row r="1571" spans="1:5">
      <c r="A1571" s="198">
        <v>562695606</v>
      </c>
      <c r="B1571" s="198">
        <v>753661689.88232601</v>
      </c>
      <c r="D1571" s="198" t="s">
        <v>4437</v>
      </c>
      <c r="E1571" s="198" t="s">
        <v>4438</v>
      </c>
    </row>
    <row r="1572" spans="1:5">
      <c r="A1572" s="198">
        <v>562799976</v>
      </c>
      <c r="B1572" s="198">
        <v>753766059.88344097</v>
      </c>
      <c r="D1572" s="198" t="s">
        <v>4439</v>
      </c>
      <c r="E1572" s="198" t="s">
        <v>4440</v>
      </c>
    </row>
    <row r="1573" spans="1:5">
      <c r="A1573" s="198">
        <v>562886368</v>
      </c>
      <c r="B1573" s="198">
        <v>753852451.88436997</v>
      </c>
      <c r="D1573" s="198" t="s">
        <v>4441</v>
      </c>
      <c r="E1573" s="198" t="s">
        <v>4442</v>
      </c>
    </row>
    <row r="1574" spans="1:5">
      <c r="A1574" s="198">
        <v>562943954</v>
      </c>
      <c r="B1574" s="198">
        <v>753910037.884969</v>
      </c>
      <c r="D1574" s="198" t="s">
        <v>4443</v>
      </c>
      <c r="E1574" s="198" t="s">
        <v>4444</v>
      </c>
    </row>
    <row r="1575" spans="1:5">
      <c r="A1575" s="198">
        <v>563041185</v>
      </c>
      <c r="B1575" s="198">
        <v>754007268.88602996</v>
      </c>
      <c r="D1575" s="198" t="s">
        <v>4445</v>
      </c>
      <c r="E1575" s="198" t="s">
        <v>4446</v>
      </c>
    </row>
    <row r="1576" spans="1:5">
      <c r="A1576" s="198">
        <v>563145531</v>
      </c>
      <c r="B1576" s="198">
        <v>754111614.88714802</v>
      </c>
      <c r="D1576" s="198" t="s">
        <v>4447</v>
      </c>
      <c r="E1576" s="198" t="s">
        <v>4448</v>
      </c>
    </row>
    <row r="1577" spans="1:5">
      <c r="A1577" s="198">
        <v>563224721</v>
      </c>
      <c r="B1577" s="198">
        <v>754190804.88798797</v>
      </c>
      <c r="D1577" s="198" t="s">
        <v>4449</v>
      </c>
      <c r="E1577" s="198" t="s">
        <v>4450</v>
      </c>
    </row>
    <row r="1578" spans="1:5">
      <c r="A1578" s="198">
        <v>563318315</v>
      </c>
      <c r="B1578" s="198">
        <v>754284398.88899505</v>
      </c>
      <c r="D1578" s="198" t="s">
        <v>4451</v>
      </c>
      <c r="E1578" s="198" t="s">
        <v>4452</v>
      </c>
    </row>
    <row r="1579" spans="1:5">
      <c r="A1579" s="198">
        <v>563404699</v>
      </c>
      <c r="B1579" s="198">
        <v>754370782.88993299</v>
      </c>
      <c r="D1579" s="198" t="s">
        <v>4453</v>
      </c>
      <c r="E1579" s="198" t="s">
        <v>4454</v>
      </c>
    </row>
    <row r="1580" spans="1:5">
      <c r="A1580" s="198">
        <v>563433482</v>
      </c>
      <c r="B1580" s="198">
        <v>754399565.89024794</v>
      </c>
      <c r="D1580" s="198" t="s">
        <v>4455</v>
      </c>
      <c r="E1580" s="198" t="s">
        <v>4456</v>
      </c>
    </row>
    <row r="1581" spans="1:5">
      <c r="A1581" s="198">
        <v>563577481</v>
      </c>
      <c r="B1581" s="198">
        <v>754543564.89178896</v>
      </c>
      <c r="D1581" s="198" t="s">
        <v>4457</v>
      </c>
      <c r="E1581" s="198" t="s">
        <v>4458</v>
      </c>
    </row>
    <row r="1582" spans="1:5">
      <c r="A1582" s="198">
        <v>563645913</v>
      </c>
      <c r="B1582" s="198">
        <v>754611996.89252698</v>
      </c>
      <c r="D1582" s="198" t="s">
        <v>4459</v>
      </c>
      <c r="E1582" s="198" t="s">
        <v>4460</v>
      </c>
    </row>
    <row r="1583" spans="1:5">
      <c r="A1583" s="198">
        <v>563750268</v>
      </c>
      <c r="B1583" s="198">
        <v>754716351.89364505</v>
      </c>
      <c r="D1583" s="198" t="s">
        <v>4461</v>
      </c>
      <c r="E1583" s="198" t="s">
        <v>4462</v>
      </c>
    </row>
    <row r="1584" spans="1:5">
      <c r="A1584" s="198">
        <v>563836654</v>
      </c>
      <c r="B1584" s="198">
        <v>754802737.89457297</v>
      </c>
      <c r="D1584" s="198" t="s">
        <v>4463</v>
      </c>
      <c r="E1584" s="198" t="s">
        <v>4464</v>
      </c>
    </row>
    <row r="1585" spans="1:5">
      <c r="A1585" s="198">
        <v>563923043</v>
      </c>
      <c r="B1585" s="198">
        <v>754889126.89549994</v>
      </c>
      <c r="D1585" s="198" t="s">
        <v>4465</v>
      </c>
      <c r="E1585" s="198" t="s">
        <v>4466</v>
      </c>
    </row>
    <row r="1586" spans="1:5">
      <c r="A1586" s="198">
        <v>563987871</v>
      </c>
      <c r="B1586" s="198">
        <v>754953954.89619505</v>
      </c>
      <c r="D1586" s="198" t="s">
        <v>4467</v>
      </c>
      <c r="E1586" s="198" t="s">
        <v>4468</v>
      </c>
    </row>
    <row r="1587" spans="1:5">
      <c r="A1587" s="198">
        <v>564095833</v>
      </c>
      <c r="B1587" s="198">
        <v>755061916.89734101</v>
      </c>
      <c r="D1587" s="198" t="s">
        <v>4469</v>
      </c>
      <c r="E1587" s="198" t="s">
        <v>4470</v>
      </c>
    </row>
    <row r="1588" spans="1:5">
      <c r="A1588" s="198">
        <v>564182225</v>
      </c>
      <c r="B1588" s="198">
        <v>755148308.89826298</v>
      </c>
      <c r="D1588" s="198" t="s">
        <v>4471</v>
      </c>
      <c r="E1588" s="198" t="s">
        <v>4472</v>
      </c>
    </row>
    <row r="1589" spans="1:5">
      <c r="A1589" s="198">
        <v>564218357</v>
      </c>
      <c r="B1589" s="198">
        <v>755184440.898664</v>
      </c>
      <c r="D1589" s="198" t="s">
        <v>4473</v>
      </c>
      <c r="E1589" s="198" t="s">
        <v>4474</v>
      </c>
    </row>
    <row r="1590" spans="1:5">
      <c r="A1590" s="198">
        <v>564355008</v>
      </c>
      <c r="B1590" s="198">
        <v>755321091.90011799</v>
      </c>
      <c r="D1590" s="198" t="s">
        <v>4475</v>
      </c>
      <c r="E1590" s="198" t="s">
        <v>4476</v>
      </c>
    </row>
    <row r="1591" spans="1:5">
      <c r="A1591" s="198">
        <v>564441405</v>
      </c>
      <c r="B1591" s="198">
        <v>755407488.90103996</v>
      </c>
      <c r="D1591" s="198" t="s">
        <v>4477</v>
      </c>
      <c r="E1591" s="198" t="s">
        <v>4478</v>
      </c>
    </row>
    <row r="1592" spans="1:5">
      <c r="A1592" s="198">
        <v>564506227</v>
      </c>
      <c r="B1592" s="198">
        <v>755472310.90174103</v>
      </c>
      <c r="D1592" s="198" t="s">
        <v>4479</v>
      </c>
      <c r="E1592" s="198" t="s">
        <v>4480</v>
      </c>
    </row>
    <row r="1593" spans="1:5">
      <c r="A1593" s="198">
        <v>564606979</v>
      </c>
      <c r="B1593" s="198">
        <v>755573062.90279996</v>
      </c>
      <c r="D1593" s="198" t="s">
        <v>4481</v>
      </c>
      <c r="E1593" s="198" t="s">
        <v>4482</v>
      </c>
    </row>
    <row r="1594" spans="1:5">
      <c r="A1594" s="198">
        <v>564700576</v>
      </c>
      <c r="B1594" s="198">
        <v>755666659.90382302</v>
      </c>
      <c r="D1594" s="198" t="s">
        <v>4483</v>
      </c>
      <c r="E1594" s="198" t="s">
        <v>4484</v>
      </c>
    </row>
    <row r="1595" spans="1:5">
      <c r="A1595" s="198">
        <v>564707793</v>
      </c>
      <c r="B1595" s="198">
        <v>755673876.90390003</v>
      </c>
      <c r="D1595" s="198" t="s">
        <v>4485</v>
      </c>
      <c r="E1595" s="198" t="s">
        <v>4486</v>
      </c>
    </row>
    <row r="1596" spans="1:5">
      <c r="A1596" s="198">
        <v>564840958</v>
      </c>
      <c r="B1596" s="198">
        <v>755807041.90530598</v>
      </c>
      <c r="D1596" s="198" t="s">
        <v>4487</v>
      </c>
      <c r="E1596" s="198" t="s">
        <v>4488</v>
      </c>
    </row>
    <row r="1597" spans="1:5">
      <c r="A1597" s="198">
        <v>564938179</v>
      </c>
      <c r="B1597" s="198">
        <v>755904262.90635097</v>
      </c>
      <c r="D1597" s="198" t="s">
        <v>4489</v>
      </c>
      <c r="E1597" s="198" t="s">
        <v>4490</v>
      </c>
    </row>
    <row r="1598" spans="1:5">
      <c r="A1598" s="198">
        <v>565020984</v>
      </c>
      <c r="B1598" s="198">
        <v>755987067.90724194</v>
      </c>
      <c r="D1598" s="198" t="s">
        <v>4491</v>
      </c>
      <c r="E1598" s="198" t="s">
        <v>4492</v>
      </c>
    </row>
    <row r="1599" spans="1:5">
      <c r="A1599" s="198">
        <v>565107365</v>
      </c>
      <c r="B1599" s="198">
        <v>756073448.90815401</v>
      </c>
      <c r="D1599" s="198" t="s">
        <v>4493</v>
      </c>
      <c r="E1599" s="198" t="s">
        <v>4494</v>
      </c>
    </row>
    <row r="1600" spans="1:5">
      <c r="A1600" s="198">
        <v>565211728</v>
      </c>
      <c r="B1600" s="198">
        <v>756177811.909271</v>
      </c>
      <c r="D1600" s="198" t="s">
        <v>4495</v>
      </c>
      <c r="E1600" s="198" t="s">
        <v>4496</v>
      </c>
    </row>
    <row r="1601" spans="1:5">
      <c r="A1601" s="198">
        <v>565298115</v>
      </c>
      <c r="B1601" s="198">
        <v>756264198.91018701</v>
      </c>
      <c r="D1601" s="198" t="s">
        <v>4497</v>
      </c>
      <c r="E1601" s="198" t="s">
        <v>4498</v>
      </c>
    </row>
    <row r="1602" spans="1:5">
      <c r="A1602" s="198">
        <v>565424118</v>
      </c>
      <c r="B1602" s="198">
        <v>756390201.91154802</v>
      </c>
      <c r="D1602" s="198" t="s">
        <v>4499</v>
      </c>
      <c r="E1602" s="198" t="s">
        <v>4500</v>
      </c>
    </row>
    <row r="1603" spans="1:5">
      <c r="A1603" s="198">
        <v>565557298</v>
      </c>
      <c r="B1603" s="198">
        <v>756523381.91296399</v>
      </c>
      <c r="D1603" s="198" t="s">
        <v>4501</v>
      </c>
      <c r="E1603" s="198" t="s">
        <v>4502</v>
      </c>
    </row>
    <row r="1604" spans="1:5">
      <c r="A1604" s="198">
        <v>565625714</v>
      </c>
      <c r="B1604" s="198">
        <v>756591797.91368997</v>
      </c>
      <c r="D1604" s="198" t="s">
        <v>4503</v>
      </c>
      <c r="E1604" s="198" t="s">
        <v>4504</v>
      </c>
    </row>
    <row r="1605" spans="1:5">
      <c r="A1605" s="198">
        <v>565737292</v>
      </c>
      <c r="B1605" s="198">
        <v>756703375.91488802</v>
      </c>
      <c r="D1605" s="198" t="s">
        <v>4505</v>
      </c>
      <c r="E1605" s="198" t="s">
        <v>4506</v>
      </c>
    </row>
    <row r="1606" spans="1:5">
      <c r="A1606" s="198">
        <v>565823693</v>
      </c>
      <c r="B1606" s="198">
        <v>756789776.91581202</v>
      </c>
      <c r="D1606" s="198" t="s">
        <v>4507</v>
      </c>
      <c r="E1606" s="198" t="s">
        <v>4508</v>
      </c>
    </row>
    <row r="1607" spans="1:5">
      <c r="A1607" s="198">
        <v>565852485</v>
      </c>
      <c r="B1607" s="198">
        <v>756818568.91612601</v>
      </c>
      <c r="D1607" s="198" t="s">
        <v>4509</v>
      </c>
      <c r="E1607" s="198" t="s">
        <v>4510</v>
      </c>
    </row>
    <row r="1608" spans="1:5">
      <c r="A1608" s="198">
        <v>565971304</v>
      </c>
      <c r="B1608" s="198">
        <v>756937387.91738904</v>
      </c>
      <c r="D1608" s="198" t="s">
        <v>4511</v>
      </c>
      <c r="E1608" s="198" t="s">
        <v>4512</v>
      </c>
    </row>
    <row r="1609" spans="1:5">
      <c r="A1609" s="198">
        <v>566082873</v>
      </c>
      <c r="B1609" s="198">
        <v>757048956.918576</v>
      </c>
      <c r="D1609" s="198" t="s">
        <v>4513</v>
      </c>
      <c r="E1609" s="198" t="s">
        <v>4514</v>
      </c>
    </row>
    <row r="1610" spans="1:5">
      <c r="A1610" s="198">
        <v>566169296</v>
      </c>
      <c r="B1610" s="198">
        <v>757135379.919505</v>
      </c>
      <c r="D1610" s="198" t="s">
        <v>4515</v>
      </c>
      <c r="E1610" s="198" t="s">
        <v>4516</v>
      </c>
    </row>
    <row r="1611" spans="1:5">
      <c r="A1611" s="198">
        <v>566216046</v>
      </c>
      <c r="B1611" s="198">
        <v>757182129.91997194</v>
      </c>
      <c r="D1611" s="198" t="s">
        <v>4517</v>
      </c>
      <c r="E1611" s="198" t="s">
        <v>4518</v>
      </c>
    </row>
    <row r="1612" spans="1:5">
      <c r="A1612" s="198">
        <v>566342075</v>
      </c>
      <c r="B1612" s="198">
        <v>757308158.92135298</v>
      </c>
      <c r="D1612" s="198" t="s">
        <v>4519</v>
      </c>
      <c r="E1612" s="198" t="s">
        <v>4520</v>
      </c>
    </row>
    <row r="1613" spans="1:5">
      <c r="A1613" s="198">
        <v>566428494</v>
      </c>
      <c r="B1613" s="198">
        <v>757394577.92227602</v>
      </c>
      <c r="D1613" s="198" t="s">
        <v>4521</v>
      </c>
      <c r="E1613" s="198" t="s">
        <v>4522</v>
      </c>
    </row>
    <row r="1614" spans="1:5">
      <c r="A1614" s="198">
        <v>566514890</v>
      </c>
      <c r="B1614" s="198">
        <v>757480973.92318904</v>
      </c>
      <c r="D1614" s="198" t="s">
        <v>4523</v>
      </c>
      <c r="E1614" s="198" t="s">
        <v>4524</v>
      </c>
    </row>
    <row r="1615" spans="1:5">
      <c r="A1615" s="198">
        <v>566601226</v>
      </c>
      <c r="B1615" s="198">
        <v>757567309.92408395</v>
      </c>
      <c r="D1615" s="198" t="s">
        <v>4525</v>
      </c>
      <c r="E1615" s="198" t="s">
        <v>4526</v>
      </c>
    </row>
    <row r="1616" spans="1:5">
      <c r="A1616" s="198">
        <v>566622809</v>
      </c>
      <c r="B1616" s="198">
        <v>757588892.92434502</v>
      </c>
      <c r="D1616" s="198" t="s">
        <v>4527</v>
      </c>
      <c r="E1616" s="198" t="s">
        <v>4528</v>
      </c>
    </row>
    <row r="1617" spans="1:5">
      <c r="A1617" s="198">
        <v>566774015</v>
      </c>
      <c r="B1617" s="198">
        <v>757740098.92592502</v>
      </c>
      <c r="D1617" s="198" t="s">
        <v>4529</v>
      </c>
      <c r="E1617" s="198" t="s">
        <v>4530</v>
      </c>
    </row>
    <row r="1618" spans="1:5">
      <c r="A1618" s="198">
        <v>566817213</v>
      </c>
      <c r="B1618" s="198">
        <v>757783296.92639899</v>
      </c>
      <c r="D1618" s="198" t="s">
        <v>4531</v>
      </c>
      <c r="E1618" s="198" t="s">
        <v>4532</v>
      </c>
    </row>
    <row r="1619" spans="1:5">
      <c r="A1619" s="198">
        <v>566946858</v>
      </c>
      <c r="B1619" s="198">
        <v>757912941.92780805</v>
      </c>
      <c r="D1619" s="198" t="s">
        <v>4533</v>
      </c>
      <c r="E1619" s="198" t="s">
        <v>4534</v>
      </c>
    </row>
    <row r="1620" spans="1:5">
      <c r="A1620" s="198">
        <v>567033260</v>
      </c>
      <c r="B1620" s="198">
        <v>757999343.92873597</v>
      </c>
      <c r="D1620" s="198" t="s">
        <v>4535</v>
      </c>
      <c r="E1620" s="198" t="s">
        <v>4536</v>
      </c>
    </row>
    <row r="1621" spans="1:5">
      <c r="A1621" s="198">
        <v>567148408</v>
      </c>
      <c r="B1621" s="198">
        <v>758114491.92996299</v>
      </c>
      <c r="D1621" s="198" t="s">
        <v>4537</v>
      </c>
      <c r="E1621" s="198" t="s">
        <v>4538</v>
      </c>
    </row>
    <row r="1622" spans="1:5">
      <c r="A1622" s="198">
        <v>567350040</v>
      </c>
      <c r="B1622" s="198">
        <v>758316123.93210101</v>
      </c>
      <c r="D1622" s="198" t="s">
        <v>4539</v>
      </c>
      <c r="E1622" s="198" t="s">
        <v>4540</v>
      </c>
    </row>
    <row r="1623" spans="1:5">
      <c r="A1623" s="198">
        <v>567436439</v>
      </c>
      <c r="B1623" s="198">
        <v>758402522.93301201</v>
      </c>
      <c r="D1623" s="198" t="s">
        <v>4541</v>
      </c>
      <c r="E1623" s="198" t="s">
        <v>4542</v>
      </c>
    </row>
    <row r="1624" spans="1:5">
      <c r="A1624" s="198">
        <v>567522837</v>
      </c>
      <c r="B1624" s="198">
        <v>758488920.93391597</v>
      </c>
      <c r="D1624" s="198" t="s">
        <v>4543</v>
      </c>
      <c r="E1624" s="198" t="s">
        <v>4544</v>
      </c>
    </row>
    <row r="1625" spans="1:5">
      <c r="A1625" s="198">
        <v>567594779</v>
      </c>
      <c r="B1625" s="198">
        <v>758560862.93466794</v>
      </c>
      <c r="D1625" s="198" t="s">
        <v>4545</v>
      </c>
      <c r="E1625" s="198" t="s">
        <v>4546</v>
      </c>
    </row>
    <row r="1626" spans="1:5">
      <c r="A1626" s="198">
        <v>567717186</v>
      </c>
      <c r="B1626" s="198">
        <v>758683269.93598497</v>
      </c>
      <c r="D1626" s="198" t="s">
        <v>4547</v>
      </c>
      <c r="E1626" s="198" t="s">
        <v>4548</v>
      </c>
    </row>
    <row r="1627" spans="1:5">
      <c r="A1627" s="198">
        <v>567778406</v>
      </c>
      <c r="B1627" s="198">
        <v>758744489.93662596</v>
      </c>
      <c r="D1627" s="198" t="s">
        <v>4549</v>
      </c>
      <c r="E1627" s="198" t="s">
        <v>4550</v>
      </c>
    </row>
    <row r="1628" spans="1:5">
      <c r="A1628" s="198">
        <v>567835984</v>
      </c>
      <c r="B1628" s="198">
        <v>758802067.93725598</v>
      </c>
      <c r="D1628" s="198" t="s">
        <v>4551</v>
      </c>
      <c r="E1628" s="198" t="s">
        <v>4552</v>
      </c>
    </row>
    <row r="1629" spans="1:5">
      <c r="A1629" s="198">
        <v>567951194</v>
      </c>
      <c r="B1629" s="198">
        <v>758917277.93847597</v>
      </c>
      <c r="D1629" s="198" t="s">
        <v>4553</v>
      </c>
      <c r="E1629" s="198" t="s">
        <v>4554</v>
      </c>
    </row>
    <row r="1630" spans="1:5">
      <c r="A1630" s="198">
        <v>568033979</v>
      </c>
      <c r="B1630" s="198">
        <v>759000062.93935704</v>
      </c>
      <c r="D1630" s="198" t="s">
        <v>4555</v>
      </c>
      <c r="E1630" s="198" t="s">
        <v>4556</v>
      </c>
    </row>
    <row r="1631" spans="1:5">
      <c r="A1631" s="198">
        <v>568134845</v>
      </c>
      <c r="B1631" s="198">
        <v>759100928.94039404</v>
      </c>
      <c r="D1631" s="198" t="s">
        <v>4557</v>
      </c>
      <c r="E1631" s="198" t="s">
        <v>4558</v>
      </c>
    </row>
    <row r="1632" spans="1:5">
      <c r="A1632" s="198">
        <v>568239210</v>
      </c>
      <c r="B1632" s="198">
        <v>759205293.94154596</v>
      </c>
      <c r="D1632" s="198" t="s">
        <v>4559</v>
      </c>
      <c r="E1632" s="198" t="s">
        <v>4560</v>
      </c>
    </row>
    <row r="1633" spans="1:5">
      <c r="A1633" s="198">
        <v>568325560</v>
      </c>
      <c r="B1633" s="198">
        <v>759291643.94242799</v>
      </c>
      <c r="D1633" s="198" t="s">
        <v>4561</v>
      </c>
      <c r="E1633" s="198" t="s">
        <v>4562</v>
      </c>
    </row>
    <row r="1634" spans="1:5">
      <c r="A1634" s="198">
        <v>568415558</v>
      </c>
      <c r="B1634" s="198">
        <v>759381641.94339097</v>
      </c>
      <c r="D1634" s="198" t="s">
        <v>4563</v>
      </c>
      <c r="E1634" s="198" t="s">
        <v>4564</v>
      </c>
    </row>
    <row r="1635" spans="1:5">
      <c r="A1635" s="198">
        <v>568426337</v>
      </c>
      <c r="B1635" s="198">
        <v>759392420.94352305</v>
      </c>
      <c r="D1635" s="198" t="s">
        <v>4565</v>
      </c>
      <c r="E1635" s="198" t="s">
        <v>4566</v>
      </c>
    </row>
    <row r="1636" spans="1:5">
      <c r="A1636" s="198">
        <v>568588355</v>
      </c>
      <c r="B1636" s="198">
        <v>759554438.94522703</v>
      </c>
      <c r="D1636" s="198" t="s">
        <v>4567</v>
      </c>
      <c r="E1636" s="198" t="s">
        <v>4568</v>
      </c>
    </row>
    <row r="1637" spans="1:5">
      <c r="A1637" s="198">
        <v>568671212</v>
      </c>
      <c r="B1637" s="198">
        <v>759637295.94615102</v>
      </c>
      <c r="D1637" s="198" t="s">
        <v>4569</v>
      </c>
      <c r="E1637" s="198" t="s">
        <v>4570</v>
      </c>
    </row>
    <row r="1638" spans="1:5">
      <c r="A1638" s="198">
        <v>568728804</v>
      </c>
      <c r="B1638" s="198">
        <v>759694887.94675505</v>
      </c>
      <c r="D1638" s="198" t="s">
        <v>4571</v>
      </c>
      <c r="E1638" s="198" t="s">
        <v>4572</v>
      </c>
    </row>
    <row r="1639" spans="1:5">
      <c r="A1639" s="198">
        <v>568840389</v>
      </c>
      <c r="B1639" s="198">
        <v>759806472.94795096</v>
      </c>
      <c r="D1639" s="198" t="s">
        <v>4573</v>
      </c>
      <c r="E1639" s="198" t="s">
        <v>4574</v>
      </c>
    </row>
    <row r="1640" spans="1:5">
      <c r="A1640" s="198">
        <v>568926785</v>
      </c>
      <c r="B1640" s="198">
        <v>759892868.94887304</v>
      </c>
      <c r="D1640" s="198" t="s">
        <v>4575</v>
      </c>
      <c r="E1640" s="198" t="s">
        <v>4576</v>
      </c>
    </row>
    <row r="1641" spans="1:5">
      <c r="A1641" s="198">
        <v>568955546</v>
      </c>
      <c r="B1641" s="198">
        <v>759921629.94916999</v>
      </c>
      <c r="D1641" s="198" t="s">
        <v>4577</v>
      </c>
      <c r="E1641" s="198" t="s">
        <v>4578</v>
      </c>
    </row>
    <row r="1642" spans="1:5">
      <c r="A1642" s="198">
        <v>569034731</v>
      </c>
      <c r="B1642" s="198">
        <v>760000814.950019</v>
      </c>
      <c r="D1642" s="198" t="s">
        <v>4579</v>
      </c>
      <c r="E1642" s="198" t="s">
        <v>4580</v>
      </c>
    </row>
    <row r="1643" spans="1:5">
      <c r="A1643" s="198">
        <v>569232747</v>
      </c>
      <c r="B1643" s="198">
        <v>760198830.95211196</v>
      </c>
      <c r="D1643" s="198" t="s">
        <v>4581</v>
      </c>
      <c r="E1643" s="198" t="s">
        <v>4582</v>
      </c>
    </row>
    <row r="1644" spans="1:5">
      <c r="A1644" s="198">
        <v>569365953</v>
      </c>
      <c r="B1644" s="198">
        <v>760332036.95353496</v>
      </c>
      <c r="D1644" s="198" t="s">
        <v>4583</v>
      </c>
      <c r="E1644" s="198" t="s">
        <v>4584</v>
      </c>
    </row>
    <row r="1645" spans="1:5">
      <c r="A1645" s="198">
        <v>569416399</v>
      </c>
      <c r="B1645" s="198">
        <v>760382482.95409501</v>
      </c>
      <c r="D1645" s="198" t="s">
        <v>4585</v>
      </c>
      <c r="E1645" s="198" t="s">
        <v>4586</v>
      </c>
    </row>
    <row r="1646" spans="1:5">
      <c r="A1646" s="198">
        <v>569531608</v>
      </c>
      <c r="B1646" s="198">
        <v>760497691.95531595</v>
      </c>
      <c r="D1646" s="198" t="s">
        <v>4587</v>
      </c>
      <c r="E1646" s="198" t="s">
        <v>4588</v>
      </c>
    </row>
    <row r="1647" spans="1:5">
      <c r="A1647" s="198">
        <v>569560369</v>
      </c>
      <c r="B1647" s="198">
        <v>760526452.95562601</v>
      </c>
      <c r="D1647" s="198" t="s">
        <v>4589</v>
      </c>
      <c r="E1647" s="198" t="s">
        <v>4590</v>
      </c>
    </row>
    <row r="1648" spans="1:5">
      <c r="A1648" s="198">
        <v>569797956</v>
      </c>
      <c r="B1648" s="198">
        <v>760764039.95813704</v>
      </c>
      <c r="D1648" s="198" t="s">
        <v>4591</v>
      </c>
      <c r="E1648" s="198" t="s">
        <v>4592</v>
      </c>
    </row>
    <row r="1649" spans="1:5">
      <c r="A1649" s="198">
        <v>569884358</v>
      </c>
      <c r="B1649" s="198">
        <v>760850441.95907295</v>
      </c>
      <c r="D1649" s="198" t="s">
        <v>4593</v>
      </c>
      <c r="E1649" s="198" t="s">
        <v>4594</v>
      </c>
    </row>
    <row r="1650" spans="1:5">
      <c r="A1650" s="198">
        <v>569963598</v>
      </c>
      <c r="B1650" s="198">
        <v>760929681.95993805</v>
      </c>
      <c r="D1650" s="198" t="s">
        <v>4595</v>
      </c>
      <c r="E1650" s="198" t="s">
        <v>4596</v>
      </c>
    </row>
    <row r="1651" spans="1:5">
      <c r="A1651" s="198">
        <v>569988749</v>
      </c>
      <c r="B1651" s="198">
        <v>760954832.96021795</v>
      </c>
      <c r="D1651" s="198" t="s">
        <v>4597</v>
      </c>
      <c r="E1651" s="198" t="s">
        <v>4598</v>
      </c>
    </row>
    <row r="1652" spans="1:5">
      <c r="A1652" s="198">
        <v>570107605</v>
      </c>
      <c r="B1652" s="198">
        <v>761073688.96148098</v>
      </c>
      <c r="D1652" s="198" t="s">
        <v>4599</v>
      </c>
      <c r="E1652" s="198" t="s">
        <v>4600</v>
      </c>
    </row>
    <row r="1653" spans="1:5">
      <c r="A1653" s="198">
        <v>570194006</v>
      </c>
      <c r="B1653" s="198">
        <v>761160089.96240199</v>
      </c>
      <c r="D1653" s="198" t="s">
        <v>4601</v>
      </c>
      <c r="E1653" s="198" t="s">
        <v>4602</v>
      </c>
    </row>
    <row r="1654" spans="1:5">
      <c r="A1654" s="198">
        <v>570247960</v>
      </c>
      <c r="B1654" s="198">
        <v>761214043.96298695</v>
      </c>
      <c r="D1654" s="198" t="s">
        <v>4603</v>
      </c>
      <c r="E1654" s="198" t="s">
        <v>4604</v>
      </c>
    </row>
    <row r="1655" spans="1:5">
      <c r="A1655" s="198">
        <v>570359644</v>
      </c>
      <c r="B1655" s="198">
        <v>761325727.96417606</v>
      </c>
      <c r="D1655" s="198" t="s">
        <v>4605</v>
      </c>
      <c r="E1655" s="198" t="s">
        <v>4606</v>
      </c>
    </row>
    <row r="1656" spans="1:5">
      <c r="A1656" s="198">
        <v>570489162</v>
      </c>
      <c r="B1656" s="198">
        <v>761455245.965554</v>
      </c>
      <c r="D1656" s="198" t="s">
        <v>4607</v>
      </c>
      <c r="E1656" s="198" t="s">
        <v>4608</v>
      </c>
    </row>
    <row r="1657" spans="1:5">
      <c r="A1657" s="198">
        <v>570575561</v>
      </c>
      <c r="B1657" s="198">
        <v>761541644.966465</v>
      </c>
      <c r="D1657" s="198" t="s">
        <v>4609</v>
      </c>
      <c r="E1657" s="198" t="s">
        <v>4610</v>
      </c>
    </row>
    <row r="1658" spans="1:5">
      <c r="A1658" s="198">
        <v>570651163</v>
      </c>
      <c r="B1658" s="198">
        <v>761617246.96725798</v>
      </c>
      <c r="D1658" s="198" t="s">
        <v>4611</v>
      </c>
      <c r="E1658" s="198" t="s">
        <v>4612</v>
      </c>
    </row>
    <row r="1659" spans="1:5">
      <c r="A1659" s="198">
        <v>570823968</v>
      </c>
      <c r="B1659" s="198">
        <v>761790051.96912003</v>
      </c>
      <c r="D1659" s="198" t="s">
        <v>4613</v>
      </c>
      <c r="E1659" s="198" t="s">
        <v>4614</v>
      </c>
    </row>
    <row r="1660" spans="1:5">
      <c r="A1660" s="198">
        <v>570921181</v>
      </c>
      <c r="B1660" s="198">
        <v>761887264.97018099</v>
      </c>
      <c r="D1660" s="198" t="s">
        <v>4615</v>
      </c>
      <c r="E1660" s="198" t="s">
        <v>4616</v>
      </c>
    </row>
    <row r="1661" spans="1:5">
      <c r="A1661" s="198">
        <v>571007576</v>
      </c>
      <c r="B1661" s="198">
        <v>761973659.97111595</v>
      </c>
      <c r="D1661" s="198" t="s">
        <v>4617</v>
      </c>
      <c r="E1661" s="198" t="s">
        <v>4618</v>
      </c>
    </row>
    <row r="1662" spans="1:5">
      <c r="A1662" s="198">
        <v>571079708</v>
      </c>
      <c r="B1662" s="198">
        <v>762045791.97184396</v>
      </c>
      <c r="D1662" s="198" t="s">
        <v>4619</v>
      </c>
      <c r="E1662" s="198" t="s">
        <v>4620</v>
      </c>
    </row>
    <row r="1663" spans="1:5">
      <c r="A1663" s="198">
        <v>571140824</v>
      </c>
      <c r="B1663" s="198">
        <v>762106907.97255898</v>
      </c>
      <c r="D1663" s="198" t="s">
        <v>4621</v>
      </c>
      <c r="E1663" s="198" t="s">
        <v>4622</v>
      </c>
    </row>
    <row r="1664" spans="1:5">
      <c r="A1664" s="198">
        <v>571266777</v>
      </c>
      <c r="B1664" s="198">
        <v>762232860.97388697</v>
      </c>
      <c r="D1664" s="198" t="s">
        <v>4623</v>
      </c>
      <c r="E1664" s="198" t="s">
        <v>4624</v>
      </c>
    </row>
    <row r="1665" spans="1:5">
      <c r="A1665" s="198">
        <v>571309995</v>
      </c>
      <c r="B1665" s="198">
        <v>762276078.974383</v>
      </c>
      <c r="D1665" s="198" t="s">
        <v>4625</v>
      </c>
      <c r="E1665" s="198" t="s">
        <v>4626</v>
      </c>
    </row>
    <row r="1666" spans="1:5">
      <c r="A1666" s="198">
        <v>571439584</v>
      </c>
      <c r="B1666" s="198">
        <v>762405667.97576201</v>
      </c>
      <c r="D1666" s="198" t="s">
        <v>4627</v>
      </c>
      <c r="E1666" s="198" t="s">
        <v>4628</v>
      </c>
    </row>
    <row r="1667" spans="1:5">
      <c r="A1667" s="198">
        <v>571522387</v>
      </c>
      <c r="B1667" s="198">
        <v>762488470.97663403</v>
      </c>
      <c r="D1667" s="198" t="s">
        <v>4629</v>
      </c>
      <c r="E1667" s="198" t="s">
        <v>4630</v>
      </c>
    </row>
    <row r="1668" spans="1:5">
      <c r="A1668" s="198">
        <v>571572827</v>
      </c>
      <c r="B1668" s="198">
        <v>762538910.97721195</v>
      </c>
      <c r="D1668" s="198" t="s">
        <v>4631</v>
      </c>
      <c r="E1668" s="198" t="s">
        <v>4632</v>
      </c>
    </row>
    <row r="1669" spans="1:5">
      <c r="A1669" s="198">
        <v>571698793</v>
      </c>
      <c r="B1669" s="198">
        <v>762664876.97855306</v>
      </c>
      <c r="D1669" s="198" t="s">
        <v>4633</v>
      </c>
      <c r="E1669" s="198" t="s">
        <v>4634</v>
      </c>
    </row>
    <row r="1670" spans="1:5">
      <c r="A1670" s="198">
        <v>571785197</v>
      </c>
      <c r="B1670" s="198">
        <v>762751280.97947395</v>
      </c>
      <c r="D1670" s="198" t="s">
        <v>4635</v>
      </c>
      <c r="E1670" s="198" t="s">
        <v>4636</v>
      </c>
    </row>
    <row r="1671" spans="1:5">
      <c r="A1671" s="198">
        <v>571860801</v>
      </c>
      <c r="B1671" s="198">
        <v>762826884.98028696</v>
      </c>
      <c r="D1671" s="198" t="s">
        <v>4637</v>
      </c>
      <c r="E1671" s="198" t="s">
        <v>4638</v>
      </c>
    </row>
    <row r="1672" spans="1:5">
      <c r="A1672" s="198">
        <v>571943601</v>
      </c>
      <c r="B1672" s="198">
        <v>762909684.98116803</v>
      </c>
      <c r="D1672" s="198" t="s">
        <v>4639</v>
      </c>
      <c r="E1672" s="198" t="s">
        <v>4640</v>
      </c>
    </row>
    <row r="1673" spans="1:5">
      <c r="A1673" s="198">
        <v>572044410</v>
      </c>
      <c r="B1673" s="198">
        <v>763010493.98228705</v>
      </c>
      <c r="D1673" s="198" t="s">
        <v>4641</v>
      </c>
      <c r="E1673" s="198" t="s">
        <v>4642</v>
      </c>
    </row>
    <row r="1674" spans="1:5">
      <c r="A1674" s="198">
        <v>572130811</v>
      </c>
      <c r="B1674" s="198">
        <v>763096894.98321497</v>
      </c>
      <c r="D1674" s="198" t="s">
        <v>4643</v>
      </c>
      <c r="E1674" s="198" t="s">
        <v>4644</v>
      </c>
    </row>
    <row r="1675" spans="1:5">
      <c r="A1675" s="198">
        <v>572217824</v>
      </c>
      <c r="B1675" s="198">
        <v>763183907.98414397</v>
      </c>
      <c r="D1675" s="198" t="s">
        <v>4645</v>
      </c>
      <c r="E1675" s="198" t="s">
        <v>4646</v>
      </c>
    </row>
    <row r="1676" spans="1:5">
      <c r="A1676" s="198">
        <v>572303613</v>
      </c>
      <c r="B1676" s="198">
        <v>763269696.98506999</v>
      </c>
      <c r="D1676" s="198" t="s">
        <v>4647</v>
      </c>
      <c r="E1676" s="198" t="s">
        <v>4648</v>
      </c>
    </row>
    <row r="1677" spans="1:5">
      <c r="A1677" s="198">
        <v>572391249</v>
      </c>
      <c r="B1677" s="198">
        <v>763357332.98603296</v>
      </c>
      <c r="D1677" s="198" t="s">
        <v>4649</v>
      </c>
      <c r="E1677" s="198" t="s">
        <v>4650</v>
      </c>
    </row>
    <row r="1678" spans="1:5">
      <c r="A1678" s="198">
        <v>572447617</v>
      </c>
      <c r="B1678" s="198">
        <v>763413700.986619</v>
      </c>
      <c r="D1678" s="198" t="s">
        <v>4651</v>
      </c>
      <c r="E1678" s="198" t="s">
        <v>4652</v>
      </c>
    </row>
    <row r="1679" spans="1:5">
      <c r="A1679" s="198">
        <v>572508825</v>
      </c>
      <c r="B1679" s="198">
        <v>763474908.98729503</v>
      </c>
      <c r="D1679" s="198" t="s">
        <v>4653</v>
      </c>
      <c r="E1679" s="198" t="s">
        <v>4654</v>
      </c>
    </row>
    <row r="1680" spans="1:5">
      <c r="A1680" s="198">
        <v>572616827</v>
      </c>
      <c r="B1680" s="198">
        <v>763582910.98845506</v>
      </c>
      <c r="D1680" s="198" t="s">
        <v>4655</v>
      </c>
      <c r="E1680" s="198" t="s">
        <v>4656</v>
      </c>
    </row>
    <row r="1681" spans="1:5">
      <c r="A1681" s="198">
        <v>572674427</v>
      </c>
      <c r="B1681" s="198">
        <v>763640510.98908401</v>
      </c>
      <c r="D1681" s="198" t="s">
        <v>4657</v>
      </c>
      <c r="E1681" s="198" t="s">
        <v>4658</v>
      </c>
    </row>
    <row r="1682" spans="1:5">
      <c r="A1682" s="198">
        <v>572908443</v>
      </c>
      <c r="B1682" s="198">
        <v>763874526.99162602</v>
      </c>
      <c r="D1682" s="198" t="s">
        <v>4659</v>
      </c>
      <c r="E1682" s="198" t="s">
        <v>4660</v>
      </c>
    </row>
    <row r="1683" spans="1:5">
      <c r="A1683" s="198">
        <v>572987649</v>
      </c>
      <c r="B1683" s="198">
        <v>763953732.99248695</v>
      </c>
      <c r="D1683" s="198" t="s">
        <v>4661</v>
      </c>
      <c r="E1683" s="198" t="s">
        <v>4662</v>
      </c>
    </row>
    <row r="1684" spans="1:5">
      <c r="A1684" s="198">
        <v>573045254</v>
      </c>
      <c r="B1684" s="198">
        <v>764011337.99309301</v>
      </c>
      <c r="D1684" s="198" t="s">
        <v>4663</v>
      </c>
      <c r="E1684" s="198" t="s">
        <v>4664</v>
      </c>
    </row>
    <row r="1685" spans="1:5">
      <c r="A1685" s="198">
        <v>573160457</v>
      </c>
      <c r="B1685" s="198">
        <v>764126540.99436104</v>
      </c>
      <c r="D1685" s="198" t="s">
        <v>4665</v>
      </c>
      <c r="E1685" s="198" t="s">
        <v>4666</v>
      </c>
    </row>
    <row r="1686" spans="1:5">
      <c r="A1686" s="198">
        <v>573250457</v>
      </c>
      <c r="B1686" s="198">
        <v>764216540.99533498</v>
      </c>
      <c r="D1686" s="198" t="s">
        <v>4667</v>
      </c>
      <c r="E1686" s="198" t="s">
        <v>4668</v>
      </c>
    </row>
    <row r="1687" spans="1:5">
      <c r="A1687" s="198">
        <v>573426869</v>
      </c>
      <c r="B1687" s="198">
        <v>764392952.99726403</v>
      </c>
      <c r="D1687" s="198" t="s">
        <v>4669</v>
      </c>
      <c r="E1687" s="198" t="s">
        <v>4670</v>
      </c>
    </row>
    <row r="1688" spans="1:5">
      <c r="A1688" s="198">
        <v>573513273</v>
      </c>
      <c r="B1688" s="198">
        <v>764479356.99819803</v>
      </c>
      <c r="D1688" s="198" t="s">
        <v>4671</v>
      </c>
      <c r="E1688" s="198" t="s">
        <v>4672</v>
      </c>
    </row>
    <row r="1689" spans="1:5">
      <c r="A1689" s="198">
        <v>573599676</v>
      </c>
      <c r="B1689" s="198">
        <v>764565759.99915504</v>
      </c>
      <c r="D1689" s="198" t="s">
        <v>4673</v>
      </c>
      <c r="E1689" s="198" t="s">
        <v>4674</v>
      </c>
    </row>
    <row r="1690" spans="1:5">
      <c r="A1690" s="198">
        <v>573650077</v>
      </c>
      <c r="B1690" s="198">
        <v>764616160.99967897</v>
      </c>
      <c r="D1690" s="198" t="s">
        <v>4675</v>
      </c>
      <c r="E1690" s="198" t="s">
        <v>4676</v>
      </c>
    </row>
    <row r="1691" spans="1:5">
      <c r="A1691" s="198">
        <v>573772487</v>
      </c>
      <c r="B1691" s="198">
        <v>764738571.00103498</v>
      </c>
      <c r="D1691" s="198" t="s">
        <v>4677</v>
      </c>
      <c r="E1691" s="198" t="s">
        <v>4678</v>
      </c>
    </row>
    <row r="1692" spans="1:5">
      <c r="A1692" s="198">
        <v>573858889</v>
      </c>
      <c r="B1692" s="198">
        <v>764824973.00197995</v>
      </c>
      <c r="D1692" s="198" t="s">
        <v>4679</v>
      </c>
      <c r="E1692" s="198" t="s">
        <v>4680</v>
      </c>
    </row>
    <row r="1693" spans="1:5">
      <c r="A1693" s="198">
        <v>573912887</v>
      </c>
      <c r="B1693" s="198">
        <v>764878971.00254202</v>
      </c>
      <c r="D1693" s="198" t="s">
        <v>4681</v>
      </c>
      <c r="E1693" s="198" t="s">
        <v>4682</v>
      </c>
    </row>
    <row r="1694" spans="1:5">
      <c r="A1694" s="198">
        <v>574031703</v>
      </c>
      <c r="B1694" s="198">
        <v>764997787.00386596</v>
      </c>
      <c r="D1694" s="198" t="s">
        <v>4683</v>
      </c>
      <c r="E1694" s="198" t="s">
        <v>4684</v>
      </c>
    </row>
    <row r="1695" spans="1:5">
      <c r="A1695" s="198">
        <v>574118108</v>
      </c>
      <c r="B1695" s="198">
        <v>765084192.004807</v>
      </c>
      <c r="D1695" s="198" t="s">
        <v>4685</v>
      </c>
      <c r="E1695" s="198" t="s">
        <v>4686</v>
      </c>
    </row>
    <row r="1696" spans="1:5">
      <c r="A1696" s="198">
        <v>574182901</v>
      </c>
      <c r="B1696" s="198">
        <v>765148985.00547099</v>
      </c>
      <c r="D1696" s="198" t="s">
        <v>4687</v>
      </c>
      <c r="E1696" s="198" t="s">
        <v>4688</v>
      </c>
    </row>
    <row r="1697" spans="1:5">
      <c r="A1697" s="198">
        <v>574280107</v>
      </c>
      <c r="B1697" s="198">
        <v>765246191.00655997</v>
      </c>
      <c r="D1697" s="198" t="s">
        <v>4689</v>
      </c>
      <c r="E1697" s="198" t="s">
        <v>4690</v>
      </c>
    </row>
    <row r="1698" spans="1:5">
      <c r="A1698" s="198">
        <v>574344916</v>
      </c>
      <c r="B1698" s="198">
        <v>765311000.00726104</v>
      </c>
      <c r="D1698" s="198" t="s">
        <v>4691</v>
      </c>
      <c r="E1698" s="198" t="s">
        <v>4692</v>
      </c>
    </row>
    <row r="1699" spans="1:5">
      <c r="A1699" s="198">
        <v>574431321</v>
      </c>
      <c r="B1699" s="198">
        <v>765397405.00822496</v>
      </c>
      <c r="D1699" s="198" t="s">
        <v>4693</v>
      </c>
      <c r="E1699" s="198" t="s">
        <v>4694</v>
      </c>
    </row>
    <row r="1700" spans="1:5">
      <c r="A1700" s="198">
        <v>574535719</v>
      </c>
      <c r="B1700" s="198">
        <v>765501803.00935602</v>
      </c>
      <c r="D1700" s="198" t="s">
        <v>4695</v>
      </c>
      <c r="E1700" s="198" t="s">
        <v>4696</v>
      </c>
    </row>
    <row r="1701" spans="1:5">
      <c r="A1701" s="198">
        <v>574596940</v>
      </c>
      <c r="B1701" s="198">
        <v>765563024.01002097</v>
      </c>
      <c r="D1701" s="198" t="s">
        <v>4697</v>
      </c>
      <c r="E1701" s="198" t="s">
        <v>4698</v>
      </c>
    </row>
    <row r="1702" spans="1:5">
      <c r="A1702" s="198">
        <v>574701381</v>
      </c>
      <c r="B1702" s="198">
        <v>765667465.011199</v>
      </c>
      <c r="D1702" s="198" t="s">
        <v>4699</v>
      </c>
      <c r="E1702" s="198" t="s">
        <v>4700</v>
      </c>
    </row>
    <row r="1703" spans="1:5">
      <c r="A1703" s="198">
        <v>574794933</v>
      </c>
      <c r="B1703" s="198">
        <v>765761017.0122</v>
      </c>
      <c r="D1703" s="198" t="s">
        <v>4701</v>
      </c>
      <c r="E1703" s="198" t="s">
        <v>4702</v>
      </c>
    </row>
    <row r="1704" spans="1:5">
      <c r="A1704" s="198">
        <v>574892140</v>
      </c>
      <c r="B1704" s="198">
        <v>765858224.01327705</v>
      </c>
      <c r="D1704" s="198" t="s">
        <v>4703</v>
      </c>
      <c r="E1704" s="198" t="s">
        <v>4704</v>
      </c>
    </row>
    <row r="1705" spans="1:5">
      <c r="A1705" s="198">
        <v>574953356</v>
      </c>
      <c r="B1705" s="198">
        <v>765919440.013937</v>
      </c>
      <c r="D1705" s="198" t="s">
        <v>4705</v>
      </c>
      <c r="E1705" s="198" t="s">
        <v>4706</v>
      </c>
    </row>
    <row r="1706" spans="1:5">
      <c r="A1706" s="198">
        <v>575003740</v>
      </c>
      <c r="B1706" s="198">
        <v>765969824.01448703</v>
      </c>
      <c r="D1706" s="198" t="s">
        <v>4707</v>
      </c>
      <c r="E1706" s="198" t="s">
        <v>4708</v>
      </c>
    </row>
    <row r="1707" spans="1:5">
      <c r="A1707" s="198">
        <v>575090154</v>
      </c>
      <c r="B1707" s="198">
        <v>766056238.01543999</v>
      </c>
      <c r="D1707" s="198" t="s">
        <v>4709</v>
      </c>
      <c r="E1707" s="198" t="s">
        <v>4710</v>
      </c>
    </row>
    <row r="1708" spans="1:5">
      <c r="A1708" s="198">
        <v>575230564</v>
      </c>
      <c r="B1708" s="198">
        <v>766196648.01698303</v>
      </c>
      <c r="D1708" s="198" t="s">
        <v>4711</v>
      </c>
      <c r="E1708" s="198" t="s">
        <v>4712</v>
      </c>
    </row>
    <row r="1709" spans="1:5">
      <c r="A1709" s="198">
        <v>575273767</v>
      </c>
      <c r="B1709" s="198">
        <v>766239851.01745498</v>
      </c>
      <c r="D1709" s="198" t="s">
        <v>4713</v>
      </c>
      <c r="E1709" s="198" t="s">
        <v>4714</v>
      </c>
    </row>
    <row r="1710" spans="1:5">
      <c r="A1710" s="198">
        <v>575414178</v>
      </c>
      <c r="B1710" s="198">
        <v>766380262.01902103</v>
      </c>
      <c r="D1710" s="198" t="s">
        <v>4715</v>
      </c>
      <c r="E1710" s="198" t="s">
        <v>4716</v>
      </c>
    </row>
    <row r="1711" spans="1:5">
      <c r="A1711" s="198">
        <v>575493376</v>
      </c>
      <c r="B1711" s="198">
        <v>766459460.01987505</v>
      </c>
      <c r="D1711" s="198" t="s">
        <v>4717</v>
      </c>
      <c r="E1711" s="198" t="s">
        <v>4718</v>
      </c>
    </row>
    <row r="1712" spans="1:5">
      <c r="A1712" s="198">
        <v>575576182</v>
      </c>
      <c r="B1712" s="198">
        <v>766542266.02078295</v>
      </c>
      <c r="D1712" s="198" t="s">
        <v>4719</v>
      </c>
      <c r="E1712" s="198" t="s">
        <v>4720</v>
      </c>
    </row>
    <row r="1713" spans="1:5">
      <c r="A1713" s="198">
        <v>575655385</v>
      </c>
      <c r="B1713" s="198">
        <v>766621469.02165103</v>
      </c>
      <c r="D1713" s="198" t="s">
        <v>4721</v>
      </c>
      <c r="E1713" s="198" t="s">
        <v>4722</v>
      </c>
    </row>
    <row r="1714" spans="1:5">
      <c r="A1714" s="198">
        <v>575727382</v>
      </c>
      <c r="B1714" s="198">
        <v>766693466.02245498</v>
      </c>
      <c r="D1714" s="198" t="s">
        <v>4723</v>
      </c>
      <c r="E1714" s="198" t="s">
        <v>4724</v>
      </c>
    </row>
    <row r="1715" spans="1:5">
      <c r="A1715" s="198">
        <v>575846197</v>
      </c>
      <c r="B1715" s="198">
        <v>766812281.02376795</v>
      </c>
      <c r="D1715" s="198" t="s">
        <v>4725</v>
      </c>
      <c r="E1715" s="198" t="s">
        <v>4726</v>
      </c>
    </row>
    <row r="1716" spans="1:5">
      <c r="A1716" s="198">
        <v>575907439</v>
      </c>
      <c r="B1716" s="198">
        <v>766873523.02444994</v>
      </c>
      <c r="D1716" s="198" t="s">
        <v>4727</v>
      </c>
      <c r="E1716" s="198" t="s">
        <v>4728</v>
      </c>
    </row>
    <row r="1717" spans="1:5">
      <c r="A1717" s="198">
        <v>575961402</v>
      </c>
      <c r="B1717" s="198">
        <v>766927486.02504301</v>
      </c>
      <c r="D1717" s="198" t="s">
        <v>4729</v>
      </c>
      <c r="E1717" s="198" t="s">
        <v>4730</v>
      </c>
    </row>
    <row r="1718" spans="1:5">
      <c r="A1718" s="198">
        <v>576098205</v>
      </c>
      <c r="B1718" s="198">
        <v>767064289.02655399</v>
      </c>
      <c r="D1718" s="198" t="s">
        <v>4731</v>
      </c>
      <c r="E1718" s="198" t="s">
        <v>4732</v>
      </c>
    </row>
    <row r="1719" spans="1:5">
      <c r="A1719" s="198">
        <v>576177408</v>
      </c>
      <c r="B1719" s="198">
        <v>767143492.02741206</v>
      </c>
      <c r="D1719" s="198" t="s">
        <v>4733</v>
      </c>
      <c r="E1719" s="198" t="s">
        <v>4734</v>
      </c>
    </row>
    <row r="1720" spans="1:5">
      <c r="A1720" s="198">
        <v>576332225</v>
      </c>
      <c r="B1720" s="198">
        <v>767298309.02913404</v>
      </c>
      <c r="D1720" s="198" t="s">
        <v>4735</v>
      </c>
      <c r="E1720" s="198" t="s">
        <v>4736</v>
      </c>
    </row>
    <row r="1721" spans="1:5">
      <c r="A1721" s="198">
        <v>576451041</v>
      </c>
      <c r="B1721" s="198">
        <v>767417125.03046095</v>
      </c>
      <c r="D1721" s="198" t="s">
        <v>4737</v>
      </c>
      <c r="E1721" s="198" t="s">
        <v>4738</v>
      </c>
    </row>
    <row r="1722" spans="1:5">
      <c r="A1722" s="198">
        <v>576501421</v>
      </c>
      <c r="B1722" s="198">
        <v>767467505.031003</v>
      </c>
      <c r="D1722" s="198" t="s">
        <v>4739</v>
      </c>
      <c r="E1722" s="198" t="s">
        <v>4740</v>
      </c>
    </row>
    <row r="1723" spans="1:5">
      <c r="A1723" s="198">
        <v>576616630</v>
      </c>
      <c r="B1723" s="198">
        <v>767582714.03227901</v>
      </c>
      <c r="D1723" s="198" t="s">
        <v>4741</v>
      </c>
      <c r="E1723" s="198" t="s">
        <v>4742</v>
      </c>
    </row>
    <row r="1724" spans="1:5">
      <c r="A1724" s="198">
        <v>576670627</v>
      </c>
      <c r="B1724" s="198">
        <v>767636711.03285599</v>
      </c>
      <c r="D1724" s="198" t="s">
        <v>4743</v>
      </c>
      <c r="E1724" s="198" t="s">
        <v>4744</v>
      </c>
    </row>
    <row r="1725" spans="1:5">
      <c r="A1725" s="198">
        <v>576731828</v>
      </c>
      <c r="B1725" s="198">
        <v>767697912.03353906</v>
      </c>
      <c r="D1725" s="198" t="s">
        <v>4745</v>
      </c>
      <c r="E1725" s="198" t="s">
        <v>4746</v>
      </c>
    </row>
    <row r="1726" spans="1:5">
      <c r="A1726" s="198">
        <v>576836249</v>
      </c>
      <c r="B1726" s="198">
        <v>767802333.034688</v>
      </c>
      <c r="D1726" s="198" t="s">
        <v>4747</v>
      </c>
      <c r="E1726" s="198" t="s">
        <v>4748</v>
      </c>
    </row>
    <row r="1727" spans="1:5">
      <c r="A1727" s="198">
        <v>576937052</v>
      </c>
      <c r="B1727" s="198">
        <v>767903136.03583097</v>
      </c>
      <c r="D1727" s="198" t="s">
        <v>4749</v>
      </c>
      <c r="E1727" s="198" t="s">
        <v>4750</v>
      </c>
    </row>
    <row r="1728" spans="1:5">
      <c r="A1728" s="198">
        <v>577001887</v>
      </c>
      <c r="B1728" s="198">
        <v>767967971.03655398</v>
      </c>
      <c r="D1728" s="198" t="s">
        <v>4751</v>
      </c>
      <c r="E1728" s="198" t="s">
        <v>4752</v>
      </c>
    </row>
    <row r="1729" spans="1:5">
      <c r="A1729" s="198">
        <v>577138659</v>
      </c>
      <c r="B1729" s="198">
        <v>768104743.03806496</v>
      </c>
      <c r="D1729" s="198" t="s">
        <v>4753</v>
      </c>
      <c r="E1729" s="198" t="s">
        <v>4754</v>
      </c>
    </row>
    <row r="1730" spans="1:5">
      <c r="A1730" s="198">
        <v>577210657</v>
      </c>
      <c r="B1730" s="198">
        <v>768176741.038854</v>
      </c>
      <c r="D1730" s="198" t="s">
        <v>4755</v>
      </c>
      <c r="E1730" s="198" t="s">
        <v>4756</v>
      </c>
    </row>
    <row r="1731" spans="1:5">
      <c r="A1731" s="198">
        <v>577246656</v>
      </c>
      <c r="B1731" s="198">
        <v>768212740.03926003</v>
      </c>
      <c r="D1731" s="198" t="s">
        <v>4757</v>
      </c>
      <c r="E1731" s="198" t="s">
        <v>4758</v>
      </c>
    </row>
    <row r="1732" spans="1:5">
      <c r="A1732" s="198">
        <v>577394269</v>
      </c>
      <c r="B1732" s="198">
        <v>768360353.04090297</v>
      </c>
      <c r="D1732" s="198" t="s">
        <v>4759</v>
      </c>
      <c r="E1732" s="198" t="s">
        <v>4760</v>
      </c>
    </row>
    <row r="1733" spans="1:5">
      <c r="A1733" s="198">
        <v>577480675</v>
      </c>
      <c r="B1733" s="198">
        <v>768446759.04186106</v>
      </c>
      <c r="D1733" s="198" t="s">
        <v>4761</v>
      </c>
      <c r="E1733" s="198" t="s">
        <v>4762</v>
      </c>
    </row>
    <row r="1734" spans="1:5">
      <c r="A1734" s="198">
        <v>577617472</v>
      </c>
      <c r="B1734" s="198">
        <v>768583556.04336905</v>
      </c>
      <c r="D1734" s="198" t="s">
        <v>4763</v>
      </c>
      <c r="E1734" s="198" t="s">
        <v>4764</v>
      </c>
    </row>
    <row r="1735" spans="1:5">
      <c r="A1735" s="198">
        <v>577736277</v>
      </c>
      <c r="B1735" s="198">
        <v>768702361.04470897</v>
      </c>
      <c r="D1735" s="198" t="s">
        <v>4765</v>
      </c>
      <c r="E1735" s="198" t="s">
        <v>4766</v>
      </c>
    </row>
    <row r="1736" spans="1:5">
      <c r="A1736" s="198">
        <v>577804722</v>
      </c>
      <c r="B1736" s="198">
        <v>768770806.04547405</v>
      </c>
      <c r="D1736" s="198" t="s">
        <v>4767</v>
      </c>
      <c r="E1736" s="198" t="s">
        <v>4768</v>
      </c>
    </row>
    <row r="1737" spans="1:5">
      <c r="A1737" s="198">
        <v>577901886</v>
      </c>
      <c r="B1737" s="198">
        <v>768867970.04654503</v>
      </c>
      <c r="D1737" s="198" t="s">
        <v>4769</v>
      </c>
      <c r="E1737" s="198" t="s">
        <v>4770</v>
      </c>
    </row>
    <row r="1738" spans="1:5">
      <c r="A1738" s="198">
        <v>577995487</v>
      </c>
      <c r="B1738" s="198">
        <v>768961571.047598</v>
      </c>
      <c r="D1738" s="198" t="s">
        <v>4771</v>
      </c>
      <c r="E1738" s="198" t="s">
        <v>4772</v>
      </c>
    </row>
    <row r="1739" spans="1:5">
      <c r="A1739" s="198">
        <v>578085495</v>
      </c>
      <c r="B1739" s="198">
        <v>769051579.04858994</v>
      </c>
      <c r="D1739" s="198" t="s">
        <v>4773</v>
      </c>
      <c r="E1739" s="198" t="s">
        <v>4774</v>
      </c>
    </row>
    <row r="1740" spans="1:5">
      <c r="A1740" s="198">
        <v>578132285</v>
      </c>
      <c r="B1740" s="198">
        <v>769098369.04910004</v>
      </c>
      <c r="D1740" s="198" t="s">
        <v>4775</v>
      </c>
      <c r="E1740" s="198" t="s">
        <v>4776</v>
      </c>
    </row>
    <row r="1741" spans="1:5">
      <c r="A1741" s="198">
        <v>578254699</v>
      </c>
      <c r="B1741" s="198">
        <v>769220783.05048096</v>
      </c>
      <c r="D1741" s="198" t="s">
        <v>4777</v>
      </c>
      <c r="E1741" s="198" t="s">
        <v>4778</v>
      </c>
    </row>
    <row r="1742" spans="1:5">
      <c r="A1742" s="198">
        <v>578341103</v>
      </c>
      <c r="B1742" s="198">
        <v>769307187.05145204</v>
      </c>
      <c r="D1742" s="198" t="s">
        <v>4779</v>
      </c>
      <c r="E1742" s="198" t="s">
        <v>4780</v>
      </c>
    </row>
    <row r="1743" spans="1:5">
      <c r="A1743" s="198">
        <v>578431103</v>
      </c>
      <c r="B1743" s="198">
        <v>769397187.052441</v>
      </c>
      <c r="D1743" s="198" t="s">
        <v>4781</v>
      </c>
      <c r="E1743" s="198" t="s">
        <v>4782</v>
      </c>
    </row>
    <row r="1744" spans="1:5">
      <c r="A1744" s="198">
        <v>578517515</v>
      </c>
      <c r="B1744" s="198">
        <v>769483599.053424</v>
      </c>
      <c r="D1744" s="198" t="s">
        <v>4783</v>
      </c>
      <c r="E1744" s="198" t="s">
        <v>4784</v>
      </c>
    </row>
    <row r="1745" spans="1:5">
      <c r="A1745" s="198">
        <v>578575182</v>
      </c>
      <c r="B1745" s="198">
        <v>769541266.054057</v>
      </c>
      <c r="D1745" s="198" t="s">
        <v>4785</v>
      </c>
      <c r="E1745" s="198" t="s">
        <v>4786</v>
      </c>
    </row>
    <row r="1746" spans="1:5">
      <c r="A1746" s="198">
        <v>578690313</v>
      </c>
      <c r="B1746" s="198">
        <v>769656397.05535197</v>
      </c>
      <c r="D1746" s="198" t="s">
        <v>4787</v>
      </c>
      <c r="E1746" s="198" t="s">
        <v>4788</v>
      </c>
    </row>
    <row r="1747" spans="1:5">
      <c r="A1747" s="198">
        <v>578765909</v>
      </c>
      <c r="B1747" s="198">
        <v>769731993.05616498</v>
      </c>
      <c r="D1747" s="198" t="s">
        <v>4789</v>
      </c>
      <c r="E1747" s="198" t="s">
        <v>4790</v>
      </c>
    </row>
    <row r="1748" spans="1:5">
      <c r="A1748" s="198">
        <v>578863124</v>
      </c>
      <c r="B1748" s="198">
        <v>769829208.05727303</v>
      </c>
      <c r="D1748" s="198" t="s">
        <v>4791</v>
      </c>
      <c r="E1748" s="198" t="s">
        <v>4792</v>
      </c>
    </row>
    <row r="1749" spans="1:5">
      <c r="A1749" s="198">
        <v>578949525</v>
      </c>
      <c r="B1749" s="198">
        <v>769915609.05824494</v>
      </c>
      <c r="D1749" s="198" t="s">
        <v>4793</v>
      </c>
      <c r="E1749" s="198" t="s">
        <v>4794</v>
      </c>
    </row>
    <row r="1750" spans="1:5">
      <c r="A1750" s="198">
        <v>579039544</v>
      </c>
      <c r="B1750" s="198">
        <v>770005628.05925</v>
      </c>
      <c r="D1750" s="198" t="s">
        <v>4795</v>
      </c>
      <c r="E1750" s="198" t="s">
        <v>4796</v>
      </c>
    </row>
    <row r="1751" spans="1:5">
      <c r="A1751" s="198">
        <v>579104320</v>
      </c>
      <c r="B1751" s="198">
        <v>770070404.05993903</v>
      </c>
      <c r="D1751" s="198" t="s">
        <v>4797</v>
      </c>
      <c r="E1751" s="198" t="s">
        <v>4798</v>
      </c>
    </row>
    <row r="1752" spans="1:5">
      <c r="A1752" s="198">
        <v>579183513</v>
      </c>
      <c r="B1752" s="198">
        <v>770149597.06081605</v>
      </c>
      <c r="D1752" s="198" t="s">
        <v>4799</v>
      </c>
      <c r="E1752" s="198" t="s">
        <v>4800</v>
      </c>
    </row>
    <row r="1753" spans="1:5">
      <c r="A1753" s="198">
        <v>579277122</v>
      </c>
      <c r="B1753" s="198">
        <v>770243206.06189096</v>
      </c>
      <c r="D1753" s="198" t="s">
        <v>4801</v>
      </c>
      <c r="E1753" s="198" t="s">
        <v>4802</v>
      </c>
    </row>
    <row r="1754" spans="1:5">
      <c r="A1754" s="198">
        <v>579349129</v>
      </c>
      <c r="B1754" s="198">
        <v>770315213.06270301</v>
      </c>
      <c r="D1754" s="198" t="s">
        <v>4803</v>
      </c>
      <c r="E1754" s="198" t="s">
        <v>4804</v>
      </c>
    </row>
    <row r="1755" spans="1:5">
      <c r="A1755" s="198">
        <v>579413959</v>
      </c>
      <c r="B1755" s="198">
        <v>770380043.06343699</v>
      </c>
      <c r="D1755" s="198" t="s">
        <v>4805</v>
      </c>
      <c r="E1755" s="198" t="s">
        <v>4806</v>
      </c>
    </row>
    <row r="1756" spans="1:5">
      <c r="A1756" s="198">
        <v>579550732</v>
      </c>
      <c r="B1756" s="198">
        <v>770516816.06496096</v>
      </c>
      <c r="D1756" s="198" t="s">
        <v>4807</v>
      </c>
      <c r="E1756" s="198" t="s">
        <v>4808</v>
      </c>
    </row>
    <row r="1757" spans="1:5">
      <c r="A1757" s="198">
        <v>579633527</v>
      </c>
      <c r="B1757" s="198">
        <v>770599611.06588602</v>
      </c>
      <c r="D1757" s="198" t="s">
        <v>4809</v>
      </c>
      <c r="E1757" s="198" t="s">
        <v>4810</v>
      </c>
    </row>
    <row r="1758" spans="1:5">
      <c r="A1758" s="198">
        <v>579709129</v>
      </c>
      <c r="B1758" s="198">
        <v>770675213.066728</v>
      </c>
      <c r="D1758" s="198" t="s">
        <v>4811</v>
      </c>
      <c r="E1758" s="198" t="s">
        <v>4812</v>
      </c>
    </row>
    <row r="1759" spans="1:5">
      <c r="A1759" s="198">
        <v>579795524</v>
      </c>
      <c r="B1759" s="198">
        <v>770761608.06768596</v>
      </c>
      <c r="D1759" s="198" t="s">
        <v>4813</v>
      </c>
      <c r="E1759" s="198" t="s">
        <v>4814</v>
      </c>
    </row>
    <row r="1760" spans="1:5">
      <c r="A1760" s="198">
        <v>579881928</v>
      </c>
      <c r="B1760" s="198">
        <v>770848012.06865096</v>
      </c>
      <c r="D1760" s="198" t="s">
        <v>4815</v>
      </c>
      <c r="E1760" s="198" t="s">
        <v>4816</v>
      </c>
    </row>
    <row r="1761" spans="1:5">
      <c r="A1761" s="198">
        <v>580036731</v>
      </c>
      <c r="B1761" s="198">
        <v>771002815.07038701</v>
      </c>
      <c r="D1761" s="198" t="s">
        <v>4817</v>
      </c>
      <c r="E1761" s="198" t="s">
        <v>4818</v>
      </c>
    </row>
    <row r="1762" spans="1:5">
      <c r="A1762" s="198">
        <v>580151933</v>
      </c>
      <c r="B1762" s="198">
        <v>771118017.07170403</v>
      </c>
      <c r="D1762" s="198" t="s">
        <v>4819</v>
      </c>
      <c r="E1762" s="198" t="s">
        <v>4820</v>
      </c>
    </row>
    <row r="1763" spans="1:5">
      <c r="A1763" s="198">
        <v>580253674</v>
      </c>
      <c r="B1763" s="198">
        <v>771219758.07281196</v>
      </c>
      <c r="D1763" s="198" t="s">
        <v>4821</v>
      </c>
      <c r="E1763" s="198" t="s">
        <v>4822</v>
      </c>
    </row>
    <row r="1764" spans="1:5">
      <c r="A1764" s="198">
        <v>580339781</v>
      </c>
      <c r="B1764" s="198">
        <v>771305865.07377601</v>
      </c>
      <c r="D1764" s="198" t="s">
        <v>4823</v>
      </c>
      <c r="E1764" s="198" t="s">
        <v>4824</v>
      </c>
    </row>
    <row r="1765" spans="1:5">
      <c r="A1765" s="198">
        <v>580425560</v>
      </c>
      <c r="B1765" s="198">
        <v>771391644.07473397</v>
      </c>
      <c r="D1765" s="198" t="s">
        <v>4825</v>
      </c>
      <c r="E1765" s="198" t="s">
        <v>4826</v>
      </c>
    </row>
    <row r="1766" spans="1:5">
      <c r="A1766" s="198">
        <v>580486735</v>
      </c>
      <c r="B1766" s="198">
        <v>771452819.075441</v>
      </c>
      <c r="D1766" s="198" t="s">
        <v>4827</v>
      </c>
      <c r="E1766" s="198" t="s">
        <v>4828</v>
      </c>
    </row>
    <row r="1767" spans="1:5">
      <c r="A1767" s="198">
        <v>580598368</v>
      </c>
      <c r="B1767" s="198">
        <v>771564452.07668102</v>
      </c>
      <c r="D1767" s="198" t="s">
        <v>4829</v>
      </c>
      <c r="E1767" s="198" t="s">
        <v>4830</v>
      </c>
    </row>
    <row r="1768" spans="1:5">
      <c r="A1768" s="198">
        <v>580684752</v>
      </c>
      <c r="B1768" s="198">
        <v>771650836.07764995</v>
      </c>
      <c r="D1768" s="198" t="s">
        <v>4831</v>
      </c>
      <c r="E1768" s="198" t="s">
        <v>4832</v>
      </c>
    </row>
    <row r="1769" spans="1:5">
      <c r="A1769" s="198">
        <v>580771152</v>
      </c>
      <c r="B1769" s="198">
        <v>771737236.07861304</v>
      </c>
      <c r="D1769" s="198" t="s">
        <v>4833</v>
      </c>
      <c r="E1769" s="198" t="s">
        <v>4834</v>
      </c>
    </row>
    <row r="1770" spans="1:5">
      <c r="A1770" s="198">
        <v>580846871</v>
      </c>
      <c r="B1770" s="198">
        <v>771812955.079494</v>
      </c>
      <c r="D1770" s="198" t="s">
        <v>4835</v>
      </c>
      <c r="E1770" s="198" t="s">
        <v>4836</v>
      </c>
    </row>
    <row r="1771" spans="1:5">
      <c r="A1771" s="198">
        <v>580936788</v>
      </c>
      <c r="B1771" s="198">
        <v>771902872.08050203</v>
      </c>
      <c r="D1771" s="198" t="s">
        <v>4837</v>
      </c>
      <c r="E1771" s="198" t="s">
        <v>4838</v>
      </c>
    </row>
    <row r="1772" spans="1:5">
      <c r="A1772" s="198">
        <v>580979928</v>
      </c>
      <c r="B1772" s="198">
        <v>771946012.08097398</v>
      </c>
      <c r="D1772" s="198" t="s">
        <v>4839</v>
      </c>
      <c r="E1772" s="198" t="s">
        <v>4840</v>
      </c>
    </row>
    <row r="1773" spans="1:5">
      <c r="A1773" s="198">
        <v>581098727</v>
      </c>
      <c r="B1773" s="198">
        <v>772064811.08232498</v>
      </c>
      <c r="D1773" s="198" t="s">
        <v>4841</v>
      </c>
      <c r="E1773" s="198" t="s">
        <v>4842</v>
      </c>
    </row>
    <row r="1774" spans="1:5">
      <c r="A1774" s="198">
        <v>581156326</v>
      </c>
      <c r="B1774" s="198">
        <v>772122410.08294797</v>
      </c>
      <c r="D1774" s="198" t="s">
        <v>4843</v>
      </c>
      <c r="E1774" s="198" t="s">
        <v>4844</v>
      </c>
    </row>
    <row r="1775" spans="1:5">
      <c r="A1775" s="198">
        <v>581289542</v>
      </c>
      <c r="B1775" s="198">
        <v>772255626.08443201</v>
      </c>
      <c r="D1775" s="198" t="s">
        <v>4845</v>
      </c>
      <c r="E1775" s="198" t="s">
        <v>4846</v>
      </c>
    </row>
    <row r="1776" spans="1:5">
      <c r="A1776" s="198">
        <v>581350724</v>
      </c>
      <c r="B1776" s="198">
        <v>772316808.08513904</v>
      </c>
      <c r="D1776" s="198" t="s">
        <v>4847</v>
      </c>
      <c r="E1776" s="198" t="s">
        <v>4848</v>
      </c>
    </row>
    <row r="1777" spans="1:5">
      <c r="A1777" s="198">
        <v>581437123</v>
      </c>
      <c r="B1777" s="198">
        <v>772403207.08610404</v>
      </c>
      <c r="D1777" s="198" t="s">
        <v>4849</v>
      </c>
      <c r="E1777" s="198" t="s">
        <v>4850</v>
      </c>
    </row>
    <row r="1778" spans="1:5">
      <c r="A1778" s="198">
        <v>581548737</v>
      </c>
      <c r="B1778" s="198">
        <v>772514821.08569396</v>
      </c>
      <c r="D1778" s="198" t="s">
        <v>4851</v>
      </c>
      <c r="E1778" s="198" t="s">
        <v>4852</v>
      </c>
    </row>
    <row r="1779" spans="1:5">
      <c r="A1779" s="198">
        <v>581635139</v>
      </c>
      <c r="B1779" s="198">
        <v>772601223.08665001</v>
      </c>
      <c r="D1779" s="198" t="s">
        <v>4853</v>
      </c>
      <c r="E1779" s="198" t="s">
        <v>4854</v>
      </c>
    </row>
    <row r="1780" spans="1:5">
      <c r="A1780" s="198">
        <v>581721538</v>
      </c>
      <c r="B1780" s="198">
        <v>772687622.08762705</v>
      </c>
      <c r="D1780" s="198" t="s">
        <v>4855</v>
      </c>
      <c r="E1780" s="198" t="s">
        <v>4856</v>
      </c>
    </row>
    <row r="1781" spans="1:5">
      <c r="A1781" s="198">
        <v>581735931</v>
      </c>
      <c r="B1781" s="198">
        <v>772702015.08781195</v>
      </c>
      <c r="D1781" s="198" t="s">
        <v>4857</v>
      </c>
      <c r="E1781" s="198" t="s">
        <v>4858</v>
      </c>
    </row>
    <row r="1782" spans="1:5">
      <c r="A1782" s="198">
        <v>581895231</v>
      </c>
      <c r="B1782" s="198">
        <v>772861315.08956504</v>
      </c>
      <c r="D1782" s="198" t="s">
        <v>4859</v>
      </c>
      <c r="E1782" s="198" t="s">
        <v>4860</v>
      </c>
    </row>
    <row r="1783" spans="1:5">
      <c r="A1783" s="198">
        <v>581980723</v>
      </c>
      <c r="B1783" s="198">
        <v>772946807.090518</v>
      </c>
      <c r="D1783" s="198" t="s">
        <v>4861</v>
      </c>
      <c r="E1783" s="198" t="s">
        <v>4862</v>
      </c>
    </row>
    <row r="1784" spans="1:5">
      <c r="A1784" s="198">
        <v>582045504</v>
      </c>
      <c r="B1784" s="198">
        <v>773011588.09127402</v>
      </c>
      <c r="D1784" s="198" t="s">
        <v>4863</v>
      </c>
      <c r="E1784" s="198" t="s">
        <v>4864</v>
      </c>
    </row>
    <row r="1785" spans="1:5">
      <c r="A1785" s="198">
        <v>582153519</v>
      </c>
      <c r="B1785" s="198">
        <v>773119603.092466</v>
      </c>
      <c r="D1785" s="198" t="s">
        <v>4865</v>
      </c>
      <c r="E1785" s="198" t="s">
        <v>4866</v>
      </c>
    </row>
    <row r="1786" spans="1:5">
      <c r="A1786" s="198">
        <v>582239944</v>
      </c>
      <c r="B1786" s="198">
        <v>773206028.09342504</v>
      </c>
      <c r="D1786" s="198" t="s">
        <v>4867</v>
      </c>
      <c r="E1786" s="198" t="s">
        <v>4868</v>
      </c>
    </row>
    <row r="1787" spans="1:5">
      <c r="A1787" s="198">
        <v>582326317</v>
      </c>
      <c r="B1787" s="198">
        <v>773292401.09438097</v>
      </c>
      <c r="D1787" s="198" t="s">
        <v>4869</v>
      </c>
      <c r="E1787" s="198" t="s">
        <v>4870</v>
      </c>
    </row>
    <row r="1788" spans="1:5">
      <c r="A1788" s="198">
        <v>582455926</v>
      </c>
      <c r="B1788" s="198">
        <v>773422010.09586799</v>
      </c>
      <c r="D1788" s="198" t="s">
        <v>4871</v>
      </c>
      <c r="E1788" s="198" t="s">
        <v>4872</v>
      </c>
    </row>
    <row r="1789" spans="1:5">
      <c r="A1789" s="198">
        <v>582538697</v>
      </c>
      <c r="B1789" s="198">
        <v>773504781.09677505</v>
      </c>
      <c r="D1789" s="198" t="s">
        <v>4873</v>
      </c>
      <c r="E1789" s="198" t="s">
        <v>4874</v>
      </c>
    </row>
    <row r="1790" spans="1:5">
      <c r="A1790" s="198">
        <v>582628727</v>
      </c>
      <c r="B1790" s="198">
        <v>773594811.09778404</v>
      </c>
      <c r="D1790" s="198" t="s">
        <v>4875</v>
      </c>
      <c r="E1790" s="198" t="s">
        <v>4876</v>
      </c>
    </row>
    <row r="1791" spans="1:5">
      <c r="A1791" s="198">
        <v>582711493</v>
      </c>
      <c r="B1791" s="198">
        <v>773677577.09871197</v>
      </c>
      <c r="D1791" s="198" t="s">
        <v>4877</v>
      </c>
      <c r="E1791" s="198" t="s">
        <v>4878</v>
      </c>
    </row>
    <row r="1792" spans="1:5">
      <c r="A1792" s="198">
        <v>582844698</v>
      </c>
      <c r="B1792" s="198">
        <v>773810782.10017705</v>
      </c>
      <c r="D1792" s="198" t="s">
        <v>4879</v>
      </c>
      <c r="E1792" s="198" t="s">
        <v>4880</v>
      </c>
    </row>
    <row r="1793" spans="1:5">
      <c r="A1793" s="198">
        <v>582931089</v>
      </c>
      <c r="B1793" s="198">
        <v>773897173.10114896</v>
      </c>
      <c r="D1793" s="198" t="s">
        <v>4881</v>
      </c>
      <c r="E1793" s="198" t="s">
        <v>4882</v>
      </c>
    </row>
    <row r="1794" spans="1:5">
      <c r="A1794" s="198">
        <v>583018084</v>
      </c>
      <c r="B1794" s="198">
        <v>773984168.10212398</v>
      </c>
      <c r="D1794" s="198" t="s">
        <v>4883</v>
      </c>
      <c r="E1794" s="198" t="s">
        <v>4884</v>
      </c>
    </row>
    <row r="1795" spans="1:5">
      <c r="A1795" s="198">
        <v>583103883</v>
      </c>
      <c r="B1795" s="198">
        <v>774069967.10307705</v>
      </c>
      <c r="D1795" s="198" t="s">
        <v>4885</v>
      </c>
      <c r="E1795" s="198" t="s">
        <v>4886</v>
      </c>
    </row>
    <row r="1796" spans="1:5">
      <c r="A1796" s="198">
        <v>583190278</v>
      </c>
      <c r="B1796" s="198">
        <v>774156362.10405099</v>
      </c>
      <c r="D1796" s="198" t="s">
        <v>4887</v>
      </c>
      <c r="E1796" s="198" t="s">
        <v>4888</v>
      </c>
    </row>
    <row r="1797" spans="1:5">
      <c r="A1797" s="198">
        <v>583276678</v>
      </c>
      <c r="B1797" s="198">
        <v>774242762.10500896</v>
      </c>
      <c r="D1797" s="198" t="s">
        <v>4889</v>
      </c>
      <c r="E1797" s="198" t="s">
        <v>4890</v>
      </c>
    </row>
    <row r="1798" spans="1:5">
      <c r="A1798" s="198">
        <v>583363065</v>
      </c>
      <c r="B1798" s="198">
        <v>774329149.10598099</v>
      </c>
      <c r="D1798" s="198" t="s">
        <v>4891</v>
      </c>
      <c r="E1798" s="198" t="s">
        <v>4892</v>
      </c>
    </row>
    <row r="1799" spans="1:5">
      <c r="A1799" s="198">
        <v>583449463</v>
      </c>
      <c r="B1799" s="198">
        <v>774415547.10694695</v>
      </c>
      <c r="D1799" s="198" t="s">
        <v>4893</v>
      </c>
      <c r="E1799" s="198" t="s">
        <v>4894</v>
      </c>
    </row>
    <row r="1800" spans="1:5">
      <c r="A1800" s="198">
        <v>583535858</v>
      </c>
      <c r="B1800" s="198">
        <v>774501942.107903</v>
      </c>
      <c r="D1800" s="198" t="s">
        <v>4895</v>
      </c>
      <c r="E1800" s="198" t="s">
        <v>4896</v>
      </c>
    </row>
    <row r="1801" spans="1:5">
      <c r="A1801" s="198">
        <v>583622250</v>
      </c>
      <c r="B1801" s="198">
        <v>774588334.10887599</v>
      </c>
      <c r="D1801" s="198" t="s">
        <v>4897</v>
      </c>
      <c r="E1801" s="198" t="s">
        <v>4898</v>
      </c>
    </row>
    <row r="1802" spans="1:5">
      <c r="A1802" s="198">
        <v>583708649</v>
      </c>
      <c r="B1802" s="198">
        <v>774674733.10983503</v>
      </c>
      <c r="D1802" s="198" t="s">
        <v>4899</v>
      </c>
      <c r="E1802" s="198" t="s">
        <v>4900</v>
      </c>
    </row>
    <row r="1803" spans="1:5">
      <c r="A1803" s="198">
        <v>583795041</v>
      </c>
      <c r="B1803" s="198">
        <v>774761125.11081195</v>
      </c>
      <c r="D1803" s="198" t="s">
        <v>4901</v>
      </c>
      <c r="E1803" s="198" t="s">
        <v>4902</v>
      </c>
    </row>
    <row r="1804" spans="1:5">
      <c r="A1804" s="198">
        <v>583856218</v>
      </c>
      <c r="B1804" s="198">
        <v>774822302.11149597</v>
      </c>
      <c r="D1804" s="198" t="s">
        <v>4903</v>
      </c>
      <c r="E1804" s="198" t="s">
        <v>4904</v>
      </c>
    </row>
    <row r="1805" spans="1:5">
      <c r="A1805" s="198">
        <v>583967829</v>
      </c>
      <c r="B1805" s="198">
        <v>774933913.11274397</v>
      </c>
      <c r="D1805" s="198" t="s">
        <v>4905</v>
      </c>
      <c r="E1805" s="198" t="s">
        <v>4906</v>
      </c>
    </row>
    <row r="1806" spans="1:5">
      <c r="A1806" s="198">
        <v>584003809</v>
      </c>
      <c r="B1806" s="198">
        <v>774969893.11310899</v>
      </c>
      <c r="D1806" s="198" t="s">
        <v>4907</v>
      </c>
      <c r="E1806" s="198" t="s">
        <v>4908</v>
      </c>
    </row>
    <row r="1807" spans="1:5">
      <c r="A1807" s="198">
        <v>584115407</v>
      </c>
      <c r="B1807" s="198">
        <v>775081491.11439705</v>
      </c>
      <c r="D1807" s="198" t="s">
        <v>4909</v>
      </c>
      <c r="E1807" s="198" t="s">
        <v>4910</v>
      </c>
    </row>
    <row r="1808" spans="1:5">
      <c r="A1808" s="198">
        <v>584227012</v>
      </c>
      <c r="B1808" s="198">
        <v>775193096.11563694</v>
      </c>
      <c r="D1808" s="198" t="s">
        <v>4911</v>
      </c>
      <c r="E1808" s="198" t="s">
        <v>4912</v>
      </c>
    </row>
    <row r="1809" spans="1:5">
      <c r="A1809" s="198">
        <v>584313412</v>
      </c>
      <c r="B1809" s="198">
        <v>775279496.11659098</v>
      </c>
      <c r="D1809" s="198" t="s">
        <v>4913</v>
      </c>
      <c r="E1809" s="198" t="s">
        <v>4914</v>
      </c>
    </row>
    <row r="1810" spans="1:5">
      <c r="A1810" s="198">
        <v>584399804</v>
      </c>
      <c r="B1810" s="198">
        <v>775365888.11755097</v>
      </c>
      <c r="D1810" s="198" t="s">
        <v>4915</v>
      </c>
      <c r="E1810" s="198" t="s">
        <v>4916</v>
      </c>
    </row>
    <row r="1811" spans="1:5">
      <c r="A1811" s="198">
        <v>584486197</v>
      </c>
      <c r="B1811" s="198">
        <v>775452281.11852002</v>
      </c>
      <c r="D1811" s="198" t="s">
        <v>4917</v>
      </c>
      <c r="E1811" s="198" t="s">
        <v>4918</v>
      </c>
    </row>
    <row r="1812" spans="1:5">
      <c r="A1812" s="198">
        <v>584543769</v>
      </c>
      <c r="B1812" s="198">
        <v>775509853.11917996</v>
      </c>
      <c r="D1812" s="198" t="s">
        <v>4919</v>
      </c>
      <c r="E1812" s="198" t="s">
        <v>4920</v>
      </c>
    </row>
    <row r="1813" spans="1:5">
      <c r="A1813" s="198">
        <v>584619407</v>
      </c>
      <c r="B1813" s="198">
        <v>775585491.12000096</v>
      </c>
      <c r="D1813" s="198" t="s">
        <v>4921</v>
      </c>
      <c r="E1813" s="198" t="s">
        <v>4922</v>
      </c>
    </row>
    <row r="1814" spans="1:5">
      <c r="A1814" s="198">
        <v>584712995</v>
      </c>
      <c r="B1814" s="198">
        <v>775679079.12105203</v>
      </c>
      <c r="D1814" s="198" t="s">
        <v>4923</v>
      </c>
      <c r="E1814" s="198" t="s">
        <v>4924</v>
      </c>
    </row>
    <row r="1815" spans="1:5">
      <c r="A1815" s="198">
        <v>584831771</v>
      </c>
      <c r="B1815" s="198">
        <v>775797855.12237501</v>
      </c>
      <c r="D1815" s="198" t="s">
        <v>4925</v>
      </c>
      <c r="E1815" s="198" t="s">
        <v>4926</v>
      </c>
    </row>
    <row r="1816" spans="1:5">
      <c r="A1816" s="198">
        <v>584918165</v>
      </c>
      <c r="B1816" s="198">
        <v>775884249.12334204</v>
      </c>
      <c r="D1816" s="198" t="s">
        <v>4927</v>
      </c>
      <c r="E1816" s="198" t="s">
        <v>4928</v>
      </c>
    </row>
    <row r="1817" spans="1:5">
      <c r="A1817" s="198">
        <v>585004555</v>
      </c>
      <c r="B1817" s="198">
        <v>775970639.12429702</v>
      </c>
      <c r="D1817" s="198" t="s">
        <v>4929</v>
      </c>
      <c r="E1817" s="198" t="s">
        <v>4930</v>
      </c>
    </row>
    <row r="1818" spans="1:5">
      <c r="A1818" s="198">
        <v>585090944</v>
      </c>
      <c r="B1818" s="198">
        <v>776057028.12525105</v>
      </c>
      <c r="D1818" s="198" t="s">
        <v>4931</v>
      </c>
      <c r="E1818" s="198" t="s">
        <v>4932</v>
      </c>
    </row>
    <row r="1819" spans="1:5">
      <c r="A1819" s="198">
        <v>585177343</v>
      </c>
      <c r="B1819" s="198">
        <v>776143427.12622905</v>
      </c>
      <c r="D1819" s="198" t="s">
        <v>4933</v>
      </c>
      <c r="E1819" s="198" t="s">
        <v>4934</v>
      </c>
    </row>
    <row r="1820" spans="1:5">
      <c r="A1820" s="198">
        <v>585263731</v>
      </c>
      <c r="B1820" s="198">
        <v>776229815.12717295</v>
      </c>
      <c r="D1820" s="198" t="s">
        <v>4935</v>
      </c>
      <c r="E1820" s="198" t="s">
        <v>4936</v>
      </c>
    </row>
    <row r="1821" spans="1:5">
      <c r="A1821" s="198">
        <v>585328536</v>
      </c>
      <c r="B1821" s="198">
        <v>776294620.127918</v>
      </c>
      <c r="D1821" s="198" t="s">
        <v>4937</v>
      </c>
      <c r="E1821" s="198" t="s">
        <v>4938</v>
      </c>
    </row>
    <row r="1822" spans="1:5">
      <c r="A1822" s="198">
        <v>585436514</v>
      </c>
      <c r="B1822" s="198">
        <v>776402598.12909603</v>
      </c>
      <c r="D1822" s="198" t="s">
        <v>4939</v>
      </c>
      <c r="E1822" s="198" t="s">
        <v>4940</v>
      </c>
    </row>
    <row r="1823" spans="1:5">
      <c r="A1823" s="198">
        <v>585522906</v>
      </c>
      <c r="B1823" s="198">
        <v>776488990.13005698</v>
      </c>
      <c r="D1823" s="198" t="s">
        <v>4941</v>
      </c>
      <c r="E1823" s="198" t="s">
        <v>4942</v>
      </c>
    </row>
    <row r="1824" spans="1:5">
      <c r="A1824" s="198">
        <v>585587704</v>
      </c>
      <c r="B1824" s="198">
        <v>776553788.13079202</v>
      </c>
      <c r="D1824" s="198" t="s">
        <v>4943</v>
      </c>
      <c r="E1824" s="198" t="s">
        <v>4944</v>
      </c>
    </row>
    <row r="1825" spans="1:5">
      <c r="A1825" s="198">
        <v>585663269</v>
      </c>
      <c r="B1825" s="198">
        <v>776629353.13163304</v>
      </c>
      <c r="D1825" s="198" t="s">
        <v>4945</v>
      </c>
      <c r="E1825" s="198" t="s">
        <v>4946</v>
      </c>
    </row>
    <row r="1826" spans="1:5">
      <c r="A1826" s="198">
        <v>585756880</v>
      </c>
      <c r="B1826" s="198">
        <v>776722964.13267899</v>
      </c>
      <c r="D1826" s="198" t="s">
        <v>4947</v>
      </c>
      <c r="E1826" s="198" t="s">
        <v>4948</v>
      </c>
    </row>
    <row r="1827" spans="1:5">
      <c r="A1827" s="198">
        <v>585868475</v>
      </c>
      <c r="B1827" s="198">
        <v>776834559.13390601</v>
      </c>
      <c r="D1827" s="198" t="s">
        <v>4949</v>
      </c>
      <c r="E1827" s="198" t="s">
        <v>4950</v>
      </c>
    </row>
    <row r="1828" spans="1:5">
      <c r="A1828" s="198">
        <v>585954865</v>
      </c>
      <c r="B1828" s="198">
        <v>776920949.13485503</v>
      </c>
      <c r="D1828" s="198" t="s">
        <v>4951</v>
      </c>
      <c r="E1828" s="198" t="s">
        <v>4952</v>
      </c>
    </row>
    <row r="1829" spans="1:5">
      <c r="A1829" s="198">
        <v>586041394</v>
      </c>
      <c r="B1829" s="198">
        <v>777007478.13583004</v>
      </c>
      <c r="D1829" s="198" t="s">
        <v>4953</v>
      </c>
      <c r="E1829" s="198" t="s">
        <v>4954</v>
      </c>
    </row>
    <row r="1830" spans="1:5">
      <c r="A1830" s="198">
        <v>586127650</v>
      </c>
      <c r="B1830" s="198">
        <v>777093734.13677394</v>
      </c>
      <c r="D1830" s="198" t="s">
        <v>4955</v>
      </c>
      <c r="E1830" s="198" t="s">
        <v>4956</v>
      </c>
    </row>
    <row r="1831" spans="1:5">
      <c r="A1831" s="198">
        <v>586178018</v>
      </c>
      <c r="B1831" s="198">
        <v>777144102.13733602</v>
      </c>
      <c r="D1831" s="198" t="s">
        <v>4957</v>
      </c>
      <c r="E1831" s="198" t="s">
        <v>4958</v>
      </c>
    </row>
    <row r="1832" spans="1:5">
      <c r="A1832" s="198">
        <v>586300442</v>
      </c>
      <c r="B1832" s="198">
        <v>777266526.13869703</v>
      </c>
      <c r="D1832" s="198" t="s">
        <v>4959</v>
      </c>
      <c r="E1832" s="198" t="s">
        <v>4960</v>
      </c>
    </row>
    <row r="1833" spans="1:5">
      <c r="A1833" s="198">
        <v>586361621</v>
      </c>
      <c r="B1833" s="198">
        <v>777327705.13937998</v>
      </c>
      <c r="D1833" s="198" t="s">
        <v>4961</v>
      </c>
      <c r="E1833" s="198" t="s">
        <v>4962</v>
      </c>
    </row>
    <row r="1834" spans="1:5">
      <c r="A1834" s="198">
        <v>586473220</v>
      </c>
      <c r="B1834" s="198">
        <v>777439304.14061606</v>
      </c>
      <c r="D1834" s="198" t="s">
        <v>4963</v>
      </c>
      <c r="E1834" s="198" t="s">
        <v>4964</v>
      </c>
    </row>
    <row r="1835" spans="1:5">
      <c r="A1835" s="198">
        <v>586559609</v>
      </c>
      <c r="B1835" s="198">
        <v>777525693.14157295</v>
      </c>
      <c r="D1835" s="198" t="s">
        <v>4965</v>
      </c>
      <c r="E1835" s="198" t="s">
        <v>4966</v>
      </c>
    </row>
    <row r="1836" spans="1:5">
      <c r="A1836" s="198">
        <v>586732388</v>
      </c>
      <c r="B1836" s="198">
        <v>777698472.143489</v>
      </c>
      <c r="D1836" s="198" t="s">
        <v>4967</v>
      </c>
      <c r="E1836" s="198" t="s">
        <v>4968</v>
      </c>
    </row>
    <row r="1837" spans="1:5">
      <c r="A1837" s="198">
        <v>586818777</v>
      </c>
      <c r="B1837" s="198">
        <v>777784861.14443398</v>
      </c>
      <c r="D1837" s="198" t="s">
        <v>4969</v>
      </c>
      <c r="E1837" s="198" t="s">
        <v>4970</v>
      </c>
    </row>
    <row r="1838" spans="1:5">
      <c r="A1838" s="198">
        <v>586905167</v>
      </c>
      <c r="B1838" s="198">
        <v>777871251.14539397</v>
      </c>
      <c r="D1838" s="198" t="s">
        <v>4971</v>
      </c>
      <c r="E1838" s="198" t="s">
        <v>4972</v>
      </c>
    </row>
    <row r="1839" spans="1:5">
      <c r="A1839" s="198">
        <v>586991556</v>
      </c>
      <c r="B1839" s="198">
        <v>777957640.14635599</v>
      </c>
      <c r="D1839" s="198" t="s">
        <v>4973</v>
      </c>
      <c r="E1839" s="198" t="s">
        <v>4974</v>
      </c>
    </row>
    <row r="1840" spans="1:5">
      <c r="A1840" s="198">
        <v>587077945</v>
      </c>
      <c r="B1840" s="198">
        <v>778044029.14730203</v>
      </c>
      <c r="D1840" s="198" t="s">
        <v>4975</v>
      </c>
      <c r="E1840" s="198" t="s">
        <v>4976</v>
      </c>
    </row>
    <row r="1841" spans="1:5">
      <c r="A1841" s="198">
        <v>587131912</v>
      </c>
      <c r="B1841" s="198">
        <v>778097996.14790201</v>
      </c>
      <c r="D1841" s="198" t="s">
        <v>4977</v>
      </c>
      <c r="E1841" s="198" t="s">
        <v>4978</v>
      </c>
    </row>
    <row r="1842" spans="1:5">
      <c r="A1842" s="198">
        <v>587239913</v>
      </c>
      <c r="B1842" s="198">
        <v>778205997.14908004</v>
      </c>
      <c r="D1842" s="198" t="s">
        <v>4979</v>
      </c>
      <c r="E1842" s="198" t="s">
        <v>4980</v>
      </c>
    </row>
    <row r="1843" spans="1:5">
      <c r="A1843" s="198">
        <v>587337123</v>
      </c>
      <c r="B1843" s="198">
        <v>778303207.15016997</v>
      </c>
      <c r="D1843" s="198" t="s">
        <v>4981</v>
      </c>
      <c r="E1843" s="198" t="s">
        <v>4982</v>
      </c>
    </row>
    <row r="1844" spans="1:5">
      <c r="A1844" s="198">
        <v>587423545</v>
      </c>
      <c r="B1844" s="198">
        <v>778389629.15111494</v>
      </c>
      <c r="D1844" s="198" t="s">
        <v>4983</v>
      </c>
      <c r="E1844" s="198" t="s">
        <v>4984</v>
      </c>
    </row>
    <row r="1845" spans="1:5">
      <c r="A1845" s="198">
        <v>587509906</v>
      </c>
      <c r="B1845" s="198">
        <v>778475990.15207601</v>
      </c>
      <c r="D1845" s="198" t="s">
        <v>4985</v>
      </c>
      <c r="E1845" s="198" t="s">
        <v>4986</v>
      </c>
    </row>
    <row r="1846" spans="1:5">
      <c r="A1846" s="198">
        <v>587567493</v>
      </c>
      <c r="B1846" s="198">
        <v>778533577.15271699</v>
      </c>
      <c r="D1846" s="198" t="s">
        <v>4987</v>
      </c>
      <c r="E1846" s="198" t="s">
        <v>4988</v>
      </c>
    </row>
    <row r="1847" spans="1:5">
      <c r="A1847" s="198">
        <v>587682688</v>
      </c>
      <c r="B1847" s="198">
        <v>778648772.15397704</v>
      </c>
      <c r="D1847" s="198" t="s">
        <v>4989</v>
      </c>
      <c r="E1847" s="198" t="s">
        <v>4990</v>
      </c>
    </row>
    <row r="1848" spans="1:5">
      <c r="A1848" s="198">
        <v>587765460</v>
      </c>
      <c r="B1848" s="198">
        <v>778731544.15487099</v>
      </c>
      <c r="D1848" s="198" t="s">
        <v>4991</v>
      </c>
      <c r="E1848" s="198" t="s">
        <v>4992</v>
      </c>
    </row>
    <row r="1849" spans="1:5">
      <c r="A1849" s="198">
        <v>587819429</v>
      </c>
      <c r="B1849" s="198">
        <v>778785513.15546894</v>
      </c>
      <c r="D1849" s="198" t="s">
        <v>4993</v>
      </c>
      <c r="E1849" s="198" t="s">
        <v>4994</v>
      </c>
    </row>
    <row r="1850" spans="1:5">
      <c r="A1850" s="198">
        <v>587941876</v>
      </c>
      <c r="B1850" s="198">
        <v>778907960.15681696</v>
      </c>
      <c r="D1850" s="198" t="s">
        <v>4995</v>
      </c>
      <c r="E1850" s="198" t="s">
        <v>4996</v>
      </c>
    </row>
    <row r="1851" spans="1:5">
      <c r="A1851" s="198">
        <v>587995812</v>
      </c>
      <c r="B1851" s="198">
        <v>778961896.157426</v>
      </c>
      <c r="D1851" s="198" t="s">
        <v>4997</v>
      </c>
      <c r="E1851" s="198" t="s">
        <v>4998</v>
      </c>
    </row>
    <row r="1852" spans="1:5">
      <c r="A1852" s="198">
        <v>588114642</v>
      </c>
      <c r="B1852" s="198">
        <v>779080726.15873003</v>
      </c>
      <c r="D1852" s="198" t="s">
        <v>4999</v>
      </c>
      <c r="E1852" s="198" t="s">
        <v>5000</v>
      </c>
    </row>
    <row r="1853" spans="1:5">
      <c r="A1853" s="198">
        <v>588172239</v>
      </c>
      <c r="B1853" s="198">
        <v>779138323.159361</v>
      </c>
      <c r="D1853" s="198" t="s">
        <v>5001</v>
      </c>
      <c r="E1853" s="198" t="s">
        <v>5002</v>
      </c>
    </row>
    <row r="1854" spans="1:5">
      <c r="A1854" s="198">
        <v>588218974</v>
      </c>
      <c r="B1854" s="198">
        <v>779185058.15985596</v>
      </c>
      <c r="D1854" s="198" t="s">
        <v>5003</v>
      </c>
      <c r="E1854" s="198" t="s">
        <v>5004</v>
      </c>
    </row>
    <row r="1855" spans="1:5">
      <c r="A1855" s="198">
        <v>588316162</v>
      </c>
      <c r="B1855" s="198">
        <v>779282246.16090798</v>
      </c>
      <c r="D1855" s="198" t="s">
        <v>5005</v>
      </c>
      <c r="E1855" s="198" t="s">
        <v>5006</v>
      </c>
    </row>
    <row r="1856" spans="1:5">
      <c r="A1856" s="198">
        <v>588398973</v>
      </c>
      <c r="B1856" s="198">
        <v>779365057.16183698</v>
      </c>
      <c r="D1856" s="198" t="s">
        <v>5007</v>
      </c>
      <c r="E1856" s="198" t="s">
        <v>5008</v>
      </c>
    </row>
    <row r="1857" spans="1:5">
      <c r="A1857" s="198">
        <v>588547526</v>
      </c>
      <c r="B1857" s="198">
        <v>779513610.16344404</v>
      </c>
      <c r="D1857" s="198" t="s">
        <v>5009</v>
      </c>
      <c r="E1857" s="198" t="s">
        <v>5010</v>
      </c>
    </row>
    <row r="1858" spans="1:5">
      <c r="A1858" s="198">
        <v>588632987</v>
      </c>
      <c r="B1858" s="198">
        <v>779599071.16436505</v>
      </c>
      <c r="D1858" s="198" t="s">
        <v>5011</v>
      </c>
      <c r="E1858" s="198" t="s">
        <v>5012</v>
      </c>
    </row>
    <row r="1859" spans="1:5">
      <c r="A1859" s="198">
        <v>588686932</v>
      </c>
      <c r="B1859" s="198">
        <v>779653016.165007</v>
      </c>
      <c r="D1859" s="198" t="s">
        <v>5013</v>
      </c>
      <c r="E1859" s="198" t="s">
        <v>5014</v>
      </c>
    </row>
    <row r="1860" spans="1:5">
      <c r="A1860" s="198">
        <v>588758900</v>
      </c>
      <c r="B1860" s="198">
        <v>779724984.16576898</v>
      </c>
      <c r="D1860" s="198" t="s">
        <v>5015</v>
      </c>
      <c r="E1860" s="198" t="s">
        <v>5016</v>
      </c>
    </row>
    <row r="1861" spans="1:5">
      <c r="A1861" s="198">
        <v>588845285</v>
      </c>
      <c r="B1861" s="198">
        <v>779811369.16671705</v>
      </c>
      <c r="D1861" s="198" t="s">
        <v>5017</v>
      </c>
      <c r="E1861" s="198" t="s">
        <v>5018</v>
      </c>
    </row>
    <row r="1862" spans="1:5">
      <c r="A1862" s="198">
        <v>588946090</v>
      </c>
      <c r="B1862" s="198">
        <v>779912174.16784501</v>
      </c>
      <c r="D1862" s="198" t="s">
        <v>5019</v>
      </c>
      <c r="E1862" s="198" t="s">
        <v>5020</v>
      </c>
    </row>
    <row r="1863" spans="1:5">
      <c r="A1863" s="198">
        <v>589003718</v>
      </c>
      <c r="B1863" s="198">
        <v>779969802.168468</v>
      </c>
      <c r="D1863" s="198" t="s">
        <v>5021</v>
      </c>
      <c r="E1863" s="198" t="s">
        <v>5022</v>
      </c>
    </row>
    <row r="1864" spans="1:5">
      <c r="A1864" s="198">
        <v>589144206</v>
      </c>
      <c r="B1864" s="198">
        <v>780110290.17003</v>
      </c>
      <c r="D1864" s="198" t="s">
        <v>5023</v>
      </c>
      <c r="E1864" s="198" t="s">
        <v>5024</v>
      </c>
    </row>
    <row r="1865" spans="1:5">
      <c r="A1865" s="198">
        <v>589237706</v>
      </c>
      <c r="B1865" s="198">
        <v>780203790.17098403</v>
      </c>
      <c r="D1865" s="198" t="s">
        <v>5025</v>
      </c>
      <c r="E1865" s="198" t="s">
        <v>5026</v>
      </c>
    </row>
    <row r="1866" spans="1:5">
      <c r="A1866" s="198">
        <v>589288037</v>
      </c>
      <c r="B1866" s="198">
        <v>780254121.17156398</v>
      </c>
      <c r="D1866" s="198" t="s">
        <v>5027</v>
      </c>
      <c r="E1866" s="198" t="s">
        <v>5028</v>
      </c>
    </row>
    <row r="1867" spans="1:5">
      <c r="A1867" s="198">
        <v>589410481</v>
      </c>
      <c r="B1867" s="198">
        <v>780376565.172876</v>
      </c>
      <c r="D1867" s="198" t="s">
        <v>5029</v>
      </c>
      <c r="E1867" s="198" t="s">
        <v>5030</v>
      </c>
    </row>
    <row r="1868" spans="1:5">
      <c r="A1868" s="198">
        <v>589464454</v>
      </c>
      <c r="B1868" s="198">
        <v>780430538.17349398</v>
      </c>
      <c r="D1868" s="198" t="s">
        <v>5031</v>
      </c>
      <c r="E1868" s="198" t="s">
        <v>5032</v>
      </c>
    </row>
    <row r="1869" spans="1:5">
      <c r="A1869" s="198">
        <v>589584137</v>
      </c>
      <c r="B1869" s="198">
        <v>780550221.17476499</v>
      </c>
      <c r="D1869" s="198" t="s">
        <v>5033</v>
      </c>
      <c r="E1869" s="198" t="s">
        <v>5034</v>
      </c>
    </row>
    <row r="1870" spans="1:5">
      <c r="A1870" s="198">
        <v>589622782</v>
      </c>
      <c r="B1870" s="198">
        <v>780588866.17521</v>
      </c>
      <c r="D1870" s="198" t="s">
        <v>5035</v>
      </c>
      <c r="E1870" s="198" t="s">
        <v>5036</v>
      </c>
    </row>
    <row r="1871" spans="1:5">
      <c r="A1871" s="198">
        <v>589691184</v>
      </c>
      <c r="B1871" s="198">
        <v>780657268.17595303</v>
      </c>
      <c r="D1871" s="198" t="s">
        <v>5037</v>
      </c>
      <c r="E1871" s="198" t="s">
        <v>5038</v>
      </c>
    </row>
    <row r="1872" spans="1:5">
      <c r="A1872" s="198">
        <v>589838924</v>
      </c>
      <c r="B1872" s="198">
        <v>780805008.17754304</v>
      </c>
      <c r="D1872" s="198" t="s">
        <v>5039</v>
      </c>
      <c r="E1872" s="198" t="s">
        <v>5040</v>
      </c>
    </row>
    <row r="1873" spans="1:5">
      <c r="A1873" s="198">
        <v>589896389</v>
      </c>
      <c r="B1873" s="198">
        <v>780862473.17819405</v>
      </c>
      <c r="D1873" s="198" t="s">
        <v>5041</v>
      </c>
      <c r="E1873" s="198" t="s">
        <v>5042</v>
      </c>
    </row>
    <row r="1874" spans="1:5">
      <c r="A1874" s="198">
        <v>590008091</v>
      </c>
      <c r="B1874" s="198">
        <v>780974175.17941701</v>
      </c>
      <c r="D1874" s="198" t="s">
        <v>5043</v>
      </c>
      <c r="E1874" s="198" t="s">
        <v>5044</v>
      </c>
    </row>
    <row r="1875" spans="1:5">
      <c r="A1875" s="198">
        <v>590069175</v>
      </c>
      <c r="B1875" s="198">
        <v>781035259.18006396</v>
      </c>
      <c r="D1875" s="198" t="s">
        <v>5045</v>
      </c>
      <c r="E1875" s="198" t="s">
        <v>5046</v>
      </c>
    </row>
    <row r="1876" spans="1:5">
      <c r="A1876" s="198">
        <v>590155558</v>
      </c>
      <c r="B1876" s="198">
        <v>781121642.18100095</v>
      </c>
      <c r="D1876" s="198" t="s">
        <v>5047</v>
      </c>
      <c r="E1876" s="198" t="s">
        <v>5048</v>
      </c>
    </row>
    <row r="1877" spans="1:5">
      <c r="A1877" s="198">
        <v>590227534</v>
      </c>
      <c r="B1877" s="198">
        <v>781193618.18178797</v>
      </c>
      <c r="D1877" s="198" t="s">
        <v>5049</v>
      </c>
      <c r="E1877" s="198" t="s">
        <v>5050</v>
      </c>
    </row>
    <row r="1878" spans="1:5">
      <c r="A1878" s="198">
        <v>605912033</v>
      </c>
      <c r="B1878" s="198">
        <v>796878117.34774399</v>
      </c>
      <c r="D1878" s="198" t="s">
        <v>5051</v>
      </c>
      <c r="E1878" s="198" t="s">
        <v>5052</v>
      </c>
    </row>
    <row r="1879" spans="1:5">
      <c r="A1879" s="198">
        <v>605998451</v>
      </c>
      <c r="B1879" s="198">
        <v>796964535.34869504</v>
      </c>
      <c r="D1879" s="198" t="s">
        <v>5053</v>
      </c>
      <c r="E1879" s="198" t="s">
        <v>5054</v>
      </c>
    </row>
    <row r="1880" spans="1:5">
      <c r="A1880" s="198">
        <v>606063240</v>
      </c>
      <c r="B1880" s="198">
        <v>797029324.34939694</v>
      </c>
      <c r="D1880" s="198" t="s">
        <v>5055</v>
      </c>
      <c r="E1880" s="198" t="s">
        <v>5056</v>
      </c>
    </row>
    <row r="1881" spans="1:5">
      <c r="A1881" s="198">
        <v>606142443</v>
      </c>
      <c r="B1881" s="198">
        <v>797108527.35021901</v>
      </c>
      <c r="D1881" s="198" t="s">
        <v>5057</v>
      </c>
      <c r="E1881" s="198" t="s">
        <v>5058</v>
      </c>
    </row>
    <row r="1882" spans="1:5">
      <c r="A1882" s="198">
        <v>606254041</v>
      </c>
      <c r="B1882" s="198">
        <v>797220125.35143602</v>
      </c>
      <c r="D1882" s="198" t="s">
        <v>5059</v>
      </c>
      <c r="E1882" s="198" t="s">
        <v>5060</v>
      </c>
    </row>
    <row r="1883" spans="1:5">
      <c r="A1883" s="198">
        <v>606333102</v>
      </c>
      <c r="B1883" s="198">
        <v>797299186.352283</v>
      </c>
      <c r="D1883" s="198" t="s">
        <v>5061</v>
      </c>
      <c r="E1883" s="198" t="s">
        <v>5062</v>
      </c>
    </row>
    <row r="1884" spans="1:5">
      <c r="A1884" s="198">
        <v>606423113</v>
      </c>
      <c r="B1884" s="198">
        <v>797389197.35325205</v>
      </c>
      <c r="D1884" s="198" t="s">
        <v>5063</v>
      </c>
      <c r="E1884" s="198" t="s">
        <v>5064</v>
      </c>
    </row>
    <row r="1885" spans="1:5">
      <c r="A1885" s="198">
        <v>606466350</v>
      </c>
      <c r="B1885" s="198">
        <v>797432434.35372305</v>
      </c>
      <c r="D1885" s="198" t="s">
        <v>5065</v>
      </c>
      <c r="E1885" s="198" t="s">
        <v>5066</v>
      </c>
    </row>
    <row r="1886" spans="1:5">
      <c r="A1886" s="198">
        <v>606595920</v>
      </c>
      <c r="B1886" s="198">
        <v>797562004.35511804</v>
      </c>
      <c r="D1886" s="198" t="s">
        <v>5067</v>
      </c>
      <c r="E1886" s="198" t="s">
        <v>5068</v>
      </c>
    </row>
    <row r="1887" spans="1:5">
      <c r="A1887" s="198">
        <v>606667969</v>
      </c>
      <c r="B1887" s="198">
        <v>797634053.35590994</v>
      </c>
      <c r="D1887" s="198" t="s">
        <v>5069</v>
      </c>
      <c r="E1887" s="198" t="s">
        <v>5070</v>
      </c>
    </row>
    <row r="1888" spans="1:5">
      <c r="A1888" s="198">
        <v>606721938</v>
      </c>
      <c r="B1888" s="198">
        <v>797688022.35647595</v>
      </c>
      <c r="D1888" s="198" t="s">
        <v>5071</v>
      </c>
      <c r="E1888" s="198" t="s">
        <v>5072</v>
      </c>
    </row>
    <row r="1889" spans="1:5">
      <c r="A1889" s="198">
        <v>606912735</v>
      </c>
      <c r="B1889" s="198">
        <v>797878819.35853195</v>
      </c>
      <c r="D1889" s="198" t="s">
        <v>5073</v>
      </c>
      <c r="E1889" s="198" t="s">
        <v>5074</v>
      </c>
    </row>
    <row r="1890" spans="1:5">
      <c r="A1890" s="198">
        <v>607002745</v>
      </c>
      <c r="B1890" s="198">
        <v>797968829.35950506</v>
      </c>
      <c r="D1890" s="198" t="s">
        <v>5075</v>
      </c>
      <c r="E1890" s="198" t="s">
        <v>5076</v>
      </c>
    </row>
    <row r="1891" spans="1:5">
      <c r="A1891" s="198">
        <v>607121560</v>
      </c>
      <c r="B1891" s="198">
        <v>798087644.36081398</v>
      </c>
      <c r="D1891" s="198" t="s">
        <v>5077</v>
      </c>
      <c r="E1891" s="198" t="s">
        <v>5078</v>
      </c>
    </row>
    <row r="1892" spans="1:5">
      <c r="A1892" s="198">
        <v>607179169</v>
      </c>
      <c r="B1892" s="198">
        <v>798145253.36143899</v>
      </c>
      <c r="D1892" s="198" t="s">
        <v>5079</v>
      </c>
      <c r="E1892" s="198" t="s">
        <v>5080</v>
      </c>
    </row>
    <row r="1893" spans="1:5">
      <c r="A1893" s="198">
        <v>607258354</v>
      </c>
      <c r="B1893" s="198">
        <v>798224438.36226904</v>
      </c>
      <c r="D1893" s="198" t="s">
        <v>5081</v>
      </c>
      <c r="E1893" s="198" t="s">
        <v>5082</v>
      </c>
    </row>
    <row r="1894" spans="1:5">
      <c r="A1894" s="198">
        <v>607546372</v>
      </c>
      <c r="B1894" s="198">
        <v>798512456.36541498</v>
      </c>
      <c r="D1894" s="198" t="s">
        <v>5083</v>
      </c>
      <c r="E1894" s="198" t="s">
        <v>5084</v>
      </c>
    </row>
    <row r="1895" spans="1:5">
      <c r="A1895" s="198">
        <v>607611203</v>
      </c>
      <c r="B1895" s="198">
        <v>798577287.36611903</v>
      </c>
      <c r="D1895" s="198" t="s">
        <v>5085</v>
      </c>
      <c r="E1895" s="198" t="s">
        <v>5086</v>
      </c>
    </row>
    <row r="1896" spans="1:5">
      <c r="A1896" s="198">
        <v>607726386</v>
      </c>
      <c r="B1896" s="198">
        <v>798692470.36737895</v>
      </c>
      <c r="D1896" s="198" t="s">
        <v>5087</v>
      </c>
      <c r="E1896" s="198" t="s">
        <v>5088</v>
      </c>
    </row>
    <row r="1897" spans="1:5">
      <c r="A1897" s="198">
        <v>607798385</v>
      </c>
      <c r="B1897" s="198">
        <v>798764469.36812794</v>
      </c>
      <c r="D1897" s="198" t="s">
        <v>5089</v>
      </c>
      <c r="E1897" s="198" t="s">
        <v>5090</v>
      </c>
    </row>
    <row r="1898" spans="1:5">
      <c r="A1898" s="198">
        <v>607863189</v>
      </c>
      <c r="B1898" s="198">
        <v>798829273.36884105</v>
      </c>
      <c r="D1898" s="198" t="s">
        <v>5091</v>
      </c>
      <c r="E1898" s="198" t="s">
        <v>5092</v>
      </c>
    </row>
    <row r="1899" spans="1:5">
      <c r="A1899" s="198">
        <v>608068404</v>
      </c>
      <c r="B1899" s="198">
        <v>799034488.37108696</v>
      </c>
      <c r="D1899" s="198" t="s">
        <v>5093</v>
      </c>
      <c r="E1899" s="198" t="s">
        <v>5094</v>
      </c>
    </row>
    <row r="1900" spans="1:5">
      <c r="A1900" s="198">
        <v>608133247</v>
      </c>
      <c r="B1900" s="198">
        <v>799099331.37179804</v>
      </c>
      <c r="D1900" s="198" t="s">
        <v>5095</v>
      </c>
      <c r="E1900" s="198" t="s">
        <v>5096</v>
      </c>
    </row>
    <row r="1901" spans="1:5">
      <c r="A1901" s="198">
        <v>608219656</v>
      </c>
      <c r="B1901" s="198">
        <v>799185740.37274504</v>
      </c>
      <c r="D1901" s="198" t="s">
        <v>5097</v>
      </c>
      <c r="E1901" s="198" t="s">
        <v>5098</v>
      </c>
    </row>
    <row r="1902" spans="1:5">
      <c r="A1902" s="198">
        <v>608295211</v>
      </c>
      <c r="B1902" s="198">
        <v>799261295.37353897</v>
      </c>
      <c r="D1902" s="198" t="s">
        <v>5099</v>
      </c>
      <c r="E1902" s="198" t="s">
        <v>5100</v>
      </c>
    </row>
    <row r="1903" spans="1:5">
      <c r="A1903" s="198">
        <v>608410413</v>
      </c>
      <c r="B1903" s="198">
        <v>799376497.37480497</v>
      </c>
      <c r="D1903" s="198" t="s">
        <v>5101</v>
      </c>
      <c r="E1903" s="198" t="s">
        <v>5102</v>
      </c>
    </row>
    <row r="1904" spans="1:5">
      <c r="A1904" s="198">
        <v>608504182</v>
      </c>
      <c r="B1904" s="198">
        <v>799470266.37586606</v>
      </c>
      <c r="D1904" s="198" t="s">
        <v>5103</v>
      </c>
      <c r="E1904" s="198" t="s">
        <v>5104</v>
      </c>
    </row>
    <row r="1905" spans="1:5">
      <c r="A1905" s="198">
        <v>608507749</v>
      </c>
      <c r="B1905" s="198">
        <v>799473833.37585294</v>
      </c>
      <c r="D1905" s="198" t="s">
        <v>5105</v>
      </c>
      <c r="E1905" s="198" t="s">
        <v>5106</v>
      </c>
    </row>
    <row r="1906" spans="1:5">
      <c r="A1906" s="198">
        <v>608705671</v>
      </c>
      <c r="B1906" s="198">
        <v>799671755.37803698</v>
      </c>
      <c r="D1906" s="198" t="s">
        <v>5107</v>
      </c>
      <c r="E1906" s="198" t="s">
        <v>5108</v>
      </c>
    </row>
    <row r="1907" spans="1:5">
      <c r="A1907" s="198">
        <v>608846168</v>
      </c>
      <c r="B1907" s="198">
        <v>799812252.37957501</v>
      </c>
      <c r="D1907" s="198" t="s">
        <v>5109</v>
      </c>
      <c r="E1907" s="198" t="s">
        <v>5110</v>
      </c>
    </row>
    <row r="1908" spans="1:5">
      <c r="A1908" s="198">
        <v>608907283</v>
      </c>
      <c r="B1908" s="198">
        <v>799873367.38023996</v>
      </c>
      <c r="D1908" s="198" t="s">
        <v>5111</v>
      </c>
      <c r="E1908" s="198" t="s">
        <v>5112</v>
      </c>
    </row>
    <row r="1909" spans="1:5">
      <c r="A1909" s="198">
        <v>608990056</v>
      </c>
      <c r="B1909" s="198">
        <v>799956140.38113797</v>
      </c>
      <c r="D1909" s="198" t="s">
        <v>5113</v>
      </c>
      <c r="E1909" s="198" t="s">
        <v>5114</v>
      </c>
    </row>
    <row r="1910" spans="1:5">
      <c r="A1910" s="198">
        <v>609137674</v>
      </c>
      <c r="B1910" s="198">
        <v>800103758.38275504</v>
      </c>
      <c r="D1910" s="198" t="s">
        <v>5115</v>
      </c>
      <c r="E1910" s="198" t="s">
        <v>5116</v>
      </c>
    </row>
    <row r="1911" spans="1:5">
      <c r="A1911" s="198">
        <v>609364594</v>
      </c>
      <c r="B1911" s="198">
        <v>800330678.38522696</v>
      </c>
      <c r="D1911" s="198" t="s">
        <v>5117</v>
      </c>
      <c r="E1911" s="198" t="s">
        <v>5118</v>
      </c>
    </row>
    <row r="1912" spans="1:5">
      <c r="A1912" s="198">
        <v>609411252</v>
      </c>
      <c r="B1912" s="198">
        <v>800377336.38574803</v>
      </c>
      <c r="D1912" s="198" t="s">
        <v>5119</v>
      </c>
      <c r="E1912" s="198" t="s">
        <v>5120</v>
      </c>
    </row>
    <row r="1913" spans="1:5">
      <c r="A1913" s="198">
        <v>609508489</v>
      </c>
      <c r="B1913" s="198">
        <v>800474573.38681901</v>
      </c>
      <c r="D1913" s="198" t="s">
        <v>5121</v>
      </c>
      <c r="E1913" s="198" t="s">
        <v>5122</v>
      </c>
    </row>
    <row r="1914" spans="1:5">
      <c r="A1914" s="198">
        <v>609594879</v>
      </c>
      <c r="B1914" s="198">
        <v>800560963.38776398</v>
      </c>
      <c r="D1914" s="198" t="s">
        <v>5123</v>
      </c>
      <c r="E1914" s="198" t="s">
        <v>5124</v>
      </c>
    </row>
    <row r="1915" spans="1:5">
      <c r="A1915" s="198">
        <v>609681331</v>
      </c>
      <c r="B1915" s="198">
        <v>800647415.38871598</v>
      </c>
      <c r="D1915" s="198" t="s">
        <v>5125</v>
      </c>
      <c r="E1915" s="198" t="s">
        <v>5126</v>
      </c>
    </row>
    <row r="1916" spans="1:5">
      <c r="A1916" s="198">
        <v>609915316</v>
      </c>
      <c r="B1916" s="198">
        <v>800881400.391276</v>
      </c>
      <c r="D1916" s="198" t="s">
        <v>5127</v>
      </c>
      <c r="E1916" s="198" t="s">
        <v>5128</v>
      </c>
    </row>
    <row r="1917" spans="1:5">
      <c r="A1917" s="198">
        <v>610026895</v>
      </c>
      <c r="B1917" s="198">
        <v>800992979.39250398</v>
      </c>
      <c r="D1917" s="198" t="s">
        <v>5129</v>
      </c>
      <c r="E1917" s="198" t="s">
        <v>5130</v>
      </c>
    </row>
    <row r="1918" spans="1:5">
      <c r="A1918" s="198">
        <v>610142245</v>
      </c>
      <c r="B1918" s="198">
        <v>801108329.39377403</v>
      </c>
      <c r="D1918" s="198" t="s">
        <v>5131</v>
      </c>
      <c r="E1918" s="198" t="s">
        <v>5132</v>
      </c>
    </row>
    <row r="1919" spans="1:5">
      <c r="A1919" s="198">
        <v>610199736</v>
      </c>
      <c r="B1919" s="198">
        <v>801165820.39441705</v>
      </c>
      <c r="D1919" s="198" t="s">
        <v>5133</v>
      </c>
      <c r="E1919" s="198" t="s">
        <v>5134</v>
      </c>
    </row>
    <row r="1920" spans="1:5">
      <c r="A1920" s="198">
        <v>610257320</v>
      </c>
      <c r="B1920" s="198">
        <v>801223404.39503098</v>
      </c>
      <c r="D1920" s="198" t="s">
        <v>5135</v>
      </c>
      <c r="E1920" s="198" t="s">
        <v>5136</v>
      </c>
    </row>
    <row r="1921" spans="1:5">
      <c r="A1921" s="198">
        <v>610372536</v>
      </c>
      <c r="B1921" s="198">
        <v>801338620.39588404</v>
      </c>
      <c r="D1921" s="198" t="s">
        <v>5137</v>
      </c>
      <c r="E1921" s="198" t="s">
        <v>5138</v>
      </c>
    </row>
    <row r="1922" spans="1:5">
      <c r="A1922" s="198">
        <v>610430121</v>
      </c>
      <c r="B1922" s="198">
        <v>801396205.39693701</v>
      </c>
      <c r="D1922" s="198" t="s">
        <v>5139</v>
      </c>
      <c r="E1922" s="198" t="s">
        <v>5140</v>
      </c>
    </row>
    <row r="1923" spans="1:5">
      <c r="A1923" s="198">
        <v>610570639</v>
      </c>
      <c r="B1923" s="198">
        <v>801536723.39850795</v>
      </c>
      <c r="D1923" s="198" t="s">
        <v>5141</v>
      </c>
      <c r="E1923" s="198" t="s">
        <v>5142</v>
      </c>
    </row>
    <row r="1924" spans="1:5">
      <c r="A1924" s="198">
        <v>610631744</v>
      </c>
      <c r="B1924" s="198">
        <v>801597828.39874995</v>
      </c>
      <c r="D1924" s="198" t="s">
        <v>5143</v>
      </c>
      <c r="E1924" s="198" t="s">
        <v>5144</v>
      </c>
    </row>
    <row r="1925" spans="1:5">
      <c r="A1925" s="198">
        <v>610804544</v>
      </c>
      <c r="B1925" s="198">
        <v>801770628.40104997</v>
      </c>
      <c r="D1925" s="198" t="s">
        <v>5145</v>
      </c>
      <c r="E1925" s="198" t="s">
        <v>5146</v>
      </c>
    </row>
    <row r="1926" spans="1:5">
      <c r="A1926" s="198">
        <v>610862127</v>
      </c>
      <c r="B1926" s="198">
        <v>801828211.40168297</v>
      </c>
      <c r="D1926" s="198" t="s">
        <v>5147</v>
      </c>
      <c r="E1926" s="198" t="s">
        <v>5148</v>
      </c>
    </row>
    <row r="1927" spans="1:5">
      <c r="A1927" s="198">
        <v>611146518</v>
      </c>
      <c r="B1927" s="198">
        <v>802112602.404827</v>
      </c>
      <c r="D1927" s="198" t="s">
        <v>5149</v>
      </c>
      <c r="E1927" s="198" t="s">
        <v>5150</v>
      </c>
    </row>
    <row r="1928" spans="1:5">
      <c r="A1928" s="198">
        <v>611229310</v>
      </c>
      <c r="B1928" s="198">
        <v>802195394.40573895</v>
      </c>
      <c r="D1928" s="198" t="s">
        <v>5151</v>
      </c>
      <c r="E1928" s="198" t="s">
        <v>5152</v>
      </c>
    </row>
    <row r="1929" spans="1:5">
      <c r="A1929" s="198">
        <v>611348237</v>
      </c>
      <c r="B1929" s="198">
        <v>802314321.40702903</v>
      </c>
      <c r="D1929" s="198" t="s">
        <v>5153</v>
      </c>
      <c r="E1929" s="198" t="s">
        <v>5154</v>
      </c>
    </row>
    <row r="1930" spans="1:5">
      <c r="A1930" s="198">
        <v>611463325</v>
      </c>
      <c r="B1930" s="198">
        <v>802429409.40831304</v>
      </c>
      <c r="D1930" s="198" t="s">
        <v>5155</v>
      </c>
      <c r="E1930" s="198" t="s">
        <v>5156</v>
      </c>
    </row>
    <row r="1931" spans="1:5">
      <c r="A1931" s="198">
        <v>611549724</v>
      </c>
      <c r="B1931" s="198">
        <v>802515808.40926898</v>
      </c>
      <c r="D1931" s="198" t="s">
        <v>5157</v>
      </c>
      <c r="E1931" s="198" t="s">
        <v>5158</v>
      </c>
    </row>
    <row r="1932" spans="1:5">
      <c r="A1932" s="198">
        <v>611747719</v>
      </c>
      <c r="B1932" s="198">
        <v>802713803.41144896</v>
      </c>
      <c r="D1932" s="198" t="s">
        <v>5159</v>
      </c>
      <c r="E1932" s="198" t="s">
        <v>5160</v>
      </c>
    </row>
    <row r="1933" spans="1:5">
      <c r="A1933" s="198">
        <v>611874980</v>
      </c>
      <c r="B1933" s="198">
        <v>802841064.41282797</v>
      </c>
      <c r="D1933" s="198" t="s">
        <v>5161</v>
      </c>
      <c r="E1933" s="198" t="s">
        <v>5162</v>
      </c>
    </row>
    <row r="1934" spans="1:5">
      <c r="A1934" s="198">
        <v>611924143</v>
      </c>
      <c r="B1934" s="198">
        <v>802890227.41340196</v>
      </c>
      <c r="D1934" s="198" t="s">
        <v>5163</v>
      </c>
      <c r="E1934" s="198" t="s">
        <v>5164</v>
      </c>
    </row>
    <row r="1935" spans="1:5">
      <c r="A1935" s="198">
        <v>611981748</v>
      </c>
      <c r="B1935" s="198">
        <v>802947832.41404605</v>
      </c>
      <c r="D1935" s="198" t="s">
        <v>5165</v>
      </c>
      <c r="E1935" s="198" t="s">
        <v>5166</v>
      </c>
    </row>
    <row r="1936" spans="1:5">
      <c r="A1936" s="198">
        <v>612096944</v>
      </c>
      <c r="B1936" s="198">
        <v>803063028.41532195</v>
      </c>
      <c r="D1936" s="198" t="s">
        <v>5167</v>
      </c>
      <c r="E1936" s="198" t="s">
        <v>5168</v>
      </c>
    </row>
    <row r="1937" spans="1:5">
      <c r="A1937" s="198">
        <v>612341703</v>
      </c>
      <c r="B1937" s="198">
        <v>803307787.41799498</v>
      </c>
      <c r="D1937" s="198" t="s">
        <v>5169</v>
      </c>
      <c r="E1937" s="198" t="s">
        <v>5170</v>
      </c>
    </row>
    <row r="1938" spans="1:5">
      <c r="A1938" s="198">
        <v>612406494</v>
      </c>
      <c r="B1938" s="198">
        <v>803372578.41871595</v>
      </c>
      <c r="D1938" s="198" t="s">
        <v>5171</v>
      </c>
      <c r="E1938" s="198" t="s">
        <v>5172</v>
      </c>
    </row>
    <row r="1939" spans="1:5">
      <c r="A1939" s="198">
        <v>612525355</v>
      </c>
      <c r="B1939" s="198">
        <v>803491439.42004204</v>
      </c>
      <c r="D1939" s="198" t="s">
        <v>5173</v>
      </c>
      <c r="E1939" s="198" t="s">
        <v>5174</v>
      </c>
    </row>
    <row r="1940" spans="1:5">
      <c r="A1940" s="198">
        <v>612611741</v>
      </c>
      <c r="B1940" s="198">
        <v>803577825.42100406</v>
      </c>
      <c r="D1940" s="198" t="s">
        <v>5175</v>
      </c>
      <c r="E1940" s="198" t="s">
        <v>5176</v>
      </c>
    </row>
    <row r="1941" spans="1:5">
      <c r="A1941" s="198">
        <v>612698146</v>
      </c>
      <c r="B1941" s="198">
        <v>803664230.42194796</v>
      </c>
      <c r="D1941" s="198" t="s">
        <v>5177</v>
      </c>
      <c r="E1941" s="198" t="s">
        <v>5178</v>
      </c>
    </row>
    <row r="1942" spans="1:5">
      <c r="A1942" s="198">
        <v>612957343</v>
      </c>
      <c r="B1942" s="198">
        <v>803923427.424824</v>
      </c>
      <c r="D1942" s="198" t="s">
        <v>5179</v>
      </c>
      <c r="E1942" s="198" t="s">
        <v>5180</v>
      </c>
    </row>
    <row r="1943" spans="1:5">
      <c r="A1943" s="198">
        <v>613014938</v>
      </c>
      <c r="B1943" s="198">
        <v>803981022.42546594</v>
      </c>
      <c r="D1943" s="198" t="s">
        <v>5181</v>
      </c>
      <c r="E1943" s="198" t="s">
        <v>5182</v>
      </c>
    </row>
    <row r="1944" spans="1:5">
      <c r="A1944" s="198">
        <v>613130132</v>
      </c>
      <c r="B1944" s="198">
        <v>804096216.42673004</v>
      </c>
      <c r="D1944" s="198" t="s">
        <v>5183</v>
      </c>
      <c r="E1944" s="198" t="s">
        <v>5184</v>
      </c>
    </row>
    <row r="1945" spans="1:5">
      <c r="A1945" s="198">
        <v>613245459</v>
      </c>
      <c r="B1945" s="198">
        <v>804211543.42802703</v>
      </c>
      <c r="D1945" s="198" t="s">
        <v>5185</v>
      </c>
      <c r="E1945" s="198" t="s">
        <v>5186</v>
      </c>
    </row>
    <row r="1946" spans="1:5">
      <c r="A1946" s="198">
        <v>613302941</v>
      </c>
      <c r="B1946" s="198">
        <v>804269025.42864501</v>
      </c>
      <c r="D1946" s="198" t="s">
        <v>5187</v>
      </c>
      <c r="E1946" s="198" t="s">
        <v>5188</v>
      </c>
    </row>
    <row r="1947" spans="1:5">
      <c r="A1947" s="198">
        <v>613428907</v>
      </c>
      <c r="B1947" s="198">
        <v>804394991.43001103</v>
      </c>
      <c r="D1947" s="198" t="s">
        <v>5189</v>
      </c>
      <c r="E1947" s="198" t="s">
        <v>5190</v>
      </c>
    </row>
    <row r="1948" spans="1:5">
      <c r="A1948" s="198">
        <v>613457678</v>
      </c>
      <c r="B1948" s="198">
        <v>804423762.43033004</v>
      </c>
      <c r="D1948" s="198" t="s">
        <v>5191</v>
      </c>
      <c r="E1948" s="198" t="s">
        <v>5192</v>
      </c>
    </row>
    <row r="1949" spans="1:5">
      <c r="A1949" s="198">
        <v>613562132</v>
      </c>
      <c r="B1949" s="198">
        <v>804528216.43150902</v>
      </c>
      <c r="D1949" s="198" t="s">
        <v>5193</v>
      </c>
      <c r="E1949" s="198" t="s">
        <v>5194</v>
      </c>
    </row>
    <row r="1950" spans="1:5">
      <c r="A1950" s="198">
        <v>613630475</v>
      </c>
      <c r="B1950" s="198">
        <v>804596559.43223798</v>
      </c>
      <c r="D1950" s="198" t="s">
        <v>5195</v>
      </c>
      <c r="E1950" s="198" t="s">
        <v>5196</v>
      </c>
    </row>
    <row r="1951" spans="1:5">
      <c r="A1951" s="198">
        <v>613774488</v>
      </c>
      <c r="B1951" s="198">
        <v>804740572.43383002</v>
      </c>
      <c r="D1951" s="198" t="s">
        <v>5197</v>
      </c>
      <c r="E1951" s="198" t="s">
        <v>5198</v>
      </c>
    </row>
    <row r="1952" spans="1:5">
      <c r="A1952" s="198">
        <v>613850211</v>
      </c>
      <c r="B1952" s="198">
        <v>804816295.43471599</v>
      </c>
      <c r="D1952" s="198" t="s">
        <v>5199</v>
      </c>
      <c r="E1952" s="198" t="s">
        <v>5200</v>
      </c>
    </row>
    <row r="1953" spans="1:5">
      <c r="A1953" s="198">
        <v>613904109</v>
      </c>
      <c r="B1953" s="198">
        <v>804870193.43529296</v>
      </c>
      <c r="D1953" s="198" t="s">
        <v>5201</v>
      </c>
      <c r="E1953" s="198" t="s">
        <v>5202</v>
      </c>
    </row>
    <row r="1954" spans="1:5">
      <c r="A1954" s="198">
        <v>613961700</v>
      </c>
      <c r="B1954" s="198">
        <v>804927784.43592596</v>
      </c>
      <c r="D1954" s="198" t="s">
        <v>5203</v>
      </c>
      <c r="E1954" s="198" t="s">
        <v>5204</v>
      </c>
    </row>
    <row r="1955" spans="1:5">
      <c r="A1955" s="198">
        <v>614120084</v>
      </c>
      <c r="B1955" s="198">
        <v>805086168.43765903</v>
      </c>
      <c r="D1955" s="198" t="s">
        <v>5205</v>
      </c>
      <c r="E1955" s="198" t="s">
        <v>5206</v>
      </c>
    </row>
    <row r="1956" spans="1:5">
      <c r="A1956" s="198">
        <v>614134504</v>
      </c>
      <c r="B1956" s="198">
        <v>805100588.43783104</v>
      </c>
      <c r="D1956" s="198" t="s">
        <v>5207</v>
      </c>
      <c r="E1956" s="198" t="s">
        <v>5208</v>
      </c>
    </row>
    <row r="1957" spans="1:5">
      <c r="A1957" s="198">
        <v>614292874</v>
      </c>
      <c r="B1957" s="198">
        <v>805258958.43957996</v>
      </c>
      <c r="D1957" s="198" t="s">
        <v>5209</v>
      </c>
      <c r="E1957" s="198" t="s">
        <v>5210</v>
      </c>
    </row>
    <row r="1958" spans="1:5">
      <c r="A1958" s="198">
        <v>614307289</v>
      </c>
      <c r="B1958" s="198">
        <v>805273373.43975997</v>
      </c>
      <c r="D1958" s="198" t="s">
        <v>5211</v>
      </c>
      <c r="E1958" s="198" t="s">
        <v>5212</v>
      </c>
    </row>
    <row r="1959" spans="1:5">
      <c r="A1959" s="198">
        <v>614465664</v>
      </c>
      <c r="B1959" s="198">
        <v>805431748.44149005</v>
      </c>
      <c r="D1959" s="198" t="s">
        <v>5213</v>
      </c>
      <c r="E1959" s="198" t="s">
        <v>5214</v>
      </c>
    </row>
    <row r="1960" spans="1:5">
      <c r="A1960" s="198">
        <v>614552058</v>
      </c>
      <c r="B1960" s="198">
        <v>805518142.44243002</v>
      </c>
      <c r="D1960" s="198" t="s">
        <v>5215</v>
      </c>
      <c r="E1960" s="198" t="s">
        <v>5216</v>
      </c>
    </row>
    <row r="1961" spans="1:5">
      <c r="A1961" s="198">
        <v>614638457</v>
      </c>
      <c r="B1961" s="198">
        <v>805604541.443398</v>
      </c>
      <c r="D1961" s="198" t="s">
        <v>5217</v>
      </c>
      <c r="E1961" s="198" t="s">
        <v>5218</v>
      </c>
    </row>
    <row r="1962" spans="1:5">
      <c r="A1962" s="198">
        <v>614706980</v>
      </c>
      <c r="B1962" s="198">
        <v>805673064.44414794</v>
      </c>
      <c r="D1962" s="198" t="s">
        <v>5219</v>
      </c>
      <c r="E1962" s="198" t="s">
        <v>5220</v>
      </c>
    </row>
    <row r="1963" spans="1:5">
      <c r="A1963" s="198">
        <v>614768072</v>
      </c>
      <c r="B1963" s="198">
        <v>805734156.44469595</v>
      </c>
      <c r="D1963" s="198" t="s">
        <v>5221</v>
      </c>
      <c r="E1963" s="198" t="s">
        <v>5222</v>
      </c>
    </row>
    <row r="1964" spans="1:5">
      <c r="A1964" s="198">
        <v>614850913</v>
      </c>
      <c r="B1964" s="198">
        <v>805816997.44559801</v>
      </c>
      <c r="D1964" s="198" t="s">
        <v>5223</v>
      </c>
      <c r="E1964" s="198" t="s">
        <v>5224</v>
      </c>
    </row>
    <row r="1965" spans="1:5">
      <c r="A1965" s="198">
        <v>614962568</v>
      </c>
      <c r="B1965" s="198">
        <v>805928652.44683802</v>
      </c>
      <c r="D1965" s="198" t="s">
        <v>5225</v>
      </c>
      <c r="E1965" s="198" t="s">
        <v>5226</v>
      </c>
    </row>
    <row r="1966" spans="1:5">
      <c r="A1966" s="198">
        <v>615070430</v>
      </c>
      <c r="B1966" s="198">
        <v>806036514.44801497</v>
      </c>
      <c r="D1966" s="198" t="s">
        <v>5227</v>
      </c>
      <c r="E1966" s="198" t="s">
        <v>5228</v>
      </c>
    </row>
    <row r="1967" spans="1:5">
      <c r="A1967" s="198">
        <v>615156828</v>
      </c>
      <c r="B1967" s="198">
        <v>806122912.44897401</v>
      </c>
      <c r="D1967" s="198" t="s">
        <v>5229</v>
      </c>
      <c r="E1967" s="198" t="s">
        <v>5230</v>
      </c>
    </row>
    <row r="1968" spans="1:5">
      <c r="A1968" s="198">
        <v>615243221</v>
      </c>
      <c r="B1968" s="198">
        <v>806209305.44992495</v>
      </c>
      <c r="D1968" s="198" t="s">
        <v>5231</v>
      </c>
      <c r="E1968" s="198" t="s">
        <v>5232</v>
      </c>
    </row>
    <row r="1969" spans="1:5">
      <c r="A1969" s="198">
        <v>615282841</v>
      </c>
      <c r="B1969" s="198">
        <v>806248925.45038402</v>
      </c>
      <c r="D1969" s="198" t="s">
        <v>5233</v>
      </c>
      <c r="E1969" s="198" t="s">
        <v>5234</v>
      </c>
    </row>
    <row r="1970" spans="1:5">
      <c r="A1970" s="198">
        <v>615416008</v>
      </c>
      <c r="B1970" s="198">
        <v>806382092.45183003</v>
      </c>
      <c r="D1970" s="198" t="s">
        <v>5235</v>
      </c>
      <c r="E1970" s="198" t="s">
        <v>5236</v>
      </c>
    </row>
    <row r="1971" spans="1:5">
      <c r="A1971" s="198">
        <v>615484553</v>
      </c>
      <c r="B1971" s="198">
        <v>806450637.45260799</v>
      </c>
      <c r="D1971" s="198" t="s">
        <v>5237</v>
      </c>
      <c r="E1971" s="198" t="s">
        <v>5238</v>
      </c>
    </row>
    <row r="1972" spans="1:5">
      <c r="A1972" s="198">
        <v>615588803</v>
      </c>
      <c r="B1972" s="198">
        <v>806554887.45374</v>
      </c>
      <c r="D1972" s="198" t="s">
        <v>5239</v>
      </c>
      <c r="E1972" s="198" t="s">
        <v>5240</v>
      </c>
    </row>
    <row r="1973" spans="1:5">
      <c r="A1973" s="198">
        <v>615675197</v>
      </c>
      <c r="B1973" s="198">
        <v>806641281.45468199</v>
      </c>
      <c r="D1973" s="198" t="s">
        <v>5241</v>
      </c>
      <c r="E1973" s="198" t="s">
        <v>5242</v>
      </c>
    </row>
    <row r="1974" spans="1:5">
      <c r="A1974" s="198">
        <v>615761591</v>
      </c>
      <c r="B1974" s="198">
        <v>806727675.45564497</v>
      </c>
      <c r="D1974" s="198" t="s">
        <v>5243</v>
      </c>
      <c r="E1974" s="198" t="s">
        <v>5244</v>
      </c>
    </row>
    <row r="1975" spans="1:5">
      <c r="A1975" s="198">
        <v>615849487</v>
      </c>
      <c r="B1975" s="198">
        <v>806815571.45660698</v>
      </c>
      <c r="D1975" s="198" t="s">
        <v>5245</v>
      </c>
      <c r="E1975" s="198" t="s">
        <v>5246</v>
      </c>
    </row>
    <row r="1976" spans="1:5">
      <c r="A1976" s="198">
        <v>615858806</v>
      </c>
      <c r="B1976" s="198">
        <v>806824890.45672596</v>
      </c>
      <c r="D1976" s="198" t="s">
        <v>5247</v>
      </c>
      <c r="E1976" s="198" t="s">
        <v>5248</v>
      </c>
    </row>
    <row r="1977" spans="1:5">
      <c r="A1977" s="198">
        <v>616020771</v>
      </c>
      <c r="B1977" s="198">
        <v>806986855.45850694</v>
      </c>
      <c r="D1977" s="198" t="s">
        <v>5249</v>
      </c>
      <c r="E1977" s="198" t="s">
        <v>5250</v>
      </c>
    </row>
    <row r="1978" spans="1:5">
      <c r="A1978" s="198">
        <v>616085668</v>
      </c>
      <c r="B1978" s="198">
        <v>807051752.45918906</v>
      </c>
      <c r="D1978" s="198" t="s">
        <v>5251</v>
      </c>
      <c r="E1978" s="198" t="s">
        <v>5252</v>
      </c>
    </row>
    <row r="1979" spans="1:5">
      <c r="A1979" s="198">
        <v>616193557</v>
      </c>
      <c r="B1979" s="198">
        <v>807159641.46040797</v>
      </c>
      <c r="D1979" s="198" t="s">
        <v>5253</v>
      </c>
      <c r="E1979" s="198" t="s">
        <v>5254</v>
      </c>
    </row>
    <row r="1980" spans="1:5">
      <c r="A1980" s="198">
        <v>616261991</v>
      </c>
      <c r="B1980" s="198">
        <v>807228075.46118701</v>
      </c>
      <c r="D1980" s="198" t="s">
        <v>5255</v>
      </c>
      <c r="E1980" s="198" t="s">
        <v>5256</v>
      </c>
    </row>
    <row r="1981" spans="1:5">
      <c r="A1981" s="198">
        <v>616366348</v>
      </c>
      <c r="B1981" s="198">
        <v>807332432.46231306</v>
      </c>
      <c r="D1981" s="198" t="s">
        <v>5257</v>
      </c>
      <c r="E1981" s="198" t="s">
        <v>5258</v>
      </c>
    </row>
    <row r="1982" spans="1:5">
      <c r="A1982" s="198">
        <v>616373565</v>
      </c>
      <c r="B1982" s="198">
        <v>807339649.46240902</v>
      </c>
      <c r="D1982" s="198" t="s">
        <v>5259</v>
      </c>
      <c r="E1982" s="198" t="s">
        <v>5260</v>
      </c>
    </row>
    <row r="1983" spans="1:5">
      <c r="A1983" s="198">
        <v>616625529</v>
      </c>
      <c r="B1983" s="198">
        <v>807591613.46516395</v>
      </c>
      <c r="D1983" s="198" t="s">
        <v>5261</v>
      </c>
      <c r="E1983" s="198" t="s">
        <v>5262</v>
      </c>
    </row>
    <row r="1984" spans="1:5">
      <c r="A1984" s="198">
        <v>616690428</v>
      </c>
      <c r="B1984" s="198">
        <v>807656512.46592498</v>
      </c>
      <c r="D1984" s="198" t="s">
        <v>5263</v>
      </c>
      <c r="E1984" s="198" t="s">
        <v>5264</v>
      </c>
    </row>
    <row r="1985" spans="1:5">
      <c r="A1985" s="198">
        <v>616766026</v>
      </c>
      <c r="B1985" s="198">
        <v>807732110.46671999</v>
      </c>
      <c r="D1985" s="198" t="s">
        <v>5265</v>
      </c>
      <c r="E1985" s="198" t="s">
        <v>5266</v>
      </c>
    </row>
    <row r="1986" spans="1:5">
      <c r="A1986" s="198">
        <v>616819932</v>
      </c>
      <c r="B1986" s="198">
        <v>807786016.46729195</v>
      </c>
      <c r="D1986" s="198" t="s">
        <v>5267</v>
      </c>
      <c r="E1986" s="198" t="s">
        <v>5268</v>
      </c>
    </row>
    <row r="1987" spans="1:5">
      <c r="A1987" s="198">
        <v>1247971932</v>
      </c>
      <c r="B1987" s="198" t="s">
        <v>5269</v>
      </c>
      <c r="D1987" s="198" t="s">
        <v>5270</v>
      </c>
      <c r="E1987" s="198" t="s">
        <v>5271</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X246"/>
  <sheetViews>
    <sheetView topLeftCell="A129" zoomScaleNormal="100" workbookViewId="0">
      <selection activeCell="C157" sqref="C157"/>
    </sheetView>
  </sheetViews>
  <sheetFormatPr defaultRowHeight="15"/>
  <cols>
    <col min="2" max="3" width="4" customWidth="1"/>
    <col min="4" max="4" width="3" customWidth="1"/>
    <col min="11" max="18" width="10.140625" bestFit="1" customWidth="1"/>
  </cols>
  <sheetData>
    <row r="1" spans="1:3" s="201" customFormat="1">
      <c r="A1" s="200" t="s">
        <v>1268</v>
      </c>
    </row>
    <row r="3" spans="1:3">
      <c r="B3" t="s">
        <v>1273</v>
      </c>
    </row>
    <row r="5" spans="1:3">
      <c r="B5" t="s">
        <v>1274</v>
      </c>
    </row>
    <row r="7" spans="1:3">
      <c r="B7" t="s">
        <v>1272</v>
      </c>
    </row>
    <row r="8" spans="1:3">
      <c r="B8" s="6" t="s">
        <v>1267</v>
      </c>
      <c r="C8" t="s">
        <v>1276</v>
      </c>
    </row>
    <row r="9" spans="1:3">
      <c r="B9" s="6"/>
    </row>
    <row r="10" spans="1:3">
      <c r="B10" t="s">
        <v>1275</v>
      </c>
    </row>
    <row r="11" spans="1:3">
      <c r="B11" s="6" t="s">
        <v>1267</v>
      </c>
      <c r="C11" t="s">
        <v>1270</v>
      </c>
    </row>
    <row r="12" spans="1:3">
      <c r="B12" s="6" t="s">
        <v>1267</v>
      </c>
      <c r="C12" t="s">
        <v>1269</v>
      </c>
    </row>
    <row r="13" spans="1:3">
      <c r="B13" s="6" t="s">
        <v>1267</v>
      </c>
      <c r="C13" t="s">
        <v>1271</v>
      </c>
    </row>
    <row r="15" spans="1:3">
      <c r="B15" t="s">
        <v>5272</v>
      </c>
    </row>
    <row r="17" spans="2:3">
      <c r="B17" t="s">
        <v>5275</v>
      </c>
    </row>
    <row r="18" spans="2:3">
      <c r="B18" s="6" t="s">
        <v>1267</v>
      </c>
      <c r="C18" t="s">
        <v>5273</v>
      </c>
    </row>
    <row r="19" spans="2:3">
      <c r="B19" s="6" t="s">
        <v>1267</v>
      </c>
      <c r="C19" t="s">
        <v>5276</v>
      </c>
    </row>
    <row r="20" spans="2:3">
      <c r="B20" s="6" t="s">
        <v>1267</v>
      </c>
      <c r="C20" t="s">
        <v>5277</v>
      </c>
    </row>
    <row r="21" spans="2:3">
      <c r="B21" s="6" t="s">
        <v>1267</v>
      </c>
      <c r="C21" t="s">
        <v>5278</v>
      </c>
    </row>
    <row r="22" spans="2:3">
      <c r="B22" s="6" t="s">
        <v>1267</v>
      </c>
      <c r="C22" t="s">
        <v>5274</v>
      </c>
    </row>
    <row r="24" spans="2:3">
      <c r="B24" t="s">
        <v>5279</v>
      </c>
    </row>
    <row r="26" spans="2:3">
      <c r="B26" t="s">
        <v>5281</v>
      </c>
    </row>
    <row r="28" spans="2:3">
      <c r="B28" t="s">
        <v>5280</v>
      </c>
    </row>
    <row r="30" spans="2:3">
      <c r="B30" t="s">
        <v>5309</v>
      </c>
    </row>
    <row r="32" spans="2:3">
      <c r="B32" t="s">
        <v>5310</v>
      </c>
    </row>
    <row r="34" spans="2:3">
      <c r="B34" t="s">
        <v>5311</v>
      </c>
    </row>
    <row r="36" spans="2:3">
      <c r="B36" t="s">
        <v>5351</v>
      </c>
    </row>
    <row r="38" spans="2:3">
      <c r="B38" t="s">
        <v>5357</v>
      </c>
    </row>
    <row r="39" spans="2:3">
      <c r="B39" s="6" t="s">
        <v>1267</v>
      </c>
      <c r="C39" t="s">
        <v>5826</v>
      </c>
    </row>
    <row r="40" spans="2:3">
      <c r="B40" s="6" t="s">
        <v>1267</v>
      </c>
      <c r="C40" t="s">
        <v>5358</v>
      </c>
    </row>
    <row r="41" spans="2:3">
      <c r="B41" s="6" t="s">
        <v>1267</v>
      </c>
      <c r="C41" t="s">
        <v>5359</v>
      </c>
    </row>
    <row r="43" spans="2:3">
      <c r="B43" t="s">
        <v>5827</v>
      </c>
    </row>
    <row r="45" spans="2:3">
      <c r="B45" t="s">
        <v>5362</v>
      </c>
    </row>
    <row r="47" spans="2:3">
      <c r="B47" t="s">
        <v>5365</v>
      </c>
    </row>
    <row r="49" spans="2:3">
      <c r="B49" t="s">
        <v>5366</v>
      </c>
    </row>
    <row r="51" spans="2:3">
      <c r="B51" t="s">
        <v>5371</v>
      </c>
    </row>
    <row r="52" spans="2:3">
      <c r="B52" s="6" t="s">
        <v>1267</v>
      </c>
      <c r="C52" t="s">
        <v>5370</v>
      </c>
    </row>
    <row r="53" spans="2:3">
      <c r="B53" s="6" t="s">
        <v>1267</v>
      </c>
      <c r="C53" t="s">
        <v>5368</v>
      </c>
    </row>
    <row r="54" spans="2:3">
      <c r="B54" s="6" t="s">
        <v>1267</v>
      </c>
      <c r="C54" t="s">
        <v>5367</v>
      </c>
    </row>
    <row r="55" spans="2:3">
      <c r="B55" s="6" t="s">
        <v>1267</v>
      </c>
      <c r="C55" t="s">
        <v>5369</v>
      </c>
    </row>
    <row r="57" spans="2:3">
      <c r="B57" t="s">
        <v>5372</v>
      </c>
    </row>
    <row r="58" spans="2:3">
      <c r="B58" s="6" t="s">
        <v>1267</v>
      </c>
      <c r="C58" t="s">
        <v>5373</v>
      </c>
    </row>
    <row r="59" spans="2:3">
      <c r="B59" s="6" t="s">
        <v>1267</v>
      </c>
      <c r="C59" t="s">
        <v>5374</v>
      </c>
    </row>
    <row r="60" spans="2:3">
      <c r="B60" s="6" t="s">
        <v>1267</v>
      </c>
      <c r="C60" t="s">
        <v>5375</v>
      </c>
    </row>
    <row r="61" spans="2:3">
      <c r="B61" s="6" t="s">
        <v>1267</v>
      </c>
    </row>
    <row r="63" spans="2:3">
      <c r="B63" t="s">
        <v>5376</v>
      </c>
    </row>
    <row r="64" spans="2:3">
      <c r="B64" s="6" t="s">
        <v>1267</v>
      </c>
      <c r="C64" t="s">
        <v>5828</v>
      </c>
    </row>
    <row r="65" spans="2:4">
      <c r="B65" s="6" t="s">
        <v>1267</v>
      </c>
      <c r="C65" t="s">
        <v>5377</v>
      </c>
    </row>
    <row r="67" spans="2:4">
      <c r="B67" t="s">
        <v>5829</v>
      </c>
    </row>
    <row r="69" spans="2:4">
      <c r="B69" t="s">
        <v>5419</v>
      </c>
    </row>
    <row r="71" spans="2:4">
      <c r="B71" t="s">
        <v>5421</v>
      </c>
    </row>
    <row r="72" spans="2:4">
      <c r="B72" s="6" t="s">
        <v>1267</v>
      </c>
      <c r="C72" t="s">
        <v>5423</v>
      </c>
    </row>
    <row r="73" spans="2:4">
      <c r="B73" s="6" t="s">
        <v>1267</v>
      </c>
      <c r="C73" t="s">
        <v>5422</v>
      </c>
    </row>
    <row r="74" spans="2:4">
      <c r="B74" s="6" t="s">
        <v>1267</v>
      </c>
      <c r="C74" t="s">
        <v>5424</v>
      </c>
    </row>
    <row r="75" spans="2:4">
      <c r="B75" s="6" t="s">
        <v>1267</v>
      </c>
      <c r="C75" t="s">
        <v>5425</v>
      </c>
    </row>
    <row r="76" spans="2:4">
      <c r="C76" s="6" t="s">
        <v>1267</v>
      </c>
      <c r="D76" t="s">
        <v>5426</v>
      </c>
    </row>
    <row r="78" spans="2:4">
      <c r="B78" t="s">
        <v>5427</v>
      </c>
    </row>
    <row r="80" spans="2:4">
      <c r="B80" t="s">
        <v>5708</v>
      </c>
    </row>
    <row r="81" spans="2:3">
      <c r="B81" s="6" t="s">
        <v>1267</v>
      </c>
      <c r="C81" t="s">
        <v>5709</v>
      </c>
    </row>
    <row r="82" spans="2:3">
      <c r="B82" s="6" t="s">
        <v>1267</v>
      </c>
      <c r="C82" t="s">
        <v>5712</v>
      </c>
    </row>
    <row r="83" spans="2:3">
      <c r="B83" s="6" t="s">
        <v>1267</v>
      </c>
      <c r="C83" t="s">
        <v>5710</v>
      </c>
    </row>
    <row r="84" spans="2:3">
      <c r="B84" s="6" t="s">
        <v>1267</v>
      </c>
      <c r="C84" t="s">
        <v>5711</v>
      </c>
    </row>
    <row r="85" spans="2:3">
      <c r="B85" s="6" t="s">
        <v>1267</v>
      </c>
      <c r="C85" t="s">
        <v>5713</v>
      </c>
    </row>
    <row r="86" spans="2:3">
      <c r="B86" s="6" t="s">
        <v>1267</v>
      </c>
      <c r="C86" t="s">
        <v>5731</v>
      </c>
    </row>
    <row r="88" spans="2:3">
      <c r="B88" t="s">
        <v>5732</v>
      </c>
    </row>
    <row r="89" spans="2:3">
      <c r="B89" s="6" t="s">
        <v>1267</v>
      </c>
      <c r="C89" t="s">
        <v>5830</v>
      </c>
    </row>
    <row r="91" spans="2:3">
      <c r="B91" t="s">
        <v>5780</v>
      </c>
    </row>
    <row r="92" spans="2:3">
      <c r="B92" s="6" t="s">
        <v>1267</v>
      </c>
      <c r="C92" t="s">
        <v>5776</v>
      </c>
    </row>
    <row r="93" spans="2:3">
      <c r="B93" s="6" t="s">
        <v>1267</v>
      </c>
      <c r="C93" t="s">
        <v>5775</v>
      </c>
    </row>
    <row r="94" spans="2:3">
      <c r="B94" s="6" t="s">
        <v>1267</v>
      </c>
      <c r="C94" t="s">
        <v>5777</v>
      </c>
    </row>
    <row r="95" spans="2:3">
      <c r="B95" s="6" t="s">
        <v>1267</v>
      </c>
      <c r="C95" t="s">
        <v>5778</v>
      </c>
    </row>
    <row r="96" spans="2:3">
      <c r="B96" s="6" t="s">
        <v>1267</v>
      </c>
      <c r="C96" t="s">
        <v>5779</v>
      </c>
    </row>
    <row r="97" spans="2:3">
      <c r="B97" s="6"/>
    </row>
    <row r="98" spans="2:3">
      <c r="B98" t="s">
        <v>5781</v>
      </c>
    </row>
    <row r="99" spans="2:3">
      <c r="B99" s="6" t="s">
        <v>1267</v>
      </c>
      <c r="C99" t="s">
        <v>5782</v>
      </c>
    </row>
    <row r="100" spans="2:3">
      <c r="B100" s="6" t="s">
        <v>1267</v>
      </c>
      <c r="C100" t="s">
        <v>5783</v>
      </c>
    </row>
    <row r="101" spans="2:3">
      <c r="B101" s="6"/>
    </row>
    <row r="102" spans="2:3">
      <c r="B102" t="s">
        <v>5786</v>
      </c>
    </row>
    <row r="103" spans="2:3">
      <c r="B103" s="6" t="s">
        <v>1267</v>
      </c>
      <c r="C103" t="s">
        <v>5784</v>
      </c>
    </row>
    <row r="104" spans="2:3">
      <c r="B104" s="6" t="s">
        <v>1267</v>
      </c>
      <c r="C104" t="s">
        <v>5785</v>
      </c>
    </row>
    <row r="105" spans="2:3">
      <c r="B105" s="6" t="s">
        <v>1267</v>
      </c>
      <c r="C105" t="s">
        <v>5788</v>
      </c>
    </row>
    <row r="106" spans="2:3" ht="15.75" customHeight="1">
      <c r="B106" s="6" t="s">
        <v>1267</v>
      </c>
      <c r="C106" t="s">
        <v>5787</v>
      </c>
    </row>
    <row r="107" spans="2:3">
      <c r="B107" s="6"/>
    </row>
    <row r="108" spans="2:3">
      <c r="B108" t="s">
        <v>5811</v>
      </c>
    </row>
    <row r="109" spans="2:3">
      <c r="B109" s="6"/>
    </row>
    <row r="110" spans="2:3">
      <c r="B110" t="s">
        <v>5812</v>
      </c>
    </row>
    <row r="111" spans="2:3">
      <c r="B111" s="6" t="s">
        <v>1267</v>
      </c>
      <c r="C111" t="s">
        <v>5818</v>
      </c>
    </row>
    <row r="112" spans="2:3">
      <c r="B112" s="6" t="s">
        <v>1267</v>
      </c>
      <c r="C112" t="s">
        <v>5813</v>
      </c>
    </row>
    <row r="113" spans="2:4">
      <c r="B113" s="6"/>
    </row>
    <row r="114" spans="2:4">
      <c r="B114" t="s">
        <v>5820</v>
      </c>
    </row>
    <row r="115" spans="2:4">
      <c r="B115" s="6" t="s">
        <v>1267</v>
      </c>
      <c r="C115" t="s">
        <v>5819</v>
      </c>
    </row>
    <row r="116" spans="2:4">
      <c r="B116" s="6" t="s">
        <v>1267</v>
      </c>
      <c r="C116" t="s">
        <v>5821</v>
      </c>
    </row>
    <row r="117" spans="2:4">
      <c r="B117" s="6"/>
    </row>
    <row r="118" spans="2:4">
      <c r="B118" t="s">
        <v>5834</v>
      </c>
    </row>
    <row r="119" spans="2:4">
      <c r="B119" s="6" t="s">
        <v>1267</v>
      </c>
      <c r="C119" t="s">
        <v>5835</v>
      </c>
    </row>
    <row r="120" spans="2:4">
      <c r="B120" s="6"/>
      <c r="C120" s="6" t="s">
        <v>1267</v>
      </c>
      <c r="D120" t="s">
        <v>5836</v>
      </c>
    </row>
    <row r="121" spans="2:4">
      <c r="B121" s="6" t="s">
        <v>1267</v>
      </c>
      <c r="C121" t="s">
        <v>5822</v>
      </c>
    </row>
    <row r="122" spans="2:4">
      <c r="B122" s="6" t="s">
        <v>1267</v>
      </c>
      <c r="C122" t="s">
        <v>5823</v>
      </c>
    </row>
    <row r="123" spans="2:4">
      <c r="B123" s="6" t="s">
        <v>1267</v>
      </c>
      <c r="C123" t="s">
        <v>5825</v>
      </c>
    </row>
    <row r="124" spans="2:4" ht="15.75" customHeight="1">
      <c r="B124" s="6" t="s">
        <v>1267</v>
      </c>
      <c r="C124" t="s">
        <v>5824</v>
      </c>
    </row>
    <row r="125" spans="2:4">
      <c r="B125" s="6"/>
      <c r="C125" s="6" t="s">
        <v>1267</v>
      </c>
      <c r="D125" t="s">
        <v>5838</v>
      </c>
    </row>
    <row r="126" spans="2:4" ht="15.75" customHeight="1">
      <c r="B126" s="6" t="s">
        <v>1267</v>
      </c>
      <c r="C126" t="s">
        <v>5832</v>
      </c>
    </row>
    <row r="127" spans="2:4" ht="15.75" customHeight="1">
      <c r="B127" s="6" t="s">
        <v>1267</v>
      </c>
      <c r="C127" t="s">
        <v>5833</v>
      </c>
    </row>
    <row r="128" spans="2:4" ht="15.75" customHeight="1">
      <c r="B128" s="6" t="s">
        <v>1267</v>
      </c>
      <c r="C128" t="s">
        <v>5837</v>
      </c>
    </row>
    <row r="129" spans="2:3" ht="15.75" customHeight="1">
      <c r="B129" s="6" t="s">
        <v>1267</v>
      </c>
      <c r="C129" t="s">
        <v>5840</v>
      </c>
    </row>
    <row r="130" spans="2:3" ht="15.75" customHeight="1">
      <c r="B130" s="6" t="s">
        <v>1267</v>
      </c>
      <c r="C130" t="s">
        <v>5841</v>
      </c>
    </row>
    <row r="131" spans="2:3">
      <c r="B131" s="6"/>
    </row>
    <row r="132" spans="2:3">
      <c r="B132" t="s">
        <v>5848</v>
      </c>
    </row>
    <row r="133" spans="2:3" ht="15.75" customHeight="1">
      <c r="B133" s="6" t="s">
        <v>1267</v>
      </c>
      <c r="C133" t="s">
        <v>5847</v>
      </c>
    </row>
    <row r="134" spans="2:3" ht="15.75" customHeight="1">
      <c r="B134" s="6" t="s">
        <v>1267</v>
      </c>
      <c r="C134" t="s">
        <v>5849</v>
      </c>
    </row>
    <row r="135" spans="2:3" ht="15.75" customHeight="1">
      <c r="B135" s="6" t="s">
        <v>1267</v>
      </c>
      <c r="C135" t="s">
        <v>5854</v>
      </c>
    </row>
    <row r="136" spans="2:3">
      <c r="B136" s="6" t="s">
        <v>1267</v>
      </c>
      <c r="C136" t="s">
        <v>5853</v>
      </c>
    </row>
    <row r="137" spans="2:3">
      <c r="B137" s="6"/>
    </row>
    <row r="138" spans="2:3">
      <c r="B138" t="s">
        <v>5855</v>
      </c>
    </row>
    <row r="139" spans="2:3" ht="15.75" customHeight="1">
      <c r="B139" s="6" t="s">
        <v>1267</v>
      </c>
      <c r="C139" t="s">
        <v>5856</v>
      </c>
    </row>
    <row r="140" spans="2:3" ht="15.75" customHeight="1">
      <c r="B140" s="6" t="s">
        <v>1267</v>
      </c>
      <c r="C140" t="s">
        <v>5857</v>
      </c>
    </row>
    <row r="141" spans="2:3" ht="15.75" customHeight="1">
      <c r="B141" s="6" t="s">
        <v>1267</v>
      </c>
      <c r="C141" t="s">
        <v>5858</v>
      </c>
    </row>
    <row r="142" spans="2:3" ht="15.75" customHeight="1">
      <c r="B142" s="6" t="s">
        <v>1267</v>
      </c>
      <c r="C142" t="s">
        <v>5859</v>
      </c>
    </row>
    <row r="143" spans="2:3" ht="15.75" customHeight="1">
      <c r="B143" s="6" t="s">
        <v>1267</v>
      </c>
      <c r="C143" t="s">
        <v>5860</v>
      </c>
    </row>
    <row r="144" spans="2:3" ht="15.75" customHeight="1">
      <c r="B144" s="6" t="s">
        <v>1267</v>
      </c>
      <c r="C144" t="s">
        <v>5862</v>
      </c>
    </row>
    <row r="145" spans="1:3" ht="15.75" customHeight="1">
      <c r="B145" s="6" t="s">
        <v>1267</v>
      </c>
      <c r="C145" t="s">
        <v>5861</v>
      </c>
    </row>
    <row r="146" spans="1:3">
      <c r="B146" s="6"/>
    </row>
    <row r="147" spans="1:3">
      <c r="B147" t="s">
        <v>5878</v>
      </c>
    </row>
    <row r="148" spans="1:3" ht="15.75" customHeight="1">
      <c r="B148" s="6" t="s">
        <v>1267</v>
      </c>
      <c r="C148" t="s">
        <v>5879</v>
      </c>
    </row>
    <row r="149" spans="1:3" ht="15.75" customHeight="1">
      <c r="B149" s="6" t="s">
        <v>1267</v>
      </c>
      <c r="C149" t="s">
        <v>5880</v>
      </c>
    </row>
    <row r="150" spans="1:3" ht="15.75" customHeight="1">
      <c r="B150" s="6" t="s">
        <v>1267</v>
      </c>
      <c r="C150" t="s">
        <v>5881</v>
      </c>
    </row>
    <row r="151" spans="1:3" ht="15.75" customHeight="1">
      <c r="B151" s="6" t="s">
        <v>1267</v>
      </c>
      <c r="C151" t="s">
        <v>5882</v>
      </c>
    </row>
    <row r="152" spans="1:3" ht="15.75" customHeight="1">
      <c r="B152" s="6" t="s">
        <v>1267</v>
      </c>
      <c r="C152" t="s">
        <v>5883</v>
      </c>
    </row>
    <row r="153" spans="1:3" ht="15.75" customHeight="1">
      <c r="B153" s="6" t="s">
        <v>1267</v>
      </c>
      <c r="C153" t="s">
        <v>5884</v>
      </c>
    </row>
    <row r="154" spans="1:3">
      <c r="B154" s="6"/>
    </row>
    <row r="155" spans="1:3">
      <c r="B155" t="s">
        <v>5886</v>
      </c>
    </row>
    <row r="156" spans="1:3" ht="15.75" customHeight="1">
      <c r="B156" s="6" t="s">
        <v>1267</v>
      </c>
      <c r="C156" t="s">
        <v>5887</v>
      </c>
    </row>
    <row r="157" spans="1:3" ht="15.75" customHeight="1">
      <c r="B157" s="6" t="s">
        <v>1267</v>
      </c>
      <c r="C157" t="s">
        <v>5885</v>
      </c>
    </row>
    <row r="158" spans="1:3" ht="15.75" customHeight="1">
      <c r="B158" s="6"/>
    </row>
    <row r="160" spans="1:3" s="201" customFormat="1">
      <c r="A160" s="200" t="s">
        <v>1278</v>
      </c>
    </row>
    <row r="161" spans="1:5">
      <c r="A161" s="197"/>
    </row>
    <row r="162" spans="1:5">
      <c r="B162" s="253" t="s">
        <v>5379</v>
      </c>
      <c r="C162" s="253"/>
      <c r="D162" s="253"/>
      <c r="E162" s="253"/>
    </row>
    <row r="163" spans="1:5">
      <c r="B163" s="6" t="s">
        <v>1267</v>
      </c>
      <c r="C163" t="s">
        <v>5382</v>
      </c>
    </row>
    <row r="164" spans="1:5">
      <c r="B164" s="6" t="s">
        <v>1267</v>
      </c>
      <c r="C164" s="252" t="s">
        <v>1279</v>
      </c>
    </row>
    <row r="165" spans="1:5">
      <c r="B165" s="6" t="s">
        <v>1267</v>
      </c>
      <c r="C165" s="252" t="s">
        <v>1287</v>
      </c>
    </row>
    <row r="166" spans="1:5">
      <c r="B166" s="6" t="s">
        <v>1267</v>
      </c>
      <c r="C166" s="252" t="s">
        <v>1288</v>
      </c>
    </row>
    <row r="167" spans="1:5">
      <c r="B167" s="6"/>
    </row>
    <row r="168" spans="1:5">
      <c r="B168" t="s">
        <v>5384</v>
      </c>
    </row>
    <row r="169" spans="1:5">
      <c r="B169" s="6" t="s">
        <v>1267</v>
      </c>
      <c r="C169" t="s">
        <v>5389</v>
      </c>
    </row>
    <row r="170" spans="1:5">
      <c r="B170" s="6" t="s">
        <v>1267</v>
      </c>
      <c r="C170" t="s">
        <v>5383</v>
      </c>
    </row>
    <row r="171" spans="1:5">
      <c r="B171" s="6" t="s">
        <v>1267</v>
      </c>
      <c r="C171" t="s">
        <v>5378</v>
      </c>
    </row>
    <row r="172" spans="1:5">
      <c r="B172" s="6" t="s">
        <v>1267</v>
      </c>
      <c r="C172" s="18" t="s">
        <v>1280</v>
      </c>
    </row>
    <row r="173" spans="1:5">
      <c r="B173" s="6"/>
      <c r="C173" s="6" t="s">
        <v>1267</v>
      </c>
      <c r="D173" t="s">
        <v>1285</v>
      </c>
    </row>
    <row r="174" spans="1:5">
      <c r="D174" s="6" t="s">
        <v>1267</v>
      </c>
      <c r="E174" t="s">
        <v>1282</v>
      </c>
    </row>
    <row r="175" spans="1:5">
      <c r="D175" s="6" t="s">
        <v>1267</v>
      </c>
      <c r="E175" t="s">
        <v>5380</v>
      </c>
    </row>
    <row r="176" spans="1:5">
      <c r="D176" s="6" t="s">
        <v>1267</v>
      </c>
      <c r="E176" t="s">
        <v>5390</v>
      </c>
    </row>
    <row r="177" spans="1:5">
      <c r="D177" s="6" t="s">
        <v>1267</v>
      </c>
      <c r="E177" t="s">
        <v>1283</v>
      </c>
    </row>
    <row r="178" spans="1:5">
      <c r="D178" s="6" t="s">
        <v>1267</v>
      </c>
      <c r="E178" t="s">
        <v>1284</v>
      </c>
    </row>
    <row r="179" spans="1:5">
      <c r="C179" s="6" t="s">
        <v>1267</v>
      </c>
      <c r="D179" t="s">
        <v>1281</v>
      </c>
    </row>
    <row r="181" spans="1:5">
      <c r="B181" t="s">
        <v>5381</v>
      </c>
    </row>
    <row r="182" spans="1:5">
      <c r="B182" s="6" t="s">
        <v>1267</v>
      </c>
      <c r="C182" t="s">
        <v>1286</v>
      </c>
    </row>
    <row r="184" spans="1:5">
      <c r="B184" t="s">
        <v>5385</v>
      </c>
    </row>
    <row r="185" spans="1:5">
      <c r="B185" s="6" t="s">
        <v>1267</v>
      </c>
      <c r="C185" t="s">
        <v>5386</v>
      </c>
    </row>
    <row r="186" spans="1:5">
      <c r="B186" s="6" t="s">
        <v>5387</v>
      </c>
      <c r="C186" t="s">
        <v>5388</v>
      </c>
    </row>
    <row r="188" spans="1:5" s="201" customFormat="1">
      <c r="A188" s="200" t="s">
        <v>1277</v>
      </c>
    </row>
    <row r="189" spans="1:5">
      <c r="A189" s="197"/>
    </row>
    <row r="190" spans="1:5">
      <c r="B190" t="s">
        <v>1290</v>
      </c>
    </row>
    <row r="191" spans="1:5">
      <c r="B191" t="s">
        <v>1289</v>
      </c>
    </row>
    <row r="194" spans="1:24" s="201" customFormat="1">
      <c r="A194" s="201" t="s">
        <v>5727</v>
      </c>
    </row>
    <row r="195" spans="1:24" ht="15.75" thickBot="1"/>
    <row r="196" spans="1:24">
      <c r="H196" s="305" t="s">
        <v>5715</v>
      </c>
      <c r="I196" s="435"/>
      <c r="J196" s="432"/>
      <c r="K196" s="432"/>
      <c r="L196" s="432"/>
      <c r="M196" s="432"/>
      <c r="N196" s="432"/>
      <c r="O196" s="432"/>
      <c r="P196" s="432"/>
      <c r="Q196" s="432"/>
      <c r="R196" s="433"/>
    </row>
    <row r="197" spans="1:24">
      <c r="H197" s="306"/>
      <c r="R197" s="168"/>
    </row>
    <row r="198" spans="1:24">
      <c r="H198" s="306"/>
      <c r="M198" s="3" t="s">
        <v>5718</v>
      </c>
      <c r="R198" s="168"/>
    </row>
    <row r="199" spans="1:24" ht="15.75" thickBot="1">
      <c r="H199" s="306"/>
      <c r="R199" s="168"/>
    </row>
    <row r="200" spans="1:24" ht="15" customHeight="1">
      <c r="H200" s="306"/>
      <c r="I200" s="305"/>
      <c r="J200" s="431"/>
      <c r="K200" s="441" t="s">
        <v>5430</v>
      </c>
      <c r="L200" s="442" t="s">
        <v>5430</v>
      </c>
      <c r="M200" s="442" t="s">
        <v>5430</v>
      </c>
      <c r="N200" s="443" t="s">
        <v>5714</v>
      </c>
      <c r="O200" s="445" t="s">
        <v>5714</v>
      </c>
      <c r="P200" s="444" t="s">
        <v>5714</v>
      </c>
      <c r="Q200" s="454" t="s">
        <v>5714</v>
      </c>
      <c r="R200" s="462"/>
      <c r="S200" s="561" t="s">
        <v>5719</v>
      </c>
      <c r="T200" s="561"/>
      <c r="U200" s="561"/>
      <c r="V200" s="561"/>
      <c r="W200" s="561"/>
      <c r="X200" s="562"/>
    </row>
    <row r="201" spans="1:24">
      <c r="H201" s="306"/>
      <c r="I201" s="437" t="s">
        <v>5282</v>
      </c>
      <c r="J201" s="438" t="s">
        <v>5308</v>
      </c>
      <c r="K201" s="316" t="s">
        <v>5431</v>
      </c>
      <c r="L201" s="317" t="s">
        <v>5431</v>
      </c>
      <c r="M201" s="317" t="s">
        <v>5431</v>
      </c>
      <c r="N201" s="316" t="s">
        <v>5431</v>
      </c>
      <c r="O201" s="446" t="s">
        <v>5431</v>
      </c>
      <c r="P201" s="317" t="s">
        <v>5431</v>
      </c>
      <c r="Q201" s="319" t="s">
        <v>5431</v>
      </c>
      <c r="R201" s="168"/>
      <c r="S201" s="563"/>
      <c r="T201" s="563"/>
      <c r="U201" s="563"/>
      <c r="V201" s="563"/>
      <c r="W201" s="563"/>
      <c r="X201" s="564"/>
    </row>
    <row r="202" spans="1:24">
      <c r="H202" s="306"/>
      <c r="I202" s="437" t="s">
        <v>5282</v>
      </c>
      <c r="J202" s="438" t="s">
        <v>5308</v>
      </c>
      <c r="K202" s="318" t="s">
        <v>5431</v>
      </c>
      <c r="L202" s="430" t="s">
        <v>5431</v>
      </c>
      <c r="M202" s="430" t="s">
        <v>5431</v>
      </c>
      <c r="N202" s="318" t="s">
        <v>5431</v>
      </c>
      <c r="O202" s="447" t="s">
        <v>5431</v>
      </c>
      <c r="P202" s="430" t="s">
        <v>5431</v>
      </c>
      <c r="Q202" s="320" t="s">
        <v>5431</v>
      </c>
      <c r="R202" s="168"/>
    </row>
    <row r="203" spans="1:24">
      <c r="H203" s="306"/>
      <c r="I203" s="449" t="s">
        <v>5282</v>
      </c>
      <c r="J203" s="450" t="s">
        <v>5308</v>
      </c>
      <c r="K203" s="450" t="s">
        <v>5431</v>
      </c>
      <c r="L203" s="451" t="s">
        <v>5431</v>
      </c>
      <c r="M203" s="451" t="s">
        <v>5431</v>
      </c>
      <c r="N203" s="450" t="s">
        <v>5431</v>
      </c>
      <c r="O203" s="452" t="s">
        <v>5431</v>
      </c>
      <c r="P203" s="451" t="s">
        <v>5431</v>
      </c>
      <c r="Q203" s="451" t="s">
        <v>5431</v>
      </c>
      <c r="R203" s="168"/>
    </row>
    <row r="204" spans="1:24">
      <c r="H204" s="306"/>
      <c r="I204" s="437" t="s">
        <v>5282</v>
      </c>
      <c r="J204" s="438" t="s">
        <v>5308</v>
      </c>
      <c r="K204" s="318" t="s">
        <v>5431</v>
      </c>
      <c r="L204" s="430" t="s">
        <v>5431</v>
      </c>
      <c r="M204" s="430" t="s">
        <v>5431</v>
      </c>
      <c r="N204" s="318" t="s">
        <v>5431</v>
      </c>
      <c r="O204" s="447" t="s">
        <v>5431</v>
      </c>
      <c r="P204" s="430" t="s">
        <v>5431</v>
      </c>
      <c r="Q204" s="320" t="s">
        <v>5431</v>
      </c>
      <c r="R204" s="168"/>
    </row>
    <row r="205" spans="1:24" ht="15.75" thickBot="1">
      <c r="H205" s="306"/>
      <c r="I205" s="439" t="s">
        <v>5282</v>
      </c>
      <c r="J205" s="440" t="s">
        <v>5308</v>
      </c>
      <c r="K205" s="321" t="s">
        <v>5431</v>
      </c>
      <c r="L205" s="322" t="s">
        <v>5431</v>
      </c>
      <c r="M205" s="322" t="s">
        <v>5431</v>
      </c>
      <c r="N205" s="321" t="s">
        <v>5431</v>
      </c>
      <c r="O205" s="448" t="s">
        <v>5431</v>
      </c>
      <c r="P205" s="322" t="s">
        <v>5431</v>
      </c>
      <c r="Q205" s="323" t="s">
        <v>5431</v>
      </c>
      <c r="R205" s="168"/>
    </row>
    <row r="206" spans="1:24" ht="15.75" thickBot="1">
      <c r="H206" s="309"/>
      <c r="I206" s="460"/>
      <c r="J206" s="461"/>
      <c r="K206" s="310"/>
      <c r="L206" s="310"/>
      <c r="M206" s="310"/>
      <c r="N206" s="436"/>
      <c r="O206" s="310"/>
      <c r="P206" s="310"/>
      <c r="Q206" s="310"/>
      <c r="R206" s="434"/>
    </row>
    <row r="207" spans="1:24" ht="18.75" customHeight="1">
      <c r="B207" s="455"/>
      <c r="C207" s="456"/>
      <c r="D207" s="456"/>
      <c r="E207" s="456"/>
      <c r="F207" s="456"/>
      <c r="G207" s="456"/>
      <c r="H207" s="457"/>
      <c r="I207" s="458" t="s">
        <v>5717</v>
      </c>
      <c r="J207" s="459" t="s">
        <v>5716</v>
      </c>
    </row>
    <row r="209" spans="1:23" ht="15" customHeight="1">
      <c r="B209" s="6" t="s">
        <v>1267</v>
      </c>
      <c r="C209" s="18" t="s">
        <v>5721</v>
      </c>
      <c r="R209" s="565" t="s">
        <v>5720</v>
      </c>
      <c r="S209" s="566"/>
      <c r="T209" s="566"/>
      <c r="U209" s="566"/>
      <c r="V209" s="567"/>
      <c r="W209" s="453"/>
    </row>
    <row r="210" spans="1:23">
      <c r="B210" s="6" t="s">
        <v>1267</v>
      </c>
      <c r="C210" s="18" t="s">
        <v>5722</v>
      </c>
      <c r="R210" s="568"/>
      <c r="S210" s="569"/>
      <c r="T210" s="569"/>
      <c r="U210" s="569"/>
      <c r="V210" s="570"/>
      <c r="W210" s="453"/>
    </row>
    <row r="211" spans="1:23">
      <c r="B211" s="6" t="s">
        <v>1267</v>
      </c>
      <c r="C211" s="18" t="s">
        <v>5723</v>
      </c>
      <c r="R211" s="571"/>
      <c r="S211" s="572"/>
      <c r="T211" s="572"/>
      <c r="U211" s="572"/>
      <c r="V211" s="573"/>
      <c r="W211" s="453"/>
    </row>
    <row r="212" spans="1:23">
      <c r="C212" s="6" t="s">
        <v>5387</v>
      </c>
      <c r="D212" t="s">
        <v>5726</v>
      </c>
    </row>
    <row r="213" spans="1:23">
      <c r="C213" s="6" t="s">
        <v>5387</v>
      </c>
      <c r="D213" t="s">
        <v>5724</v>
      </c>
    </row>
    <row r="214" spans="1:23">
      <c r="B214" s="6" t="s">
        <v>1267</v>
      </c>
      <c r="C214" s="18" t="s">
        <v>5728</v>
      </c>
    </row>
    <row r="215" spans="1:23">
      <c r="C215" s="6" t="s">
        <v>5387</v>
      </c>
      <c r="D215" t="s">
        <v>5725</v>
      </c>
    </row>
    <row r="216" spans="1:23">
      <c r="C216" s="6" t="s">
        <v>5387</v>
      </c>
      <c r="D216" t="s">
        <v>5730</v>
      </c>
      <c r="U216" s="463"/>
    </row>
    <row r="217" spans="1:23">
      <c r="B217" s="6" t="s">
        <v>1267</v>
      </c>
      <c r="C217" s="18" t="s">
        <v>5729</v>
      </c>
    </row>
    <row r="220" spans="1:23" s="201" customFormat="1">
      <c r="A220" s="467" t="s">
        <v>5753</v>
      </c>
      <c r="B220" s="467"/>
      <c r="C220" s="467"/>
      <c r="D220" s="467"/>
      <c r="E220" s="467"/>
      <c r="F220" s="467"/>
      <c r="G220" s="467"/>
      <c r="H220" s="467"/>
      <c r="I220" s="467"/>
      <c r="J220" s="467"/>
      <c r="K220" s="467"/>
      <c r="L220" s="467"/>
      <c r="M220" s="467"/>
      <c r="N220" s="467"/>
      <c r="O220" s="467"/>
      <c r="P220" s="467"/>
      <c r="Q220" s="467"/>
      <c r="R220" s="467"/>
    </row>
    <row r="221" spans="1:23">
      <c r="A221" s="468"/>
      <c r="B221" s="468"/>
      <c r="C221" s="468"/>
      <c r="D221" s="468"/>
      <c r="E221" s="468"/>
      <c r="F221" s="468"/>
      <c r="G221" s="468"/>
      <c r="H221" s="468"/>
      <c r="I221" s="468"/>
      <c r="J221" s="468"/>
      <c r="K221" s="468"/>
      <c r="L221" s="468"/>
      <c r="M221" s="468"/>
      <c r="N221" s="468"/>
      <c r="O221" s="468"/>
      <c r="P221" s="468"/>
      <c r="Q221" s="468"/>
      <c r="R221" s="468"/>
    </row>
    <row r="222" spans="1:23">
      <c r="A222" s="468"/>
      <c r="B222" s="469" t="s">
        <v>1267</v>
      </c>
      <c r="C222" s="468" t="s">
        <v>5766</v>
      </c>
      <c r="D222" s="468"/>
      <c r="E222" s="468"/>
      <c r="F222" s="468"/>
      <c r="G222" s="468"/>
      <c r="H222" s="468"/>
      <c r="I222" s="468"/>
      <c r="J222" s="468"/>
      <c r="K222" s="468"/>
      <c r="L222" s="468"/>
      <c r="M222" s="468"/>
      <c r="N222" s="468"/>
      <c r="O222" s="468"/>
      <c r="P222" s="468"/>
      <c r="Q222" s="468"/>
      <c r="R222" s="468"/>
    </row>
    <row r="223" spans="1:23">
      <c r="A223" s="468"/>
      <c r="B223" s="469" t="s">
        <v>1267</v>
      </c>
      <c r="C223" s="468" t="s">
        <v>5757</v>
      </c>
      <c r="D223" s="468"/>
      <c r="E223" s="468"/>
      <c r="F223" s="468"/>
      <c r="G223" s="468"/>
      <c r="H223" s="468"/>
      <c r="I223" s="468"/>
      <c r="J223" s="468"/>
      <c r="K223" s="468"/>
      <c r="L223" s="468"/>
      <c r="M223" s="468"/>
      <c r="N223" s="468"/>
      <c r="O223" s="468"/>
      <c r="P223" s="468"/>
      <c r="Q223" s="468"/>
      <c r="R223" s="468"/>
    </row>
    <row r="224" spans="1:23">
      <c r="A224" s="468"/>
      <c r="B224" s="468"/>
      <c r="C224" s="469"/>
      <c r="D224" s="468"/>
      <c r="E224" s="468"/>
      <c r="F224" s="468"/>
      <c r="G224" s="468"/>
      <c r="H224" s="468"/>
      <c r="I224" s="468"/>
      <c r="J224" s="468"/>
      <c r="K224" s="468"/>
      <c r="L224" s="468"/>
      <c r="M224" s="468"/>
      <c r="N224" s="468"/>
      <c r="O224" s="468"/>
      <c r="P224" s="468"/>
      <c r="Q224" s="468"/>
      <c r="R224" s="468"/>
    </row>
    <row r="225" spans="1:18" ht="17.25">
      <c r="A225" s="468"/>
      <c r="B225" s="469" t="s">
        <v>1267</v>
      </c>
      <c r="C225" s="468" t="s">
        <v>5747</v>
      </c>
      <c r="D225" s="468"/>
      <c r="E225" s="468"/>
      <c r="F225" s="574" t="s">
        <v>5751</v>
      </c>
      <c r="G225" s="574"/>
      <c r="H225" s="470" t="s">
        <v>5739</v>
      </c>
      <c r="I225" s="575" t="s">
        <v>5759</v>
      </c>
      <c r="J225" s="575"/>
      <c r="K225" s="468"/>
      <c r="L225" s="468"/>
      <c r="M225" s="494" t="s">
        <v>5764</v>
      </c>
      <c r="N225" s="468"/>
      <c r="O225" s="468"/>
      <c r="P225" s="468"/>
      <c r="Q225" s="468"/>
      <c r="R225" s="468"/>
    </row>
    <row r="226" spans="1:18" ht="17.25">
      <c r="A226" s="468"/>
      <c r="B226" s="468"/>
      <c r="C226" s="468"/>
      <c r="D226" s="468"/>
      <c r="E226" s="468"/>
      <c r="F226" s="468"/>
      <c r="G226" s="468"/>
      <c r="H226" s="468"/>
      <c r="I226" s="468"/>
      <c r="J226" s="468"/>
      <c r="K226" s="468"/>
      <c r="L226" s="468"/>
      <c r="M226" s="506" t="s">
        <v>5758</v>
      </c>
      <c r="N226" s="468"/>
      <c r="O226" s="468"/>
      <c r="P226" s="468"/>
      <c r="Q226" s="468"/>
      <c r="R226" s="468"/>
    </row>
    <row r="227" spans="1:18" ht="18" thickBot="1">
      <c r="A227" s="468"/>
      <c r="B227" s="469" t="s">
        <v>1267</v>
      </c>
      <c r="C227" s="468" t="s">
        <v>5747</v>
      </c>
      <c r="D227" s="468"/>
      <c r="E227" s="468"/>
      <c r="F227" s="576" t="s">
        <v>5741</v>
      </c>
      <c r="G227" s="576"/>
      <c r="H227" s="470" t="s">
        <v>5739</v>
      </c>
      <c r="I227" s="576" t="s">
        <v>5760</v>
      </c>
      <c r="J227" s="576"/>
      <c r="K227" s="468"/>
      <c r="M227" s="494" t="s">
        <v>5761</v>
      </c>
      <c r="N227" s="468"/>
      <c r="O227" s="468"/>
      <c r="P227" s="468"/>
      <c r="Q227" s="468"/>
      <c r="R227" s="468"/>
    </row>
    <row r="228" spans="1:18" ht="17.25">
      <c r="A228" s="468"/>
      <c r="B228" s="468"/>
      <c r="C228" s="468"/>
      <c r="D228" s="468"/>
      <c r="E228" s="468"/>
      <c r="F228" s="560" t="s">
        <v>5740</v>
      </c>
      <c r="G228" s="560"/>
      <c r="H228" s="468"/>
      <c r="I228" s="560" t="s">
        <v>5762</v>
      </c>
      <c r="J228" s="560"/>
      <c r="K228" s="468"/>
      <c r="M228" s="494" t="s">
        <v>5754</v>
      </c>
      <c r="N228" s="468"/>
      <c r="O228" s="468"/>
      <c r="P228" s="468"/>
      <c r="Q228" s="468"/>
      <c r="R228" s="468"/>
    </row>
    <row r="229" spans="1:18">
      <c r="A229" s="468"/>
      <c r="B229" s="468"/>
      <c r="C229" s="468"/>
      <c r="D229" s="468"/>
      <c r="E229" s="468"/>
      <c r="F229" s="470"/>
      <c r="G229" s="470"/>
      <c r="H229" s="468"/>
      <c r="I229" s="470"/>
      <c r="J229" s="470"/>
      <c r="K229" s="468"/>
      <c r="L229" s="471"/>
      <c r="M229" s="468"/>
      <c r="N229" s="468"/>
      <c r="O229" s="468"/>
      <c r="P229" s="468"/>
      <c r="Q229" s="468"/>
      <c r="R229" s="468"/>
    </row>
    <row r="230" spans="1:18">
      <c r="A230" s="468"/>
      <c r="B230" s="468"/>
      <c r="C230" s="468"/>
      <c r="D230" s="468"/>
      <c r="E230" s="468"/>
      <c r="F230" s="470"/>
      <c r="G230" s="470"/>
      <c r="H230" s="468"/>
      <c r="I230" s="470"/>
      <c r="J230" s="470"/>
      <c r="K230" s="468"/>
      <c r="M230" s="468"/>
      <c r="N230" s="468"/>
      <c r="O230" s="468"/>
      <c r="P230" s="468"/>
      <c r="Q230" s="468"/>
      <c r="R230" s="468"/>
    </row>
    <row r="231" spans="1:18">
      <c r="A231" s="468"/>
      <c r="B231" s="468"/>
      <c r="C231" s="468"/>
      <c r="D231" s="468"/>
      <c r="E231" s="468"/>
      <c r="F231" s="470"/>
      <c r="G231" s="470"/>
      <c r="H231" s="468"/>
      <c r="I231" s="470"/>
      <c r="J231" s="470"/>
      <c r="K231" s="468"/>
      <c r="L231" s="468"/>
      <c r="M231" s="468"/>
      <c r="N231" s="468"/>
      <c r="O231" s="468"/>
      <c r="P231" s="468"/>
      <c r="Q231" s="468"/>
      <c r="R231" s="468"/>
    </row>
    <row r="232" spans="1:18">
      <c r="A232" s="468"/>
      <c r="B232" s="468"/>
      <c r="C232" s="468"/>
      <c r="D232" s="468"/>
      <c r="E232" s="468"/>
      <c r="F232" s="470"/>
      <c r="G232" s="470"/>
      <c r="H232" s="468"/>
      <c r="I232" s="470" t="s">
        <v>5756</v>
      </c>
      <c r="J232" s="470"/>
      <c r="K232" s="468"/>
      <c r="L232" s="468"/>
      <c r="M232" s="468"/>
      <c r="N232" s="468"/>
      <c r="O232" s="468"/>
      <c r="P232" s="468"/>
      <c r="Q232" s="468"/>
      <c r="R232" s="468"/>
    </row>
    <row r="233" spans="1:18">
      <c r="A233" s="468"/>
      <c r="B233" s="468"/>
      <c r="C233" s="468"/>
      <c r="D233" s="468"/>
      <c r="E233" s="468"/>
      <c r="F233" s="470"/>
      <c r="G233" s="470"/>
      <c r="H233" s="468"/>
      <c r="I233" s="470" t="s">
        <v>5765</v>
      </c>
      <c r="J233" s="470"/>
      <c r="K233" s="468"/>
      <c r="L233" s="468"/>
      <c r="M233" s="468"/>
      <c r="N233" s="468"/>
      <c r="O233" s="468"/>
      <c r="P233" s="468"/>
      <c r="Q233" s="468"/>
      <c r="R233" s="468"/>
    </row>
    <row r="234" spans="1:18">
      <c r="A234" s="468"/>
      <c r="B234" s="468"/>
      <c r="C234" s="468"/>
      <c r="D234" s="468"/>
      <c r="E234" s="468"/>
      <c r="F234" s="470"/>
      <c r="G234" s="470"/>
      <c r="H234" s="468"/>
      <c r="I234" s="505" t="s">
        <v>5755</v>
      </c>
      <c r="J234" s="470"/>
      <c r="K234" s="468"/>
      <c r="L234" s="468"/>
      <c r="M234" s="468"/>
      <c r="N234" s="468"/>
      <c r="O234" s="468"/>
      <c r="P234" s="468"/>
      <c r="Q234" s="468"/>
      <c r="R234" s="468"/>
    </row>
    <row r="235" spans="1:18" ht="15.75" thickBot="1">
      <c r="A235" s="468"/>
      <c r="B235" s="468"/>
      <c r="C235" s="468"/>
      <c r="D235" s="468"/>
      <c r="E235" s="468"/>
      <c r="F235" s="468"/>
      <c r="G235" s="468"/>
      <c r="H235" s="468"/>
      <c r="J235" s="468"/>
      <c r="K235" s="468"/>
      <c r="L235" s="468"/>
      <c r="M235" s="468"/>
      <c r="N235" s="468"/>
      <c r="O235" s="468"/>
      <c r="P235" s="468"/>
      <c r="Q235" s="468"/>
      <c r="R235" s="468"/>
    </row>
    <row r="236" spans="1:18" ht="15.75" thickBot="1">
      <c r="A236" s="468"/>
      <c r="B236" s="468"/>
      <c r="C236" s="468"/>
      <c r="D236" s="468"/>
      <c r="E236" s="468"/>
      <c r="F236" s="472"/>
      <c r="G236" s="472"/>
      <c r="H236" s="473"/>
      <c r="I236" s="474" t="s">
        <v>5745</v>
      </c>
      <c r="J236" s="473"/>
      <c r="K236" s="473"/>
      <c r="L236" s="475"/>
      <c r="N236" s="468"/>
      <c r="O236" s="468"/>
      <c r="P236" s="468"/>
      <c r="Q236" s="468"/>
      <c r="R236" s="468"/>
    </row>
    <row r="237" spans="1:18">
      <c r="A237" s="468"/>
      <c r="B237" s="468"/>
      <c r="C237" s="468"/>
      <c r="D237" s="468"/>
      <c r="E237" s="468"/>
      <c r="F237" s="476"/>
      <c r="G237" s="477" t="s">
        <v>53</v>
      </c>
      <c r="H237" s="478" t="s">
        <v>54</v>
      </c>
      <c r="I237" s="478" t="s">
        <v>5742</v>
      </c>
      <c r="J237" s="478" t="s">
        <v>49</v>
      </c>
      <c r="K237" s="478" t="s">
        <v>50</v>
      </c>
      <c r="L237" s="479" t="s">
        <v>51</v>
      </c>
      <c r="M237" s="468"/>
      <c r="N237" s="468"/>
      <c r="O237" s="468"/>
      <c r="P237" s="468"/>
      <c r="Q237" s="468"/>
      <c r="R237" s="468"/>
    </row>
    <row r="238" spans="1:18" ht="15.75" thickBot="1">
      <c r="A238" s="468"/>
      <c r="B238" s="468"/>
      <c r="C238" s="468"/>
      <c r="D238" s="468"/>
      <c r="E238" s="469"/>
      <c r="F238" s="480"/>
      <c r="G238" s="481" t="s">
        <v>61</v>
      </c>
      <c r="H238" s="482" t="s">
        <v>5737</v>
      </c>
      <c r="I238" s="482" t="s">
        <v>5399</v>
      </c>
      <c r="J238" s="482" t="s">
        <v>1</v>
      </c>
      <c r="K238" s="482" t="s">
        <v>58</v>
      </c>
      <c r="L238" s="483" t="s">
        <v>5284</v>
      </c>
      <c r="M238" s="468"/>
      <c r="N238" s="468"/>
      <c r="O238" s="468"/>
      <c r="P238" s="468"/>
      <c r="Q238" s="468"/>
      <c r="R238" s="468"/>
    </row>
    <row r="239" spans="1:18" ht="30">
      <c r="A239" s="468"/>
      <c r="B239" s="468"/>
      <c r="C239" s="468"/>
      <c r="D239" s="468"/>
      <c r="E239" s="468"/>
      <c r="F239" s="484" t="s">
        <v>5752</v>
      </c>
      <c r="G239" s="485" t="s">
        <v>5744</v>
      </c>
      <c r="H239" s="486" t="s">
        <v>5738</v>
      </c>
      <c r="I239" s="486" t="s">
        <v>5763</v>
      </c>
      <c r="J239" s="486" t="s">
        <v>5744</v>
      </c>
      <c r="K239" s="486" t="s">
        <v>5744</v>
      </c>
      <c r="L239" s="487" t="s">
        <v>5744</v>
      </c>
      <c r="M239" s="510" t="s">
        <v>5767</v>
      </c>
      <c r="N239" s="468"/>
      <c r="O239" s="468"/>
      <c r="P239" s="468"/>
      <c r="Q239" s="468"/>
      <c r="R239" s="468"/>
    </row>
    <row r="240" spans="1:18" ht="17.25">
      <c r="A240" s="468"/>
      <c r="B240" s="468"/>
      <c r="C240" s="468"/>
      <c r="D240" s="468"/>
      <c r="E240" s="468"/>
      <c r="F240" s="488">
        <v>102</v>
      </c>
      <c r="G240" s="489" t="s">
        <v>5743</v>
      </c>
      <c r="H240" s="490" t="s">
        <v>5743</v>
      </c>
      <c r="I240" s="511" t="s">
        <v>5768</v>
      </c>
      <c r="J240" s="490" t="s">
        <v>5743</v>
      </c>
      <c r="K240" s="490" t="s">
        <v>5743</v>
      </c>
      <c r="L240" s="491" t="s">
        <v>5743</v>
      </c>
      <c r="M240" s="494" t="s">
        <v>5769</v>
      </c>
      <c r="N240" s="468"/>
      <c r="O240" s="468"/>
      <c r="P240" s="468"/>
      <c r="Q240" s="468"/>
      <c r="R240" s="468"/>
    </row>
    <row r="241" spans="1:18" ht="17.25">
      <c r="A241" s="468"/>
      <c r="B241" s="468"/>
      <c r="C241" s="468"/>
      <c r="D241" s="468"/>
      <c r="E241" s="468" t="s">
        <v>5746</v>
      </c>
      <c r="F241" s="492" t="s">
        <v>5736</v>
      </c>
      <c r="G241" s="507" t="s">
        <v>5738</v>
      </c>
      <c r="H241" s="509" t="s">
        <v>5770</v>
      </c>
      <c r="I241" s="509" t="s">
        <v>5770</v>
      </c>
      <c r="J241" s="490" t="s">
        <v>5743</v>
      </c>
      <c r="K241" s="490" t="s">
        <v>5743</v>
      </c>
      <c r="L241" s="493" t="s">
        <v>5743</v>
      </c>
      <c r="M241" s="494" t="s">
        <v>5772</v>
      </c>
      <c r="N241" s="495"/>
      <c r="O241" s="468"/>
      <c r="P241" s="468"/>
      <c r="Q241" s="468"/>
      <c r="R241" s="468"/>
    </row>
    <row r="242" spans="1:18" ht="17.25">
      <c r="A242" s="468"/>
      <c r="B242" s="468"/>
      <c r="C242" s="468"/>
      <c r="D242" s="468"/>
      <c r="E242" s="468"/>
      <c r="F242" s="492" t="s">
        <v>5735</v>
      </c>
      <c r="G242" s="508" t="s">
        <v>5744</v>
      </c>
      <c r="H242" s="490" t="s">
        <v>5771</v>
      </c>
      <c r="I242" s="490" t="s">
        <v>5771</v>
      </c>
      <c r="J242" s="490" t="s">
        <v>5743</v>
      </c>
      <c r="K242" s="490" t="s">
        <v>5743</v>
      </c>
      <c r="L242" s="493" t="s">
        <v>5743</v>
      </c>
      <c r="M242" s="496" t="s">
        <v>5773</v>
      </c>
      <c r="N242" s="468"/>
      <c r="O242" s="468"/>
      <c r="P242" s="468"/>
      <c r="Q242" s="468"/>
      <c r="R242" s="468"/>
    </row>
    <row r="243" spans="1:18">
      <c r="A243" s="468"/>
      <c r="B243" s="468"/>
      <c r="C243" s="468"/>
      <c r="D243" s="468"/>
      <c r="E243" s="468"/>
      <c r="F243" s="488">
        <v>111</v>
      </c>
      <c r="G243" s="489" t="s">
        <v>5738</v>
      </c>
      <c r="H243" s="490" t="s">
        <v>5738</v>
      </c>
      <c r="I243" s="490" t="s">
        <v>5738</v>
      </c>
      <c r="J243" s="490" t="s">
        <v>5743</v>
      </c>
      <c r="K243" s="490" t="s">
        <v>5743</v>
      </c>
      <c r="L243" s="493" t="s">
        <v>5743</v>
      </c>
      <c r="M243" s="494" t="s">
        <v>5774</v>
      </c>
      <c r="N243" s="468"/>
      <c r="O243" s="468"/>
      <c r="P243" s="468"/>
      <c r="Q243" s="468"/>
      <c r="R243" s="468"/>
    </row>
    <row r="244" spans="1:18" ht="15.75" thickBot="1">
      <c r="A244" s="468"/>
      <c r="B244" s="468"/>
      <c r="C244" s="468"/>
      <c r="D244" s="468"/>
      <c r="E244" s="468"/>
      <c r="F244" s="497" t="s">
        <v>5738</v>
      </c>
      <c r="G244" s="498" t="s">
        <v>5738</v>
      </c>
      <c r="H244" s="499" t="s">
        <v>5738</v>
      </c>
      <c r="I244" s="499" t="s">
        <v>5738</v>
      </c>
      <c r="J244" s="499" t="s">
        <v>5738</v>
      </c>
      <c r="K244" s="499" t="s">
        <v>5738</v>
      </c>
      <c r="L244" s="500" t="s">
        <v>5738</v>
      </c>
      <c r="M244" s="468"/>
      <c r="N244" s="468"/>
      <c r="O244" s="468"/>
      <c r="P244" s="468"/>
      <c r="Q244" s="468"/>
      <c r="R244" s="468"/>
    </row>
    <row r="245" spans="1:18">
      <c r="A245" s="468"/>
      <c r="B245" s="468"/>
      <c r="C245" s="468"/>
      <c r="D245" s="468"/>
      <c r="E245" s="468"/>
      <c r="F245" s="468"/>
      <c r="G245" s="468"/>
      <c r="H245" s="468"/>
      <c r="I245" s="468"/>
      <c r="J245" s="468"/>
      <c r="K245" s="468"/>
      <c r="L245" s="468"/>
      <c r="M245" s="468"/>
      <c r="N245" s="468"/>
      <c r="O245" s="468"/>
      <c r="P245" s="468"/>
      <c r="Q245" s="468"/>
      <c r="R245" s="468"/>
    </row>
    <row r="246" spans="1:18">
      <c r="A246" s="468"/>
      <c r="B246" s="468"/>
      <c r="C246" s="468"/>
      <c r="D246" s="468"/>
      <c r="E246" s="501"/>
      <c r="F246" s="502" t="s">
        <v>5748</v>
      </c>
      <c r="G246" s="503">
        <v>1988</v>
      </c>
      <c r="H246" s="503">
        <v>19908</v>
      </c>
      <c r="I246" s="503">
        <v>1330</v>
      </c>
      <c r="J246" s="504" t="s">
        <v>5750</v>
      </c>
      <c r="K246" s="504" t="s">
        <v>5749</v>
      </c>
      <c r="L246" s="503">
        <v>512</v>
      </c>
      <c r="M246" s="468"/>
      <c r="N246" s="468"/>
      <c r="O246" s="468"/>
      <c r="P246" s="468"/>
      <c r="Q246" s="468"/>
      <c r="R246" s="468"/>
    </row>
  </sheetData>
  <mergeCells count="8">
    <mergeCell ref="I228:J228"/>
    <mergeCell ref="F228:G228"/>
    <mergeCell ref="S200:X201"/>
    <mergeCell ref="R209:V211"/>
    <mergeCell ref="F225:G225"/>
    <mergeCell ref="I225:J225"/>
    <mergeCell ref="F227:G227"/>
    <mergeCell ref="I227:J227"/>
  </mergeCells>
  <pageMargins left="0.7" right="0.7" top="0.75" bottom="0.75" header="0.3" footer="0.3"/>
  <ignoredErrors>
    <ignoredError sqref="I240" numberStoredAsText="1"/>
  </ignoredErrors>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AB209"/>
  <sheetViews>
    <sheetView topLeftCell="M1" zoomScale="110" zoomScaleNormal="110" workbookViewId="0">
      <selection activeCell="AC3" sqref="AC3"/>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6" ht="45">
      <c r="B2" s="139" t="s">
        <v>849</v>
      </c>
      <c r="C2" s="139" t="s">
        <v>850</v>
      </c>
      <c r="D2" s="139" t="s">
        <v>851</v>
      </c>
      <c r="E2" s="139" t="s">
        <v>852</v>
      </c>
      <c r="F2" s="139" t="s">
        <v>853</v>
      </c>
      <c r="H2" s="140" t="s">
        <v>854</v>
      </c>
      <c r="I2" s="141" t="s">
        <v>855</v>
      </c>
      <c r="J2" s="139" t="s">
        <v>856</v>
      </c>
      <c r="K2" s="3"/>
      <c r="L2" s="139" t="s">
        <v>857</v>
      </c>
      <c r="M2" s="139" t="s">
        <v>858</v>
      </c>
      <c r="N2" s="139" t="s">
        <v>856</v>
      </c>
      <c r="P2" s="532" t="s">
        <v>5902</v>
      </c>
      <c r="Q2" s="533"/>
      <c r="R2" s="534"/>
      <c r="S2" s="535"/>
      <c r="T2" s="532" t="s">
        <v>5903</v>
      </c>
      <c r="U2" s="533"/>
      <c r="V2" s="533"/>
      <c r="W2" s="533"/>
      <c r="X2" s="533"/>
      <c r="Y2" s="533"/>
      <c r="Z2" s="534"/>
    </row>
    <row r="3" spans="2:26" ht="85.5">
      <c r="B3" s="142" t="s">
        <v>859</v>
      </c>
      <c r="C3" s="142" t="s">
        <v>860</v>
      </c>
      <c r="D3" s="142">
        <v>75</v>
      </c>
      <c r="E3" s="142">
        <f t="shared" ref="E3:E8" si="0">D3*8</f>
        <v>600</v>
      </c>
      <c r="F3" s="142">
        <v>1</v>
      </c>
      <c r="H3" s="142" t="s">
        <v>861</v>
      </c>
      <c r="I3" s="142">
        <v>0</v>
      </c>
      <c r="J3" s="142"/>
      <c r="L3" s="142" t="s">
        <v>861</v>
      </c>
      <c r="M3" s="142">
        <v>0</v>
      </c>
      <c r="N3" s="142">
        <v>0</v>
      </c>
      <c r="P3" s="536" t="s">
        <v>5904</v>
      </c>
      <c r="Q3" s="537" t="s">
        <v>5905</v>
      </c>
      <c r="R3" s="538" t="s">
        <v>5906</v>
      </c>
      <c r="T3" s="539" t="s">
        <v>5904</v>
      </c>
      <c r="U3" s="540" t="s">
        <v>859</v>
      </c>
      <c r="V3" s="540" t="s">
        <v>866</v>
      </c>
      <c r="W3" s="540" t="s">
        <v>869</v>
      </c>
      <c r="X3" s="540" t="s">
        <v>872</v>
      </c>
      <c r="Y3" s="540" t="s">
        <v>875</v>
      </c>
      <c r="Z3" s="541" t="s">
        <v>5907</v>
      </c>
    </row>
    <row r="4" spans="2:26" ht="15.75">
      <c r="B4" s="142" t="s">
        <v>862</v>
      </c>
      <c r="C4" s="142" t="s">
        <v>863</v>
      </c>
      <c r="D4" s="142">
        <v>33</v>
      </c>
      <c r="E4" s="142">
        <f t="shared" si="0"/>
        <v>264</v>
      </c>
      <c r="F4" s="143" t="s">
        <v>864</v>
      </c>
      <c r="H4" s="142" t="s">
        <v>865</v>
      </c>
      <c r="I4" s="142">
        <f>1/(24*60*60)</f>
        <v>1.1574074074074073E-5</v>
      </c>
      <c r="J4" s="142">
        <v>86400</v>
      </c>
      <c r="L4" s="142" t="s">
        <v>865</v>
      </c>
      <c r="M4" s="142">
        <f t="shared" ref="M4:M15" si="1">1/N4</f>
        <v>1.1574074074074073E-5</v>
      </c>
      <c r="N4" s="142">
        <v>86400</v>
      </c>
      <c r="P4" s="542" t="s">
        <v>861</v>
      </c>
      <c r="Q4" s="543">
        <v>0</v>
      </c>
      <c r="R4" s="544">
        <v>0</v>
      </c>
      <c r="T4" s="545" t="s">
        <v>861</v>
      </c>
      <c r="U4" s="546">
        <f>_xlfn.LET(
  _xlpm.per, _xlfn.XLOOKUP($T4, SwpRatesTbl[RateCmd], SwpRatesTbl[Period]),
  _xlpm.bits, _xlfn.XLOOKUP(U$3, SwpPktSizesTbl[Packet Names], SwpPktSizesTbl[Size (bits)]),
  _xlpm.cnt, _xlfn.XLOOKUP(U$3, SwpPktSizesTbl[Packet Names], SwpPktSizesTbl[Number of Packets in Set]),
  IF(_xlpm.per=0, 0, _xlpm.bits*_xlpm.cnt/_xlpm.per)
)</f>
        <v>0</v>
      </c>
      <c r="V4" s="546">
        <f>_xlfn.LET(
  _xlpm.per, _xlfn.XLOOKUP($T4, SwpRatesTbl[RateCmd], SwpRatesTbl[Period]),
  _xlpm.bits, _xlfn.XLOOKUP(V$3, SwpPktSizesTbl[Packet Names], SwpPktSizesTbl[Size (bits)]),
  _xlpm.cnt, _xlfn.XLOOKUP(V$3, SwpPktSizesTbl[Packet Names], SwpPktSizesTbl[Number of Packets in Set]),
  IF(_xlpm.per=0, 0, _xlpm.bits*_xlpm.cnt/_xlpm.per)
)</f>
        <v>0</v>
      </c>
      <c r="W4" s="546">
        <f>_xlfn.LET(
  _xlpm.per, _xlfn.XLOOKUP($T4, SwpRatesTbl[RateCmd], SwpRatesTbl[Period]),
  _xlpm.bits, _xlfn.XLOOKUP(W$3, SwpPktSizesTbl[Packet Names], SwpPktSizesTbl[Size (bits)]),
  _xlpm.cnt, _xlfn.XLOOKUP(W$3, SwpPktSizesTbl[Packet Names], SwpPktSizesTbl[Number of Packets in Set]),
  IF(_xlpm.per=0, 0, _xlpm.bits*_xlpm.cnt/_xlpm.per)
)</f>
        <v>0</v>
      </c>
      <c r="X4" s="546">
        <f>_xlfn.LET(
  _xlpm.per, _xlfn.XLOOKUP($T4, SwpRatesTbl[RateCmd], SwpRatesTbl[Period]),
  _xlpm.bits, _xlfn.XLOOKUP(X$3, SwpPktSizesTbl[Packet Names], SwpPktSizesTbl[Size (bits)]),
  _xlpm.cnt, _xlfn.XLOOKUP(X$3, SwpPktSizesTbl[Packet Names], SwpPktSizesTbl[Number of Packets in Set]),
  IF(_xlpm.per=0, 0, _xlpm.bits*_xlpm.cnt/_xlpm.per)
)</f>
        <v>0</v>
      </c>
      <c r="Y4" s="546">
        <f>_xlfn.LET(
  _xlpm.per, _xlfn.XLOOKUP($T4, SwpRatesTbl[RateCmd], SwpRatesTbl[Period]),
  _xlpm.bits, _xlfn.XLOOKUP(Y$3, SwpPktSizesTbl[Packet Names], SwpPktSizesTbl[Size (bits)]),
  _xlpm.cnt, _xlfn.XLOOKUP(Y$3, SwpPktSizesTbl[Packet Names], SwpPktSizesTbl[Number of Packets in Set]),
  IF(_xlpm.per=0, 0, _xlpm.bits*_xlpm.cnt/_xlpm.per)
)</f>
        <v>0</v>
      </c>
      <c r="Z4" s="547">
        <f>SwpPktRatesTbl[[#This Row],[Histogram 1]]+SwpPktRatesTbl[[#This Row],[Histogram 0]]</f>
        <v>0</v>
      </c>
    </row>
    <row r="5" spans="2:26" ht="15.75">
      <c r="B5" s="142" t="s">
        <v>866</v>
      </c>
      <c r="C5" s="142" t="s">
        <v>867</v>
      </c>
      <c r="D5" s="142">
        <v>35</v>
      </c>
      <c r="E5" s="142">
        <f t="shared" si="0"/>
        <v>280</v>
      </c>
      <c r="F5" s="142">
        <v>64</v>
      </c>
      <c r="H5" s="142" t="s">
        <v>868</v>
      </c>
      <c r="I5" s="142">
        <f>1/(12*60*60)</f>
        <v>2.3148148148148147E-5</v>
      </c>
      <c r="J5" s="142">
        <v>43200</v>
      </c>
      <c r="L5" s="142" t="s">
        <v>868</v>
      </c>
      <c r="M5" s="142">
        <f t="shared" si="1"/>
        <v>2.3148148148148147E-5</v>
      </c>
      <c r="N5" s="142">
        <v>43200</v>
      </c>
      <c r="P5" s="542" t="s">
        <v>865</v>
      </c>
      <c r="Q5" s="543">
        <f>_xlfn.BITAND(24*60*60+63, 4294967232)</f>
        <v>86400</v>
      </c>
      <c r="R5" s="544">
        <f>1/SwpRatesTbl[[#This Row],[Period]]</f>
        <v>1.1574074074074073E-5</v>
      </c>
      <c r="T5" s="548" t="s">
        <v>865</v>
      </c>
      <c r="U5" s="324">
        <f>_xlfn.LET(
  _xlpm.per, _xlfn.XLOOKUP($T5, SwpRatesTbl[RateCmd], SwpRatesTbl[Period]),
  _xlpm.bits, _xlfn.XLOOKUP(U$3, SwpPktSizesTbl[Packet Names], SwpPktSizesTbl[Size (bits)]),
  _xlpm.cnt, _xlfn.XLOOKUP(U$3, SwpPktSizesTbl[Packet Names], SwpPktSizesTbl[Number of Packets in Set]),
  IF(_xlpm.per=0, 0, _xlpm.bits*_xlpm.cnt/_xlpm.per)
)</f>
        <v>6.9444444444444441E-3</v>
      </c>
      <c r="V5" s="324">
        <f>_xlfn.LET(
  _xlpm.per, _xlfn.XLOOKUP($T5, SwpRatesTbl[RateCmd], SwpRatesTbl[Period]),
  _xlpm.bits, _xlfn.XLOOKUP(V$3, SwpPktSizesTbl[Packet Names], SwpPktSizesTbl[Size (bits)]),
  _xlpm.cnt, _xlfn.XLOOKUP(V$3, SwpPktSizesTbl[Packet Names], SwpPktSizesTbl[Number of Packets in Set]),
  IF(_xlpm.per=0, 0, _xlpm.bits*_xlpm.cnt/_xlpm.per)
)</f>
        <v>0.2074074074074074</v>
      </c>
      <c r="W5" s="324">
        <f>_xlfn.LET(
  _xlpm.per, _xlfn.XLOOKUP($T5, SwpRatesTbl[RateCmd], SwpRatesTbl[Period]),
  _xlpm.bits, _xlfn.XLOOKUP(W$3, SwpPktSizesTbl[Packet Names], SwpPktSizesTbl[Size (bits)]),
  _xlpm.cnt, _xlfn.XLOOKUP(W$3, SwpPktSizesTbl[Packet Names], SwpPktSizesTbl[Number of Packets in Set]),
  IF(_xlpm.per=0, 0, _xlpm.bits*_xlpm.cnt/_xlpm.per)
)</f>
        <v>8.0555555555555554E-3</v>
      </c>
      <c r="X5" s="324">
        <f>_xlfn.LET(
  _xlpm.per, _xlfn.XLOOKUP($T5, SwpRatesTbl[RateCmd], SwpRatesTbl[Period]),
  _xlpm.bits, _xlfn.XLOOKUP(X$3, SwpPktSizesTbl[Packet Names], SwpPktSizesTbl[Size (bits)]),
  _xlpm.cnt, _xlfn.XLOOKUP(X$3, SwpPktSizesTbl[Packet Names], SwpPktSizesTbl[Number of Packets in Set]),
  IF(_xlpm.per=0, 0, _xlpm.bits*_xlpm.cnt/_xlpm.per)
)</f>
        <v>0.02</v>
      </c>
      <c r="Y5" s="324">
        <f>_xlfn.LET(
  _xlpm.per, _xlfn.XLOOKUP($T5, SwpRatesTbl[RateCmd], SwpRatesTbl[Period]),
  _xlpm.bits, _xlfn.XLOOKUP(Y$3, SwpPktSizesTbl[Packet Names], SwpPktSizesTbl[Size (bits)]),
  _xlpm.cnt, _xlfn.XLOOKUP(Y$3, SwpPktSizesTbl[Packet Names], SwpPktSizesTbl[Number of Packets in Set]),
  IF(_xlpm.per=0, 0, _xlpm.bits*_xlpm.cnt/_xlpm.per)
)</f>
        <v>1.19</v>
      </c>
      <c r="Z5" s="549">
        <f>SwpPktRatesTbl[[#This Row],[Histogram 1]]+SwpPktRatesTbl[[#This Row],[Histogram 0]]</f>
        <v>1.21</v>
      </c>
    </row>
    <row r="6" spans="2:26" ht="15.75">
      <c r="B6" s="142" t="s">
        <v>869</v>
      </c>
      <c r="C6" s="142" t="s">
        <v>870</v>
      </c>
      <c r="D6" s="142">
        <v>87</v>
      </c>
      <c r="E6" s="142">
        <f t="shared" si="0"/>
        <v>696</v>
      </c>
      <c r="F6" s="142">
        <v>1</v>
      </c>
      <c r="H6" s="142" t="s">
        <v>871</v>
      </c>
      <c r="I6" s="142">
        <f>1/(6*60*60)</f>
        <v>4.6296296296296294E-5</v>
      </c>
      <c r="J6" s="142">
        <v>21600</v>
      </c>
      <c r="L6" s="142" t="s">
        <v>871</v>
      </c>
      <c r="M6" s="142">
        <f t="shared" si="1"/>
        <v>4.6227810650887573E-5</v>
      </c>
      <c r="N6" s="142">
        <v>21632</v>
      </c>
      <c r="P6" s="542" t="s">
        <v>868</v>
      </c>
      <c r="Q6" s="543">
        <f>_xlfn.BITAND(12*60*60+63, 4294967232)</f>
        <v>43200</v>
      </c>
      <c r="R6" s="544">
        <f>1/SwpRatesTbl[[#This Row],[Period]]</f>
        <v>2.3148148148148147E-5</v>
      </c>
      <c r="T6" s="548" t="s">
        <v>868</v>
      </c>
      <c r="U6" s="324">
        <f>_xlfn.LET(
  _xlpm.per, _xlfn.XLOOKUP($T6, SwpRatesTbl[RateCmd], SwpRatesTbl[Period]),
  _xlpm.bits, _xlfn.XLOOKUP(U$3, SwpPktSizesTbl[Packet Names], SwpPktSizesTbl[Size (bits)]),
  _xlpm.cnt, _xlfn.XLOOKUP(U$3, SwpPktSizesTbl[Packet Names], SwpPktSizesTbl[Number of Packets in Set]),
  IF(_xlpm.per=0, 0, _xlpm.bits*_xlpm.cnt/_xlpm.per)
)</f>
        <v>1.3888888888888888E-2</v>
      </c>
      <c r="V6" s="324">
        <f>_xlfn.LET(
  _xlpm.per, _xlfn.XLOOKUP($T6, SwpRatesTbl[RateCmd], SwpRatesTbl[Period]),
  _xlpm.bits, _xlfn.XLOOKUP(V$3, SwpPktSizesTbl[Packet Names], SwpPktSizesTbl[Size (bits)]),
  _xlpm.cnt, _xlfn.XLOOKUP(V$3, SwpPktSizesTbl[Packet Names], SwpPktSizesTbl[Number of Packets in Set]),
  IF(_xlpm.per=0, 0, _xlpm.bits*_xlpm.cnt/_xlpm.per)
)</f>
        <v>0.4148148148148148</v>
      </c>
      <c r="W6" s="324">
        <f>_xlfn.LET(
  _xlpm.per, _xlfn.XLOOKUP($T6, SwpRatesTbl[RateCmd], SwpRatesTbl[Period]),
  _xlpm.bits, _xlfn.XLOOKUP(W$3, SwpPktSizesTbl[Packet Names], SwpPktSizesTbl[Size (bits)]),
  _xlpm.cnt, _xlfn.XLOOKUP(W$3, SwpPktSizesTbl[Packet Names], SwpPktSizesTbl[Number of Packets in Set]),
  IF(_xlpm.per=0, 0, _xlpm.bits*_xlpm.cnt/_xlpm.per)
)</f>
        <v>1.6111111111111111E-2</v>
      </c>
      <c r="X6" s="324">
        <f>_xlfn.LET(
  _xlpm.per, _xlfn.XLOOKUP($T6, SwpRatesTbl[RateCmd], SwpRatesTbl[Period]),
  _xlpm.bits, _xlfn.XLOOKUP(X$3, SwpPktSizesTbl[Packet Names], SwpPktSizesTbl[Size (bits)]),
  _xlpm.cnt, _xlfn.XLOOKUP(X$3, SwpPktSizesTbl[Packet Names], SwpPktSizesTbl[Number of Packets in Set]),
  IF(_xlpm.per=0, 0, _xlpm.bits*_xlpm.cnt/_xlpm.per)
)</f>
        <v>0.04</v>
      </c>
      <c r="Y6" s="324">
        <f>_xlfn.LET(
  _xlpm.per, _xlfn.XLOOKUP($T6, SwpRatesTbl[RateCmd], SwpRatesTbl[Period]),
  _xlpm.bits, _xlfn.XLOOKUP(Y$3, SwpPktSizesTbl[Packet Names], SwpPktSizesTbl[Size (bits)]),
  _xlpm.cnt, _xlfn.XLOOKUP(Y$3, SwpPktSizesTbl[Packet Names], SwpPktSizesTbl[Number of Packets in Set]),
  IF(_xlpm.per=0, 0, _xlpm.bits*_xlpm.cnt/_xlpm.per)
)</f>
        <v>2.38</v>
      </c>
      <c r="Z6" s="549">
        <f>SwpPktRatesTbl[[#This Row],[Histogram 1]]+SwpPktRatesTbl[[#This Row],[Histogram 0]]</f>
        <v>2.42</v>
      </c>
    </row>
    <row r="7" spans="2:26" ht="15.75">
      <c r="B7" s="142" t="s">
        <v>872</v>
      </c>
      <c r="C7" s="142" t="s">
        <v>873</v>
      </c>
      <c r="D7" s="142">
        <v>216</v>
      </c>
      <c r="E7" s="142">
        <f t="shared" si="0"/>
        <v>1728</v>
      </c>
      <c r="F7" s="142">
        <v>1</v>
      </c>
      <c r="H7" s="142" t="s">
        <v>874</v>
      </c>
      <c r="I7" s="142">
        <f>1/(3*60*60)</f>
        <v>9.2592592592592588E-5</v>
      </c>
      <c r="J7" s="142">
        <v>10800</v>
      </c>
      <c r="L7" s="142" t="s">
        <v>874</v>
      </c>
      <c r="M7" s="142">
        <f t="shared" si="1"/>
        <v>9.2455621301775146E-5</v>
      </c>
      <c r="N7" s="142">
        <v>10816</v>
      </c>
      <c r="P7" s="542" t="s">
        <v>871</v>
      </c>
      <c r="Q7" s="543">
        <f>_xlfn.BITAND(360*60+63, 4294967232)</f>
        <v>21632</v>
      </c>
      <c r="R7" s="544">
        <f>1/SwpRatesTbl[[#This Row],[Period]]</f>
        <v>4.6227810650887573E-5</v>
      </c>
      <c r="T7" s="548" t="s">
        <v>871</v>
      </c>
      <c r="U7" s="324">
        <f>_xlfn.LET(
  _xlpm.per, _xlfn.XLOOKUP($T7, SwpRatesTbl[RateCmd], SwpRatesTbl[Period]),
  _xlpm.bits, _xlfn.XLOOKUP(U$3, SwpPktSizesTbl[Packet Names], SwpPktSizesTbl[Size (bits)]),
  _xlpm.cnt, _xlfn.XLOOKUP(U$3, SwpPktSizesTbl[Packet Names], SwpPktSizesTbl[Number of Packets in Set]),
  IF(_xlpm.per=0, 0, _xlpm.bits*_xlpm.cnt/_xlpm.per)
)</f>
        <v>2.7736686390532544E-2</v>
      </c>
      <c r="V7" s="324">
        <f>_xlfn.LET(
  _xlpm.per, _xlfn.XLOOKUP($T7, SwpRatesTbl[RateCmd], SwpRatesTbl[Period]),
  _xlpm.bits, _xlfn.XLOOKUP(V$3, SwpPktSizesTbl[Packet Names], SwpPktSizesTbl[Size (bits)]),
  _xlpm.cnt, _xlfn.XLOOKUP(V$3, SwpPktSizesTbl[Packet Names], SwpPktSizesTbl[Number of Packets in Set]),
  IF(_xlpm.per=0, 0, _xlpm.bits*_xlpm.cnt/_xlpm.per)
)</f>
        <v>0.82840236686390534</v>
      </c>
      <c r="W7" s="324">
        <f>_xlfn.LET(
  _xlpm.per, _xlfn.XLOOKUP($T7, SwpRatesTbl[RateCmd], SwpRatesTbl[Period]),
  _xlpm.bits, _xlfn.XLOOKUP(W$3, SwpPktSizesTbl[Packet Names], SwpPktSizesTbl[Size (bits)]),
  _xlpm.cnt, _xlfn.XLOOKUP(W$3, SwpPktSizesTbl[Packet Names], SwpPktSizesTbl[Number of Packets in Set]),
  IF(_xlpm.per=0, 0, _xlpm.bits*_xlpm.cnt/_xlpm.per)
)</f>
        <v>3.2174556213017749E-2</v>
      </c>
      <c r="X7" s="324">
        <f>_xlfn.LET(
  _xlpm.per, _xlfn.XLOOKUP($T7, SwpRatesTbl[RateCmd], SwpRatesTbl[Period]),
  _xlpm.bits, _xlfn.XLOOKUP(X$3, SwpPktSizesTbl[Packet Names], SwpPktSizesTbl[Size (bits)]),
  _xlpm.cnt, _xlfn.XLOOKUP(X$3, SwpPktSizesTbl[Packet Names], SwpPktSizesTbl[Number of Packets in Set]),
  IF(_xlpm.per=0, 0, _xlpm.bits*_xlpm.cnt/_xlpm.per)
)</f>
        <v>7.9881656804733733E-2</v>
      </c>
      <c r="Y7" s="324">
        <f>_xlfn.LET(
  _xlpm.per, _xlfn.XLOOKUP($T7, SwpRatesTbl[RateCmd], SwpRatesTbl[Period]),
  _xlpm.bits, _xlfn.XLOOKUP(Y$3, SwpPktSizesTbl[Packet Names], SwpPktSizesTbl[Size (bits)]),
  _xlpm.cnt, _xlfn.XLOOKUP(Y$3, SwpPktSizesTbl[Packet Names], SwpPktSizesTbl[Number of Packets in Set]),
  IF(_xlpm.per=0, 0, _xlpm.bits*_xlpm.cnt/_xlpm.per)
)</f>
        <v>4.7529585798816569</v>
      </c>
      <c r="Z7" s="549">
        <f>SwpPktRatesTbl[[#This Row],[Histogram 1]]+SwpPktRatesTbl[[#This Row],[Histogram 0]]</f>
        <v>4.8328402366863905</v>
      </c>
    </row>
    <row r="8" spans="2:26" ht="15.75">
      <c r="B8" s="142" t="s">
        <v>875</v>
      </c>
      <c r="C8" s="142" t="s">
        <v>876</v>
      </c>
      <c r="D8" s="142">
        <v>204</v>
      </c>
      <c r="E8" s="142">
        <f t="shared" si="0"/>
        <v>1632</v>
      </c>
      <c r="F8" s="142">
        <v>63</v>
      </c>
      <c r="H8" s="142" t="s">
        <v>877</v>
      </c>
      <c r="I8" s="142">
        <f>1/(2*60*60)</f>
        <v>1.3888888888888889E-4</v>
      </c>
      <c r="J8" s="142">
        <v>7200</v>
      </c>
      <c r="L8" s="142" t="s">
        <v>877</v>
      </c>
      <c r="M8" s="142">
        <f t="shared" si="1"/>
        <v>1.3827433628318584E-4</v>
      </c>
      <c r="N8" s="142">
        <v>7232</v>
      </c>
      <c r="P8" s="542" t="s">
        <v>874</v>
      </c>
      <c r="Q8" s="543">
        <f>_xlfn.BITAND(180*60+63, 4294967232)</f>
        <v>10816</v>
      </c>
      <c r="R8" s="544">
        <f>1/SwpRatesTbl[[#This Row],[Period]]</f>
        <v>9.2455621301775146E-5</v>
      </c>
      <c r="T8" s="548" t="s">
        <v>874</v>
      </c>
      <c r="U8" s="324">
        <f>_xlfn.LET(
  _xlpm.per, _xlfn.XLOOKUP($T8, SwpRatesTbl[RateCmd], SwpRatesTbl[Period]),
  _xlpm.bits, _xlfn.XLOOKUP(U$3, SwpPktSizesTbl[Packet Names], SwpPktSizesTbl[Size (bits)]),
  _xlpm.cnt, _xlfn.XLOOKUP(U$3, SwpPktSizesTbl[Packet Names], SwpPktSizesTbl[Number of Packets in Set]),
  IF(_xlpm.per=0, 0, _xlpm.bits*_xlpm.cnt/_xlpm.per)
)</f>
        <v>5.5473372781065088E-2</v>
      </c>
      <c r="V8" s="324">
        <f>_xlfn.LET(
  _xlpm.per, _xlfn.XLOOKUP($T8, SwpRatesTbl[RateCmd], SwpRatesTbl[Period]),
  _xlpm.bits, _xlfn.XLOOKUP(V$3, SwpPktSizesTbl[Packet Names], SwpPktSizesTbl[Size (bits)]),
  _xlpm.cnt, _xlfn.XLOOKUP(V$3, SwpPktSizesTbl[Packet Names], SwpPktSizesTbl[Number of Packets in Set]),
  IF(_xlpm.per=0, 0, _xlpm.bits*_xlpm.cnt/_xlpm.per)
)</f>
        <v>1.6568047337278107</v>
      </c>
      <c r="W8" s="324">
        <f>_xlfn.LET(
  _xlpm.per, _xlfn.XLOOKUP($T8, SwpRatesTbl[RateCmd], SwpRatesTbl[Period]),
  _xlpm.bits, _xlfn.XLOOKUP(W$3, SwpPktSizesTbl[Packet Names], SwpPktSizesTbl[Size (bits)]),
  _xlpm.cnt, _xlfn.XLOOKUP(W$3, SwpPktSizesTbl[Packet Names], SwpPktSizesTbl[Number of Packets in Set]),
  IF(_xlpm.per=0, 0, _xlpm.bits*_xlpm.cnt/_xlpm.per)
)</f>
        <v>6.4349112426035499E-2</v>
      </c>
      <c r="X8" s="324">
        <f>_xlfn.LET(
  _xlpm.per, _xlfn.XLOOKUP($T8, SwpRatesTbl[RateCmd], SwpRatesTbl[Period]),
  _xlpm.bits, _xlfn.XLOOKUP(X$3, SwpPktSizesTbl[Packet Names], SwpPktSizesTbl[Size (bits)]),
  _xlpm.cnt, _xlfn.XLOOKUP(X$3, SwpPktSizesTbl[Packet Names], SwpPktSizesTbl[Number of Packets in Set]),
  IF(_xlpm.per=0, 0, _xlpm.bits*_xlpm.cnt/_xlpm.per)
)</f>
        <v>0.15976331360946747</v>
      </c>
      <c r="Y8" s="324">
        <f>_xlfn.LET(
  _xlpm.per, _xlfn.XLOOKUP($T8, SwpRatesTbl[RateCmd], SwpRatesTbl[Period]),
  _xlpm.bits, _xlfn.XLOOKUP(Y$3, SwpPktSizesTbl[Packet Names], SwpPktSizesTbl[Size (bits)]),
  _xlpm.cnt, _xlfn.XLOOKUP(Y$3, SwpPktSizesTbl[Packet Names], SwpPktSizesTbl[Number of Packets in Set]),
  IF(_xlpm.per=0, 0, _xlpm.bits*_xlpm.cnt/_xlpm.per)
)</f>
        <v>9.5059171597633139</v>
      </c>
      <c r="Z8" s="549">
        <f>SwpPktRatesTbl[[#This Row],[Histogram 1]]+SwpPktRatesTbl[[#This Row],[Histogram 0]]</f>
        <v>9.665680473372781</v>
      </c>
    </row>
    <row r="9" spans="2:26" ht="15.75">
      <c r="H9" s="142" t="s">
        <v>878</v>
      </c>
      <c r="I9" s="142">
        <f>1/(60*60)</f>
        <v>2.7777777777777778E-4</v>
      </c>
      <c r="J9" s="142">
        <v>3600</v>
      </c>
      <c r="L9" s="142" t="s">
        <v>878</v>
      </c>
      <c r="M9" s="142">
        <f t="shared" si="1"/>
        <v>2.7412280701754384E-4</v>
      </c>
      <c r="N9" s="142">
        <v>3648</v>
      </c>
      <c r="P9" s="542" t="s">
        <v>877</v>
      </c>
      <c r="Q9" s="543">
        <f>_xlfn.BITAND(120*60+63, 4294967232)</f>
        <v>7232</v>
      </c>
      <c r="R9" s="544">
        <f>1/SwpRatesTbl[[#This Row],[Period]]</f>
        <v>1.3827433628318584E-4</v>
      </c>
      <c r="T9" s="548" t="s">
        <v>877</v>
      </c>
      <c r="U9" s="324">
        <f>_xlfn.LET(
  _xlpm.per, _xlfn.XLOOKUP($T9, SwpRatesTbl[RateCmd], SwpRatesTbl[Period]),
  _xlpm.bits, _xlfn.XLOOKUP(U$3, SwpPktSizesTbl[Packet Names], SwpPktSizesTbl[Size (bits)]),
  _xlpm.cnt, _xlfn.XLOOKUP(U$3, SwpPktSizesTbl[Packet Names], SwpPktSizesTbl[Number of Packets in Set]),
  IF(_xlpm.per=0, 0, _xlpm.bits*_xlpm.cnt/_xlpm.per)
)</f>
        <v>8.2964601769911508E-2</v>
      </c>
      <c r="V9" s="324">
        <f>_xlfn.LET(
  _xlpm.per, _xlfn.XLOOKUP($T9, SwpRatesTbl[RateCmd], SwpRatesTbl[Period]),
  _xlpm.bits, _xlfn.XLOOKUP(V$3, SwpPktSizesTbl[Packet Names], SwpPktSizesTbl[Size (bits)]),
  _xlpm.cnt, _xlfn.XLOOKUP(V$3, SwpPktSizesTbl[Packet Names], SwpPktSizesTbl[Number of Packets in Set]),
  IF(_xlpm.per=0, 0, _xlpm.bits*_xlpm.cnt/_xlpm.per)
)</f>
        <v>2.4778761061946901</v>
      </c>
      <c r="W9" s="324">
        <f>_xlfn.LET(
  _xlpm.per, _xlfn.XLOOKUP($T9, SwpRatesTbl[RateCmd], SwpRatesTbl[Period]),
  _xlpm.bits, _xlfn.XLOOKUP(W$3, SwpPktSizesTbl[Packet Names], SwpPktSizesTbl[Size (bits)]),
  _xlpm.cnt, _xlfn.XLOOKUP(W$3, SwpPktSizesTbl[Packet Names], SwpPktSizesTbl[Number of Packets in Set]),
  IF(_xlpm.per=0, 0, _xlpm.bits*_xlpm.cnt/_xlpm.per)
)</f>
        <v>9.6238938053097342E-2</v>
      </c>
      <c r="X9" s="324">
        <f>_xlfn.LET(
  _xlpm.per, _xlfn.XLOOKUP($T9, SwpRatesTbl[RateCmd], SwpRatesTbl[Period]),
  _xlpm.bits, _xlfn.XLOOKUP(X$3, SwpPktSizesTbl[Packet Names], SwpPktSizesTbl[Size (bits)]),
  _xlpm.cnt, _xlfn.XLOOKUP(X$3, SwpPktSizesTbl[Packet Names], SwpPktSizesTbl[Number of Packets in Set]),
  IF(_xlpm.per=0, 0, _xlpm.bits*_xlpm.cnt/_xlpm.per)
)</f>
        <v>0.23893805309734514</v>
      </c>
      <c r="Y9" s="324">
        <f>_xlfn.LET(
  _xlpm.per, _xlfn.XLOOKUP($T9, SwpRatesTbl[RateCmd], SwpRatesTbl[Period]),
  _xlpm.bits, _xlfn.XLOOKUP(Y$3, SwpPktSizesTbl[Packet Names], SwpPktSizesTbl[Size (bits)]),
  _xlpm.cnt, _xlfn.XLOOKUP(Y$3, SwpPktSizesTbl[Packet Names], SwpPktSizesTbl[Number of Packets in Set]),
  IF(_xlpm.per=0, 0, _xlpm.bits*_xlpm.cnt/_xlpm.per)
)</f>
        <v>14.216814159292035</v>
      </c>
      <c r="Z9" s="549">
        <f>SwpPktRatesTbl[[#This Row],[Histogram 1]]+SwpPktRatesTbl[[#This Row],[Histogram 0]]</f>
        <v>14.455752212389379</v>
      </c>
    </row>
    <row r="10" spans="2:26" ht="15.75">
      <c r="H10" s="142" t="s">
        <v>879</v>
      </c>
      <c r="I10" s="142">
        <f>1/(30*60)</f>
        <v>5.5555555555555556E-4</v>
      </c>
      <c r="J10" s="142">
        <v>1800</v>
      </c>
      <c r="L10" s="142" t="s">
        <v>879</v>
      </c>
      <c r="M10" s="142">
        <f t="shared" si="1"/>
        <v>5.3879310344827585E-4</v>
      </c>
      <c r="N10" s="142">
        <f>1856</f>
        <v>1856</v>
      </c>
      <c r="P10" s="542" t="s">
        <v>878</v>
      </c>
      <c r="Q10" s="543">
        <f>_xlfn.BITAND(60*60+63, 4294967232)</f>
        <v>3648</v>
      </c>
      <c r="R10" s="544">
        <f>1/SwpRatesTbl[[#This Row],[Period]]</f>
        <v>2.7412280701754384E-4</v>
      </c>
      <c r="S10" s="535"/>
      <c r="T10" s="548" t="s">
        <v>878</v>
      </c>
      <c r="U10" s="324">
        <f>_xlfn.LET(
  _xlpm.per, _xlfn.XLOOKUP($T10, SwpRatesTbl[RateCmd], SwpRatesTbl[Period]),
  _xlpm.bits, _xlfn.XLOOKUP(U$3, SwpPktSizesTbl[Packet Names], SwpPktSizesTbl[Size (bits)]),
  _xlpm.cnt, _xlfn.XLOOKUP(U$3, SwpPktSizesTbl[Packet Names], SwpPktSizesTbl[Number of Packets in Set]),
  IF(_xlpm.per=0, 0, _xlpm.bits*_xlpm.cnt/_xlpm.per)
)</f>
        <v>0.16447368421052633</v>
      </c>
      <c r="V10" s="324">
        <f>_xlfn.LET(
  _xlpm.per, _xlfn.XLOOKUP($T10, SwpRatesTbl[RateCmd], SwpRatesTbl[Period]),
  _xlpm.bits, _xlfn.XLOOKUP(V$3, SwpPktSizesTbl[Packet Names], SwpPktSizesTbl[Size (bits)]),
  _xlpm.cnt, _xlfn.XLOOKUP(V$3, SwpPktSizesTbl[Packet Names], SwpPktSizesTbl[Number of Packets in Set]),
  IF(_xlpm.per=0, 0, _xlpm.bits*_xlpm.cnt/_xlpm.per)
)</f>
        <v>4.9122807017543861</v>
      </c>
      <c r="W10" s="324">
        <f>_xlfn.LET(
  _xlpm.per, _xlfn.XLOOKUP($T10, SwpRatesTbl[RateCmd], SwpRatesTbl[Period]),
  _xlpm.bits, _xlfn.XLOOKUP(W$3, SwpPktSizesTbl[Packet Names], SwpPktSizesTbl[Size (bits)]),
  _xlpm.cnt, _xlfn.XLOOKUP(W$3, SwpPktSizesTbl[Packet Names], SwpPktSizesTbl[Number of Packets in Set]),
  IF(_xlpm.per=0, 0, _xlpm.bits*_xlpm.cnt/_xlpm.per)
)</f>
        <v>0.19078947368421054</v>
      </c>
      <c r="X10" s="324">
        <f>_xlfn.LET(
  _xlpm.per, _xlfn.XLOOKUP($T10, SwpRatesTbl[RateCmd], SwpRatesTbl[Period]),
  _xlpm.bits, _xlfn.XLOOKUP(X$3, SwpPktSizesTbl[Packet Names], SwpPktSizesTbl[Size (bits)]),
  _xlpm.cnt, _xlfn.XLOOKUP(X$3, SwpPktSizesTbl[Packet Names], SwpPktSizesTbl[Number of Packets in Set]),
  IF(_xlpm.per=0, 0, _xlpm.bits*_xlpm.cnt/_xlpm.per)
)</f>
        <v>0.47368421052631576</v>
      </c>
      <c r="Y10" s="324">
        <f>_xlfn.LET(
  _xlpm.per, _xlfn.XLOOKUP($T10, SwpRatesTbl[RateCmd], SwpRatesTbl[Period]),
  _xlpm.bits, _xlfn.XLOOKUP(Y$3, SwpPktSizesTbl[Packet Names], SwpPktSizesTbl[Size (bits)]),
  _xlpm.cnt, _xlfn.XLOOKUP(Y$3, SwpPktSizesTbl[Packet Names], SwpPktSizesTbl[Number of Packets in Set]),
  IF(_xlpm.per=0, 0, _xlpm.bits*_xlpm.cnt/_xlpm.per)
)</f>
        <v>28.184210526315791</v>
      </c>
      <c r="Z10" s="549">
        <f>SwpPktRatesTbl[[#This Row],[Histogram 1]]+SwpPktRatesTbl[[#This Row],[Histogram 0]]</f>
        <v>28.657894736842106</v>
      </c>
    </row>
    <row r="11" spans="2:26" ht="15.75">
      <c r="H11" s="142" t="s">
        <v>880</v>
      </c>
      <c r="I11" s="142">
        <f>1/(20*60)</f>
        <v>8.3333333333333339E-4</v>
      </c>
      <c r="J11" s="142">
        <f>1200</f>
        <v>1200</v>
      </c>
      <c r="L11" s="142" t="s">
        <v>880</v>
      </c>
      <c r="M11" s="142">
        <f t="shared" si="1"/>
        <v>7.8125000000000004E-4</v>
      </c>
      <c r="N11" s="142">
        <f>20*64</f>
        <v>1280</v>
      </c>
      <c r="P11" s="542" t="s">
        <v>879</v>
      </c>
      <c r="Q11" s="543">
        <f>_xlfn.BITAND(30*60+63, 4294967232)</f>
        <v>1856</v>
      </c>
      <c r="R11" s="544">
        <f>1/SwpRatesTbl[[#This Row],[Period]]</f>
        <v>5.3879310344827585E-4</v>
      </c>
      <c r="S11" s="535"/>
      <c r="T11" s="548" t="s">
        <v>879</v>
      </c>
      <c r="U11" s="324">
        <f>_xlfn.LET(
  _xlpm.per, _xlfn.XLOOKUP($T11, SwpRatesTbl[RateCmd], SwpRatesTbl[Period]),
  _xlpm.bits, _xlfn.XLOOKUP(U$3, SwpPktSizesTbl[Packet Names], SwpPktSizesTbl[Size (bits)]),
  _xlpm.cnt, _xlfn.XLOOKUP(U$3, SwpPktSizesTbl[Packet Names], SwpPktSizesTbl[Number of Packets in Set]),
  IF(_xlpm.per=0, 0, _xlpm.bits*_xlpm.cnt/_xlpm.per)
)</f>
        <v>0.32327586206896552</v>
      </c>
      <c r="V11" s="324">
        <f>_xlfn.LET(
  _xlpm.per, _xlfn.XLOOKUP($T11, SwpRatesTbl[RateCmd], SwpRatesTbl[Period]),
  _xlpm.bits, _xlfn.XLOOKUP(V$3, SwpPktSizesTbl[Packet Names], SwpPktSizesTbl[Size (bits)]),
  _xlpm.cnt, _xlfn.XLOOKUP(V$3, SwpPktSizesTbl[Packet Names], SwpPktSizesTbl[Number of Packets in Set]),
  IF(_xlpm.per=0, 0, _xlpm.bits*_xlpm.cnt/_xlpm.per)
)</f>
        <v>9.6551724137931032</v>
      </c>
      <c r="W11" s="324">
        <f>_xlfn.LET(
  _xlpm.per, _xlfn.XLOOKUP($T11, SwpRatesTbl[RateCmd], SwpRatesTbl[Period]),
  _xlpm.bits, _xlfn.XLOOKUP(W$3, SwpPktSizesTbl[Packet Names], SwpPktSizesTbl[Size (bits)]),
  _xlpm.cnt, _xlfn.XLOOKUP(W$3, SwpPktSizesTbl[Packet Names], SwpPktSizesTbl[Number of Packets in Set]),
  IF(_xlpm.per=0, 0, _xlpm.bits*_xlpm.cnt/_xlpm.per)
)</f>
        <v>0.375</v>
      </c>
      <c r="X11" s="324">
        <f>_xlfn.LET(
  _xlpm.per, _xlfn.XLOOKUP($T11, SwpRatesTbl[RateCmd], SwpRatesTbl[Period]),
  _xlpm.bits, _xlfn.XLOOKUP(X$3, SwpPktSizesTbl[Packet Names], SwpPktSizesTbl[Size (bits)]),
  _xlpm.cnt, _xlfn.XLOOKUP(X$3, SwpPktSizesTbl[Packet Names], SwpPktSizesTbl[Number of Packets in Set]),
  IF(_xlpm.per=0, 0, _xlpm.bits*_xlpm.cnt/_xlpm.per)
)</f>
        <v>0.93103448275862066</v>
      </c>
      <c r="Y11" s="324">
        <f>_xlfn.LET(
  _xlpm.per, _xlfn.XLOOKUP($T11, SwpRatesTbl[RateCmd], SwpRatesTbl[Period]),
  _xlpm.bits, _xlfn.XLOOKUP(Y$3, SwpPktSizesTbl[Packet Names], SwpPktSizesTbl[Size (bits)]),
  _xlpm.cnt, _xlfn.XLOOKUP(Y$3, SwpPktSizesTbl[Packet Names], SwpPktSizesTbl[Number of Packets in Set]),
  IF(_xlpm.per=0, 0, _xlpm.bits*_xlpm.cnt/_xlpm.per)
)</f>
        <v>55.396551724137929</v>
      </c>
      <c r="Z11" s="549">
        <f>SwpPktRatesTbl[[#This Row],[Histogram 1]]+SwpPktRatesTbl[[#This Row],[Histogram 0]]</f>
        <v>56.327586206896548</v>
      </c>
    </row>
    <row r="12" spans="2:26" ht="15.75">
      <c r="H12" s="142" t="s">
        <v>881</v>
      </c>
      <c r="I12" s="142">
        <f>1/(10*60)</f>
        <v>1.6666666666666668E-3</v>
      </c>
      <c r="J12" s="142">
        <v>600</v>
      </c>
      <c r="L12" s="142" t="s">
        <v>881</v>
      </c>
      <c r="M12" s="142">
        <f t="shared" si="1"/>
        <v>1.5625000000000001E-3</v>
      </c>
      <c r="N12" s="142">
        <f>10*64</f>
        <v>640</v>
      </c>
      <c r="P12" s="542" t="s">
        <v>880</v>
      </c>
      <c r="Q12" s="543">
        <f>_xlfn.BITAND(20*60+63, 4294967232)</f>
        <v>1216</v>
      </c>
      <c r="R12" s="544">
        <f>1/SwpRatesTbl[[#This Row],[Period]]</f>
        <v>8.2236842105263153E-4</v>
      </c>
      <c r="T12" s="548" t="s">
        <v>880</v>
      </c>
      <c r="U12" s="324">
        <f>_xlfn.LET(
  _xlpm.per, _xlfn.XLOOKUP($T12, SwpRatesTbl[RateCmd], SwpRatesTbl[Period]),
  _xlpm.bits, _xlfn.XLOOKUP(U$3, SwpPktSizesTbl[Packet Names], SwpPktSizesTbl[Size (bits)]),
  _xlpm.cnt, _xlfn.XLOOKUP(U$3, SwpPktSizesTbl[Packet Names], SwpPktSizesTbl[Number of Packets in Set]),
  IF(_xlpm.per=0, 0, _xlpm.bits*_xlpm.cnt/_xlpm.per)
)</f>
        <v>0.49342105263157893</v>
      </c>
      <c r="V12" s="324">
        <f>_xlfn.LET(
  _xlpm.per, _xlfn.XLOOKUP($T12, SwpRatesTbl[RateCmd], SwpRatesTbl[Period]),
  _xlpm.bits, _xlfn.XLOOKUP(V$3, SwpPktSizesTbl[Packet Names], SwpPktSizesTbl[Size (bits)]),
  _xlpm.cnt, _xlfn.XLOOKUP(V$3, SwpPktSizesTbl[Packet Names], SwpPktSizesTbl[Number of Packets in Set]),
  IF(_xlpm.per=0, 0, _xlpm.bits*_xlpm.cnt/_xlpm.per)
)</f>
        <v>14.736842105263158</v>
      </c>
      <c r="W12" s="324">
        <f>_xlfn.LET(
  _xlpm.per, _xlfn.XLOOKUP($T12, SwpRatesTbl[RateCmd], SwpRatesTbl[Period]),
  _xlpm.bits, _xlfn.XLOOKUP(W$3, SwpPktSizesTbl[Packet Names], SwpPktSizesTbl[Size (bits)]),
  _xlpm.cnt, _xlfn.XLOOKUP(W$3, SwpPktSizesTbl[Packet Names], SwpPktSizesTbl[Number of Packets in Set]),
  IF(_xlpm.per=0, 0, _xlpm.bits*_xlpm.cnt/_xlpm.per)
)</f>
        <v>0.57236842105263153</v>
      </c>
      <c r="X12" s="324">
        <f>_xlfn.LET(
  _xlpm.per, _xlfn.XLOOKUP($T12, SwpRatesTbl[RateCmd], SwpRatesTbl[Period]),
  _xlpm.bits, _xlfn.XLOOKUP(X$3, SwpPktSizesTbl[Packet Names], SwpPktSizesTbl[Size (bits)]),
  _xlpm.cnt, _xlfn.XLOOKUP(X$3, SwpPktSizesTbl[Packet Names], SwpPktSizesTbl[Number of Packets in Set]),
  IF(_xlpm.per=0, 0, _xlpm.bits*_xlpm.cnt/_xlpm.per)
)</f>
        <v>1.4210526315789473</v>
      </c>
      <c r="Y12" s="324">
        <f>_xlfn.LET(
  _xlpm.per, _xlfn.XLOOKUP($T12, SwpRatesTbl[RateCmd], SwpRatesTbl[Period]),
  _xlpm.bits, _xlfn.XLOOKUP(Y$3, SwpPktSizesTbl[Packet Names], SwpPktSizesTbl[Size (bits)]),
  _xlpm.cnt, _xlfn.XLOOKUP(Y$3, SwpPktSizesTbl[Packet Names], SwpPktSizesTbl[Number of Packets in Set]),
  IF(_xlpm.per=0, 0, _xlpm.bits*_xlpm.cnt/_xlpm.per)
)</f>
        <v>84.55263157894737</v>
      </c>
      <c r="Z12" s="549">
        <f>SwpPktRatesTbl[[#This Row],[Histogram 1]]+SwpPktRatesTbl[[#This Row],[Histogram 0]]</f>
        <v>85.973684210526315</v>
      </c>
    </row>
    <row r="13" spans="2:26" ht="15.75">
      <c r="H13" s="142" t="s">
        <v>882</v>
      </c>
      <c r="I13" s="142">
        <f>1/(5*60)</f>
        <v>3.3333333333333335E-3</v>
      </c>
      <c r="J13" s="142">
        <v>300</v>
      </c>
      <c r="L13" s="142" t="s">
        <v>882</v>
      </c>
      <c r="M13" s="142">
        <f t="shared" si="1"/>
        <v>3.1250000000000002E-3</v>
      </c>
      <c r="N13" s="142">
        <f>5*64</f>
        <v>320</v>
      </c>
      <c r="P13" s="542" t="s">
        <v>881</v>
      </c>
      <c r="Q13" s="543">
        <f>_xlfn.BITAND(10*60+63, 4294967232)</f>
        <v>640</v>
      </c>
      <c r="R13" s="544">
        <f>1/SwpRatesTbl[[#This Row],[Period]]</f>
        <v>1.5625000000000001E-3</v>
      </c>
      <c r="T13" s="548" t="s">
        <v>881</v>
      </c>
      <c r="U13" s="324">
        <f>_xlfn.LET(
  _xlpm.per, _xlfn.XLOOKUP($T13, SwpRatesTbl[RateCmd], SwpRatesTbl[Period]),
  _xlpm.bits, _xlfn.XLOOKUP(U$3, SwpPktSizesTbl[Packet Names], SwpPktSizesTbl[Size (bits)]),
  _xlpm.cnt, _xlfn.XLOOKUP(U$3, SwpPktSizesTbl[Packet Names], SwpPktSizesTbl[Number of Packets in Set]),
  IF(_xlpm.per=0, 0, _xlpm.bits*_xlpm.cnt/_xlpm.per)
)</f>
        <v>0.9375</v>
      </c>
      <c r="V13" s="324">
        <f>_xlfn.LET(
  _xlpm.per, _xlfn.XLOOKUP($T13, SwpRatesTbl[RateCmd], SwpRatesTbl[Period]),
  _xlpm.bits, _xlfn.XLOOKUP(V$3, SwpPktSizesTbl[Packet Names], SwpPktSizesTbl[Size (bits)]),
  _xlpm.cnt, _xlfn.XLOOKUP(V$3, SwpPktSizesTbl[Packet Names], SwpPktSizesTbl[Number of Packets in Set]),
  IF(_xlpm.per=0, 0, _xlpm.bits*_xlpm.cnt/_xlpm.per)
)</f>
        <v>28</v>
      </c>
      <c r="W13" s="324">
        <f>_xlfn.LET(
  _xlpm.per, _xlfn.XLOOKUP($T13, SwpRatesTbl[RateCmd], SwpRatesTbl[Period]),
  _xlpm.bits, _xlfn.XLOOKUP(W$3, SwpPktSizesTbl[Packet Names], SwpPktSizesTbl[Size (bits)]),
  _xlpm.cnt, _xlfn.XLOOKUP(W$3, SwpPktSizesTbl[Packet Names], SwpPktSizesTbl[Number of Packets in Set]),
  IF(_xlpm.per=0, 0, _xlpm.bits*_xlpm.cnt/_xlpm.per)
)</f>
        <v>1.0874999999999999</v>
      </c>
      <c r="X13" s="324">
        <f>_xlfn.LET(
  _xlpm.per, _xlfn.XLOOKUP($T13, SwpRatesTbl[RateCmd], SwpRatesTbl[Period]),
  _xlpm.bits, _xlfn.XLOOKUP(X$3, SwpPktSizesTbl[Packet Names], SwpPktSizesTbl[Size (bits)]),
  _xlpm.cnt, _xlfn.XLOOKUP(X$3, SwpPktSizesTbl[Packet Names], SwpPktSizesTbl[Number of Packets in Set]),
  IF(_xlpm.per=0, 0, _xlpm.bits*_xlpm.cnt/_xlpm.per)
)</f>
        <v>2.7</v>
      </c>
      <c r="Y13" s="324">
        <f>_xlfn.LET(
  _xlpm.per, _xlfn.XLOOKUP($T13, SwpRatesTbl[RateCmd], SwpRatesTbl[Period]),
  _xlpm.bits, _xlfn.XLOOKUP(Y$3, SwpPktSizesTbl[Packet Names], SwpPktSizesTbl[Size (bits)]),
  _xlpm.cnt, _xlfn.XLOOKUP(Y$3, SwpPktSizesTbl[Packet Names], SwpPktSizesTbl[Number of Packets in Set]),
  IF(_xlpm.per=0, 0, _xlpm.bits*_xlpm.cnt/_xlpm.per)
)</f>
        <v>160.65</v>
      </c>
      <c r="Z13" s="549">
        <f>SwpPktRatesTbl[[#This Row],[Histogram 1]]+SwpPktRatesTbl[[#This Row],[Histogram 0]]</f>
        <v>163.35</v>
      </c>
    </row>
    <row r="14" spans="2:26" ht="15.75">
      <c r="H14" s="142" t="s">
        <v>883</v>
      </c>
      <c r="I14" s="142">
        <f>1/(2*60)</f>
        <v>8.3333333333333332E-3</v>
      </c>
      <c r="J14" s="142">
        <v>120</v>
      </c>
      <c r="L14" s="142" t="s">
        <v>883</v>
      </c>
      <c r="M14" s="142">
        <f t="shared" si="1"/>
        <v>7.8125E-3</v>
      </c>
      <c r="N14" s="142">
        <f>2*64</f>
        <v>128</v>
      </c>
      <c r="P14" s="542" t="s">
        <v>882</v>
      </c>
      <c r="Q14" s="543">
        <f>_xlfn.BITAND(5*60+63, 4294967232)</f>
        <v>320</v>
      </c>
      <c r="R14" s="544">
        <f>1/SwpRatesTbl[[#This Row],[Period]]</f>
        <v>3.1250000000000002E-3</v>
      </c>
      <c r="T14" s="548" t="s">
        <v>882</v>
      </c>
      <c r="U14" s="324">
        <f>_xlfn.LET(
  _xlpm.per, _xlfn.XLOOKUP($T14, SwpRatesTbl[RateCmd], SwpRatesTbl[Period]),
  _xlpm.bits, _xlfn.XLOOKUP(U$3, SwpPktSizesTbl[Packet Names], SwpPktSizesTbl[Size (bits)]),
  _xlpm.cnt, _xlfn.XLOOKUP(U$3, SwpPktSizesTbl[Packet Names], SwpPktSizesTbl[Number of Packets in Set]),
  IF(_xlpm.per=0, 0, _xlpm.bits*_xlpm.cnt/_xlpm.per)
)</f>
        <v>1.875</v>
      </c>
      <c r="V14" s="324">
        <f>_xlfn.LET(
  _xlpm.per, _xlfn.XLOOKUP($T14, SwpRatesTbl[RateCmd], SwpRatesTbl[Period]),
  _xlpm.bits, _xlfn.XLOOKUP(V$3, SwpPktSizesTbl[Packet Names], SwpPktSizesTbl[Size (bits)]),
  _xlpm.cnt, _xlfn.XLOOKUP(V$3, SwpPktSizesTbl[Packet Names], SwpPktSizesTbl[Number of Packets in Set]),
  IF(_xlpm.per=0, 0, _xlpm.bits*_xlpm.cnt/_xlpm.per)
)</f>
        <v>56</v>
      </c>
      <c r="W14" s="324">
        <f>_xlfn.LET(
  _xlpm.per, _xlfn.XLOOKUP($T14, SwpRatesTbl[RateCmd], SwpRatesTbl[Period]),
  _xlpm.bits, _xlfn.XLOOKUP(W$3, SwpPktSizesTbl[Packet Names], SwpPktSizesTbl[Size (bits)]),
  _xlpm.cnt, _xlfn.XLOOKUP(W$3, SwpPktSizesTbl[Packet Names], SwpPktSizesTbl[Number of Packets in Set]),
  IF(_xlpm.per=0, 0, _xlpm.bits*_xlpm.cnt/_xlpm.per)
)</f>
        <v>2.1749999999999998</v>
      </c>
      <c r="X14" s="324">
        <f>_xlfn.LET(
  _xlpm.per, _xlfn.XLOOKUP($T14, SwpRatesTbl[RateCmd], SwpRatesTbl[Period]),
  _xlpm.bits, _xlfn.XLOOKUP(X$3, SwpPktSizesTbl[Packet Names], SwpPktSizesTbl[Size (bits)]),
  _xlpm.cnt, _xlfn.XLOOKUP(X$3, SwpPktSizesTbl[Packet Names], SwpPktSizesTbl[Number of Packets in Set]),
  IF(_xlpm.per=0, 0, _xlpm.bits*_xlpm.cnt/_xlpm.per)
)</f>
        <v>5.4</v>
      </c>
      <c r="Y14" s="324">
        <f>_xlfn.LET(
  _xlpm.per, _xlfn.XLOOKUP($T14, SwpRatesTbl[RateCmd], SwpRatesTbl[Period]),
  _xlpm.bits, _xlfn.XLOOKUP(Y$3, SwpPktSizesTbl[Packet Names], SwpPktSizesTbl[Size (bits)]),
  _xlpm.cnt, _xlfn.XLOOKUP(Y$3, SwpPktSizesTbl[Packet Names], SwpPktSizesTbl[Number of Packets in Set]),
  IF(_xlpm.per=0, 0, _xlpm.bits*_xlpm.cnt/_xlpm.per)
)</f>
        <v>321.3</v>
      </c>
      <c r="Z14" s="549">
        <f>SwpPktRatesTbl[[#This Row],[Histogram 1]]+SwpPktRatesTbl[[#This Row],[Histogram 0]]</f>
        <v>326.7</v>
      </c>
    </row>
    <row r="15" spans="2:26" ht="15.75">
      <c r="H15" s="142" t="s">
        <v>884</v>
      </c>
      <c r="I15" s="142">
        <f>1/64</f>
        <v>1.5625E-2</v>
      </c>
      <c r="J15" s="142">
        <v>64</v>
      </c>
      <c r="L15" s="142" t="s">
        <v>884</v>
      </c>
      <c r="M15" s="142">
        <f t="shared" si="1"/>
        <v>1.5625E-2</v>
      </c>
      <c r="N15" s="142">
        <v>64</v>
      </c>
      <c r="P15" s="542" t="s">
        <v>883</v>
      </c>
      <c r="Q15" s="543">
        <v>128</v>
      </c>
      <c r="R15" s="544">
        <f>1/SwpRatesTbl[[#This Row],[Period]]</f>
        <v>7.8125E-3</v>
      </c>
      <c r="T15" s="548" t="s">
        <v>883</v>
      </c>
      <c r="U15" s="324">
        <f>_xlfn.LET(
  _xlpm.per, _xlfn.XLOOKUP($T15, SwpRatesTbl[RateCmd], SwpRatesTbl[Period]),
  _xlpm.bits, _xlfn.XLOOKUP(U$3, SwpPktSizesTbl[Packet Names], SwpPktSizesTbl[Size (bits)]),
  _xlpm.cnt, _xlfn.XLOOKUP(U$3, SwpPktSizesTbl[Packet Names], SwpPktSizesTbl[Number of Packets in Set]),
  IF(_xlpm.per=0, 0, _xlpm.bits*_xlpm.cnt/_xlpm.per)
)</f>
        <v>4.6875</v>
      </c>
      <c r="V15" s="324">
        <f>_xlfn.LET(
  _xlpm.per, _xlfn.XLOOKUP($T15, SwpRatesTbl[RateCmd], SwpRatesTbl[Period]),
  _xlpm.bits, _xlfn.XLOOKUP(V$3, SwpPktSizesTbl[Packet Names], SwpPktSizesTbl[Size (bits)]),
  _xlpm.cnt, _xlfn.XLOOKUP(V$3, SwpPktSizesTbl[Packet Names], SwpPktSizesTbl[Number of Packets in Set]),
  IF(_xlpm.per=0, 0, _xlpm.bits*_xlpm.cnt/_xlpm.per)
)</f>
        <v>140</v>
      </c>
      <c r="W15" s="324">
        <f>_xlfn.LET(
  _xlpm.per, _xlfn.XLOOKUP($T15, SwpRatesTbl[RateCmd], SwpRatesTbl[Period]),
  _xlpm.bits, _xlfn.XLOOKUP(W$3, SwpPktSizesTbl[Packet Names], SwpPktSizesTbl[Size (bits)]),
  _xlpm.cnt, _xlfn.XLOOKUP(W$3, SwpPktSizesTbl[Packet Names], SwpPktSizesTbl[Number of Packets in Set]),
  IF(_xlpm.per=0, 0, _xlpm.bits*_xlpm.cnt/_xlpm.per)
)</f>
        <v>5.4375</v>
      </c>
      <c r="X15" s="324">
        <f>_xlfn.LET(
  _xlpm.per, _xlfn.XLOOKUP($T15, SwpRatesTbl[RateCmd], SwpRatesTbl[Period]),
  _xlpm.bits, _xlfn.XLOOKUP(X$3, SwpPktSizesTbl[Packet Names], SwpPktSizesTbl[Size (bits)]),
  _xlpm.cnt, _xlfn.XLOOKUP(X$3, SwpPktSizesTbl[Packet Names], SwpPktSizesTbl[Number of Packets in Set]),
  IF(_xlpm.per=0, 0, _xlpm.bits*_xlpm.cnt/_xlpm.per)
)</f>
        <v>13.5</v>
      </c>
      <c r="Y15" s="324">
        <f>_xlfn.LET(
  _xlpm.per, _xlfn.XLOOKUP($T15, SwpRatesTbl[RateCmd], SwpRatesTbl[Period]),
  _xlpm.bits, _xlfn.XLOOKUP(Y$3, SwpPktSizesTbl[Packet Names], SwpPktSizesTbl[Size (bits)]),
  _xlpm.cnt, _xlfn.XLOOKUP(Y$3, SwpPktSizesTbl[Packet Names], SwpPktSizesTbl[Number of Packets in Set]),
  IF(_xlpm.per=0, 0, _xlpm.bits*_xlpm.cnt/_xlpm.per)
)</f>
        <v>803.25</v>
      </c>
      <c r="Z15" s="549">
        <f>SwpPktRatesTbl[[#This Row],[Histogram 1]]+SwpPktRatesTbl[[#This Row],[Histogram 0]]</f>
        <v>816.75</v>
      </c>
    </row>
    <row r="16" spans="2:26" ht="15.75">
      <c r="H16" s="142" t="s">
        <v>885</v>
      </c>
      <c r="I16" s="142">
        <f>1/32</f>
        <v>3.125E-2</v>
      </c>
      <c r="J16" s="142">
        <v>32</v>
      </c>
      <c r="P16" s="542" t="s">
        <v>884</v>
      </c>
      <c r="Q16" s="543">
        <v>64</v>
      </c>
      <c r="R16" s="544">
        <f>1/SwpRatesTbl[[#This Row],[Period]]</f>
        <v>1.5625E-2</v>
      </c>
      <c r="T16" s="548" t="s">
        <v>884</v>
      </c>
      <c r="U16" s="324">
        <f>_xlfn.LET(
  _xlpm.per, _xlfn.XLOOKUP($T16, SwpRatesTbl[RateCmd], SwpRatesTbl[Period]),
  _xlpm.bits, _xlfn.XLOOKUP(U$3, SwpPktSizesTbl[Packet Names], SwpPktSizesTbl[Size (bits)]),
  _xlpm.cnt, _xlfn.XLOOKUP(U$3, SwpPktSizesTbl[Packet Names], SwpPktSizesTbl[Number of Packets in Set]),
  IF(_xlpm.per=0, 0, _xlpm.bits*_xlpm.cnt/_xlpm.per)
)</f>
        <v>9.375</v>
      </c>
      <c r="V16" s="324">
        <f>_xlfn.LET(
  _xlpm.per, _xlfn.XLOOKUP($T16, SwpRatesTbl[RateCmd], SwpRatesTbl[Period]),
  _xlpm.bits, _xlfn.XLOOKUP(V$3, SwpPktSizesTbl[Packet Names], SwpPktSizesTbl[Size (bits)]),
  _xlpm.cnt, _xlfn.XLOOKUP(V$3, SwpPktSizesTbl[Packet Names], SwpPktSizesTbl[Number of Packets in Set]),
  IF(_xlpm.per=0, 0, _xlpm.bits*_xlpm.cnt/_xlpm.per)
)</f>
        <v>280</v>
      </c>
      <c r="W16" s="324">
        <f>_xlfn.LET(
  _xlpm.per, _xlfn.XLOOKUP($T16, SwpRatesTbl[RateCmd], SwpRatesTbl[Period]),
  _xlpm.bits, _xlfn.XLOOKUP(W$3, SwpPktSizesTbl[Packet Names], SwpPktSizesTbl[Size (bits)]),
  _xlpm.cnt, _xlfn.XLOOKUP(W$3, SwpPktSizesTbl[Packet Names], SwpPktSizesTbl[Number of Packets in Set]),
  IF(_xlpm.per=0, 0, _xlpm.bits*_xlpm.cnt/_xlpm.per)
)</f>
        <v>10.875</v>
      </c>
      <c r="X16" s="324">
        <f>_xlfn.LET(
  _xlpm.per, _xlfn.XLOOKUP($T16, SwpRatesTbl[RateCmd], SwpRatesTbl[Period]),
  _xlpm.bits, _xlfn.XLOOKUP(X$3, SwpPktSizesTbl[Packet Names], SwpPktSizesTbl[Size (bits)]),
  _xlpm.cnt, _xlfn.XLOOKUP(X$3, SwpPktSizesTbl[Packet Names], SwpPktSizesTbl[Number of Packets in Set]),
  IF(_xlpm.per=0, 0, _xlpm.bits*_xlpm.cnt/_xlpm.per)
)</f>
        <v>27</v>
      </c>
      <c r="Y16" s="324">
        <f>_xlfn.LET(
  _xlpm.per, _xlfn.XLOOKUP($T16, SwpRatesTbl[RateCmd], SwpRatesTbl[Period]),
  _xlpm.bits, _xlfn.XLOOKUP(Y$3, SwpPktSizesTbl[Packet Names], SwpPktSizesTbl[Size (bits)]),
  _xlpm.cnt, _xlfn.XLOOKUP(Y$3, SwpPktSizesTbl[Packet Names], SwpPktSizesTbl[Number of Packets in Set]),
  IF(_xlpm.per=0, 0, _xlpm.bits*_xlpm.cnt/_xlpm.per)
)</f>
        <v>1606.5</v>
      </c>
      <c r="Z16" s="549">
        <f>SwpPktRatesTbl[[#This Row],[Histogram 1]]+SwpPktRatesTbl[[#This Row],[Histogram 0]]</f>
        <v>1633.5</v>
      </c>
    </row>
    <row r="17" spans="2:28" ht="15.75">
      <c r="H17" s="142" t="s">
        <v>886</v>
      </c>
      <c r="I17" s="142">
        <f>1/16</f>
        <v>6.25E-2</v>
      </c>
      <c r="J17" s="142">
        <v>16</v>
      </c>
      <c r="P17" s="542" t="s">
        <v>885</v>
      </c>
      <c r="Q17" s="543">
        <v>32</v>
      </c>
      <c r="R17" s="544">
        <f>1/SwpRatesTbl[[#This Row],[Period]]</f>
        <v>3.125E-2</v>
      </c>
      <c r="S17" s="535"/>
      <c r="T17" s="548" t="s">
        <v>885</v>
      </c>
      <c r="U17" s="324">
        <f>_xlfn.LET(
  _xlpm.per, _xlfn.XLOOKUP($T17, SwpRatesTbl[RateCmd], SwpRatesTbl[Period]),
  _xlpm.bits, _xlfn.XLOOKUP(U$3, SwpPktSizesTbl[Packet Names], SwpPktSizesTbl[Size (bits)]),
  _xlpm.cnt, _xlfn.XLOOKUP(U$3, SwpPktSizesTbl[Packet Names], SwpPktSizesTbl[Number of Packets in Set]),
  IF(_xlpm.per=0, 0, _xlpm.bits*_xlpm.cnt/_xlpm.per)
)</f>
        <v>18.75</v>
      </c>
      <c r="V17" s="324" t="e">
        <f>NA()</f>
        <v>#N/A</v>
      </c>
      <c r="W17" s="324" t="e">
        <f>NA()</f>
        <v>#N/A</v>
      </c>
      <c r="X17" s="324" t="e">
        <f>NA()</f>
        <v>#N/A</v>
      </c>
      <c r="Y17" s="324" t="e">
        <f>NA()</f>
        <v>#N/A</v>
      </c>
      <c r="Z17" s="549" t="e">
        <f>SwpPktRatesTbl[[#This Row],[Histogram 1]]+SwpPktRatesTbl[[#This Row],[Histogram 0]]</f>
        <v>#N/A</v>
      </c>
    </row>
    <row r="18" spans="2:28" ht="15.75">
      <c r="H18" s="142" t="s">
        <v>887</v>
      </c>
      <c r="I18" s="142">
        <f>1/8</f>
        <v>0.125</v>
      </c>
      <c r="J18" s="142">
        <v>8</v>
      </c>
      <c r="P18" s="542" t="s">
        <v>886</v>
      </c>
      <c r="Q18" s="543">
        <v>16</v>
      </c>
      <c r="R18" s="544">
        <f>1/SwpRatesTbl[[#This Row],[Period]]</f>
        <v>6.25E-2</v>
      </c>
      <c r="S18" s="535"/>
      <c r="T18" s="548" t="s">
        <v>886</v>
      </c>
      <c r="U18" s="324">
        <f>_xlfn.LET(
  _xlpm.per, _xlfn.XLOOKUP($T18, SwpRatesTbl[RateCmd], SwpRatesTbl[Period]),
  _xlpm.bits, _xlfn.XLOOKUP(U$3, SwpPktSizesTbl[Packet Names], SwpPktSizesTbl[Size (bits)]),
  _xlpm.cnt, _xlfn.XLOOKUP(U$3, SwpPktSizesTbl[Packet Names], SwpPktSizesTbl[Number of Packets in Set]),
  IF(_xlpm.per=0, 0, _xlpm.bits*_xlpm.cnt/_xlpm.per)
)</f>
        <v>37.5</v>
      </c>
      <c r="V18" s="324" t="e">
        <f>NA()</f>
        <v>#N/A</v>
      </c>
      <c r="W18" s="324" t="e">
        <f>NA()</f>
        <v>#N/A</v>
      </c>
      <c r="X18" s="324" t="e">
        <f>NA()</f>
        <v>#N/A</v>
      </c>
      <c r="Y18" s="324" t="e">
        <f>NA()</f>
        <v>#N/A</v>
      </c>
      <c r="Z18" s="549" t="e">
        <f>SwpPktRatesTbl[[#This Row],[Histogram 1]]+SwpPktRatesTbl[[#This Row],[Histogram 0]]</f>
        <v>#N/A</v>
      </c>
    </row>
    <row r="19" spans="2:28" ht="15.75">
      <c r="H19" s="142" t="s">
        <v>888</v>
      </c>
      <c r="I19" s="142">
        <f>1/4</f>
        <v>0.25</v>
      </c>
      <c r="J19" s="142">
        <v>4</v>
      </c>
      <c r="P19" s="542" t="s">
        <v>887</v>
      </c>
      <c r="Q19" s="543">
        <v>8</v>
      </c>
      <c r="R19" s="544">
        <f>1/SwpRatesTbl[[#This Row],[Period]]</f>
        <v>0.125</v>
      </c>
      <c r="S19" s="535"/>
      <c r="T19" s="548" t="s">
        <v>887</v>
      </c>
      <c r="U19" s="324">
        <f>_xlfn.LET(
  _xlpm.per, _xlfn.XLOOKUP($T19, SwpRatesTbl[RateCmd], SwpRatesTbl[Period]),
  _xlpm.bits, _xlfn.XLOOKUP(U$3, SwpPktSizesTbl[Packet Names], SwpPktSizesTbl[Size (bits)]),
  _xlpm.cnt, _xlfn.XLOOKUP(U$3, SwpPktSizesTbl[Packet Names], SwpPktSizesTbl[Number of Packets in Set]),
  IF(_xlpm.per=0, 0, _xlpm.bits*_xlpm.cnt/_xlpm.per)
)</f>
        <v>75</v>
      </c>
      <c r="V19" s="324" t="e">
        <f>NA()</f>
        <v>#N/A</v>
      </c>
      <c r="W19" s="324" t="e">
        <f>NA()</f>
        <v>#N/A</v>
      </c>
      <c r="X19" s="324" t="e">
        <f>NA()</f>
        <v>#N/A</v>
      </c>
      <c r="Y19" s="324" t="e">
        <f>NA()</f>
        <v>#N/A</v>
      </c>
      <c r="Z19" s="549" t="e">
        <f>SwpPktRatesTbl[[#This Row],[Histogram 1]]+SwpPktRatesTbl[[#This Row],[Histogram 0]]</f>
        <v>#N/A</v>
      </c>
    </row>
    <row r="20" spans="2:28" ht="15.75">
      <c r="H20" s="142" t="s">
        <v>889</v>
      </c>
      <c r="I20" s="142">
        <f>1/2</f>
        <v>0.5</v>
      </c>
      <c r="J20" s="142">
        <v>2</v>
      </c>
      <c r="P20" s="542" t="s">
        <v>888</v>
      </c>
      <c r="Q20" s="543">
        <v>4</v>
      </c>
      <c r="R20" s="544">
        <f>1/SwpRatesTbl[[#This Row],[Period]]</f>
        <v>0.25</v>
      </c>
      <c r="S20" s="535"/>
      <c r="T20" s="548" t="s">
        <v>888</v>
      </c>
      <c r="U20" s="324">
        <f>_xlfn.LET(
  _xlpm.per, _xlfn.XLOOKUP($T20, SwpRatesTbl[RateCmd], SwpRatesTbl[Period]),
  _xlpm.bits, _xlfn.XLOOKUP(U$3, SwpPktSizesTbl[Packet Names], SwpPktSizesTbl[Size (bits)]),
  _xlpm.cnt, _xlfn.XLOOKUP(U$3, SwpPktSizesTbl[Packet Names], SwpPktSizesTbl[Number of Packets in Set]),
  IF(_xlpm.per=0, 0, _xlpm.bits*_xlpm.cnt/_xlpm.per)
)</f>
        <v>150</v>
      </c>
      <c r="V20" s="324" t="e">
        <f>NA()</f>
        <v>#N/A</v>
      </c>
      <c r="W20" s="324" t="e">
        <f>NA()</f>
        <v>#N/A</v>
      </c>
      <c r="X20" s="324" t="e">
        <f>NA()</f>
        <v>#N/A</v>
      </c>
      <c r="Y20" s="324" t="e">
        <f>NA()</f>
        <v>#N/A</v>
      </c>
      <c r="Z20" s="549" t="e">
        <f>SwpPktRatesTbl[[#This Row],[Histogram 1]]+SwpPktRatesTbl[[#This Row],[Histogram 0]]</f>
        <v>#N/A</v>
      </c>
    </row>
    <row r="21" spans="2:28" ht="15.75">
      <c r="H21" s="142" t="s">
        <v>890</v>
      </c>
      <c r="I21" s="142">
        <f>1</f>
        <v>1</v>
      </c>
      <c r="J21" s="142">
        <v>1</v>
      </c>
      <c r="P21" s="542" t="s">
        <v>889</v>
      </c>
      <c r="Q21" s="543">
        <v>2</v>
      </c>
      <c r="R21" s="544">
        <f>1/SwpRatesTbl[[#This Row],[Period]]</f>
        <v>0.5</v>
      </c>
      <c r="S21" s="535"/>
      <c r="T21" s="548" t="s">
        <v>889</v>
      </c>
      <c r="U21" s="324">
        <f>_xlfn.LET(
  _xlpm.per, _xlfn.XLOOKUP($T21, SwpRatesTbl[RateCmd], SwpRatesTbl[Period]),
  _xlpm.bits, _xlfn.XLOOKUP(U$3, SwpPktSizesTbl[Packet Names], SwpPktSizesTbl[Size (bits)]),
  _xlpm.cnt, _xlfn.XLOOKUP(U$3, SwpPktSizesTbl[Packet Names], SwpPktSizesTbl[Number of Packets in Set]),
  IF(_xlpm.per=0, 0, _xlpm.bits*_xlpm.cnt/_xlpm.per)
)</f>
        <v>300</v>
      </c>
      <c r="V21" s="324" t="e">
        <f>NA()</f>
        <v>#N/A</v>
      </c>
      <c r="W21" s="324" t="e">
        <f>NA()</f>
        <v>#N/A</v>
      </c>
      <c r="X21" s="324" t="e">
        <f>NA()</f>
        <v>#N/A</v>
      </c>
      <c r="Y21" s="324" t="e">
        <f>NA()</f>
        <v>#N/A</v>
      </c>
      <c r="Z21" s="549" t="e">
        <f>SwpPktRatesTbl[[#This Row],[Histogram 1]]+SwpPktRatesTbl[[#This Row],[Histogram 0]]</f>
        <v>#N/A</v>
      </c>
    </row>
    <row r="22" spans="2:28" ht="15" customHeight="1">
      <c r="P22" s="550" t="s">
        <v>890</v>
      </c>
      <c r="Q22" s="551">
        <v>1</v>
      </c>
      <c r="R22" s="544">
        <f>1/SwpRatesTbl[[#This Row],[Period]]</f>
        <v>1</v>
      </c>
      <c r="S22" s="535"/>
      <c r="T22" s="552" t="s">
        <v>890</v>
      </c>
      <c r="U22" s="553">
        <f>_xlfn.LET(
  _xlpm.per, _xlfn.XLOOKUP($T22, SwpRatesTbl[RateCmd], SwpRatesTbl[Period]),
  _xlpm.bits, _xlfn.XLOOKUP(U$3, SwpPktSizesTbl[Packet Names], SwpPktSizesTbl[Size (bits)]),
  _xlpm.cnt, _xlfn.XLOOKUP(U$3, SwpPktSizesTbl[Packet Names], SwpPktSizesTbl[Number of Packets in Set]),
  IF(_xlpm.per=0, 0, _xlpm.bits*_xlpm.cnt/_xlpm.per)
)</f>
        <v>600</v>
      </c>
      <c r="V22" s="553" t="e">
        <f>NA()</f>
        <v>#N/A</v>
      </c>
      <c r="W22" s="553" t="e">
        <f>NA()</f>
        <v>#N/A</v>
      </c>
      <c r="X22" s="553" t="e">
        <f>NA()</f>
        <v>#N/A</v>
      </c>
      <c r="Y22" s="553" t="e">
        <f>NA()</f>
        <v>#N/A</v>
      </c>
      <c r="Z22" s="554" t="e">
        <f>SwpPktRatesTbl[[#This Row],[Histogram 1]]+SwpPktRatesTbl[[#This Row],[Histogram 0]]</f>
        <v>#N/A</v>
      </c>
    </row>
    <row r="23" spans="2:28" ht="15" customHeight="1">
      <c r="P23" s="535"/>
      <c r="Q23" s="535"/>
      <c r="R23" s="535"/>
      <c r="S23" s="535"/>
      <c r="T23" s="535"/>
      <c r="U23" s="535"/>
      <c r="W23" s="324"/>
      <c r="X23" s="324"/>
      <c r="Y23" s="324"/>
      <c r="Z23" s="324"/>
      <c r="AA23" s="324"/>
      <c r="AB23" s="324"/>
    </row>
    <row r="24" spans="2:28" ht="15" customHeight="1">
      <c r="P24" s="532" t="s">
        <v>5908</v>
      </c>
      <c r="Q24" s="533"/>
      <c r="R24" s="533"/>
      <c r="S24" s="533"/>
      <c r="T24" s="534"/>
      <c r="U24" s="535"/>
      <c r="V24" s="535"/>
      <c r="W24" s="535"/>
      <c r="X24" s="535"/>
      <c r="Y24" s="535"/>
      <c r="Z24" s="535"/>
      <c r="AA24" s="535"/>
      <c r="AB24" s="535"/>
    </row>
    <row r="25" spans="2:28" ht="18.75">
      <c r="B25" s="581" t="s">
        <v>891</v>
      </c>
      <c r="C25" s="581"/>
      <c r="D25" s="581"/>
      <c r="E25" s="581"/>
      <c r="F25" s="581"/>
      <c r="G25" s="581"/>
      <c r="H25" s="581"/>
      <c r="I25" s="581"/>
      <c r="J25" s="17"/>
      <c r="P25" s="555" t="s">
        <v>849</v>
      </c>
      <c r="Q25" s="556" t="s">
        <v>850</v>
      </c>
      <c r="R25" s="556" t="s">
        <v>851</v>
      </c>
      <c r="S25" s="556" t="s">
        <v>852</v>
      </c>
      <c r="T25" s="537" t="s">
        <v>853</v>
      </c>
      <c r="U25" s="535"/>
      <c r="V25" s="535"/>
      <c r="W25" s="535"/>
      <c r="X25" s="535"/>
      <c r="Y25" s="535"/>
      <c r="Z25" s="535"/>
      <c r="AA25" s="535"/>
      <c r="AB25" s="535"/>
    </row>
    <row r="26" spans="2:28" ht="15.75">
      <c r="B26" s="144"/>
      <c r="C26" s="145" t="s">
        <v>850</v>
      </c>
      <c r="D26" s="145" t="s">
        <v>892</v>
      </c>
      <c r="E26" s="145" t="s">
        <v>893</v>
      </c>
      <c r="F26" s="145" t="s">
        <v>894</v>
      </c>
      <c r="G26" s="145" t="s">
        <v>895</v>
      </c>
      <c r="H26" s="145" t="s">
        <v>896</v>
      </c>
      <c r="I26" s="145" t="s">
        <v>897</v>
      </c>
      <c r="J26" s="17"/>
      <c r="P26" s="542" t="s">
        <v>859</v>
      </c>
      <c r="Q26" s="557" t="s">
        <v>860</v>
      </c>
      <c r="R26" s="557">
        <v>75</v>
      </c>
      <c r="S26" s="557">
        <f t="shared" ref="S26:S31" si="2">R26*8</f>
        <v>600</v>
      </c>
      <c r="T26" s="543">
        <v>1</v>
      </c>
      <c r="U26" s="535"/>
      <c r="V26" s="535"/>
      <c r="W26" s="535"/>
      <c r="X26" s="535"/>
      <c r="Y26" s="535"/>
      <c r="Z26" s="535"/>
      <c r="AA26" s="535"/>
      <c r="AB26" s="535"/>
    </row>
    <row r="27" spans="2:28" ht="15.75">
      <c r="B27" s="142" t="s">
        <v>898</v>
      </c>
      <c r="C27" s="142" t="s">
        <v>860</v>
      </c>
      <c r="D27" s="142">
        <f>$E$3</f>
        <v>600</v>
      </c>
      <c r="E27" s="142" t="s">
        <v>878</v>
      </c>
      <c r="F27" s="142">
        <f>$I$9*$F$3</f>
        <v>2.7777777777777778E-4</v>
      </c>
      <c r="G27" s="142">
        <f>D27*F27</f>
        <v>0.16666666666666666</v>
      </c>
      <c r="H27" s="142">
        <v>86400</v>
      </c>
      <c r="I27" s="142">
        <f>G27*H27/1000000</f>
        <v>1.44E-2</v>
      </c>
      <c r="J27" s="17"/>
      <c r="P27" s="542" t="s">
        <v>862</v>
      </c>
      <c r="Q27" s="557" t="s">
        <v>863</v>
      </c>
      <c r="R27" s="557">
        <v>33</v>
      </c>
      <c r="S27" s="557">
        <f t="shared" si="2"/>
        <v>264</v>
      </c>
      <c r="T27" s="558" t="s">
        <v>864</v>
      </c>
      <c r="U27" s="535"/>
      <c r="V27" s="535"/>
    </row>
    <row r="28" spans="2:28" ht="15.75">
      <c r="B28" s="142" t="s">
        <v>899</v>
      </c>
      <c r="C28" s="142" t="s">
        <v>867</v>
      </c>
      <c r="D28" s="142">
        <f>$E$5</f>
        <v>280</v>
      </c>
      <c r="E28" s="146" t="s">
        <v>884</v>
      </c>
      <c r="F28" s="142">
        <f>$M$15*$F$5</f>
        <v>1</v>
      </c>
      <c r="G28" s="142">
        <f>D28*F28</f>
        <v>280</v>
      </c>
      <c r="H28" s="142">
        <v>86400</v>
      </c>
      <c r="I28" s="142">
        <f>G28*H28/1000000</f>
        <v>24.192</v>
      </c>
      <c r="J28" s="17"/>
      <c r="P28" s="542" t="s">
        <v>866</v>
      </c>
      <c r="Q28" s="557" t="s">
        <v>867</v>
      </c>
      <c r="R28" s="557">
        <v>35</v>
      </c>
      <c r="S28" s="557">
        <f t="shared" si="2"/>
        <v>280</v>
      </c>
      <c r="T28" s="543">
        <v>64</v>
      </c>
      <c r="U28" s="535"/>
      <c r="V28" s="535"/>
    </row>
    <row r="29" spans="2:28" ht="15.75">
      <c r="B29" s="142" t="s">
        <v>869</v>
      </c>
      <c r="C29" s="142" t="s">
        <v>870</v>
      </c>
      <c r="D29" s="142">
        <f>$E$6</f>
        <v>696</v>
      </c>
      <c r="E29" s="142" t="s">
        <v>878</v>
      </c>
      <c r="F29" s="142">
        <f>$M$9*$F$6</f>
        <v>2.7412280701754384E-4</v>
      </c>
      <c r="G29" s="142">
        <f>D29*F29</f>
        <v>0.19078947368421051</v>
      </c>
      <c r="H29" s="142">
        <v>86400</v>
      </c>
      <c r="I29" s="142">
        <f>G29*H29/1000000</f>
        <v>1.6484210526315785E-2</v>
      </c>
      <c r="J29" s="17"/>
      <c r="P29" s="542" t="s">
        <v>869</v>
      </c>
      <c r="Q29" s="557" t="s">
        <v>870</v>
      </c>
      <c r="R29" s="557">
        <v>87</v>
      </c>
      <c r="S29" s="557">
        <f t="shared" si="2"/>
        <v>696</v>
      </c>
      <c r="T29" s="543">
        <v>1</v>
      </c>
      <c r="U29" s="535"/>
      <c r="V29" s="535"/>
    </row>
    <row r="30" spans="2:28" ht="15" customHeight="1">
      <c r="B30" s="142" t="s">
        <v>872</v>
      </c>
      <c r="C30" s="142" t="s">
        <v>873</v>
      </c>
      <c r="D30" s="142">
        <f>$E$7</f>
        <v>1728</v>
      </c>
      <c r="E30" s="142" t="s">
        <v>900</v>
      </c>
      <c r="F30" s="142">
        <v>0</v>
      </c>
      <c r="G30" s="142">
        <f>D30*F30</f>
        <v>0</v>
      </c>
      <c r="H30" s="142">
        <v>0</v>
      </c>
      <c r="I30" s="142">
        <f>G30*H30/1000000</f>
        <v>0</v>
      </c>
      <c r="J30" s="586" t="s">
        <v>901</v>
      </c>
      <c r="K30" s="586"/>
      <c r="L30" s="586"/>
      <c r="M30" s="586"/>
      <c r="N30" s="586"/>
      <c r="P30" s="542" t="s">
        <v>872</v>
      </c>
      <c r="Q30" s="557" t="s">
        <v>873</v>
      </c>
      <c r="R30" s="557">
        <v>216</v>
      </c>
      <c r="S30" s="557">
        <f t="shared" si="2"/>
        <v>1728</v>
      </c>
      <c r="T30" s="543">
        <v>1</v>
      </c>
      <c r="U30" s="535"/>
      <c r="V30" s="535"/>
    </row>
    <row r="31" spans="2:28" ht="15.75">
      <c r="B31" s="142" t="s">
        <v>875</v>
      </c>
      <c r="C31" s="142" t="s">
        <v>876</v>
      </c>
      <c r="D31" s="142">
        <f>$E$8</f>
        <v>1632</v>
      </c>
      <c r="E31" s="142" t="s">
        <v>900</v>
      </c>
      <c r="F31" s="142">
        <v>0</v>
      </c>
      <c r="G31" s="142">
        <f>D31*F31</f>
        <v>0</v>
      </c>
      <c r="H31" s="142">
        <v>0</v>
      </c>
      <c r="I31" s="142">
        <f>G31*H31/1000000</f>
        <v>0</v>
      </c>
      <c r="J31" s="586"/>
      <c r="K31" s="586"/>
      <c r="L31" s="586"/>
      <c r="M31" s="586"/>
      <c r="N31" s="586"/>
      <c r="P31" s="550" t="s">
        <v>875</v>
      </c>
      <c r="Q31" s="544" t="s">
        <v>876</v>
      </c>
      <c r="R31" s="544">
        <v>204</v>
      </c>
      <c r="S31" s="544">
        <f t="shared" si="2"/>
        <v>1632</v>
      </c>
      <c r="T31" s="551">
        <v>63</v>
      </c>
      <c r="U31" s="535"/>
      <c r="V31" s="535"/>
    </row>
    <row r="32" spans="2:28" ht="15.75">
      <c r="B32" s="585"/>
      <c r="C32" s="585"/>
      <c r="D32" s="585"/>
      <c r="E32" s="585"/>
      <c r="F32" s="585"/>
      <c r="G32" s="585"/>
      <c r="H32" s="146" t="s">
        <v>902</v>
      </c>
      <c r="I32" s="146">
        <f>SUM(I27:I31)</f>
        <v>24.222884210526313</v>
      </c>
      <c r="J32" s="147"/>
      <c r="K32" s="148"/>
      <c r="L32" s="148"/>
      <c r="M32" s="148"/>
      <c r="N32" s="148"/>
      <c r="P32" s="535"/>
      <c r="Q32" s="535"/>
      <c r="R32" s="535"/>
      <c r="S32" s="535"/>
      <c r="T32" s="535"/>
      <c r="U32" s="535"/>
      <c r="V32" s="535"/>
    </row>
    <row r="33" spans="2:16" ht="15.75">
      <c r="J33" s="148"/>
      <c r="K33" s="148"/>
      <c r="L33" s="148"/>
      <c r="M33" s="148"/>
      <c r="N33" s="148"/>
    </row>
    <row r="34" spans="2:16" ht="15.75">
      <c r="J34" s="148"/>
      <c r="K34" s="148"/>
      <c r="L34" s="148"/>
      <c r="M34" s="148"/>
      <c r="N34" s="148"/>
    </row>
    <row r="35" spans="2:16" ht="15.75">
      <c r="J35" s="148"/>
      <c r="K35" s="148"/>
      <c r="L35" s="148"/>
      <c r="M35" s="148"/>
      <c r="N35" s="148"/>
    </row>
    <row r="36" spans="2:16" ht="15.75">
      <c r="J36" s="148"/>
      <c r="K36" s="148"/>
      <c r="L36" s="148"/>
      <c r="M36" s="148"/>
      <c r="N36" s="148"/>
    </row>
    <row r="37" spans="2:16" ht="15.75">
      <c r="J37" s="148"/>
      <c r="K37" s="148"/>
      <c r="L37" s="148"/>
      <c r="M37" s="148"/>
      <c r="N37" s="148"/>
    </row>
    <row r="38" spans="2:16" ht="18.75">
      <c r="B38" s="581" t="s">
        <v>903</v>
      </c>
      <c r="C38" s="581"/>
      <c r="D38" s="581"/>
      <c r="E38" s="581"/>
      <c r="F38" s="581"/>
      <c r="G38" s="581"/>
      <c r="H38" s="581"/>
      <c r="I38" s="581"/>
      <c r="J38" s="149"/>
      <c r="K38" s="148"/>
      <c r="L38" s="148"/>
      <c r="M38" s="148"/>
      <c r="N38" s="148"/>
      <c r="P38" t="s">
        <v>23</v>
      </c>
    </row>
    <row r="39" spans="2:16" ht="15.75">
      <c r="B39" s="144"/>
      <c r="C39" s="145" t="s">
        <v>850</v>
      </c>
      <c r="D39" s="145" t="s">
        <v>892</v>
      </c>
      <c r="E39" s="145" t="s">
        <v>893</v>
      </c>
      <c r="F39" s="145" t="s">
        <v>894</v>
      </c>
      <c r="G39" s="145" t="s">
        <v>895</v>
      </c>
      <c r="H39" s="145" t="s">
        <v>896</v>
      </c>
      <c r="I39" s="145" t="s">
        <v>897</v>
      </c>
      <c r="J39" s="149"/>
      <c r="K39" s="148"/>
      <c r="L39" s="148"/>
      <c r="M39" s="148"/>
      <c r="N39" s="148"/>
    </row>
    <row r="40" spans="2:16" ht="15.75">
      <c r="B40" s="142" t="s">
        <v>898</v>
      </c>
      <c r="C40" s="142" t="s">
        <v>860</v>
      </c>
      <c r="D40" s="142">
        <f>$E$3</f>
        <v>600</v>
      </c>
      <c r="E40" s="142" t="s">
        <v>878</v>
      </c>
      <c r="F40" s="142">
        <f>$I$9*$F$3</f>
        <v>2.7777777777777778E-4</v>
      </c>
      <c r="G40" s="142">
        <f>D40*F40</f>
        <v>0.16666666666666666</v>
      </c>
      <c r="H40" s="142">
        <v>86400</v>
      </c>
      <c r="I40" s="142">
        <f>G40*H40/1000000</f>
        <v>1.44E-2</v>
      </c>
      <c r="J40" s="148"/>
      <c r="K40" s="148">
        <f>(I45-I40)*1000000/(8*86400)</f>
        <v>35.175098684210532</v>
      </c>
      <c r="L40" s="148" t="str">
        <f>"&lt;=no HK, byte/s"</f>
        <v>&lt;=no HK, byte/s</v>
      </c>
      <c r="M40" s="148"/>
      <c r="N40" s="148"/>
    </row>
    <row r="41" spans="2:16" ht="15.75">
      <c r="B41" s="142" t="s">
        <v>899</v>
      </c>
      <c r="C41" s="142" t="s">
        <v>867</v>
      </c>
      <c r="D41" s="142">
        <f>$E$5</f>
        <v>280</v>
      </c>
      <c r="E41" s="146" t="s">
        <v>884</v>
      </c>
      <c r="F41" s="142">
        <f>$M$15*$F$5</f>
        <v>1</v>
      </c>
      <c r="G41" s="142">
        <f>D41*F41</f>
        <v>280</v>
      </c>
      <c r="H41" s="142">
        <v>86400</v>
      </c>
      <c r="I41" s="142">
        <f>G41*H41/1000000</f>
        <v>24.192</v>
      </c>
      <c r="J41" s="148"/>
      <c r="K41" s="148"/>
      <c r="L41" s="148"/>
      <c r="M41" s="148"/>
      <c r="N41" s="148"/>
    </row>
    <row r="42" spans="2:16" ht="15.75">
      <c r="B42" s="142" t="s">
        <v>869</v>
      </c>
      <c r="C42" s="142" t="s">
        <v>870</v>
      </c>
      <c r="D42" s="142">
        <f>$E$6</f>
        <v>696</v>
      </c>
      <c r="E42" s="142" t="s">
        <v>878</v>
      </c>
      <c r="F42" s="142">
        <f>$M$9*$F$6</f>
        <v>2.7412280701754384E-4</v>
      </c>
      <c r="G42" s="142">
        <f>D42*F42</f>
        <v>0.19078947368421051</v>
      </c>
      <c r="H42" s="142">
        <v>86400</v>
      </c>
      <c r="I42" s="142">
        <f>G42*H42/1000000</f>
        <v>1.6484210526315785E-2</v>
      </c>
      <c r="J42" s="148"/>
      <c r="K42" s="148"/>
      <c r="L42" s="148"/>
      <c r="M42" s="148"/>
      <c r="N42" s="148"/>
    </row>
    <row r="43" spans="2:16" ht="15" customHeight="1">
      <c r="B43" s="142" t="s">
        <v>872</v>
      </c>
      <c r="C43" s="142" t="s">
        <v>873</v>
      </c>
      <c r="D43" s="142">
        <f>$E$7</f>
        <v>1728</v>
      </c>
      <c r="E43" s="142" t="s">
        <v>865</v>
      </c>
      <c r="F43" s="142">
        <f>$M$4*$F$7</f>
        <v>1.1574074074074073E-5</v>
      </c>
      <c r="G43" s="142">
        <f>D43*F43</f>
        <v>0.02</v>
      </c>
      <c r="H43" s="142">
        <v>86400</v>
      </c>
      <c r="I43" s="142">
        <f>G43*H43/1000000</f>
        <v>1.7279999999999999E-3</v>
      </c>
      <c r="J43" s="587" t="s">
        <v>904</v>
      </c>
      <c r="K43" s="587"/>
      <c r="L43" s="587"/>
      <c r="M43" s="587"/>
      <c r="N43" s="587"/>
      <c r="O43" s="97"/>
    </row>
    <row r="44" spans="2:16">
      <c r="B44" s="142" t="s">
        <v>875</v>
      </c>
      <c r="C44" s="142" t="s">
        <v>876</v>
      </c>
      <c r="D44" s="142">
        <f>$E$8</f>
        <v>1632</v>
      </c>
      <c r="E44" s="142" t="s">
        <v>865</v>
      </c>
      <c r="F44" s="142">
        <f>$M$4*$F$8</f>
        <v>7.2916666666666659E-4</v>
      </c>
      <c r="G44" s="142">
        <f>D44*F44</f>
        <v>1.19</v>
      </c>
      <c r="H44" s="142">
        <v>86400</v>
      </c>
      <c r="I44" s="142">
        <f>G44*H44/1000000</f>
        <v>0.102816</v>
      </c>
      <c r="J44" s="587"/>
      <c r="K44" s="587"/>
      <c r="L44" s="587"/>
      <c r="M44" s="587"/>
      <c r="N44" s="587"/>
      <c r="O44" s="97"/>
    </row>
    <row r="45" spans="2:16">
      <c r="B45" s="585"/>
      <c r="C45" s="585"/>
      <c r="D45" s="585"/>
      <c r="E45" s="585"/>
      <c r="F45" s="585"/>
      <c r="G45" s="585"/>
      <c r="H45" s="146" t="s">
        <v>902</v>
      </c>
      <c r="I45" s="146">
        <f>SUM(I40:I44)</f>
        <v>24.327428210526314</v>
      </c>
      <c r="J45" s="17">
        <f>I45*1000000/86400</f>
        <v>281.56745614035083</v>
      </c>
      <c r="K45">
        <f>J45/8</f>
        <v>35.195932017543853</v>
      </c>
    </row>
    <row r="46" spans="2:16">
      <c r="B46" s="3"/>
      <c r="C46" s="3"/>
      <c r="D46" s="3"/>
      <c r="E46" s="3"/>
      <c r="F46" s="3"/>
      <c r="G46" s="3"/>
      <c r="H46" s="17"/>
      <c r="I46" s="17"/>
      <c r="J46" s="3" t="s">
        <v>0</v>
      </c>
      <c r="K46" s="3" t="s">
        <v>1017</v>
      </c>
    </row>
    <row r="47" spans="2:16" ht="18.75">
      <c r="B47" s="581" t="s">
        <v>905</v>
      </c>
      <c r="C47" s="581"/>
      <c r="D47" s="581"/>
      <c r="E47" s="581"/>
      <c r="F47" s="581"/>
      <c r="G47" s="581"/>
      <c r="H47" s="581"/>
      <c r="I47" s="581"/>
      <c r="J47" s="150"/>
    </row>
    <row r="48" spans="2:16">
      <c r="B48" s="144"/>
      <c r="C48" s="145" t="s">
        <v>850</v>
      </c>
      <c r="D48" s="145" t="s">
        <v>892</v>
      </c>
      <c r="E48" s="145" t="s">
        <v>893</v>
      </c>
      <c r="F48" s="145" t="s">
        <v>894</v>
      </c>
      <c r="G48" s="145" t="s">
        <v>895</v>
      </c>
      <c r="H48" s="145" t="s">
        <v>896</v>
      </c>
      <c r="I48" s="145" t="s">
        <v>897</v>
      </c>
      <c r="J48" s="29"/>
    </row>
    <row r="49" spans="2:12" ht="15.75">
      <c r="B49" s="142" t="s">
        <v>898</v>
      </c>
      <c r="C49" s="142" t="s">
        <v>860</v>
      </c>
      <c r="D49" s="142">
        <f>$E$3</f>
        <v>600</v>
      </c>
      <c r="E49" s="142" t="s">
        <v>878</v>
      </c>
      <c r="F49" s="142">
        <f>$I$9*$F$3</f>
        <v>2.7777777777777778E-4</v>
      </c>
      <c r="G49" s="142">
        <f>D49*F49</f>
        <v>0.16666666666666666</v>
      </c>
      <c r="H49" s="142">
        <v>86400</v>
      </c>
      <c r="I49" s="142">
        <f>G49*H49/1000000</f>
        <v>1.44E-2</v>
      </c>
      <c r="K49" s="148">
        <f>(I54-I49)*1000000/(8*86400)</f>
        <v>17.675098684210528</v>
      </c>
      <c r="L49" s="148" t="str">
        <f>"&lt;=no HK, byte/s"</f>
        <v>&lt;=no HK, byte/s</v>
      </c>
    </row>
    <row r="50" spans="2:12">
      <c r="B50" s="142" t="s">
        <v>899</v>
      </c>
      <c r="C50" s="142" t="s">
        <v>867</v>
      </c>
      <c r="D50" s="142">
        <f>$E$5</f>
        <v>280</v>
      </c>
      <c r="E50" s="146" t="s">
        <v>883</v>
      </c>
      <c r="F50" s="142">
        <f>$M$14*$F$5</f>
        <v>0.5</v>
      </c>
      <c r="G50" s="142">
        <f>D50*F50</f>
        <v>140</v>
      </c>
      <c r="H50" s="142">
        <v>86400</v>
      </c>
      <c r="I50" s="142">
        <f>G50*H50/1000000</f>
        <v>12.096</v>
      </c>
    </row>
    <row r="51" spans="2:12">
      <c r="B51" s="142" t="s">
        <v>869</v>
      </c>
      <c r="C51" s="142" t="s">
        <v>870</v>
      </c>
      <c r="D51" s="142">
        <f>$E$6</f>
        <v>696</v>
      </c>
      <c r="E51" s="142" t="s">
        <v>878</v>
      </c>
      <c r="F51" s="142">
        <f>$M$9*$F$6</f>
        <v>2.7412280701754384E-4</v>
      </c>
      <c r="G51" s="142">
        <f>D51*F51</f>
        <v>0.19078947368421051</v>
      </c>
      <c r="H51" s="142">
        <v>86400</v>
      </c>
      <c r="I51" s="142">
        <f>G51*H51/1000000</f>
        <v>1.6484210526315785E-2</v>
      </c>
    </row>
    <row r="52" spans="2:12">
      <c r="B52" s="142" t="s">
        <v>872</v>
      </c>
      <c r="C52" s="142" t="s">
        <v>873</v>
      </c>
      <c r="D52" s="142">
        <f>$E$7</f>
        <v>1728</v>
      </c>
      <c r="E52" s="142" t="s">
        <v>865</v>
      </c>
      <c r="F52" s="142">
        <f>$M$4*$F$7</f>
        <v>1.1574074074074073E-5</v>
      </c>
      <c r="G52" s="142">
        <f>D52*F52</f>
        <v>0.02</v>
      </c>
      <c r="H52" s="142">
        <v>86400</v>
      </c>
      <c r="I52" s="142">
        <f>G52*H52/1000000</f>
        <v>1.7279999999999999E-3</v>
      </c>
    </row>
    <row r="53" spans="2:12">
      <c r="B53" s="142" t="s">
        <v>875</v>
      </c>
      <c r="C53" s="142" t="s">
        <v>876</v>
      </c>
      <c r="D53" s="142">
        <f>$E$8</f>
        <v>1632</v>
      </c>
      <c r="E53" s="142" t="s">
        <v>865</v>
      </c>
      <c r="F53" s="142">
        <f>$M$4*$F$8</f>
        <v>7.2916666666666659E-4</v>
      </c>
      <c r="G53" s="142">
        <f>D53*F53</f>
        <v>1.19</v>
      </c>
      <c r="H53" s="142">
        <v>86400</v>
      </c>
      <c r="I53" s="142">
        <f>G53*H53/1000000</f>
        <v>0.102816</v>
      </c>
    </row>
    <row r="54" spans="2:12">
      <c r="B54" s="585"/>
      <c r="C54" s="585"/>
      <c r="D54" s="585"/>
      <c r="E54" s="585"/>
      <c r="F54" s="585"/>
      <c r="G54" s="585"/>
      <c r="H54" s="146" t="s">
        <v>902</v>
      </c>
      <c r="I54" s="146">
        <f>SUM(I49:I53)</f>
        <v>12.231428210526317</v>
      </c>
      <c r="J54" s="17">
        <f>I54*1000000/86400</f>
        <v>141.56745614035088</v>
      </c>
      <c r="K54">
        <f>J54/8</f>
        <v>17.695932017543861</v>
      </c>
    </row>
    <row r="55" spans="2:12">
      <c r="I55" s="17"/>
      <c r="J55" s="3" t="s">
        <v>0</v>
      </c>
      <c r="K55" s="3" t="s">
        <v>1017</v>
      </c>
    </row>
    <row r="56" spans="2:12" ht="18.75">
      <c r="B56" s="581" t="s">
        <v>906</v>
      </c>
      <c r="C56" s="581"/>
      <c r="D56" s="581"/>
      <c r="E56" s="581"/>
      <c r="F56" s="581"/>
      <c r="G56" s="581"/>
      <c r="H56" s="581"/>
      <c r="I56" s="581"/>
      <c r="J56" s="150"/>
    </row>
    <row r="57" spans="2:12">
      <c r="B57" s="144"/>
      <c r="C57" s="145" t="s">
        <v>850</v>
      </c>
      <c r="D57" s="145" t="s">
        <v>892</v>
      </c>
      <c r="E57" s="145" t="s">
        <v>893</v>
      </c>
      <c r="F57" s="145" t="s">
        <v>894</v>
      </c>
      <c r="G57" s="145" t="s">
        <v>895</v>
      </c>
      <c r="H57" s="145" t="s">
        <v>896</v>
      </c>
      <c r="I57" s="145" t="s">
        <v>897</v>
      </c>
      <c r="J57" s="29"/>
    </row>
    <row r="58" spans="2:12" ht="15.75">
      <c r="B58" s="142" t="s">
        <v>898</v>
      </c>
      <c r="C58" s="142" t="s">
        <v>860</v>
      </c>
      <c r="D58" s="142">
        <f>$E$3</f>
        <v>600</v>
      </c>
      <c r="E58" s="142" t="s">
        <v>878</v>
      </c>
      <c r="F58" s="142">
        <f>$I$9*$F$3</f>
        <v>2.7777777777777778E-4</v>
      </c>
      <c r="G58" s="142">
        <f>D58*F58</f>
        <v>0.16666666666666666</v>
      </c>
      <c r="H58" s="142">
        <v>86400</v>
      </c>
      <c r="I58" s="142">
        <f>G58*H58/1000000</f>
        <v>1.44E-2</v>
      </c>
      <c r="K58" s="148">
        <f>(I63-I58)*1000000/(8*86400)</f>
        <v>7.1750986842105258</v>
      </c>
      <c r="L58" s="148" t="str">
        <f>"&lt;=no HK, byte/s"</f>
        <v>&lt;=no HK, byte/s</v>
      </c>
    </row>
    <row r="59" spans="2:12">
      <c r="B59" s="142" t="s">
        <v>899</v>
      </c>
      <c r="C59" s="142" t="s">
        <v>867</v>
      </c>
      <c r="D59" s="142">
        <f>$E$5</f>
        <v>280</v>
      </c>
      <c r="E59" s="146" t="s">
        <v>882</v>
      </c>
      <c r="F59" s="142">
        <f>$M$13*$F$5</f>
        <v>0.2</v>
      </c>
      <c r="G59" s="142">
        <f>D59*F59</f>
        <v>56</v>
      </c>
      <c r="H59" s="142">
        <v>86400</v>
      </c>
      <c r="I59" s="142">
        <f>G59*H59/1000000</f>
        <v>4.8384</v>
      </c>
    </row>
    <row r="60" spans="2:12">
      <c r="B60" s="142" t="s">
        <v>869</v>
      </c>
      <c r="C60" s="142" t="s">
        <v>870</v>
      </c>
      <c r="D60" s="142">
        <f>$E$6</f>
        <v>696</v>
      </c>
      <c r="E60" s="142" t="s">
        <v>878</v>
      </c>
      <c r="F60" s="142">
        <f>$M$9*$F$6</f>
        <v>2.7412280701754384E-4</v>
      </c>
      <c r="G60" s="142">
        <f>D60*F60</f>
        <v>0.19078947368421051</v>
      </c>
      <c r="H60" s="142">
        <v>86400</v>
      </c>
      <c r="I60" s="142">
        <f>G60*H60/1000000</f>
        <v>1.6484210526315785E-2</v>
      </c>
    </row>
    <row r="61" spans="2:12">
      <c r="B61" s="142" t="s">
        <v>872</v>
      </c>
      <c r="C61" s="142" t="s">
        <v>873</v>
      </c>
      <c r="D61" s="142">
        <f>$E$7</f>
        <v>1728</v>
      </c>
      <c r="E61" s="142" t="s">
        <v>865</v>
      </c>
      <c r="F61" s="142">
        <f>$M$4*$F$7</f>
        <v>1.1574074074074073E-5</v>
      </c>
      <c r="G61" s="142">
        <f>D61*F61</f>
        <v>0.02</v>
      </c>
      <c r="H61" s="142">
        <v>86400</v>
      </c>
      <c r="I61" s="142">
        <f>G61*H61/1000000</f>
        <v>1.7279999999999999E-3</v>
      </c>
    </row>
    <row r="62" spans="2:12">
      <c r="B62" s="142" t="s">
        <v>875</v>
      </c>
      <c r="C62" s="142" t="s">
        <v>876</v>
      </c>
      <c r="D62" s="142">
        <f>$E$8</f>
        <v>1632</v>
      </c>
      <c r="E62" s="142" t="s">
        <v>865</v>
      </c>
      <c r="F62" s="142">
        <f>$M$4*$F$8</f>
        <v>7.2916666666666659E-4</v>
      </c>
      <c r="G62" s="142">
        <f>D62*F62</f>
        <v>1.19</v>
      </c>
      <c r="H62" s="142">
        <v>86400</v>
      </c>
      <c r="I62" s="142">
        <f>G62*H62/1000000</f>
        <v>0.102816</v>
      </c>
    </row>
    <row r="63" spans="2:12">
      <c r="B63" s="585"/>
      <c r="C63" s="585"/>
      <c r="D63" s="585"/>
      <c r="E63" s="585"/>
      <c r="F63" s="585"/>
      <c r="G63" s="585"/>
      <c r="H63" s="146" t="s">
        <v>902</v>
      </c>
      <c r="I63" s="146">
        <f>SUM(I58:I62)</f>
        <v>4.9738282105263156</v>
      </c>
      <c r="J63" s="17">
        <f>I63*1000000/86400</f>
        <v>57.56745614035087</v>
      </c>
      <c r="K63">
        <f>J63/8</f>
        <v>7.1959320175438588</v>
      </c>
    </row>
    <row r="64" spans="2:12">
      <c r="I64" s="17"/>
      <c r="J64" s="3" t="s">
        <v>0</v>
      </c>
      <c r="K64" s="3" t="s">
        <v>1017</v>
      </c>
    </row>
    <row r="65" spans="2:12" ht="18.75">
      <c r="B65" s="581" t="s">
        <v>907</v>
      </c>
      <c r="C65" s="581"/>
      <c r="D65" s="581"/>
      <c r="E65" s="581"/>
      <c r="F65" s="581"/>
      <c r="G65" s="581"/>
      <c r="H65" s="581"/>
      <c r="I65" s="581"/>
      <c r="J65" s="150"/>
    </row>
    <row r="66" spans="2:12">
      <c r="B66" s="144"/>
      <c r="C66" s="145" t="s">
        <v>850</v>
      </c>
      <c r="D66" s="145" t="s">
        <v>892</v>
      </c>
      <c r="E66" s="145" t="s">
        <v>893</v>
      </c>
      <c r="F66" s="145" t="s">
        <v>894</v>
      </c>
      <c r="G66" s="145" t="s">
        <v>895</v>
      </c>
      <c r="H66" s="145" t="s">
        <v>896</v>
      </c>
      <c r="I66" s="145" t="s">
        <v>897</v>
      </c>
      <c r="J66" s="29"/>
    </row>
    <row r="67" spans="2:12" ht="15.75">
      <c r="B67" s="142" t="s">
        <v>898</v>
      </c>
      <c r="C67" s="142" t="s">
        <v>860</v>
      </c>
      <c r="D67" s="142">
        <f>$E$3</f>
        <v>600</v>
      </c>
      <c r="E67" s="142" t="s">
        <v>878</v>
      </c>
      <c r="F67" s="142">
        <f>$I$9*$F$3</f>
        <v>2.7777777777777778E-4</v>
      </c>
      <c r="G67" s="142">
        <f>D67*F67</f>
        <v>0.16666666666666666</v>
      </c>
      <c r="H67" s="142">
        <v>86400</v>
      </c>
      <c r="I67" s="142">
        <f>G67*H67/1000000</f>
        <v>1.44E-2</v>
      </c>
      <c r="K67" s="148">
        <f>(I72-I67)*1000000/(8*86400)</f>
        <v>3.6750986842105258</v>
      </c>
      <c r="L67" s="148" t="str">
        <f>"&lt;=no HK, byte/s"</f>
        <v>&lt;=no HK, byte/s</v>
      </c>
    </row>
    <row r="68" spans="2:12">
      <c r="B68" s="142" t="s">
        <v>899</v>
      </c>
      <c r="C68" s="142" t="s">
        <v>867</v>
      </c>
      <c r="D68" s="142">
        <f>$E$5</f>
        <v>280</v>
      </c>
      <c r="E68" s="146" t="s">
        <v>881</v>
      </c>
      <c r="F68" s="142">
        <f>$M$12*$F$5</f>
        <v>0.1</v>
      </c>
      <c r="G68" s="142">
        <f>D68*F68</f>
        <v>28</v>
      </c>
      <c r="H68" s="142">
        <v>86400</v>
      </c>
      <c r="I68" s="142">
        <f>G68*H68/1000000</f>
        <v>2.4192</v>
      </c>
    </row>
    <row r="69" spans="2:12">
      <c r="B69" s="142" t="s">
        <v>869</v>
      </c>
      <c r="C69" s="142" t="s">
        <v>870</v>
      </c>
      <c r="D69" s="142">
        <f>$E$6</f>
        <v>696</v>
      </c>
      <c r="E69" s="142" t="s">
        <v>878</v>
      </c>
      <c r="F69" s="142">
        <f>$M$9*$F$6</f>
        <v>2.7412280701754384E-4</v>
      </c>
      <c r="G69" s="142">
        <f>D69*F69</f>
        <v>0.19078947368421051</v>
      </c>
      <c r="H69" s="142">
        <v>86400</v>
      </c>
      <c r="I69" s="142">
        <f>G69*H69/1000000</f>
        <v>1.6484210526315785E-2</v>
      </c>
    </row>
    <row r="70" spans="2:12">
      <c r="B70" s="142" t="s">
        <v>872</v>
      </c>
      <c r="C70" s="142" t="s">
        <v>873</v>
      </c>
      <c r="D70" s="142">
        <f>$E$7</f>
        <v>1728</v>
      </c>
      <c r="E70" s="142" t="s">
        <v>865</v>
      </c>
      <c r="F70" s="142">
        <f>$M$4*$F$7</f>
        <v>1.1574074074074073E-5</v>
      </c>
      <c r="G70" s="142">
        <f>D70*F70</f>
        <v>0.02</v>
      </c>
      <c r="H70" s="142">
        <v>86400</v>
      </c>
      <c r="I70" s="142">
        <f>G70*H70/1000000</f>
        <v>1.7279999999999999E-3</v>
      </c>
    </row>
    <row r="71" spans="2:12">
      <c r="B71" s="142" t="s">
        <v>875</v>
      </c>
      <c r="C71" s="142" t="s">
        <v>876</v>
      </c>
      <c r="D71" s="142">
        <f>$E$8</f>
        <v>1632</v>
      </c>
      <c r="E71" s="142" t="s">
        <v>865</v>
      </c>
      <c r="F71" s="142">
        <f>$M$4*$F$8</f>
        <v>7.2916666666666659E-4</v>
      </c>
      <c r="G71" s="142">
        <f>D71*F71</f>
        <v>1.19</v>
      </c>
      <c r="H71" s="142">
        <v>86400</v>
      </c>
      <c r="I71" s="142">
        <f>G71*H71/1000000</f>
        <v>0.102816</v>
      </c>
      <c r="K71" t="s">
        <v>1018</v>
      </c>
    </row>
    <row r="72" spans="2:12">
      <c r="B72" s="585"/>
      <c r="C72" s="585"/>
      <c r="D72" s="585"/>
      <c r="E72" s="585"/>
      <c r="F72" s="585"/>
      <c r="G72" s="585"/>
      <c r="H72" s="146" t="s">
        <v>902</v>
      </c>
      <c r="I72" s="146">
        <f>SUM(I67:I71)</f>
        <v>2.5546282105263156</v>
      </c>
      <c r="J72" s="17">
        <f>I72*1000000/86400</f>
        <v>29.567456140350874</v>
      </c>
      <c r="K72" s="175">
        <f>J72/8</f>
        <v>3.6959320175438592</v>
      </c>
    </row>
    <row r="73" spans="2:12">
      <c r="J73" s="3" t="s">
        <v>0</v>
      </c>
      <c r="K73" s="3" t="s">
        <v>1017</v>
      </c>
    </row>
    <row r="74" spans="2:12" ht="18.75">
      <c r="B74" s="581" t="s">
        <v>908</v>
      </c>
      <c r="C74" s="581"/>
      <c r="D74" s="581"/>
      <c r="E74" s="581"/>
      <c r="F74" s="581"/>
      <c r="G74" s="581"/>
      <c r="H74" s="581"/>
      <c r="I74" s="581"/>
      <c r="J74" s="150"/>
    </row>
    <row r="75" spans="2:12">
      <c r="B75" s="144"/>
      <c r="C75" s="145" t="s">
        <v>850</v>
      </c>
      <c r="D75" s="145" t="s">
        <v>892</v>
      </c>
      <c r="E75" s="145" t="s">
        <v>893</v>
      </c>
      <c r="F75" s="145" t="s">
        <v>894</v>
      </c>
      <c r="G75" s="145" t="s">
        <v>895</v>
      </c>
      <c r="H75" s="145" t="s">
        <v>896</v>
      </c>
      <c r="I75" s="145" t="s">
        <v>897</v>
      </c>
      <c r="J75" s="29"/>
    </row>
    <row r="76" spans="2:12" ht="15.75">
      <c r="B76" s="142" t="s">
        <v>898</v>
      </c>
      <c r="C76" s="142" t="s">
        <v>860</v>
      </c>
      <c r="D76" s="142">
        <f>$E$3</f>
        <v>600</v>
      </c>
      <c r="E76" s="142" t="s">
        <v>878</v>
      </c>
      <c r="F76" s="142">
        <f>$I$9*$F$3</f>
        <v>2.7777777777777778E-4</v>
      </c>
      <c r="G76" s="142">
        <f>D76*F76</f>
        <v>0.16666666666666666</v>
      </c>
      <c r="H76" s="142">
        <v>86400</v>
      </c>
      <c r="I76" s="142">
        <f>G76*H76/1000000</f>
        <v>1.44E-2</v>
      </c>
      <c r="K76" s="148">
        <f>(I81-I76)*1000000/(8*86400)</f>
        <v>1.9250986842105267</v>
      </c>
      <c r="L76" s="148" t="str">
        <f>"&lt;=no HK, byte/s"</f>
        <v>&lt;=no HK, byte/s</v>
      </c>
    </row>
    <row r="77" spans="2:12">
      <c r="B77" s="142" t="s">
        <v>899</v>
      </c>
      <c r="C77" s="142" t="s">
        <v>867</v>
      </c>
      <c r="D77" s="142">
        <f>$E$5</f>
        <v>280</v>
      </c>
      <c r="E77" s="146" t="s">
        <v>880</v>
      </c>
      <c r="F77" s="142">
        <f>$M$11*$F$5</f>
        <v>0.05</v>
      </c>
      <c r="G77" s="142">
        <f>D77*F77</f>
        <v>14</v>
      </c>
      <c r="H77" s="142">
        <v>86400</v>
      </c>
      <c r="I77" s="142">
        <f>G77*H77/1000000</f>
        <v>1.2096</v>
      </c>
    </row>
    <row r="78" spans="2:12">
      <c r="B78" s="142" t="s">
        <v>869</v>
      </c>
      <c r="C78" s="142" t="s">
        <v>870</v>
      </c>
      <c r="D78" s="142">
        <f>$E$6</f>
        <v>696</v>
      </c>
      <c r="E78" s="142" t="s">
        <v>878</v>
      </c>
      <c r="F78" s="142">
        <f>$M$9*$F$6</f>
        <v>2.7412280701754384E-4</v>
      </c>
      <c r="G78" s="142">
        <f>D78*F78</f>
        <v>0.19078947368421051</v>
      </c>
      <c r="H78" s="142">
        <v>86400</v>
      </c>
      <c r="I78" s="142">
        <f>G78*H78/1000000</f>
        <v>1.6484210526315785E-2</v>
      </c>
    </row>
    <row r="79" spans="2:12">
      <c r="B79" s="142" t="s">
        <v>872</v>
      </c>
      <c r="C79" s="142" t="s">
        <v>873</v>
      </c>
      <c r="D79" s="142">
        <f>$E$7</f>
        <v>1728</v>
      </c>
      <c r="E79" s="142" t="s">
        <v>865</v>
      </c>
      <c r="F79" s="142">
        <f>$M$4*$F$7</f>
        <v>1.1574074074074073E-5</v>
      </c>
      <c r="G79" s="142">
        <f>D79*F79</f>
        <v>0.02</v>
      </c>
      <c r="H79" s="142">
        <v>86400</v>
      </c>
      <c r="I79" s="142">
        <f>G79*H79/1000000</f>
        <v>1.7279999999999999E-3</v>
      </c>
    </row>
    <row r="80" spans="2:12">
      <c r="B80" s="142" t="s">
        <v>875</v>
      </c>
      <c r="C80" s="142" t="s">
        <v>876</v>
      </c>
      <c r="D80" s="142">
        <f>$E$8</f>
        <v>1632</v>
      </c>
      <c r="E80" s="142" t="s">
        <v>865</v>
      </c>
      <c r="F80" s="142">
        <f>$M$4*$F$8</f>
        <v>7.2916666666666659E-4</v>
      </c>
      <c r="G80" s="142">
        <f>D80*F80</f>
        <v>1.19</v>
      </c>
      <c r="H80" s="142">
        <v>86400</v>
      </c>
      <c r="I80" s="142">
        <f>G80*H80/1000000</f>
        <v>0.102816</v>
      </c>
    </row>
    <row r="81" spans="2:12">
      <c r="B81" s="585"/>
      <c r="C81" s="585"/>
      <c r="D81" s="585"/>
      <c r="E81" s="585"/>
      <c r="F81" s="585"/>
      <c r="G81" s="585"/>
      <c r="H81" s="146" t="s">
        <v>902</v>
      </c>
      <c r="I81" s="146">
        <f>SUM(I76:I80)</f>
        <v>1.3450282105263158</v>
      </c>
      <c r="J81" s="17">
        <f>I81*1000000/86400</f>
        <v>15.567456140350876</v>
      </c>
      <c r="K81">
        <f>J81/8</f>
        <v>1.9459320175438595</v>
      </c>
    </row>
    <row r="82" spans="2:12">
      <c r="I82" s="17"/>
      <c r="J82" s="3" t="s">
        <v>0</v>
      </c>
      <c r="K82" s="3" t="s">
        <v>1017</v>
      </c>
    </row>
    <row r="83" spans="2:12" ht="18.75">
      <c r="B83" s="581" t="s">
        <v>909</v>
      </c>
      <c r="C83" s="581"/>
      <c r="D83" s="581"/>
      <c r="E83" s="581"/>
      <c r="F83" s="581"/>
      <c r="G83" s="581"/>
      <c r="H83" s="581"/>
      <c r="I83" s="581"/>
      <c r="J83" s="150"/>
    </row>
    <row r="84" spans="2:12">
      <c r="B84" s="144"/>
      <c r="C84" s="145" t="s">
        <v>850</v>
      </c>
      <c r="D84" s="145" t="s">
        <v>892</v>
      </c>
      <c r="E84" s="145" t="s">
        <v>893</v>
      </c>
      <c r="F84" s="145" t="s">
        <v>894</v>
      </c>
      <c r="G84" s="145" t="s">
        <v>895</v>
      </c>
      <c r="H84" s="145" t="s">
        <v>896</v>
      </c>
      <c r="I84" s="145" t="s">
        <v>897</v>
      </c>
      <c r="J84" s="29"/>
    </row>
    <row r="85" spans="2:12" ht="15.75">
      <c r="B85" s="142" t="s">
        <v>898</v>
      </c>
      <c r="C85" s="142" t="s">
        <v>860</v>
      </c>
      <c r="D85" s="142">
        <f>$E$3</f>
        <v>600</v>
      </c>
      <c r="E85" s="142" t="s">
        <v>878</v>
      </c>
      <c r="F85" s="142">
        <f>$I$9*$F$3</f>
        <v>2.7777777777777778E-4</v>
      </c>
      <c r="G85" s="142">
        <f>D85*F85</f>
        <v>0.16666666666666666</v>
      </c>
      <c r="H85" s="142">
        <v>86400</v>
      </c>
      <c r="I85" s="142">
        <f>G85*H85/1000000</f>
        <v>1.44E-2</v>
      </c>
      <c r="K85" s="148">
        <f>(I90-I85)*1000000/(8*86400)</f>
        <v>1.3819952359346641</v>
      </c>
      <c r="L85" s="148" t="str">
        <f>"&lt;=no HK, byte/s"</f>
        <v>&lt;=no HK, byte/s</v>
      </c>
    </row>
    <row r="86" spans="2:12">
      <c r="B86" s="142" t="s">
        <v>899</v>
      </c>
      <c r="C86" s="142" t="s">
        <v>867</v>
      </c>
      <c r="D86" s="142">
        <f>$E$5</f>
        <v>280</v>
      </c>
      <c r="E86" s="146" t="s">
        <v>879</v>
      </c>
      <c r="F86" s="142">
        <f>$M$10*$F$5</f>
        <v>3.4482758620689655E-2</v>
      </c>
      <c r="G86" s="142">
        <f>D86*F86</f>
        <v>9.6551724137931032</v>
      </c>
      <c r="H86" s="142">
        <v>86400</v>
      </c>
      <c r="I86" s="142">
        <f>G86*H86/1000000</f>
        <v>0.8342068965517242</v>
      </c>
    </row>
    <row r="87" spans="2:12">
      <c r="B87" s="142" t="s">
        <v>869</v>
      </c>
      <c r="C87" s="142" t="s">
        <v>870</v>
      </c>
      <c r="D87" s="142">
        <f>$E$6</f>
        <v>696</v>
      </c>
      <c r="E87" s="142" t="s">
        <v>878</v>
      </c>
      <c r="F87" s="142">
        <f>$M$9*$F$6</f>
        <v>2.7412280701754384E-4</v>
      </c>
      <c r="G87" s="142">
        <f>D87*F87</f>
        <v>0.19078947368421051</v>
      </c>
      <c r="H87" s="142">
        <v>86400</v>
      </c>
      <c r="I87" s="142">
        <f>G87*H87/1000000</f>
        <v>1.6484210526315785E-2</v>
      </c>
    </row>
    <row r="88" spans="2:12">
      <c r="B88" s="142" t="s">
        <v>872</v>
      </c>
      <c r="C88" s="142" t="s">
        <v>873</v>
      </c>
      <c r="D88" s="142">
        <f>$E$7</f>
        <v>1728</v>
      </c>
      <c r="E88" s="142" t="s">
        <v>865</v>
      </c>
      <c r="F88" s="142">
        <f>$M$4*$F$7</f>
        <v>1.1574074074074073E-5</v>
      </c>
      <c r="G88" s="142">
        <f>D88*F88</f>
        <v>0.02</v>
      </c>
      <c r="H88" s="142">
        <v>86400</v>
      </c>
      <c r="I88" s="142">
        <f>G88*H88/1000000</f>
        <v>1.7279999999999999E-3</v>
      </c>
    </row>
    <row r="89" spans="2:12">
      <c r="B89" s="142" t="s">
        <v>875</v>
      </c>
      <c r="C89" s="142" t="s">
        <v>876</v>
      </c>
      <c r="D89" s="142">
        <f>$E$8</f>
        <v>1632</v>
      </c>
      <c r="E89" s="142" t="s">
        <v>865</v>
      </c>
      <c r="F89" s="142">
        <f>$M$4*$F$8</f>
        <v>7.2916666666666659E-4</v>
      </c>
      <c r="G89" s="142">
        <f>D89*F89</f>
        <v>1.19</v>
      </c>
      <c r="H89" s="142">
        <v>86400</v>
      </c>
      <c r="I89" s="142">
        <f>G89*H89/1000000</f>
        <v>0.102816</v>
      </c>
    </row>
    <row r="90" spans="2:12">
      <c r="B90" s="142"/>
      <c r="C90" s="142"/>
      <c r="D90" s="142"/>
      <c r="E90" s="142"/>
      <c r="F90" s="142"/>
      <c r="G90" s="142"/>
      <c r="H90" s="146" t="s">
        <v>902</v>
      </c>
      <c r="I90" s="146">
        <f>SUM(I85:I89)</f>
        <v>0.9696351070780399</v>
      </c>
      <c r="J90" s="17">
        <f>I90*1000000/86400</f>
        <v>11.222628554143981</v>
      </c>
      <c r="K90">
        <f>J90/8</f>
        <v>1.4028285692679976</v>
      </c>
    </row>
    <row r="91" spans="2:12" ht="15" customHeight="1">
      <c r="J91" s="3" t="s">
        <v>0</v>
      </c>
      <c r="K91" s="3" t="s">
        <v>1017</v>
      </c>
    </row>
    <row r="92" spans="2:12" ht="18.75">
      <c r="B92" s="581" t="s">
        <v>910</v>
      </c>
      <c r="C92" s="581"/>
      <c r="D92" s="581"/>
      <c r="E92" s="581"/>
      <c r="F92" s="581"/>
      <c r="G92" s="581"/>
      <c r="H92" s="581"/>
      <c r="I92" s="581"/>
      <c r="J92" s="150"/>
    </row>
    <row r="93" spans="2:12">
      <c r="B93" s="144"/>
      <c r="C93" s="145" t="s">
        <v>850</v>
      </c>
      <c r="D93" s="145" t="s">
        <v>892</v>
      </c>
      <c r="E93" s="145" t="s">
        <v>893</v>
      </c>
      <c r="F93" s="145" t="s">
        <v>894</v>
      </c>
      <c r="G93" s="145" t="s">
        <v>895</v>
      </c>
      <c r="H93" s="145" t="s">
        <v>896</v>
      </c>
      <c r="I93" s="145" t="s">
        <v>897</v>
      </c>
      <c r="J93" s="29"/>
    </row>
    <row r="94" spans="2:12" ht="15.75">
      <c r="B94" s="142" t="s">
        <v>898</v>
      </c>
      <c r="C94" s="142" t="s">
        <v>860</v>
      </c>
      <c r="D94" s="142">
        <f>$E$3</f>
        <v>600</v>
      </c>
      <c r="E94" s="142" t="s">
        <v>878</v>
      </c>
      <c r="F94" s="142">
        <f>$I$9*$F$3</f>
        <v>2.7777777777777778E-4</v>
      </c>
      <c r="G94" s="142">
        <f>D94*F94</f>
        <v>0.16666666666666666</v>
      </c>
      <c r="H94" s="142">
        <v>86400</v>
      </c>
      <c r="I94" s="142">
        <f>G94*H94/1000000</f>
        <v>1.44E-2</v>
      </c>
      <c r="K94" s="148">
        <f>(I99-I94)*1000000/(8*86400)</f>
        <v>0.78913377192982437</v>
      </c>
      <c r="L94" s="148" t="str">
        <f>"&lt;=no HK, byte/s"</f>
        <v>&lt;=no HK, byte/s</v>
      </c>
    </row>
    <row r="95" spans="2:12">
      <c r="B95" s="142" t="s">
        <v>899</v>
      </c>
      <c r="C95" s="142" t="s">
        <v>867</v>
      </c>
      <c r="D95" s="142">
        <f>$E$5</f>
        <v>280</v>
      </c>
      <c r="E95" s="151" t="s">
        <v>878</v>
      </c>
      <c r="F95" s="142">
        <f>$M$9*$F$5</f>
        <v>1.7543859649122806E-2</v>
      </c>
      <c r="G95" s="142">
        <f>D95*F95</f>
        <v>4.9122807017543852</v>
      </c>
      <c r="H95" s="142">
        <v>86400</v>
      </c>
      <c r="I95" s="142">
        <f>G95*H95/1000000</f>
        <v>0.42442105263157887</v>
      </c>
    </row>
    <row r="96" spans="2:12">
      <c r="B96" s="142" t="s">
        <v>869</v>
      </c>
      <c r="C96" s="142" t="s">
        <v>870</v>
      </c>
      <c r="D96" s="142">
        <f>$E$6</f>
        <v>696</v>
      </c>
      <c r="E96" s="142" t="s">
        <v>878</v>
      </c>
      <c r="F96" s="142">
        <f>$M$9*$F$6</f>
        <v>2.7412280701754384E-4</v>
      </c>
      <c r="G96" s="142">
        <f>D96*F96</f>
        <v>0.19078947368421051</v>
      </c>
      <c r="H96" s="142">
        <v>86400</v>
      </c>
      <c r="I96" s="142">
        <f>G96*H96/1000000</f>
        <v>1.6484210526315785E-2</v>
      </c>
    </row>
    <row r="97" spans="2:12">
      <c r="B97" s="142" t="s">
        <v>872</v>
      </c>
      <c r="C97" s="142" t="s">
        <v>873</v>
      </c>
      <c r="D97" s="142">
        <f>$E$7</f>
        <v>1728</v>
      </c>
      <c r="E97" s="142" t="s">
        <v>865</v>
      </c>
      <c r="F97" s="142">
        <f>$M$4*$F$7</f>
        <v>1.1574074074074073E-5</v>
      </c>
      <c r="G97" s="142">
        <f>D97*F97</f>
        <v>0.02</v>
      </c>
      <c r="H97" s="142">
        <v>86400</v>
      </c>
      <c r="I97" s="142">
        <f>G97*H97/1000000</f>
        <v>1.7279999999999999E-3</v>
      </c>
    </row>
    <row r="98" spans="2:12">
      <c r="B98" s="142" t="s">
        <v>875</v>
      </c>
      <c r="C98" s="142" t="s">
        <v>876</v>
      </c>
      <c r="D98" s="142">
        <f>$E$8</f>
        <v>1632</v>
      </c>
      <c r="E98" s="142" t="s">
        <v>865</v>
      </c>
      <c r="F98" s="142">
        <f>$M$4*$F$8</f>
        <v>7.2916666666666659E-4</v>
      </c>
      <c r="G98" s="142">
        <f>D98*F98</f>
        <v>1.19</v>
      </c>
      <c r="H98" s="142">
        <v>86400</v>
      </c>
      <c r="I98" s="142">
        <f>G98*H98/1000000</f>
        <v>0.102816</v>
      </c>
    </row>
    <row r="99" spans="2:12">
      <c r="B99" s="585"/>
      <c r="C99" s="585"/>
      <c r="D99" s="585"/>
      <c r="E99" s="585"/>
      <c r="F99" s="585"/>
      <c r="G99" s="585"/>
      <c r="H99" s="146" t="s">
        <v>902</v>
      </c>
      <c r="I99" s="146">
        <f>SUM(I94:I98)</f>
        <v>0.55984926315789463</v>
      </c>
      <c r="J99" s="17">
        <f>I99*1000000/86400</f>
        <v>6.4797368421052619</v>
      </c>
      <c r="K99">
        <f>J99/8</f>
        <v>0.80996710526315774</v>
      </c>
    </row>
    <row r="100" spans="2:12" ht="15" customHeight="1">
      <c r="J100" s="3" t="s">
        <v>0</v>
      </c>
      <c r="K100" s="3" t="s">
        <v>1017</v>
      </c>
    </row>
    <row r="101" spans="2:12" ht="18.75">
      <c r="B101" s="581" t="s">
        <v>911</v>
      </c>
      <c r="C101" s="581"/>
      <c r="D101" s="581"/>
      <c r="E101" s="581"/>
      <c r="F101" s="581"/>
      <c r="G101" s="581"/>
      <c r="H101" s="581"/>
      <c r="I101" s="581"/>
      <c r="J101" s="150"/>
    </row>
    <row r="102" spans="2:12">
      <c r="B102" s="144"/>
      <c r="C102" s="145" t="s">
        <v>850</v>
      </c>
      <c r="D102" s="145" t="s">
        <v>892</v>
      </c>
      <c r="E102" s="145" t="s">
        <v>893</v>
      </c>
      <c r="F102" s="145" t="s">
        <v>894</v>
      </c>
      <c r="G102" s="145" t="s">
        <v>895</v>
      </c>
      <c r="H102" s="145" t="s">
        <v>896</v>
      </c>
      <c r="I102" s="145" t="s">
        <v>897</v>
      </c>
      <c r="J102" s="29"/>
    </row>
    <row r="103" spans="2:12" ht="15.75">
      <c r="B103" s="142" t="s">
        <v>898</v>
      </c>
      <c r="C103" s="142" t="s">
        <v>860</v>
      </c>
      <c r="D103" s="142">
        <f>$E$3</f>
        <v>600</v>
      </c>
      <c r="E103" s="142" t="s">
        <v>878</v>
      </c>
      <c r="F103" s="142">
        <f>$I$9*$F$3</f>
        <v>2.7777777777777778E-4</v>
      </c>
      <c r="G103" s="142">
        <f>D103*F103</f>
        <v>0.16666666666666666</v>
      </c>
      <c r="H103" s="142">
        <v>86400</v>
      </c>
      <c r="I103" s="142">
        <f>G103*H103/1000000</f>
        <v>1.44E-2</v>
      </c>
      <c r="K103" s="148">
        <f>(I108-I103)*1000000/(8*86400)</f>
        <v>0.48483319748486253</v>
      </c>
      <c r="L103" s="148" t="str">
        <f>"&lt;=no HK, byte/s"</f>
        <v>&lt;=no HK, byte/s</v>
      </c>
    </row>
    <row r="104" spans="2:12">
      <c r="B104" s="142" t="s">
        <v>899</v>
      </c>
      <c r="C104" s="142" t="s">
        <v>867</v>
      </c>
      <c r="D104" s="142">
        <f>$E$5</f>
        <v>280</v>
      </c>
      <c r="E104" s="151" t="s">
        <v>877</v>
      </c>
      <c r="F104" s="142">
        <f>$M$8*$F$5</f>
        <v>8.8495575221238937E-3</v>
      </c>
      <c r="G104" s="142">
        <f>D104*F104</f>
        <v>2.4778761061946901</v>
      </c>
      <c r="H104" s="142">
        <v>86400</v>
      </c>
      <c r="I104" s="142">
        <f>G104*H104/1000000</f>
        <v>0.21408849557522122</v>
      </c>
    </row>
    <row r="105" spans="2:12">
      <c r="B105" s="142" t="s">
        <v>869</v>
      </c>
      <c r="C105" s="142" t="s">
        <v>870</v>
      </c>
      <c r="D105" s="142">
        <f>$E$6</f>
        <v>696</v>
      </c>
      <c r="E105" s="142" t="s">
        <v>878</v>
      </c>
      <c r="F105" s="142">
        <f>$M$9*$F$6</f>
        <v>2.7412280701754384E-4</v>
      </c>
      <c r="G105" s="142">
        <f>D105*F105</f>
        <v>0.19078947368421051</v>
      </c>
      <c r="H105" s="142">
        <v>86400</v>
      </c>
      <c r="I105" s="142">
        <f>G105*H105/1000000</f>
        <v>1.6484210526315785E-2</v>
      </c>
    </row>
    <row r="106" spans="2:12">
      <c r="B106" s="142" t="s">
        <v>872</v>
      </c>
      <c r="C106" s="142" t="s">
        <v>873</v>
      </c>
      <c r="D106" s="142">
        <f>$E$7</f>
        <v>1728</v>
      </c>
      <c r="E106" s="142" t="s">
        <v>865</v>
      </c>
      <c r="F106" s="142">
        <f>$M$4*$F$7</f>
        <v>1.1574074074074073E-5</v>
      </c>
      <c r="G106" s="142">
        <f>D106*F106</f>
        <v>0.02</v>
      </c>
      <c r="H106" s="142">
        <v>86400</v>
      </c>
      <c r="I106" s="142">
        <f>G106*H106/1000000</f>
        <v>1.7279999999999999E-3</v>
      </c>
    </row>
    <row r="107" spans="2:12">
      <c r="B107" s="142" t="s">
        <v>875</v>
      </c>
      <c r="C107" s="142" t="s">
        <v>876</v>
      </c>
      <c r="D107" s="142">
        <f>$E$8</f>
        <v>1632</v>
      </c>
      <c r="E107" s="142" t="s">
        <v>865</v>
      </c>
      <c r="F107" s="142">
        <f>$M$4*$F$8</f>
        <v>7.2916666666666659E-4</v>
      </c>
      <c r="G107" s="142">
        <f>D107*F107</f>
        <v>1.19</v>
      </c>
      <c r="H107" s="142">
        <v>86400</v>
      </c>
      <c r="I107" s="142">
        <f>G107*H107/1000000</f>
        <v>0.102816</v>
      </c>
      <c r="K107" t="s">
        <v>1026</v>
      </c>
    </row>
    <row r="108" spans="2:12">
      <c r="B108" s="585"/>
      <c r="C108" s="585"/>
      <c r="D108" s="585"/>
      <c r="E108" s="585"/>
      <c r="F108" s="585"/>
      <c r="G108" s="585"/>
      <c r="H108" s="146" t="s">
        <v>902</v>
      </c>
      <c r="I108" s="146">
        <f>SUM(I103:I107)</f>
        <v>0.34951670610153701</v>
      </c>
      <c r="J108" s="17">
        <f>I108*1000000/86400</f>
        <v>4.0453322465455672</v>
      </c>
      <c r="K108" s="175">
        <f>J108/8</f>
        <v>0.5056665308181959</v>
      </c>
    </row>
    <row r="109" spans="2:12" ht="15" customHeight="1">
      <c r="J109" s="3" t="s">
        <v>0</v>
      </c>
      <c r="K109" s="3" t="s">
        <v>1017</v>
      </c>
    </row>
    <row r="110" spans="2:12" ht="18.75">
      <c r="B110" s="581" t="s">
        <v>912</v>
      </c>
      <c r="C110" s="581"/>
      <c r="D110" s="581"/>
      <c r="E110" s="581"/>
      <c r="F110" s="581"/>
      <c r="G110" s="581"/>
      <c r="H110" s="581"/>
      <c r="I110" s="581"/>
      <c r="J110" s="150"/>
    </row>
    <row r="111" spans="2:12">
      <c r="B111" s="144"/>
      <c r="C111" s="145" t="s">
        <v>850</v>
      </c>
      <c r="D111" s="145" t="s">
        <v>892</v>
      </c>
      <c r="E111" s="145" t="s">
        <v>893</v>
      </c>
      <c r="F111" s="145" t="s">
        <v>894</v>
      </c>
      <c r="G111" s="145" t="s">
        <v>895</v>
      </c>
      <c r="H111" s="145" t="s">
        <v>896</v>
      </c>
      <c r="I111" s="145" t="s">
        <v>897</v>
      </c>
      <c r="J111" s="29"/>
    </row>
    <row r="112" spans="2:12" ht="15.75">
      <c r="B112" s="142" t="s">
        <v>898</v>
      </c>
      <c r="C112" s="142" t="s">
        <v>860</v>
      </c>
      <c r="D112" s="142">
        <f>$E$3</f>
        <v>600</v>
      </c>
      <c r="E112" s="142" t="s">
        <v>878</v>
      </c>
      <c r="F112" s="142">
        <f>$I$9*$F$3</f>
        <v>2.7777777777777778E-4</v>
      </c>
      <c r="G112" s="142">
        <f>D112*F112</f>
        <v>0.16666666666666666</v>
      </c>
      <c r="H112" s="142">
        <v>86400</v>
      </c>
      <c r="I112" s="142">
        <f>G112*H112/1000000</f>
        <v>1.44E-2</v>
      </c>
      <c r="K112" s="148">
        <f>(I117-I112)*1000000/(8*86400)</f>
        <v>0.38219927592650266</v>
      </c>
      <c r="L112" s="148" t="str">
        <f>"&lt;=no HK, byte/s"</f>
        <v>&lt;=no HK, byte/s</v>
      </c>
    </row>
    <row r="113" spans="2:12">
      <c r="B113" s="142" t="s">
        <v>899</v>
      </c>
      <c r="C113" s="142" t="s">
        <v>867</v>
      </c>
      <c r="D113" s="142">
        <f>$E$5</f>
        <v>280</v>
      </c>
      <c r="E113" s="151" t="s">
        <v>874</v>
      </c>
      <c r="F113" s="142">
        <f>$M$7*$F$5</f>
        <v>5.9171597633136093E-3</v>
      </c>
      <c r="G113" s="142">
        <f>D113*F113</f>
        <v>1.6568047337278107</v>
      </c>
      <c r="H113" s="142">
        <v>86400</v>
      </c>
      <c r="I113" s="142">
        <f>G113*H113/1000000</f>
        <v>0.14314792899408285</v>
      </c>
    </row>
    <row r="114" spans="2:12">
      <c r="B114" s="142" t="s">
        <v>869</v>
      </c>
      <c r="C114" s="142" t="s">
        <v>870</v>
      </c>
      <c r="D114" s="142">
        <f>$E$6</f>
        <v>696</v>
      </c>
      <c r="E114" s="142" t="s">
        <v>878</v>
      </c>
      <c r="F114" s="142">
        <f>$M$9*$F$6</f>
        <v>2.7412280701754384E-4</v>
      </c>
      <c r="G114" s="142">
        <f>D114*F114</f>
        <v>0.19078947368421051</v>
      </c>
      <c r="H114" s="142">
        <v>86400</v>
      </c>
      <c r="I114" s="142">
        <f>G114*H114/1000000</f>
        <v>1.6484210526315785E-2</v>
      </c>
    </row>
    <row r="115" spans="2:12">
      <c r="B115" s="142" t="s">
        <v>872</v>
      </c>
      <c r="C115" s="142" t="s">
        <v>873</v>
      </c>
      <c r="D115" s="142">
        <f>$E$7</f>
        <v>1728</v>
      </c>
      <c r="E115" s="142" t="s">
        <v>865</v>
      </c>
      <c r="F115" s="142">
        <f>$M$4*$F$7</f>
        <v>1.1574074074074073E-5</v>
      </c>
      <c r="G115" s="142">
        <f>D115*F115</f>
        <v>0.02</v>
      </c>
      <c r="H115" s="142">
        <v>86400</v>
      </c>
      <c r="I115" s="142">
        <f>G115*H115/1000000</f>
        <v>1.7279999999999999E-3</v>
      </c>
    </row>
    <row r="116" spans="2:12">
      <c r="B116" s="142" t="s">
        <v>875</v>
      </c>
      <c r="C116" s="142" t="s">
        <v>876</v>
      </c>
      <c r="D116" s="142">
        <f>$E$8</f>
        <v>1632</v>
      </c>
      <c r="E116" s="142" t="s">
        <v>865</v>
      </c>
      <c r="F116" s="142">
        <f>$M$4*$F$8</f>
        <v>7.2916666666666659E-4</v>
      </c>
      <c r="G116" s="142">
        <f>D116*F116</f>
        <v>1.19</v>
      </c>
      <c r="H116" s="142">
        <v>86400</v>
      </c>
      <c r="I116" s="142">
        <f>G116*H116/1000000</f>
        <v>0.102816</v>
      </c>
    </row>
    <row r="117" spans="2:12">
      <c r="B117" s="585"/>
      <c r="C117" s="585"/>
      <c r="D117" s="585"/>
      <c r="E117" s="585"/>
      <c r="F117" s="585"/>
      <c r="G117" s="585"/>
      <c r="H117" s="146" t="s">
        <v>902</v>
      </c>
      <c r="I117" s="146">
        <f>SUM(I112:I116)</f>
        <v>0.27857613952039867</v>
      </c>
      <c r="J117" s="17">
        <f>I117*1000000/86400</f>
        <v>3.2242608740786887</v>
      </c>
      <c r="K117">
        <f>J117/8</f>
        <v>0.40303260925983608</v>
      </c>
    </row>
    <row r="118" spans="2:12">
      <c r="B118" s="3"/>
      <c r="C118" s="3"/>
      <c r="D118" s="3"/>
      <c r="E118" s="3"/>
      <c r="F118" s="3"/>
      <c r="G118" s="3"/>
      <c r="I118" s="17"/>
      <c r="J118" s="3" t="s">
        <v>0</v>
      </c>
      <c r="K118" s="3" t="s">
        <v>1017</v>
      </c>
    </row>
    <row r="119" spans="2:12" ht="18.75">
      <c r="B119" s="581" t="s">
        <v>913</v>
      </c>
      <c r="C119" s="581"/>
      <c r="D119" s="581"/>
      <c r="E119" s="581"/>
      <c r="F119" s="581"/>
      <c r="G119" s="581"/>
      <c r="H119" s="581"/>
      <c r="I119" s="581"/>
      <c r="J119" s="150"/>
    </row>
    <row r="120" spans="2:12">
      <c r="B120" s="144"/>
      <c r="C120" s="145" t="s">
        <v>850</v>
      </c>
      <c r="D120" s="145" t="s">
        <v>892</v>
      </c>
      <c r="E120" s="145" t="s">
        <v>893</v>
      </c>
      <c r="F120" s="145" t="s">
        <v>894</v>
      </c>
      <c r="G120" s="145" t="s">
        <v>895</v>
      </c>
      <c r="H120" s="145" t="s">
        <v>896</v>
      </c>
      <c r="I120" s="145" t="s">
        <v>897</v>
      </c>
      <c r="J120" s="29"/>
    </row>
    <row r="121" spans="2:12" ht="15.75">
      <c r="B121" s="142" t="s">
        <v>898</v>
      </c>
      <c r="C121" s="142" t="s">
        <v>860</v>
      </c>
      <c r="D121" s="142">
        <f>$E$3</f>
        <v>600</v>
      </c>
      <c r="E121" s="142" t="s">
        <v>878</v>
      </c>
      <c r="F121" s="142">
        <f>$I$9*$F$3</f>
        <v>2.7777777777777778E-4</v>
      </c>
      <c r="G121" s="142">
        <f>D121*F121</f>
        <v>0.16666666666666666</v>
      </c>
      <c r="H121" s="142">
        <v>86400</v>
      </c>
      <c r="I121" s="142">
        <f>G121*H121/1000000</f>
        <v>1.44E-2</v>
      </c>
      <c r="K121" s="148">
        <f>(I126-I121)*1000000/(8*86400)</f>
        <v>0.27864898006851446</v>
      </c>
      <c r="L121" s="148" t="str">
        <f>"&lt;=no HK, byte/s"</f>
        <v>&lt;=no HK, byte/s</v>
      </c>
    </row>
    <row r="122" spans="2:12">
      <c r="B122" s="142" t="s">
        <v>899</v>
      </c>
      <c r="C122" s="142" t="s">
        <v>867</v>
      </c>
      <c r="D122" s="142">
        <f>$E$5</f>
        <v>280</v>
      </c>
      <c r="E122" s="151" t="s">
        <v>871</v>
      </c>
      <c r="F122" s="142">
        <f>$M$6*$F$5</f>
        <v>2.9585798816568047E-3</v>
      </c>
      <c r="G122" s="142">
        <f>D122*F122</f>
        <v>0.82840236686390534</v>
      </c>
      <c r="H122" s="142">
        <v>86400</v>
      </c>
      <c r="I122" s="142">
        <f>G122*H122/1000000</f>
        <v>7.1573964497041426E-2</v>
      </c>
    </row>
    <row r="123" spans="2:12">
      <c r="B123" s="142" t="s">
        <v>869</v>
      </c>
      <c r="C123" s="142" t="s">
        <v>870</v>
      </c>
      <c r="D123" s="142">
        <f>$E$6</f>
        <v>696</v>
      </c>
      <c r="E123" s="142" t="s">
        <v>878</v>
      </c>
      <c r="F123" s="142">
        <f>$M$9*$F$6</f>
        <v>2.7412280701754384E-4</v>
      </c>
      <c r="G123" s="142">
        <f>D123*F123</f>
        <v>0.19078947368421051</v>
      </c>
      <c r="H123" s="142">
        <v>86400</v>
      </c>
      <c r="I123" s="142">
        <f>G123*H123/1000000</f>
        <v>1.6484210526315785E-2</v>
      </c>
    </row>
    <row r="124" spans="2:12">
      <c r="B124" s="142" t="s">
        <v>872</v>
      </c>
      <c r="C124" s="142" t="s">
        <v>873</v>
      </c>
      <c r="D124" s="142">
        <f>$E$7</f>
        <v>1728</v>
      </c>
      <c r="E124" s="142" t="s">
        <v>865</v>
      </c>
      <c r="F124" s="142">
        <f>$M$4*$F$7</f>
        <v>1.1574074074074073E-5</v>
      </c>
      <c r="G124" s="142">
        <f>D124*F124</f>
        <v>0.02</v>
      </c>
      <c r="H124" s="142">
        <v>86400</v>
      </c>
      <c r="I124" s="142">
        <f>G124*H124/1000000</f>
        <v>1.7279999999999999E-3</v>
      </c>
    </row>
    <row r="125" spans="2:12">
      <c r="B125" s="142" t="s">
        <v>875</v>
      </c>
      <c r="C125" s="142" t="s">
        <v>876</v>
      </c>
      <c r="D125" s="142">
        <f>$E$8</f>
        <v>1632</v>
      </c>
      <c r="E125" s="142" t="s">
        <v>865</v>
      </c>
      <c r="F125" s="142">
        <f>$M$4*$F$8</f>
        <v>7.2916666666666659E-4</v>
      </c>
      <c r="G125" s="142">
        <f>D125*F125</f>
        <v>1.19</v>
      </c>
      <c r="H125" s="142">
        <v>86400</v>
      </c>
      <c r="I125" s="142">
        <f>G125*H125/1000000</f>
        <v>0.102816</v>
      </c>
    </row>
    <row r="126" spans="2:12">
      <c r="B126" s="585"/>
      <c r="C126" s="585"/>
      <c r="D126" s="585"/>
      <c r="E126" s="585"/>
      <c r="F126" s="585"/>
      <c r="G126" s="585"/>
      <c r="H126" s="146" t="s">
        <v>902</v>
      </c>
      <c r="I126" s="146">
        <f>SUM(I121:I125)</f>
        <v>0.20700217502335722</v>
      </c>
      <c r="J126" s="17">
        <f>I126*1000000/86400</f>
        <v>2.3958585072147827</v>
      </c>
      <c r="K126">
        <f>J126/8</f>
        <v>0.29948231340184783</v>
      </c>
    </row>
    <row r="127" spans="2:12">
      <c r="B127" s="3"/>
      <c r="C127" s="3"/>
      <c r="D127" s="3"/>
      <c r="E127" s="3"/>
      <c r="F127" s="3"/>
      <c r="G127" s="3"/>
      <c r="I127" s="17"/>
      <c r="J127" s="3" t="s">
        <v>0</v>
      </c>
      <c r="K127" s="3" t="s">
        <v>1017</v>
      </c>
    </row>
    <row r="128" spans="2:12" ht="18.75">
      <c r="B128" s="581" t="s">
        <v>914</v>
      </c>
      <c r="C128" s="581"/>
      <c r="D128" s="581"/>
      <c r="E128" s="581"/>
      <c r="F128" s="581"/>
      <c r="G128" s="581"/>
      <c r="H128" s="581"/>
      <c r="I128" s="581"/>
      <c r="J128" s="150"/>
    </row>
    <row r="129" spans="2:12">
      <c r="B129" s="144"/>
      <c r="C129" s="145" t="s">
        <v>850</v>
      </c>
      <c r="D129" s="145" t="s">
        <v>892</v>
      </c>
      <c r="E129" s="145" t="s">
        <v>893</v>
      </c>
      <c r="F129" s="145" t="s">
        <v>894</v>
      </c>
      <c r="G129" s="145" t="s">
        <v>895</v>
      </c>
      <c r="H129" s="145" t="s">
        <v>896</v>
      </c>
      <c r="I129" s="145" t="s">
        <v>897</v>
      </c>
      <c r="J129" s="29"/>
    </row>
    <row r="130" spans="2:12">
      <c r="B130" s="142" t="s">
        <v>898</v>
      </c>
      <c r="C130" s="142" t="s">
        <v>860</v>
      </c>
      <c r="D130" s="142">
        <f>$E$3</f>
        <v>600</v>
      </c>
      <c r="E130" s="142" t="s">
        <v>878</v>
      </c>
      <c r="F130" s="142">
        <f>$I$9*$F$3</f>
        <v>2.7777777777777778E-4</v>
      </c>
      <c r="G130" s="142">
        <f>D130*F130</f>
        <v>0.16666666666666666</v>
      </c>
      <c r="H130" s="142">
        <v>86400</v>
      </c>
      <c r="I130" s="142">
        <f>G130*H130/1000000</f>
        <v>1.44E-2</v>
      </c>
    </row>
    <row r="131" spans="2:12">
      <c r="B131" s="142" t="s">
        <v>899</v>
      </c>
      <c r="C131" s="142" t="s">
        <v>867</v>
      </c>
      <c r="D131" s="142">
        <f>$E$5</f>
        <v>280</v>
      </c>
      <c r="E131" s="151" t="s">
        <v>868</v>
      </c>
      <c r="F131" s="142">
        <f>$M$5*$F$5</f>
        <v>1.4814814814814814E-3</v>
      </c>
      <c r="G131" s="142">
        <f>D131*F131</f>
        <v>0.4148148148148148</v>
      </c>
      <c r="H131" s="142">
        <v>86400</v>
      </c>
      <c r="I131" s="142">
        <f>G131*H131/1000000</f>
        <v>3.5839999999999997E-2</v>
      </c>
    </row>
    <row r="132" spans="2:12">
      <c r="B132" s="142" t="s">
        <v>869</v>
      </c>
      <c r="C132" s="142" t="s">
        <v>870</v>
      </c>
      <c r="D132" s="142">
        <f>$E$6</f>
        <v>696</v>
      </c>
      <c r="E132" s="142" t="s">
        <v>878</v>
      </c>
      <c r="F132" s="142">
        <f>$M$9*$F$6</f>
        <v>2.7412280701754384E-4</v>
      </c>
      <c r="G132" s="142">
        <f>D132*F132</f>
        <v>0.19078947368421051</v>
      </c>
      <c r="H132" s="142">
        <v>86400</v>
      </c>
      <c r="I132" s="142">
        <f>G132*H132/1000000</f>
        <v>1.6484210526315785E-2</v>
      </c>
    </row>
    <row r="133" spans="2:12">
      <c r="B133" s="142" t="s">
        <v>872</v>
      </c>
      <c r="C133" s="142" t="s">
        <v>873</v>
      </c>
      <c r="D133" s="142">
        <f>$E$7</f>
        <v>1728</v>
      </c>
      <c r="E133" s="142" t="s">
        <v>865</v>
      </c>
      <c r="F133" s="142">
        <f>$M$4*$F$7</f>
        <v>1.1574074074074073E-5</v>
      </c>
      <c r="G133" s="142">
        <f>D133*F133</f>
        <v>0.02</v>
      </c>
      <c r="H133" s="142">
        <v>86400</v>
      </c>
      <c r="I133" s="142">
        <f>G133*H133/1000000</f>
        <v>1.7279999999999999E-3</v>
      </c>
    </row>
    <row r="134" spans="2:12">
      <c r="B134" s="142" t="s">
        <v>875</v>
      </c>
      <c r="C134" s="142" t="s">
        <v>876</v>
      </c>
      <c r="D134" s="142">
        <f>$E$8</f>
        <v>1632</v>
      </c>
      <c r="E134" s="142" t="s">
        <v>865</v>
      </c>
      <c r="F134" s="142">
        <f>$M$4*$F$8</f>
        <v>7.2916666666666659E-4</v>
      </c>
      <c r="G134" s="142">
        <f>D134*F134</f>
        <v>1.19</v>
      </c>
      <c r="H134" s="142">
        <v>86400</v>
      </c>
      <c r="I134" s="142">
        <f>G134*H134/1000000</f>
        <v>0.102816</v>
      </c>
    </row>
    <row r="135" spans="2:12">
      <c r="B135" s="585"/>
      <c r="C135" s="585"/>
      <c r="D135" s="585"/>
      <c r="E135" s="585"/>
      <c r="F135" s="585"/>
      <c r="G135" s="585"/>
      <c r="H135" s="146" t="s">
        <v>902</v>
      </c>
      <c r="I135" s="146">
        <f>SUM(I130:I134)</f>
        <v>0.17126821052631577</v>
      </c>
      <c r="J135" s="17">
        <f>I135*1000000/86400</f>
        <v>1.9822709551656921</v>
      </c>
      <c r="K135">
        <f>J135/8</f>
        <v>0.24778386939571151</v>
      </c>
    </row>
    <row r="136" spans="2:12" ht="15" customHeight="1">
      <c r="J136" s="3" t="s">
        <v>0</v>
      </c>
      <c r="K136" s="3" t="s">
        <v>1017</v>
      </c>
    </row>
    <row r="137" spans="2:12" ht="18.75">
      <c r="B137" s="581" t="s">
        <v>915</v>
      </c>
      <c r="C137" s="581"/>
      <c r="D137" s="581"/>
      <c r="E137" s="581"/>
      <c r="F137" s="581"/>
      <c r="G137" s="581"/>
      <c r="H137" s="581"/>
      <c r="I137" s="581"/>
      <c r="J137" s="150"/>
    </row>
    <row r="138" spans="2:12">
      <c r="B138" s="144"/>
      <c r="C138" s="145" t="s">
        <v>850</v>
      </c>
      <c r="D138" s="145" t="s">
        <v>892</v>
      </c>
      <c r="E138" s="145" t="s">
        <v>893</v>
      </c>
      <c r="F138" s="145" t="s">
        <v>894</v>
      </c>
      <c r="G138" s="145" t="s">
        <v>895</v>
      </c>
      <c r="H138" s="145" t="s">
        <v>896</v>
      </c>
      <c r="I138" s="145" t="s">
        <v>897</v>
      </c>
      <c r="J138" s="29"/>
    </row>
    <row r="139" spans="2:12" ht="15.75">
      <c r="B139" s="142" t="s">
        <v>898</v>
      </c>
      <c r="C139" s="142" t="s">
        <v>860</v>
      </c>
      <c r="D139" s="142">
        <f>$E$3</f>
        <v>600</v>
      </c>
      <c r="E139" s="142" t="s">
        <v>878</v>
      </c>
      <c r="F139" s="142">
        <f>$I$9*$F$3</f>
        <v>2.7777777777777778E-4</v>
      </c>
      <c r="G139" s="142">
        <f>D139*F139</f>
        <v>0.16666666666666666</v>
      </c>
      <c r="H139" s="142">
        <v>86400</v>
      </c>
      <c r="I139" s="142">
        <f>G139*H139/1000000</f>
        <v>1.44E-2</v>
      </c>
      <c r="K139" s="148">
        <f>(I144-I139)*1000000/(8*86400)</f>
        <v>0.20102461013645223</v>
      </c>
      <c r="L139" s="148" t="str">
        <f>"&lt;=no HK, byte/s"</f>
        <v>&lt;=no HK, byte/s</v>
      </c>
    </row>
    <row r="140" spans="2:12">
      <c r="B140" s="142" t="s">
        <v>899</v>
      </c>
      <c r="C140" s="142" t="s">
        <v>867</v>
      </c>
      <c r="D140" s="142">
        <f>$E$5</f>
        <v>280</v>
      </c>
      <c r="E140" s="151" t="s">
        <v>865</v>
      </c>
      <c r="F140" s="142">
        <f>$M$4*$F$5</f>
        <v>7.407407407407407E-4</v>
      </c>
      <c r="G140" s="142">
        <f>D140*F140</f>
        <v>0.2074074074074074</v>
      </c>
      <c r="H140" s="142">
        <v>86400</v>
      </c>
      <c r="I140" s="142">
        <f>G140*H140/1000000</f>
        <v>1.7919999999999998E-2</v>
      </c>
    </row>
    <row r="141" spans="2:12">
      <c r="B141" s="142" t="s">
        <v>869</v>
      </c>
      <c r="C141" s="142" t="s">
        <v>870</v>
      </c>
      <c r="D141" s="142">
        <f>$E$6</f>
        <v>696</v>
      </c>
      <c r="E141" s="142" t="s">
        <v>878</v>
      </c>
      <c r="F141" s="142">
        <f>$M$9*$F$6</f>
        <v>2.7412280701754384E-4</v>
      </c>
      <c r="G141" s="142">
        <f>D141*F141</f>
        <v>0.19078947368421051</v>
      </c>
      <c r="H141" s="142">
        <v>86400</v>
      </c>
      <c r="I141" s="142">
        <f>G141*H141/1000000</f>
        <v>1.6484210526315785E-2</v>
      </c>
    </row>
    <row r="142" spans="2:12">
      <c r="B142" s="142" t="s">
        <v>872</v>
      </c>
      <c r="C142" s="142" t="s">
        <v>873</v>
      </c>
      <c r="D142" s="142">
        <f>$E$7</f>
        <v>1728</v>
      </c>
      <c r="E142" s="142" t="s">
        <v>865</v>
      </c>
      <c r="F142" s="142">
        <f>$M$4*$F$7</f>
        <v>1.1574074074074073E-5</v>
      </c>
      <c r="G142" s="142">
        <f>D142*F142</f>
        <v>0.02</v>
      </c>
      <c r="H142" s="142">
        <v>86400</v>
      </c>
      <c r="I142" s="142">
        <f>G142*H142/1000000</f>
        <v>1.7279999999999999E-3</v>
      </c>
    </row>
    <row r="143" spans="2:12">
      <c r="B143" s="142" t="s">
        <v>875</v>
      </c>
      <c r="C143" s="142" t="s">
        <v>876</v>
      </c>
      <c r="D143" s="142">
        <f>$E$8</f>
        <v>1632</v>
      </c>
      <c r="E143" s="142" t="s">
        <v>865</v>
      </c>
      <c r="F143" s="142">
        <f>$M$4*$F$8</f>
        <v>7.2916666666666659E-4</v>
      </c>
      <c r="G143" s="142">
        <f>D143*F143</f>
        <v>1.19</v>
      </c>
      <c r="H143" s="142">
        <v>86400</v>
      </c>
      <c r="I143" s="142">
        <f>G143*H143/1000000</f>
        <v>0.102816</v>
      </c>
    </row>
    <row r="144" spans="2:12">
      <c r="B144" s="582"/>
      <c r="C144" s="582"/>
      <c r="D144" s="582"/>
      <c r="E144" s="582"/>
      <c r="F144" s="582"/>
      <c r="G144" s="582"/>
      <c r="H144" s="146" t="s">
        <v>902</v>
      </c>
      <c r="I144" s="146">
        <f>SUM(I139:I143)</f>
        <v>0.15334821052631578</v>
      </c>
      <c r="J144" s="17">
        <f>I144*1000000/86400</f>
        <v>1.7748635477582846</v>
      </c>
      <c r="K144">
        <f>J144/8</f>
        <v>0.22185794346978557</v>
      </c>
    </row>
    <row r="145" spans="2:13">
      <c r="B145" s="3"/>
      <c r="C145" s="3"/>
      <c r="D145" s="3"/>
      <c r="E145" s="3"/>
      <c r="F145" s="3"/>
      <c r="G145" s="3"/>
      <c r="I145" s="17"/>
      <c r="J145" s="3" t="s">
        <v>0</v>
      </c>
      <c r="K145" s="3" t="s">
        <v>1017</v>
      </c>
    </row>
    <row r="146" spans="2:13">
      <c r="B146" s="3"/>
      <c r="C146" s="3"/>
      <c r="D146" s="3"/>
      <c r="E146" s="3"/>
      <c r="F146" s="3"/>
      <c r="G146" s="3"/>
      <c r="I146" s="17"/>
      <c r="J146" s="17"/>
    </row>
    <row r="147" spans="2:13">
      <c r="B147" s="3"/>
      <c r="C147" s="3"/>
      <c r="D147" s="3"/>
      <c r="E147" s="3"/>
      <c r="F147" s="3"/>
      <c r="G147" s="3"/>
      <c r="I147" s="17"/>
      <c r="J147" s="17"/>
    </row>
    <row r="148" spans="2:13">
      <c r="B148" s="3"/>
      <c r="C148" s="3"/>
      <c r="D148" s="3"/>
      <c r="E148" s="3"/>
      <c r="F148" s="3"/>
      <c r="G148" s="3"/>
      <c r="I148" s="17"/>
      <c r="J148" s="17"/>
    </row>
    <row r="149" spans="2:13" ht="18.75" customHeight="1">
      <c r="B149" s="583" t="s">
        <v>916</v>
      </c>
      <c r="C149" s="583"/>
      <c r="D149" s="583"/>
      <c r="E149" s="583"/>
      <c r="F149" s="583"/>
      <c r="G149" s="583"/>
      <c r="H149" s="583"/>
      <c r="I149" s="583"/>
      <c r="J149" s="584" t="s">
        <v>917</v>
      </c>
      <c r="K149" s="584"/>
      <c r="L149" s="584"/>
      <c r="M149" s="584"/>
    </row>
    <row r="150" spans="2:13">
      <c r="B150" s="144"/>
      <c r="C150" s="145" t="s">
        <v>850</v>
      </c>
      <c r="D150" s="145" t="s">
        <v>892</v>
      </c>
      <c r="E150" s="145" t="s">
        <v>893</v>
      </c>
      <c r="F150" s="145" t="s">
        <v>894</v>
      </c>
      <c r="G150" s="145" t="s">
        <v>895</v>
      </c>
      <c r="H150" s="145" t="s">
        <v>896</v>
      </c>
      <c r="I150" s="145" t="s">
        <v>897</v>
      </c>
      <c r="J150" s="29"/>
    </row>
    <row r="151" spans="2:13" ht="15.75">
      <c r="B151" s="142" t="s">
        <v>898</v>
      </c>
      <c r="C151" s="142" t="s">
        <v>860</v>
      </c>
      <c r="D151" s="142">
        <f>$E$3</f>
        <v>600</v>
      </c>
      <c r="E151" s="142" t="s">
        <v>890</v>
      </c>
      <c r="F151" s="142">
        <f>$I$21*$F$3</f>
        <v>1</v>
      </c>
      <c r="G151" s="142">
        <f>D151*F151</f>
        <v>600</v>
      </c>
      <c r="H151" s="142">
        <v>7200</v>
      </c>
      <c r="I151" s="142">
        <f>G151*H151/1000000</f>
        <v>4.32</v>
      </c>
      <c r="K151" s="148">
        <f>(I156-I151)*1000000/(8*86400)</f>
        <v>2.9383680555555554</v>
      </c>
      <c r="L151" s="148" t="str">
        <f>"&lt;=no HK, byte/s"</f>
        <v>&lt;=no HK, byte/s</v>
      </c>
    </row>
    <row r="152" spans="2:13">
      <c r="B152" s="142" t="s">
        <v>899</v>
      </c>
      <c r="C152" s="142" t="s">
        <v>867</v>
      </c>
      <c r="D152" s="142">
        <f>$E$5</f>
        <v>280</v>
      </c>
      <c r="E152" s="142" t="s">
        <v>884</v>
      </c>
      <c r="F152" s="142">
        <f>$M$15*$F$5</f>
        <v>1</v>
      </c>
      <c r="G152" s="142">
        <f>D152*F152</f>
        <v>280</v>
      </c>
      <c r="H152" s="142">
        <v>7200</v>
      </c>
      <c r="I152" s="142">
        <f>G152*H152/1000000</f>
        <v>2.016</v>
      </c>
    </row>
    <row r="153" spans="2:13">
      <c r="B153" s="142" t="s">
        <v>869</v>
      </c>
      <c r="C153" s="142" t="s">
        <v>870</v>
      </c>
      <c r="D153" s="142">
        <f>$E$6</f>
        <v>696</v>
      </c>
      <c r="E153" s="142" t="s">
        <v>861</v>
      </c>
      <c r="F153" s="142">
        <f>$M$3*$F$6</f>
        <v>0</v>
      </c>
      <c r="G153" s="142">
        <f>D153*F153</f>
        <v>0</v>
      </c>
      <c r="H153" s="142">
        <v>0</v>
      </c>
      <c r="I153" s="142">
        <f>G153*H153/1000000</f>
        <v>0</v>
      </c>
    </row>
    <row r="154" spans="2:13">
      <c r="B154" s="142" t="s">
        <v>872</v>
      </c>
      <c r="C154" s="142" t="s">
        <v>873</v>
      </c>
      <c r="D154" s="142">
        <f>$E$7</f>
        <v>1728</v>
      </c>
      <c r="E154" s="142" t="s">
        <v>861</v>
      </c>
      <c r="F154" s="142">
        <v>0</v>
      </c>
      <c r="G154" s="142">
        <f>D154*F154</f>
        <v>0</v>
      </c>
      <c r="H154" s="142">
        <v>0</v>
      </c>
      <c r="I154" s="142">
        <f>G154*H154/1000000</f>
        <v>0</v>
      </c>
    </row>
    <row r="155" spans="2:13">
      <c r="B155" s="142" t="s">
        <v>875</v>
      </c>
      <c r="C155" s="142" t="s">
        <v>876</v>
      </c>
      <c r="D155" s="142">
        <f>$E$8</f>
        <v>1632</v>
      </c>
      <c r="E155" s="142" t="s">
        <v>861</v>
      </c>
      <c r="F155" s="142">
        <v>0</v>
      </c>
      <c r="G155" s="142">
        <f>D155*F155</f>
        <v>0</v>
      </c>
      <c r="H155" s="142">
        <v>0</v>
      </c>
      <c r="I155" s="142">
        <f>G155*H155/1000000</f>
        <v>0</v>
      </c>
    </row>
    <row r="156" spans="2:13">
      <c r="B156" s="585"/>
      <c r="C156" s="585"/>
      <c r="D156" s="585"/>
      <c r="E156" s="585"/>
      <c r="F156" s="585"/>
      <c r="G156" s="585"/>
      <c r="H156" s="146" t="s">
        <v>902</v>
      </c>
      <c r="I156" s="146">
        <f>SUM(I151:I155)+(15000/1000000)</f>
        <v>6.351</v>
      </c>
      <c r="J156" s="17"/>
    </row>
    <row r="162" spans="2:7" ht="72" customHeight="1">
      <c r="B162" s="578" t="s">
        <v>918</v>
      </c>
      <c r="C162" s="152" t="s">
        <v>919</v>
      </c>
      <c r="D162" s="153" t="s">
        <v>920</v>
      </c>
      <c r="E162" s="579" t="s">
        <v>921</v>
      </c>
      <c r="F162" s="579"/>
      <c r="G162" s="579"/>
    </row>
    <row r="163" spans="2:7" ht="78.75" customHeight="1">
      <c r="B163" s="578"/>
      <c r="C163" s="1" t="s">
        <v>922</v>
      </c>
      <c r="D163" s="153" t="s">
        <v>923</v>
      </c>
    </row>
    <row r="164" spans="2:7" ht="18">
      <c r="B164" s="154" t="s">
        <v>861</v>
      </c>
      <c r="C164" s="155">
        <v>0</v>
      </c>
      <c r="D164" s="156">
        <f t="shared" ref="D164:D176" si="3">C164*365.25/1000</f>
        <v>0</v>
      </c>
    </row>
    <row r="165" spans="2:7" ht="18">
      <c r="B165" s="154" t="s">
        <v>865</v>
      </c>
      <c r="C165" s="157">
        <f>$I$144</f>
        <v>0.15334821052631578</v>
      </c>
      <c r="D165" s="158">
        <f t="shared" si="3"/>
        <v>5.6010433894736839E-2</v>
      </c>
    </row>
    <row r="166" spans="2:7" ht="18">
      <c r="B166" s="154" t="s">
        <v>868</v>
      </c>
      <c r="C166" s="157">
        <f>$I$135</f>
        <v>0.17126821052631577</v>
      </c>
      <c r="D166" s="158">
        <f t="shared" si="3"/>
        <v>6.2555713894736839E-2</v>
      </c>
    </row>
    <row r="167" spans="2:7" ht="18">
      <c r="B167" s="154" t="s">
        <v>871</v>
      </c>
      <c r="C167" s="157">
        <f>$I$126</f>
        <v>0.20700217502335722</v>
      </c>
      <c r="D167" s="158">
        <f t="shared" si="3"/>
        <v>7.5607544427281223E-2</v>
      </c>
    </row>
    <row r="168" spans="2:7" ht="18">
      <c r="B168" s="154" t="s">
        <v>874</v>
      </c>
      <c r="C168" s="157">
        <f>$I$117</f>
        <v>0.27857613952039867</v>
      </c>
      <c r="D168" s="158">
        <f t="shared" si="3"/>
        <v>0.10174993495982561</v>
      </c>
    </row>
    <row r="169" spans="2:7" ht="18">
      <c r="B169" s="154" t="s">
        <v>877</v>
      </c>
      <c r="C169" s="157">
        <f>$I$108</f>
        <v>0.34951670610153701</v>
      </c>
      <c r="D169" s="158">
        <f t="shared" si="3"/>
        <v>0.12766097690358638</v>
      </c>
    </row>
    <row r="170" spans="2:7" ht="18">
      <c r="B170" s="154" t="s">
        <v>878</v>
      </c>
      <c r="C170" s="157">
        <f>$I$99</f>
        <v>0.55984926315789463</v>
      </c>
      <c r="D170" s="158">
        <f t="shared" si="3"/>
        <v>0.20448494336842099</v>
      </c>
    </row>
    <row r="171" spans="2:7" ht="18">
      <c r="B171" s="154" t="s">
        <v>879</v>
      </c>
      <c r="C171" s="157">
        <f>$I$90</f>
        <v>0.9696351070780399</v>
      </c>
      <c r="D171" s="158">
        <f t="shared" si="3"/>
        <v>0.35415922286025409</v>
      </c>
    </row>
    <row r="172" spans="2:7" ht="18">
      <c r="B172" s="154" t="s">
        <v>880</v>
      </c>
      <c r="C172" s="157">
        <f>$I$81</f>
        <v>1.3450282105263158</v>
      </c>
      <c r="D172" s="158">
        <f t="shared" si="3"/>
        <v>0.49127155389473687</v>
      </c>
    </row>
    <row r="173" spans="2:7" ht="18">
      <c r="B173" s="154" t="s">
        <v>881</v>
      </c>
      <c r="C173" s="157">
        <f>$I$72</f>
        <v>2.5546282105263156</v>
      </c>
      <c r="D173" s="158">
        <f t="shared" si="3"/>
        <v>0.9330779538947368</v>
      </c>
    </row>
    <row r="174" spans="2:7" ht="18">
      <c r="B174" s="154" t="s">
        <v>882</v>
      </c>
      <c r="C174" s="157">
        <f>$I$63</f>
        <v>4.9738282105263156</v>
      </c>
      <c r="D174" s="158">
        <f t="shared" si="3"/>
        <v>1.8166907538947368</v>
      </c>
    </row>
    <row r="175" spans="2:7" ht="18">
      <c r="B175" s="154" t="s">
        <v>883</v>
      </c>
      <c r="C175" s="157">
        <f>$I$54</f>
        <v>12.231428210526317</v>
      </c>
      <c r="D175" s="158">
        <f t="shared" si="3"/>
        <v>4.4675291538947377</v>
      </c>
    </row>
    <row r="176" spans="2:7" ht="18">
      <c r="B176" s="154" t="s">
        <v>884</v>
      </c>
      <c r="C176" s="157">
        <f>$I$45</f>
        <v>24.327428210526314</v>
      </c>
      <c r="D176" s="158">
        <f t="shared" si="3"/>
        <v>8.885593153894737</v>
      </c>
    </row>
    <row r="179" spans="2:11" ht="32.25" customHeight="1">
      <c r="B179" s="578" t="s">
        <v>918</v>
      </c>
      <c r="C179" s="152" t="s">
        <v>919</v>
      </c>
      <c r="D179" s="153" t="s">
        <v>920</v>
      </c>
    </row>
    <row r="180" spans="2:11" ht="36">
      <c r="B180" s="578"/>
      <c r="C180" s="1" t="s">
        <v>924</v>
      </c>
      <c r="D180" s="153" t="s">
        <v>925</v>
      </c>
    </row>
    <row r="181" spans="2:11" ht="36">
      <c r="B181" s="154" t="s">
        <v>926</v>
      </c>
      <c r="C181" s="159">
        <f>$I$32</f>
        <v>24.222884210526313</v>
      </c>
      <c r="D181" s="159">
        <f>C181*365.25/1000</f>
        <v>8.847408457894737</v>
      </c>
    </row>
    <row r="189" spans="2:11" ht="21" customHeight="1">
      <c r="B189" s="580" t="s">
        <v>927</v>
      </c>
      <c r="C189" s="580"/>
      <c r="D189" s="580"/>
      <c r="E189" s="580"/>
      <c r="F189" s="580"/>
      <c r="G189" s="580"/>
      <c r="H189" s="580"/>
      <c r="I189" s="160"/>
      <c r="J189" s="160"/>
      <c r="K189" s="160"/>
    </row>
    <row r="190" spans="2:11" ht="15.75" customHeight="1"/>
    <row r="191" spans="2:11" ht="15.75">
      <c r="B191" s="161"/>
      <c r="C191" s="162" t="s">
        <v>893</v>
      </c>
      <c r="D191" s="163" t="s">
        <v>928</v>
      </c>
      <c r="F191" s="161"/>
      <c r="G191" s="162" t="s">
        <v>893</v>
      </c>
      <c r="H191" s="163" t="s">
        <v>928</v>
      </c>
    </row>
    <row r="192" spans="2:11" ht="15.75">
      <c r="B192" s="164"/>
      <c r="C192" s="165" t="s">
        <v>884</v>
      </c>
      <c r="D192" s="166">
        <f>$C$176</f>
        <v>24.327428210526314</v>
      </c>
      <c r="F192" s="164"/>
      <c r="G192" s="165" t="s">
        <v>884</v>
      </c>
      <c r="H192" s="166">
        <f>$C$176</f>
        <v>24.327428210526314</v>
      </c>
    </row>
    <row r="193" spans="1:8" ht="15.75">
      <c r="B193" s="164"/>
      <c r="C193" s="165" t="s">
        <v>883</v>
      </c>
      <c r="D193" s="166">
        <f>$C$175</f>
        <v>12.231428210526317</v>
      </c>
      <c r="F193" s="164"/>
      <c r="G193" s="165" t="s">
        <v>883</v>
      </c>
      <c r="H193" s="166">
        <f>$C$175</f>
        <v>12.231428210526317</v>
      </c>
    </row>
    <row r="194" spans="1:8" ht="15.75">
      <c r="B194" s="164"/>
      <c r="C194" s="165" t="s">
        <v>882</v>
      </c>
      <c r="D194" s="166">
        <f>$C$174</f>
        <v>4.9738282105263156</v>
      </c>
      <c r="F194" s="164"/>
      <c r="G194" s="165" t="s">
        <v>882</v>
      </c>
      <c r="H194" s="166">
        <f>$C$174</f>
        <v>4.9738282105263156</v>
      </c>
    </row>
    <row r="195" spans="1:8" ht="15.75">
      <c r="B195" s="164"/>
      <c r="C195" s="165" t="s">
        <v>881</v>
      </c>
      <c r="D195" s="166">
        <f>$C$173</f>
        <v>2.5546282105263156</v>
      </c>
      <c r="F195" s="164"/>
      <c r="G195" s="165" t="s">
        <v>881</v>
      </c>
      <c r="H195" s="166">
        <f>$C$173</f>
        <v>2.5546282105263156</v>
      </c>
    </row>
    <row r="196" spans="1:8" ht="15.75">
      <c r="B196" s="164"/>
      <c r="C196" s="165"/>
      <c r="D196" s="166"/>
      <c r="F196" s="164"/>
      <c r="G196" s="165"/>
      <c r="H196" s="167"/>
    </row>
    <row r="197" spans="1:8" ht="15.75">
      <c r="A197" s="168"/>
      <c r="B197" s="577" t="s">
        <v>929</v>
      </c>
      <c r="C197" s="577"/>
      <c r="D197" s="577"/>
      <c r="F197" s="577" t="s">
        <v>929</v>
      </c>
      <c r="G197" s="577"/>
      <c r="H197" s="577"/>
    </row>
    <row r="198" spans="1:8" ht="15.75">
      <c r="B198" s="164" t="s">
        <v>930</v>
      </c>
      <c r="C198" s="165" t="s">
        <v>848</v>
      </c>
      <c r="D198" s="167" t="s">
        <v>931</v>
      </c>
      <c r="F198" s="164" t="s">
        <v>930</v>
      </c>
      <c r="G198" s="165" t="s">
        <v>848</v>
      </c>
      <c r="H198" s="167" t="s">
        <v>931</v>
      </c>
    </row>
    <row r="199" spans="1:8" ht="15.75">
      <c r="B199" s="164" t="s">
        <v>932</v>
      </c>
      <c r="C199" s="165">
        <v>48</v>
      </c>
      <c r="D199" s="169">
        <f>C199*D193</f>
        <v>587.10855410526324</v>
      </c>
      <c r="F199" s="164" t="s">
        <v>933</v>
      </c>
      <c r="G199" s="165">
        <v>5</v>
      </c>
      <c r="H199" s="169">
        <f>G199*H193</f>
        <v>61.157141052631587</v>
      </c>
    </row>
    <row r="200" spans="1:8" ht="15.75">
      <c r="B200" s="164" t="s">
        <v>934</v>
      </c>
      <c r="C200" s="165">
        <f>365-C199</f>
        <v>317</v>
      </c>
      <c r="D200" s="169">
        <f>C200*D194</f>
        <v>1576.7035427368421</v>
      </c>
      <c r="F200" s="164" t="s">
        <v>932</v>
      </c>
      <c r="G200" s="165">
        <v>122</v>
      </c>
      <c r="H200" s="169">
        <f>G200*H193</f>
        <v>1492.2342416842107</v>
      </c>
    </row>
    <row r="201" spans="1:8" ht="15.75">
      <c r="B201" s="164"/>
      <c r="C201" s="165">
        <f>SUM(C199:C200)</f>
        <v>365</v>
      </c>
      <c r="D201" s="170">
        <f>SUM(D199:D200)</f>
        <v>2163.8120968421053</v>
      </c>
      <c r="F201" s="164" t="s">
        <v>935</v>
      </c>
      <c r="G201" s="165">
        <f>365-(G199+G200)</f>
        <v>238</v>
      </c>
      <c r="H201" s="169">
        <f>H195*G201</f>
        <v>608.00151410526314</v>
      </c>
    </row>
    <row r="202" spans="1:8" ht="15.75">
      <c r="B202" s="164"/>
      <c r="C202" s="165"/>
      <c r="D202" s="167"/>
      <c r="F202" s="164"/>
      <c r="G202" s="165">
        <f>SUM(G199:G201)</f>
        <v>365</v>
      </c>
      <c r="H202" s="170">
        <f>SUM(H199:H201)</f>
        <v>2161.3928968421055</v>
      </c>
    </row>
    <row r="203" spans="1:8" ht="15.75">
      <c r="B203" s="164"/>
      <c r="C203" s="165"/>
      <c r="D203" s="167"/>
      <c r="F203" s="164"/>
      <c r="G203" s="165"/>
      <c r="H203" s="167"/>
    </row>
    <row r="204" spans="1:8" ht="15.75">
      <c r="B204" s="577" t="s">
        <v>936</v>
      </c>
      <c r="C204" s="577"/>
      <c r="D204" s="577"/>
      <c r="F204" s="577" t="s">
        <v>936</v>
      </c>
      <c r="G204" s="577"/>
      <c r="H204" s="577"/>
    </row>
    <row r="205" spans="1:8" ht="15.75">
      <c r="B205" s="164" t="s">
        <v>930</v>
      </c>
      <c r="C205" s="165" t="s">
        <v>848</v>
      </c>
      <c r="D205" s="167" t="s">
        <v>931</v>
      </c>
      <c r="F205" s="164" t="s">
        <v>930</v>
      </c>
      <c r="G205" s="165" t="s">
        <v>848</v>
      </c>
      <c r="H205" s="167" t="s">
        <v>931</v>
      </c>
    </row>
    <row r="206" spans="1:8" ht="15.75">
      <c r="B206" s="164" t="s">
        <v>934</v>
      </c>
      <c r="C206" s="165">
        <v>260</v>
      </c>
      <c r="D206" s="169">
        <f>C206*D194</f>
        <v>1293.1953347368421</v>
      </c>
      <c r="F206" s="164" t="s">
        <v>932</v>
      </c>
      <c r="G206" s="165">
        <v>40</v>
      </c>
      <c r="H206" s="169">
        <f>G206*H193</f>
        <v>489.2571284210527</v>
      </c>
    </row>
    <row r="207" spans="1:8" ht="15.75">
      <c r="B207" s="164"/>
      <c r="C207" s="165"/>
      <c r="D207" s="169"/>
      <c r="F207" s="164" t="s">
        <v>934</v>
      </c>
      <c r="G207" s="165">
        <v>100</v>
      </c>
      <c r="H207" s="169">
        <f>G207*H194</f>
        <v>497.38282105263158</v>
      </c>
    </row>
    <row r="208" spans="1:8" ht="15.75">
      <c r="B208" s="164" t="s">
        <v>935</v>
      </c>
      <c r="C208" s="165">
        <f>365-C206</f>
        <v>105</v>
      </c>
      <c r="D208" s="169">
        <f>C208*D195</f>
        <v>268.23596210526313</v>
      </c>
      <c r="F208" s="164" t="s">
        <v>935</v>
      </c>
      <c r="G208" s="165">
        <f>365-(G206+G207)</f>
        <v>225</v>
      </c>
      <c r="H208" s="169">
        <f>G208*D195</f>
        <v>574.79134736842104</v>
      </c>
    </row>
    <row r="209" spans="2:8" ht="15.75">
      <c r="B209" s="171"/>
      <c r="C209" s="172">
        <f>SUM(C206:C208)</f>
        <v>365</v>
      </c>
      <c r="D209" s="173">
        <f>SUM(D206:D208)</f>
        <v>1561.4312968421052</v>
      </c>
      <c r="F209" s="171"/>
      <c r="G209" s="172">
        <f>SUM(H206:H208)</f>
        <v>1561.4312968421054</v>
      </c>
      <c r="H209" s="173">
        <f>SUM(H206:H208)</f>
        <v>1561.4312968421054</v>
      </c>
    </row>
  </sheetData>
  <mergeCells count="38">
    <mergeCell ref="B25:I25"/>
    <mergeCell ref="J30:N31"/>
    <mergeCell ref="B32:G32"/>
    <mergeCell ref="B38:I38"/>
    <mergeCell ref="J43:N44"/>
    <mergeCell ref="B45:G45"/>
    <mergeCell ref="B47:I47"/>
    <mergeCell ref="B54:G54"/>
    <mergeCell ref="B56:I56"/>
    <mergeCell ref="B63:G63"/>
    <mergeCell ref="B65:I65"/>
    <mergeCell ref="B72:G72"/>
    <mergeCell ref="B74:I74"/>
    <mergeCell ref="B81:G81"/>
    <mergeCell ref="B83:I83"/>
    <mergeCell ref="B92:I92"/>
    <mergeCell ref="B99:G99"/>
    <mergeCell ref="B101:I101"/>
    <mergeCell ref="B108:G108"/>
    <mergeCell ref="B110:I110"/>
    <mergeCell ref="B117:G117"/>
    <mergeCell ref="B119:I119"/>
    <mergeCell ref="B126:G126"/>
    <mergeCell ref="B128:I128"/>
    <mergeCell ref="B135:G135"/>
    <mergeCell ref="B137:I137"/>
    <mergeCell ref="B144:G144"/>
    <mergeCell ref="B149:I149"/>
    <mergeCell ref="J149:M149"/>
    <mergeCell ref="B156:G156"/>
    <mergeCell ref="B204:D204"/>
    <mergeCell ref="F204:H204"/>
    <mergeCell ref="B162:B163"/>
    <mergeCell ref="E162:G162"/>
    <mergeCell ref="B179:B180"/>
    <mergeCell ref="B189:H189"/>
    <mergeCell ref="B197:D197"/>
    <mergeCell ref="F197:H197"/>
  </mergeCells>
  <conditionalFormatting sqref="M3:M15">
    <cfRule type="expression" dxfId="2" priority="2">
      <formula>M3=I3</formula>
    </cfRule>
    <cfRule type="expression" dxfId="1" priority="3">
      <formula>M3&lt;&gt;I3</formula>
    </cfRule>
  </conditionalFormatting>
  <conditionalFormatting sqref="T4:Z22">
    <cfRule type="expression" dxfId="0" priority="1">
      <formula>ISNA(T4)</formula>
    </cfRule>
  </conditionalFormatting>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drawing r:id="rId1"/>
  <tableParts count="3">
    <tablePart r:id="rId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48"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43</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44</v>
      </c>
      <c r="S6" s="3">
        <v>0.96146600000000004</v>
      </c>
      <c r="U6" t="s">
        <v>44</v>
      </c>
      <c r="V6" s="3">
        <f>V9*8*86400/1000000</f>
        <v>2.6403840000000001</v>
      </c>
      <c r="W6" s="3">
        <v>2.546459</v>
      </c>
      <c r="X6">
        <v>2.5546282105263201</v>
      </c>
    </row>
    <row r="7" spans="13:33" ht="15">
      <c r="R7" t="s">
        <v>45</v>
      </c>
      <c r="S7" t="s">
        <v>46</v>
      </c>
      <c r="U7" t="s">
        <v>47</v>
      </c>
      <c r="V7" t="s">
        <v>48</v>
      </c>
      <c r="Z7" s="3" t="s">
        <v>49</v>
      </c>
      <c r="AA7" s="3" t="s">
        <v>50</v>
      </c>
      <c r="AB7" s="3" t="s">
        <v>51</v>
      </c>
      <c r="AC7" s="3" t="s">
        <v>52</v>
      </c>
      <c r="AD7" s="3" t="s">
        <v>53</v>
      </c>
      <c r="AE7" s="3" t="s">
        <v>54</v>
      </c>
      <c r="AF7" s="3"/>
    </row>
    <row r="8" spans="13:33" ht="15">
      <c r="R8" s="36" t="s">
        <v>55</v>
      </c>
      <c r="S8" s="24">
        <v>14.778454999999999</v>
      </c>
      <c r="T8" s="3">
        <f>T9*1.1</f>
        <v>0.40055257114116738</v>
      </c>
      <c r="U8" s="36" t="s">
        <v>55</v>
      </c>
      <c r="V8" s="24">
        <v>14.778454999999999</v>
      </c>
      <c r="W8" s="29" t="s">
        <v>56</v>
      </c>
      <c r="X8" t="s">
        <v>57</v>
      </c>
      <c r="Z8" s="3" t="s">
        <v>1</v>
      </c>
      <c r="AA8" s="3" t="s">
        <v>58</v>
      </c>
      <c r="AB8" s="4" t="s">
        <v>59</v>
      </c>
      <c r="AC8" s="3" t="s">
        <v>60</v>
      </c>
      <c r="AD8" s="3" t="s">
        <v>61</v>
      </c>
      <c r="AE8" s="3" t="s">
        <v>62</v>
      </c>
      <c r="AF8" s="3" t="s">
        <v>63</v>
      </c>
      <c r="AG8" s="3"/>
    </row>
    <row r="9" spans="13:33" ht="15">
      <c r="N9" t="s">
        <v>64</v>
      </c>
      <c r="O9">
        <f>125/X6</f>
        <v>48.930799200031828</v>
      </c>
      <c r="Q9">
        <v>0.96146600000000004</v>
      </c>
      <c r="R9" s="23" t="s">
        <v>65</v>
      </c>
      <c r="S9" s="24">
        <f>S6*1000000/(8*86400)</f>
        <v>1.391009837962963</v>
      </c>
      <c r="T9">
        <f>S9/V9</f>
        <v>0.36413870103742485</v>
      </c>
      <c r="U9" s="23" t="s">
        <v>65</v>
      </c>
      <c r="V9" s="24">
        <v>3.82</v>
      </c>
      <c r="W9" s="29">
        <f>W6*1000000/(8*86400)</f>
        <v>3.6841131365740742</v>
      </c>
      <c r="X9" s="37">
        <f>X6*1000000/(8*86400)</f>
        <v>3.6959320175438659</v>
      </c>
      <c r="Y9" s="38" t="s">
        <v>66</v>
      </c>
      <c r="Z9" s="3" t="s">
        <v>0</v>
      </c>
      <c r="AA9" s="3" t="s">
        <v>0</v>
      </c>
      <c r="AB9" s="3" t="s">
        <v>0</v>
      </c>
      <c r="AC9" s="3" t="s">
        <v>0</v>
      </c>
      <c r="AD9" s="3" t="s">
        <v>0</v>
      </c>
      <c r="AE9" s="3" t="s">
        <v>0</v>
      </c>
      <c r="AF9" s="3"/>
      <c r="AG9" s="3"/>
    </row>
    <row r="10" spans="13:33" ht="15">
      <c r="N10" t="s">
        <v>67</v>
      </c>
      <c r="O10">
        <f>347+49-365</f>
        <v>31</v>
      </c>
      <c r="S10" s="6" t="s">
        <v>68</v>
      </c>
      <c r="T10" s="3" t="s">
        <v>69</v>
      </c>
      <c r="U10" s="23" t="s">
        <v>70</v>
      </c>
      <c r="V10" s="39">
        <f t="shared" ref="V10:V21" si="0">Y10/8</f>
        <v>4.8557552083333402</v>
      </c>
      <c r="W10" t="s">
        <v>71</v>
      </c>
      <c r="X10" s="3" t="s">
        <v>72</v>
      </c>
      <c r="Y10" s="38">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73</v>
      </c>
      <c r="N11" t="s">
        <v>74</v>
      </c>
      <c r="O11">
        <f>(40-6)/X6</f>
        <v>13.309177382408658</v>
      </c>
      <c r="S11" s="6" t="s">
        <v>75</v>
      </c>
      <c r="T11" s="3" t="s">
        <v>69</v>
      </c>
      <c r="U11" s="23" t="s">
        <v>70</v>
      </c>
      <c r="V11" s="39">
        <f t="shared" si="0"/>
        <v>4.5133072916666741</v>
      </c>
      <c r="W11" t="s">
        <v>76</v>
      </c>
      <c r="X11" s="3" t="s">
        <v>72</v>
      </c>
      <c r="Y11" s="38">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77</v>
      </c>
      <c r="U12" s="23" t="s">
        <v>70</v>
      </c>
      <c r="V12" s="39">
        <f t="shared" si="0"/>
        <v>3.0903906249999977</v>
      </c>
      <c r="W12" t="s">
        <v>78</v>
      </c>
      <c r="X12" s="3" t="s">
        <v>79</v>
      </c>
      <c r="Y12" s="38">
        <f t="shared" si="1"/>
        <v>24.723124999999982</v>
      </c>
      <c r="Z12">
        <v>11.0444444444444</v>
      </c>
      <c r="AA12">
        <v>2.5244444444444398</v>
      </c>
      <c r="AB12">
        <v>0.284444444444444</v>
      </c>
      <c r="AC12">
        <v>10.8697916666667</v>
      </c>
      <c r="AD12" s="3"/>
      <c r="AE12" s="3"/>
      <c r="AF12" s="3">
        <f t="shared" si="2"/>
        <v>2.1360779999999986</v>
      </c>
      <c r="AG12" s="3"/>
    </row>
    <row r="13" spans="13:33" ht="15">
      <c r="P13" s="6" t="s">
        <v>80</v>
      </c>
      <c r="S13" s="6">
        <v>25139</v>
      </c>
      <c r="T13" s="3" t="s">
        <v>69</v>
      </c>
      <c r="U13" s="23" t="s">
        <v>70</v>
      </c>
      <c r="V13" s="39">
        <f t="shared" si="0"/>
        <v>3.7806684027777853</v>
      </c>
      <c r="W13" t="s">
        <v>78</v>
      </c>
      <c r="X13" s="3" t="s">
        <v>72</v>
      </c>
      <c r="Y13" s="38">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77</v>
      </c>
      <c r="U14" s="23" t="s">
        <v>70</v>
      </c>
      <c r="V14" s="39">
        <f t="shared" si="0"/>
        <v>0.34244791666666624</v>
      </c>
      <c r="W14" t="s">
        <v>81</v>
      </c>
      <c r="X14" s="3" t="s">
        <v>79</v>
      </c>
      <c r="Y14" s="38">
        <f t="shared" si="1"/>
        <v>2.7395833333333299</v>
      </c>
      <c r="AD14" s="3"/>
      <c r="AE14">
        <v>2.7395833333333299</v>
      </c>
      <c r="AF14" s="3">
        <f t="shared" si="2"/>
        <v>0.23669999999999972</v>
      </c>
      <c r="AG14" s="3">
        <f>AF14*21</f>
        <v>4.9706999999999937</v>
      </c>
    </row>
    <row r="15" spans="13:33" ht="15">
      <c r="S15" s="6" t="s">
        <v>82</v>
      </c>
      <c r="T15" s="3" t="s">
        <v>83</v>
      </c>
      <c r="U15" s="23" t="s">
        <v>70</v>
      </c>
      <c r="V15" s="39">
        <f t="shared" si="0"/>
        <v>1.7316666666666605</v>
      </c>
      <c r="W15" t="s">
        <v>84</v>
      </c>
      <c r="X15" s="3" t="s">
        <v>79</v>
      </c>
      <c r="Y15" s="38">
        <f t="shared" si="1"/>
        <v>13.853333333333284</v>
      </c>
      <c r="Z15">
        <v>11.0444444444444</v>
      </c>
      <c r="AA15">
        <v>2.5244444444444398</v>
      </c>
      <c r="AB15">
        <v>0.284444444444444</v>
      </c>
      <c r="AF15" s="3">
        <f t="shared" si="2"/>
        <v>1.1969279999999958</v>
      </c>
      <c r="AG15" s="3"/>
    </row>
    <row r="16" spans="13:33" ht="15">
      <c r="P16" s="40"/>
      <c r="Q16" s="40" t="s">
        <v>85</v>
      </c>
      <c r="R16" s="40"/>
      <c r="S16" s="41" t="s">
        <v>86</v>
      </c>
      <c r="T16" s="42" t="s">
        <v>83</v>
      </c>
      <c r="U16" s="43" t="s">
        <v>70</v>
      </c>
      <c r="V16" s="44">
        <f t="shared" si="0"/>
        <v>2.4219444444444478</v>
      </c>
      <c r="W16" s="40" t="s">
        <v>84</v>
      </c>
      <c r="X16" s="42" t="s">
        <v>72</v>
      </c>
      <c r="Y16" s="38">
        <f t="shared" si="1"/>
        <v>19.375555555555582</v>
      </c>
      <c r="Z16">
        <v>16.566666666666698</v>
      </c>
      <c r="AA16">
        <v>2.5244444444444398</v>
      </c>
      <c r="AB16">
        <v>0.284444444444444</v>
      </c>
      <c r="AF16" s="3">
        <f t="shared" si="2"/>
        <v>1.6740480000000024</v>
      </c>
      <c r="AG16" s="3"/>
    </row>
    <row r="17" spans="11:43" ht="15">
      <c r="Q17" t="s">
        <v>87</v>
      </c>
      <c r="S17">
        <v>25181</v>
      </c>
      <c r="T17" s="6" t="s">
        <v>88</v>
      </c>
      <c r="U17" s="23" t="s">
        <v>70</v>
      </c>
      <c r="V17" s="39">
        <f t="shared" si="0"/>
        <v>2.1248784722222167</v>
      </c>
      <c r="W17" t="s">
        <v>89</v>
      </c>
      <c r="X17" s="3" t="s">
        <v>79</v>
      </c>
      <c r="Y17" s="38">
        <f t="shared" si="1"/>
        <v>16.999027777777734</v>
      </c>
      <c r="Z17">
        <v>11.0444444444444</v>
      </c>
      <c r="AB17">
        <v>0.284444444444444</v>
      </c>
      <c r="AD17">
        <v>2.9305555555555598</v>
      </c>
      <c r="AE17">
        <v>2.7395833333333299</v>
      </c>
      <c r="AF17" s="3">
        <f t="shared" si="2"/>
        <v>1.4687159999999964</v>
      </c>
    </row>
    <row r="18" spans="11:43" ht="15">
      <c r="Q18" t="s">
        <v>90</v>
      </c>
      <c r="S18">
        <v>25181</v>
      </c>
      <c r="T18" s="6" t="s">
        <v>88</v>
      </c>
      <c r="U18" s="23" t="s">
        <v>70</v>
      </c>
      <c r="V18" s="39">
        <f t="shared" si="0"/>
        <v>1.6742795138888924</v>
      </c>
      <c r="W18" t="s">
        <v>91</v>
      </c>
      <c r="X18" s="3" t="s">
        <v>79</v>
      </c>
      <c r="Y18" s="38">
        <f t="shared" si="1"/>
        <v>13.394236111111139</v>
      </c>
      <c r="AA18">
        <v>2.5244444444444398</v>
      </c>
      <c r="AC18">
        <v>10.8697916666667</v>
      </c>
      <c r="AF18" s="3">
        <f t="shared" si="2"/>
        <v>1.1572620000000022</v>
      </c>
    </row>
    <row r="19" spans="11:43" ht="15">
      <c r="S19">
        <v>25181</v>
      </c>
      <c r="T19" t="s">
        <v>88</v>
      </c>
      <c r="U19" s="23" t="s">
        <v>70</v>
      </c>
      <c r="V19" s="39">
        <f t="shared" si="0"/>
        <v>3.7991579861111089</v>
      </c>
      <c r="W19" t="s">
        <v>92</v>
      </c>
      <c r="X19" s="3" t="s">
        <v>79</v>
      </c>
      <c r="Y19" s="38">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77</v>
      </c>
      <c r="U20" s="23" t="s">
        <v>70</v>
      </c>
      <c r="V20" s="39">
        <f t="shared" si="0"/>
        <v>52.75</v>
      </c>
      <c r="W20" t="s">
        <v>93</v>
      </c>
      <c r="X20" s="3" t="s">
        <v>79</v>
      </c>
      <c r="Y20" s="38">
        <f t="shared" si="1"/>
        <v>422</v>
      </c>
      <c r="AD20">
        <v>422</v>
      </c>
      <c r="AF20" s="3">
        <f t="shared" si="2"/>
        <v>36.460799999999999</v>
      </c>
    </row>
    <row r="21" spans="11:43" ht="15">
      <c r="T21" s="6" t="s">
        <v>94</v>
      </c>
      <c r="U21" s="23" t="s">
        <v>70</v>
      </c>
      <c r="V21" s="39">
        <f t="shared" si="0"/>
        <v>1.7889843749999992</v>
      </c>
      <c r="W21" t="s">
        <v>95</v>
      </c>
      <c r="X21" s="3" t="s">
        <v>96</v>
      </c>
      <c r="Y21" s="38">
        <f t="shared" si="1"/>
        <v>14.311874999999993</v>
      </c>
      <c r="Z21">
        <v>5.5222222222222204</v>
      </c>
      <c r="AB21">
        <v>0.284444444444444</v>
      </c>
      <c r="AD21">
        <v>4.3958333333333304</v>
      </c>
      <c r="AE21">
        <v>4.109375</v>
      </c>
      <c r="AF21" s="3">
        <f t="shared" si="2"/>
        <v>1.2365459999999995</v>
      </c>
    </row>
    <row r="22" spans="11:43" ht="15"/>
    <row r="23" spans="11:43" ht="15">
      <c r="U23" s="36" t="s">
        <v>97</v>
      </c>
      <c r="V23" s="24">
        <v>197375</v>
      </c>
      <c r="AB23" s="3"/>
    </row>
    <row r="24" spans="11:43" ht="15">
      <c r="P24" s="45" t="s">
        <v>98</v>
      </c>
      <c r="Q24" s="45" t="s">
        <v>99</v>
      </c>
      <c r="R24" s="46">
        <v>606262016</v>
      </c>
      <c r="S24" s="45">
        <v>8</v>
      </c>
      <c r="T24" s="45" t="s">
        <v>27</v>
      </c>
      <c r="U24" s="45" t="s">
        <v>100</v>
      </c>
      <c r="V24" s="45" t="s">
        <v>101</v>
      </c>
      <c r="W24" s="45" t="s">
        <v>102</v>
      </c>
      <c r="X24" s="45" t="s">
        <v>103</v>
      </c>
      <c r="Y24" s="47"/>
      <c r="Z24" s="48"/>
    </row>
    <row r="25" spans="11:43" ht="15">
      <c r="O25" s="6" t="s">
        <v>104</v>
      </c>
      <c r="P25" s="45" t="s">
        <v>105</v>
      </c>
      <c r="Q25" s="45" t="s">
        <v>106</v>
      </c>
      <c r="R25" s="46">
        <v>606473516</v>
      </c>
      <c r="S25" s="45">
        <v>7</v>
      </c>
      <c r="T25" s="45" t="s">
        <v>27</v>
      </c>
      <c r="U25" s="45" t="s">
        <v>107</v>
      </c>
      <c r="V25" s="45" t="s">
        <v>101</v>
      </c>
      <c r="W25" s="45" t="s">
        <v>102</v>
      </c>
      <c r="X25" s="45" t="s">
        <v>108</v>
      </c>
      <c r="Y25" s="48"/>
    </row>
    <row r="26" spans="11:43" ht="15">
      <c r="P26" s="45" t="s">
        <v>109</v>
      </c>
      <c r="Q26" s="45" t="s">
        <v>110</v>
      </c>
      <c r="R26" s="45">
        <v>606480128</v>
      </c>
      <c r="S26" s="45">
        <v>0</v>
      </c>
      <c r="T26" s="45" t="s">
        <v>111</v>
      </c>
      <c r="U26" s="45" t="s">
        <v>112</v>
      </c>
      <c r="V26" s="45" t="s">
        <v>113</v>
      </c>
      <c r="W26" s="45"/>
      <c r="X26" s="45" t="s">
        <v>114</v>
      </c>
      <c r="Y26" s="48"/>
    </row>
    <row r="27" spans="11:43" ht="15">
      <c r="P27">
        <f>R26-R25</f>
        <v>6612</v>
      </c>
      <c r="R27">
        <v>589335049</v>
      </c>
      <c r="S27">
        <v>589362052</v>
      </c>
      <c r="T27">
        <f>S27-R27</f>
        <v>27003</v>
      </c>
      <c r="U27">
        <v>110684</v>
      </c>
      <c r="V27">
        <f>U27/T27</f>
        <v>4.0989519682998186</v>
      </c>
    </row>
    <row r="28" spans="11:43" ht="15">
      <c r="M28">
        <f>(20+16/24)*38.9*86400/1000000</f>
        <v>69.45984</v>
      </c>
      <c r="P28" s="46" t="s">
        <v>115</v>
      </c>
      <c r="Q28" s="46" t="s">
        <v>116</v>
      </c>
      <c r="R28" s="46">
        <v>606482128</v>
      </c>
      <c r="S28" s="46">
        <v>1</v>
      </c>
      <c r="T28" s="46" t="s">
        <v>27</v>
      </c>
      <c r="U28" s="46" t="s">
        <v>117</v>
      </c>
      <c r="V28" s="46" t="s">
        <v>118</v>
      </c>
      <c r="W28" s="46"/>
      <c r="X28" s="46" t="s">
        <v>119</v>
      </c>
      <c r="AD28">
        <f>11000000/500</f>
        <v>22000</v>
      </c>
      <c r="AE28">
        <f>AD28/3600</f>
        <v>6.1111111111111107</v>
      </c>
      <c r="AG28" t="s">
        <v>35</v>
      </c>
    </row>
    <row r="29" spans="11:43" ht="15">
      <c r="O29" s="3"/>
      <c r="P29" s="9">
        <v>25096</v>
      </c>
      <c r="Q29" s="7"/>
      <c r="R29" s="7"/>
      <c r="S29" s="8"/>
      <c r="T29" s="3"/>
      <c r="U29" s="19">
        <f>V23</f>
        <v>197375</v>
      </c>
      <c r="V29" s="18"/>
      <c r="W29" s="25" t="s">
        <v>4</v>
      </c>
      <c r="X29" s="26">
        <v>2.70622E-5</v>
      </c>
      <c r="Y29" s="3"/>
      <c r="Z29" s="5"/>
      <c r="AA29" s="5"/>
      <c r="AB29" s="5" t="s">
        <v>120</v>
      </c>
      <c r="AC29" s="5"/>
      <c r="AD29" s="5"/>
      <c r="AE29">
        <f>11000000/500</f>
        <v>22000</v>
      </c>
      <c r="AF29">
        <f>AE29/3600</f>
        <v>6.1111111111111107</v>
      </c>
      <c r="AH29" t="s">
        <v>36</v>
      </c>
      <c r="AI29" t="s">
        <v>121</v>
      </c>
    </row>
    <row r="30" spans="11:43" ht="15">
      <c r="O30" s="3"/>
      <c r="P30" s="12" t="s">
        <v>122</v>
      </c>
      <c r="Q30" s="11" t="s">
        <v>5</v>
      </c>
      <c r="R30" s="12" t="s">
        <v>6</v>
      </c>
      <c r="S30" s="12" t="s">
        <v>7</v>
      </c>
      <c r="T30" s="13" t="s">
        <v>8</v>
      </c>
      <c r="U30" s="3" t="s">
        <v>22</v>
      </c>
      <c r="V30" s="13" t="s">
        <v>25</v>
      </c>
      <c r="W30" s="12" t="s">
        <v>26</v>
      </c>
      <c r="X30" s="12" t="s">
        <v>9</v>
      </c>
      <c r="Y30" s="3"/>
      <c r="Z30" s="5"/>
      <c r="AA30" s="5" t="s">
        <v>123</v>
      </c>
      <c r="AB30" s="20" t="s">
        <v>124</v>
      </c>
      <c r="AC30" s="20" t="s">
        <v>125</v>
      </c>
      <c r="AD30" t="s">
        <v>126</v>
      </c>
      <c r="AE30" t="s">
        <v>126</v>
      </c>
      <c r="AH30" t="s">
        <v>37</v>
      </c>
      <c r="AJ30" s="48">
        <f>AJ31+AJ33+AJ34</f>
        <v>31.701153000000001</v>
      </c>
    </row>
    <row r="31" spans="11:43" ht="15.75">
      <c r="L31" s="47" t="s">
        <v>127</v>
      </c>
      <c r="M31" s="47" t="s">
        <v>128</v>
      </c>
      <c r="N31" s="48" t="s">
        <v>129</v>
      </c>
      <c r="O31" s="49" t="s">
        <v>130</v>
      </c>
      <c r="P31" s="32" t="s">
        <v>131</v>
      </c>
      <c r="Q31" s="35">
        <f>R24-20</f>
        <v>606261996</v>
      </c>
      <c r="R31" s="35">
        <f>R25</f>
        <v>606473516</v>
      </c>
      <c r="S31" s="21">
        <f>R31-Q31</f>
        <v>211520</v>
      </c>
      <c r="T31" s="21">
        <f>S31*$V$9</f>
        <v>808006.4</v>
      </c>
      <c r="U31" s="3">
        <v>0</v>
      </c>
      <c r="V31" s="27">
        <f>T31+U31*$V$23</f>
        <v>808006.4</v>
      </c>
      <c r="W31" s="20">
        <f>Y31*1000000/8</f>
        <v>1085211.75</v>
      </c>
      <c r="X31" s="22">
        <f>W31-V31</f>
        <v>277205.34999999998</v>
      </c>
      <c r="Y31" s="33">
        <f>8.681694</f>
        <v>8.6816940000000002</v>
      </c>
      <c r="Z31" s="33"/>
      <c r="AA31" s="50">
        <v>344216</v>
      </c>
      <c r="AB31" s="51">
        <f>S31*$S$9</f>
        <v>294226.40092592593</v>
      </c>
      <c r="AC31" s="52">
        <f>AB31*8/1000000</f>
        <v>2.3538112074074076</v>
      </c>
      <c r="AD31" s="50">
        <f>AB31+AB32</f>
        <v>1088101.4009259259</v>
      </c>
      <c r="AE31" s="50">
        <f>AC31+AC32</f>
        <v>8.704811207407408</v>
      </c>
      <c r="AF31" s="31" t="s">
        <v>132</v>
      </c>
      <c r="AG31" s="49" t="s">
        <v>130</v>
      </c>
      <c r="AH31" s="53">
        <f>X31*8/1000000</f>
        <v>2.2176427999999997</v>
      </c>
      <c r="AI31" s="53">
        <f>V31*8/1000000</f>
        <v>6.4640512000000001</v>
      </c>
      <c r="AJ31" s="48">
        <v>8.6816940000000002</v>
      </c>
      <c r="AK31" t="s">
        <v>132</v>
      </c>
      <c r="AL31" t="s">
        <v>133</v>
      </c>
      <c r="AM31">
        <v>0.80020999999999998</v>
      </c>
      <c r="AN31">
        <v>6</v>
      </c>
      <c r="AO31">
        <v>1.786772</v>
      </c>
      <c r="AP31">
        <v>0.98655599999999999</v>
      </c>
      <c r="AQ31">
        <v>8.6816940000000002</v>
      </c>
    </row>
    <row r="32" spans="11:43" ht="15.75">
      <c r="K32" s="47" t="s">
        <v>134</v>
      </c>
      <c r="L32" s="47" t="s">
        <v>128</v>
      </c>
      <c r="M32" s="47" t="s">
        <v>135</v>
      </c>
      <c r="N32" s="48">
        <v>5.58</v>
      </c>
      <c r="O32" s="49"/>
      <c r="P32" s="32" t="s">
        <v>131</v>
      </c>
      <c r="Q32" s="35">
        <f>R31-1</f>
        <v>606473515</v>
      </c>
      <c r="R32" s="35">
        <f>R26</f>
        <v>606480128</v>
      </c>
      <c r="S32" s="21">
        <f>R32-Q32</f>
        <v>6613</v>
      </c>
      <c r="T32" s="21">
        <f>N32*1000000/8</f>
        <v>697500</v>
      </c>
      <c r="U32" s="3">
        <v>0</v>
      </c>
      <c r="V32" s="27">
        <f>T32+U32*$V$23</f>
        <v>697500</v>
      </c>
      <c r="W32" s="20">
        <f>X31</f>
        <v>277205.34999999998</v>
      </c>
      <c r="X32" s="22">
        <f>W32-V32</f>
        <v>-420294.65</v>
      </c>
      <c r="Y32" s="33"/>
      <c r="Z32" s="33"/>
      <c r="AA32" s="50">
        <v>677415</v>
      </c>
      <c r="AB32" s="54">
        <f>AC32*1000000/8</f>
        <v>793875</v>
      </c>
      <c r="AC32" s="55">
        <v>6.351</v>
      </c>
      <c r="AD32" s="50">
        <f>AB32+AB31-W31</f>
        <v>2889.6509259259328</v>
      </c>
      <c r="AE32" s="50">
        <f>AC32+AC31-Y31</f>
        <v>2.3117207407407747E-2</v>
      </c>
      <c r="AF32" s="31"/>
      <c r="AG32" s="49"/>
      <c r="AH32" s="53"/>
      <c r="AI32" s="53"/>
      <c r="AJ32" s="48"/>
    </row>
    <row r="33" spans="1:44" ht="15.75">
      <c r="K33" s="47" t="s">
        <v>136</v>
      </c>
      <c r="L33" s="47" t="s">
        <v>135</v>
      </c>
      <c r="M33" s="47" t="s">
        <v>137</v>
      </c>
      <c r="N33" s="48"/>
      <c r="O33" s="49" t="s">
        <v>138</v>
      </c>
      <c r="P33" s="32" t="s">
        <v>139</v>
      </c>
      <c r="Q33" s="35">
        <f>R32-1</f>
        <v>606480127</v>
      </c>
      <c r="R33" s="28">
        <f>((W33)/$V$9)+Q33</f>
        <v>606884641.65314138</v>
      </c>
      <c r="S33" s="21">
        <f>R33-Q33</f>
        <v>404514.65314137936</v>
      </c>
      <c r="T33" s="21">
        <f>S33*$V$9</f>
        <v>1545245.975000069</v>
      </c>
      <c r="U33" s="3">
        <v>0</v>
      </c>
      <c r="V33" s="27">
        <f>T33+U33*$V$23</f>
        <v>1545245.975000069</v>
      </c>
      <c r="W33" s="20">
        <f>Y33*1000000/8+X32</f>
        <v>1545245.9750000001</v>
      </c>
      <c r="X33" s="22">
        <f>W33-V33</f>
        <v>-6.891787052154541E-8</v>
      </c>
      <c r="Y33" s="33">
        <f>AJ33</f>
        <v>15.724325</v>
      </c>
      <c r="Z33" s="33"/>
      <c r="AA33" s="50">
        <v>647088</v>
      </c>
      <c r="AB33" s="56">
        <f>S33*$S$9</f>
        <v>562683.86211983429</v>
      </c>
      <c r="AC33" s="57">
        <f>AB33*8/1000000</f>
        <v>4.5014708969586739</v>
      </c>
      <c r="AD33" s="50">
        <f>AB33-V33</f>
        <v>-982562.11288023472</v>
      </c>
      <c r="AE33" s="50">
        <f>AD33*8/1000000</f>
        <v>-7.8604969030418781</v>
      </c>
      <c r="AF33" s="31" t="str">
        <f>AK33</f>
        <v>TRK_112_1</v>
      </c>
      <c r="AG33" s="49" t="s">
        <v>138</v>
      </c>
      <c r="AH33" s="53">
        <f>X33*8/1000000</f>
        <v>-5.5134296417236325E-13</v>
      </c>
      <c r="AI33" s="53">
        <f>V33*8/1000000</f>
        <v>12.361967800000553</v>
      </c>
      <c r="AJ33" s="48">
        <v>15.724325</v>
      </c>
      <c r="AK33" t="s">
        <v>140</v>
      </c>
      <c r="AL33" t="s">
        <v>141</v>
      </c>
      <c r="AM33">
        <v>0.23064999999999999</v>
      </c>
      <c r="AN33">
        <v>6</v>
      </c>
      <c r="AO33">
        <v>2.0175109999999998</v>
      </c>
      <c r="AP33">
        <v>1.7868550000000001</v>
      </c>
      <c r="AQ33">
        <v>15.724325</v>
      </c>
    </row>
    <row r="34" spans="1:44" ht="15.75">
      <c r="L34" s="47" t="s">
        <v>137</v>
      </c>
      <c r="M34" s="47" t="s">
        <v>142</v>
      </c>
      <c r="N34" s="48"/>
      <c r="O34" s="49" t="s">
        <v>143</v>
      </c>
      <c r="P34" s="32" t="s">
        <v>144</v>
      </c>
      <c r="Q34" s="58">
        <f>R33-1</f>
        <v>606884640.65314138</v>
      </c>
      <c r="R34" s="28">
        <f>((W34)/$V$9)+Q34</f>
        <v>607123355.77094245</v>
      </c>
      <c r="S34" s="21">
        <f>R34-Q34</f>
        <v>238715.11780107021</v>
      </c>
      <c r="T34" s="21">
        <f>S34*$V$9</f>
        <v>911891.75000008813</v>
      </c>
      <c r="U34" s="3">
        <v>0</v>
      </c>
      <c r="V34" s="27">
        <f>T34+U34*$V$23</f>
        <v>911891.75000008813</v>
      </c>
      <c r="W34" s="20">
        <f>Y34*1000000/8</f>
        <v>911891.75</v>
      </c>
      <c r="X34" s="22">
        <f>W34-V34</f>
        <v>-8.8126398622989655E-8</v>
      </c>
      <c r="Y34" s="33">
        <f>AJ34</f>
        <v>7.295134</v>
      </c>
      <c r="Z34" s="33"/>
      <c r="AA34" s="50">
        <v>323548</v>
      </c>
      <c r="AB34" s="56">
        <f>S34*$S$9</f>
        <v>332055.07733177627</v>
      </c>
      <c r="AC34" s="57">
        <f>AB34*8/1000000</f>
        <v>2.65644061865421</v>
      </c>
      <c r="AD34" s="50">
        <f>AB34-V34</f>
        <v>-579836.67266831186</v>
      </c>
      <c r="AE34" s="50">
        <f>AC34-Y34</f>
        <v>-4.6386933813457905</v>
      </c>
      <c r="AF34" s="31" t="str">
        <f>AK34</f>
        <v>TRK_112_2</v>
      </c>
      <c r="AG34" s="49" t="s">
        <v>143</v>
      </c>
      <c r="AH34" s="53">
        <f>X34*8/1000000</f>
        <v>-7.0501118898391721E-13</v>
      </c>
      <c r="AI34" s="53">
        <f>V34*8/1000000</f>
        <v>7.2951340000007052</v>
      </c>
      <c r="AJ34" s="48">
        <v>7.295134</v>
      </c>
      <c r="AK34" t="s">
        <v>145</v>
      </c>
      <c r="AL34" t="s">
        <v>146</v>
      </c>
      <c r="AM34">
        <v>0.23527999999999999</v>
      </c>
      <c r="AN34">
        <v>2</v>
      </c>
      <c r="AO34">
        <v>1.0642739999999999</v>
      </c>
      <c r="AP34">
        <v>0.82899199999999995</v>
      </c>
      <c r="AQ34">
        <v>7.295134</v>
      </c>
    </row>
    <row r="35" spans="1:44" ht="15">
      <c r="M35" s="3"/>
      <c r="N35" s="3"/>
      <c r="P35" s="3"/>
      <c r="T35" s="4"/>
      <c r="U35" s="3"/>
      <c r="V35" s="3"/>
      <c r="X35" s="3"/>
      <c r="Y35" s="3"/>
      <c r="Z35" s="5"/>
      <c r="AB35" s="3" t="s">
        <v>147</v>
      </c>
      <c r="AC35" s="3"/>
      <c r="AD35" s="20"/>
      <c r="AE35" s="20"/>
      <c r="AH35" s="53"/>
      <c r="AI35" s="53"/>
    </row>
    <row r="36" spans="1:44" ht="15">
      <c r="L36" s="3"/>
      <c r="M36" s="3"/>
      <c r="N36" s="3"/>
      <c r="P36" s="15" t="s">
        <v>148</v>
      </c>
      <c r="Q36" s="15" t="s">
        <v>149</v>
      </c>
      <c r="R36" s="15">
        <v>606263216</v>
      </c>
      <c r="S36" s="15">
        <v>7</v>
      </c>
      <c r="T36" s="15" t="s">
        <v>27</v>
      </c>
      <c r="U36" s="15" t="s">
        <v>150</v>
      </c>
      <c r="V36" s="15" t="s">
        <v>151</v>
      </c>
      <c r="W36" s="15" t="s">
        <v>152</v>
      </c>
      <c r="X36" s="15" t="s">
        <v>153</v>
      </c>
      <c r="Y36" s="59"/>
      <c r="Z36" s="60"/>
      <c r="AA36" s="3" t="s">
        <v>154</v>
      </c>
      <c r="AB36" s="3" t="s">
        <v>155</v>
      </c>
      <c r="AC36" s="3" t="s">
        <v>156</v>
      </c>
      <c r="AD36" s="59"/>
      <c r="AE36" s="59"/>
      <c r="AH36" s="53"/>
      <c r="AI36" s="53"/>
    </row>
    <row r="37" spans="1:44" ht="15.75">
      <c r="A37" s="59" t="s">
        <v>157</v>
      </c>
      <c r="B37" s="59"/>
      <c r="C37" s="59"/>
      <c r="D37" s="59"/>
      <c r="E37" s="59"/>
      <c r="F37" s="59"/>
      <c r="G37" s="59"/>
      <c r="H37" s="59"/>
      <c r="I37" s="59"/>
      <c r="J37" s="59"/>
      <c r="K37" s="59"/>
      <c r="L37" s="59" t="s">
        <v>158</v>
      </c>
      <c r="M37" s="59" t="s">
        <v>159</v>
      </c>
      <c r="N37" s="59"/>
      <c r="O37" s="34" t="s">
        <v>160</v>
      </c>
      <c r="P37" s="32" t="s">
        <v>161</v>
      </c>
      <c r="Q37" s="61">
        <f>R36-20</f>
        <v>606263196</v>
      </c>
      <c r="R37" s="28">
        <f>((W37-U37*$V$23)/$V$10)+Q37</f>
        <v>606535975.99367166</v>
      </c>
      <c r="S37" s="21">
        <f>R37-Q37</f>
        <v>272779.99367165565</v>
      </c>
      <c r="T37" s="21">
        <f>S37*$V$10</f>
        <v>1324552.8750002775</v>
      </c>
      <c r="U37" s="3">
        <v>1</v>
      </c>
      <c r="V37" s="27">
        <f>T37+U37*$V$23</f>
        <v>1521927.8750002775</v>
      </c>
      <c r="W37" s="20">
        <f>Y37*1000000/8</f>
        <v>1521927.875</v>
      </c>
      <c r="X37" s="22">
        <f>W37-V37</f>
        <v>-2.775341272354126E-7</v>
      </c>
      <c r="Y37" s="33">
        <f>AJ37</f>
        <v>12.175423</v>
      </c>
      <c r="Z37" s="33"/>
      <c r="AA37" s="50">
        <v>1614636</v>
      </c>
      <c r="AB37" s="56">
        <f>AA37-T37</f>
        <v>290083.12499972247</v>
      </c>
      <c r="AC37" s="62">
        <f>(AB37/8)/1000000</f>
        <v>3.6260390624965305E-2</v>
      </c>
      <c r="AD37" s="50"/>
      <c r="AE37" s="50"/>
      <c r="AF37" s="31" t="str">
        <f>AK37</f>
        <v>TRK_113_1</v>
      </c>
      <c r="AG37" s="34" t="s">
        <v>160</v>
      </c>
      <c r="AH37" s="53">
        <f>X37*8/1000000</f>
        <v>-2.2202730178833006E-12</v>
      </c>
      <c r="AI37" s="53">
        <f>V37*8/1000000</f>
        <v>12.175423000002221</v>
      </c>
      <c r="AJ37" s="63">
        <v>12.175423</v>
      </c>
      <c r="AK37" t="s">
        <v>162</v>
      </c>
      <c r="AL37" t="s">
        <v>163</v>
      </c>
      <c r="AM37">
        <v>0.23605000000000001</v>
      </c>
      <c r="AN37">
        <v>6</v>
      </c>
      <c r="AO37">
        <v>1.6196269999999999</v>
      </c>
      <c r="AP37">
        <v>1.3835710000000001</v>
      </c>
      <c r="AQ37">
        <v>12.175423</v>
      </c>
    </row>
    <row r="38" spans="1:44" ht="15.75">
      <c r="L38" s="59" t="str">
        <f>M37</f>
        <v>99/20:14</v>
      </c>
      <c r="M38" s="59" t="s">
        <v>164</v>
      </c>
      <c r="N38" s="59"/>
      <c r="O38" s="34" t="s">
        <v>165</v>
      </c>
      <c r="P38" s="32" t="s">
        <v>29</v>
      </c>
      <c r="Q38" s="58">
        <f>R37-1</f>
        <v>606535974.99367166</v>
      </c>
      <c r="R38" s="28">
        <f>((W38-U38*$V$23)/$V$10)+Q38</f>
        <v>606937249.54652727</v>
      </c>
      <c r="S38" s="21">
        <f>R38-Q38</f>
        <v>401274.55285561085</v>
      </c>
      <c r="T38" s="21">
        <f>S38*$V$10</f>
        <v>1948491.0000002645</v>
      </c>
      <c r="U38" s="3">
        <v>0</v>
      </c>
      <c r="V38" s="27">
        <f>T38+U38*$V$23</f>
        <v>1948491.0000002645</v>
      </c>
      <c r="W38" s="20">
        <f>Y38*1000000/8</f>
        <v>1948491</v>
      </c>
      <c r="X38" s="22">
        <f>W38-V38</f>
        <v>-2.644956111907959E-7</v>
      </c>
      <c r="Y38" s="33">
        <f>AJ38</f>
        <v>15.587928</v>
      </c>
      <c r="Z38" s="33"/>
      <c r="AA38" s="50">
        <v>2057144</v>
      </c>
      <c r="AB38" s="56">
        <f>AA38-T38</f>
        <v>108652.9999997355</v>
      </c>
      <c r="AC38" s="62">
        <f>(AB38/8)/1000000</f>
        <v>1.3581624999966938E-2</v>
      </c>
      <c r="AD38" s="50"/>
      <c r="AE38" s="50"/>
      <c r="AF38" s="31" t="str">
        <f>AK38</f>
        <v>TRK_114_1_</v>
      </c>
      <c r="AG38" s="34" t="s">
        <v>165</v>
      </c>
      <c r="AH38" s="53">
        <f>X38*8/1000000</f>
        <v>-2.1159648895263673E-12</v>
      </c>
      <c r="AI38" s="53">
        <f>V38*8/1000000</f>
        <v>15.587928000002115</v>
      </c>
      <c r="AJ38" s="63">
        <v>15.587928</v>
      </c>
      <c r="AK38" t="s">
        <v>166</v>
      </c>
      <c r="AL38" t="s">
        <v>167</v>
      </c>
      <c r="AM38">
        <v>0.40827999999999998</v>
      </c>
      <c r="AN38">
        <v>6</v>
      </c>
      <c r="AO38">
        <v>2.1796410000000002</v>
      </c>
      <c r="AP38">
        <v>1.771355</v>
      </c>
      <c r="AQ38">
        <v>15.587928</v>
      </c>
    </row>
    <row r="39" spans="1:44" ht="15.75">
      <c r="L39" s="59" t="str">
        <f>M38</f>
        <v>104/11:33</v>
      </c>
      <c r="M39" s="59" t="s">
        <v>168</v>
      </c>
      <c r="N39" s="59"/>
      <c r="O39" s="34" t="s">
        <v>169</v>
      </c>
      <c r="P39" s="32" t="s">
        <v>170</v>
      </c>
      <c r="Q39" s="58">
        <f>R38-1</f>
        <v>606937248.54652727</v>
      </c>
      <c r="R39" s="28">
        <f>((W39-U39*$V$23)/$V$10)+Q39</f>
        <v>607165734.06575108</v>
      </c>
      <c r="S39" s="21">
        <f>R39-Q39</f>
        <v>228485.51922380924</v>
      </c>
      <c r="T39" s="21">
        <f>S39*$V$10</f>
        <v>1109469.7499997593</v>
      </c>
      <c r="U39" s="3">
        <v>0</v>
      </c>
      <c r="V39" s="27">
        <f>T39+U39*$V$23</f>
        <v>1109469.7499997593</v>
      </c>
      <c r="W39" s="20">
        <f>Y39*1000000/8</f>
        <v>1109469.75</v>
      </c>
      <c r="X39" s="22">
        <f>W39-V39</f>
        <v>2.407468855381012E-7</v>
      </c>
      <c r="Y39" s="33">
        <f>AJ39</f>
        <v>8.8757579999999994</v>
      </c>
      <c r="Z39" s="33"/>
      <c r="AA39" s="50">
        <v>1157806</v>
      </c>
      <c r="AB39" s="56">
        <f>AA39-T39</f>
        <v>48336.250000240747</v>
      </c>
      <c r="AC39" s="62">
        <f>(AB39/8)/1000000</f>
        <v>6.0420312500300936E-3</v>
      </c>
      <c r="AD39" s="50"/>
      <c r="AE39" s="50"/>
      <c r="AF39" s="31" t="str">
        <f>AK39</f>
        <v>TRK_115_1</v>
      </c>
      <c r="AG39" s="34" t="s">
        <v>169</v>
      </c>
      <c r="AH39" s="53">
        <f>X39*8/1000000</f>
        <v>1.9259750843048095E-12</v>
      </c>
      <c r="AI39" s="53">
        <f>V39*8/1000000</f>
        <v>8.8757579999980738</v>
      </c>
      <c r="AJ39" s="63">
        <v>8.8757579999999994</v>
      </c>
      <c r="AK39" t="s">
        <v>171</v>
      </c>
      <c r="AL39" t="s">
        <v>172</v>
      </c>
      <c r="AM39">
        <v>0.25274000000000002</v>
      </c>
      <c r="AN39">
        <v>0</v>
      </c>
      <c r="AO39">
        <v>1.2613490000000001</v>
      </c>
      <c r="AP39">
        <v>1.0086090000000001</v>
      </c>
      <c r="AQ39">
        <v>8.8757579999999994</v>
      </c>
    </row>
    <row r="40" spans="1:44" ht="15">
      <c r="L40" s="3"/>
      <c r="M40" s="3"/>
      <c r="N40" s="3"/>
      <c r="AA40" s="3"/>
      <c r="AD40" s="3"/>
      <c r="AE40" s="3"/>
      <c r="AH40" s="53"/>
      <c r="AI40" s="53"/>
      <c r="AJ40">
        <f>SUM(AJ37:AJ39)</f>
        <v>36.639108999999998</v>
      </c>
    </row>
    <row r="41" spans="1:44" ht="15.75">
      <c r="L41" s="47" t="s">
        <v>142</v>
      </c>
      <c r="M41" s="47" t="s">
        <v>173</v>
      </c>
      <c r="N41" s="48"/>
      <c r="O41" s="49" t="s">
        <v>174</v>
      </c>
      <c r="P41" s="32" t="s">
        <v>175</v>
      </c>
      <c r="Q41" s="58">
        <f>R34-1</f>
        <v>607123354.77094245</v>
      </c>
      <c r="R41" s="28">
        <f>((W41)/$V$9)+Q41</f>
        <v>607164814.48952889</v>
      </c>
      <c r="S41" s="21">
        <f>R41-Q41</f>
        <v>41459.718586444855</v>
      </c>
      <c r="T41" s="21">
        <f>S41*$V$9</f>
        <v>158376.12500021933</v>
      </c>
      <c r="U41" s="3">
        <v>0</v>
      </c>
      <c r="V41" s="27">
        <f>T41+U41*$V$23</f>
        <v>158376.12500021933</v>
      </c>
      <c r="W41" s="20">
        <f>Y41*1000000/8</f>
        <v>158376.125</v>
      </c>
      <c r="X41" s="22">
        <f>W41-V41</f>
        <v>-2.1932646632194519E-7</v>
      </c>
      <c r="Y41" s="33">
        <f>AJ41</f>
        <v>1.2670090000000001</v>
      </c>
      <c r="Z41" s="33"/>
      <c r="AA41" s="50"/>
      <c r="AB41" s="56">
        <f>S41*$S$9</f>
        <v>57670.876432920704</v>
      </c>
      <c r="AC41" s="57">
        <f>AB41*8/1000000</f>
        <v>0.46136701146336562</v>
      </c>
      <c r="AD41" s="56">
        <f>AB41-V41</f>
        <v>-100705.24856729862</v>
      </c>
      <c r="AE41" s="50">
        <f>AC41-Y41</f>
        <v>-0.80564198853663438</v>
      </c>
      <c r="AF41" s="31" t="str">
        <f>AK41</f>
        <v>TRK_118_1</v>
      </c>
      <c r="AG41" s="49" t="s">
        <v>174</v>
      </c>
      <c r="AH41" s="53">
        <f>X41*8/1000000</f>
        <v>-1.7546117305755616E-12</v>
      </c>
      <c r="AI41" s="53">
        <f>V41*8/1000000</f>
        <v>1.2670090000017546</v>
      </c>
      <c r="AJ41" s="48">
        <v>1.2670090000000001</v>
      </c>
      <c r="AK41" t="s">
        <v>176</v>
      </c>
      <c r="AL41" t="s">
        <v>177</v>
      </c>
      <c r="AM41">
        <v>0.65856000000000003</v>
      </c>
      <c r="AN41">
        <v>2</v>
      </c>
      <c r="AO41">
        <v>0.80254000000000003</v>
      </c>
      <c r="AP41">
        <v>0.14397799999999999</v>
      </c>
      <c r="AQ41">
        <v>1.2670090000000001</v>
      </c>
    </row>
    <row r="42" spans="1:44" ht="15">
      <c r="L42" s="3"/>
      <c r="M42" s="3" t="s">
        <v>178</v>
      </c>
      <c r="N42" s="3"/>
      <c r="O42" s="3"/>
      <c r="Y42">
        <f>SUM(Y31:Y41)</f>
        <v>69.607270999999997</v>
      </c>
      <c r="AB42" s="64">
        <f>AC41+AC34+AC33+AC32+AC31</f>
        <v>16.324089734483657</v>
      </c>
      <c r="AC42" s="3"/>
      <c r="AD42" s="3"/>
      <c r="AG42" s="40"/>
      <c r="AH42" s="40"/>
    </row>
    <row r="43" spans="1:44" ht="15">
      <c r="L43" s="3"/>
      <c r="M43" s="3"/>
      <c r="N43" s="3"/>
      <c r="O43" s="3"/>
      <c r="Y43">
        <f>Y41+Y34+Y33+Y31</f>
        <v>32.968162</v>
      </c>
      <c r="Z43" s="60">
        <f>Y39+Y38+Y37</f>
        <v>36.639108999999998</v>
      </c>
      <c r="AB43" t="s">
        <v>179</v>
      </c>
      <c r="AC43" s="3"/>
      <c r="AD43" s="3"/>
      <c r="AG43" s="40"/>
      <c r="AH43" s="40"/>
    </row>
    <row r="44" spans="1:44" ht="15">
      <c r="L44" s="3"/>
      <c r="M44" s="3"/>
      <c r="N44" s="3"/>
      <c r="O44" s="3"/>
      <c r="Y44" s="3" t="s">
        <v>180</v>
      </c>
      <c r="Z44" s="3" t="s">
        <v>181</v>
      </c>
      <c r="AA44" s="3"/>
      <c r="AB44" s="3"/>
      <c r="AC44" s="3"/>
      <c r="AD44" s="3"/>
      <c r="AG44" s="40"/>
      <c r="AH44" s="40"/>
      <c r="AK44" s="65" t="s">
        <v>182</v>
      </c>
      <c r="AL44" s="65" t="s">
        <v>183</v>
      </c>
      <c r="AM44" s="65">
        <v>14.73</v>
      </c>
      <c r="AN44" s="65">
        <v>-5.43</v>
      </c>
      <c r="AO44" s="65">
        <v>-5.43</v>
      </c>
      <c r="AR44" s="3">
        <v>16.2</v>
      </c>
    </row>
    <row r="45" spans="1:44" ht="15">
      <c r="L45" s="18" t="s">
        <v>184</v>
      </c>
      <c r="M45" s="3"/>
      <c r="N45" s="3"/>
      <c r="O45" s="3"/>
      <c r="AC45" s="3"/>
      <c r="AD45" s="3"/>
      <c r="AG45" s="40"/>
      <c r="AH45" s="40"/>
      <c r="AK45" s="65" t="s">
        <v>185</v>
      </c>
      <c r="AL45" s="65" t="s">
        <v>186</v>
      </c>
      <c r="AM45" s="65">
        <v>3.7</v>
      </c>
      <c r="AN45" s="65">
        <v>3.7</v>
      </c>
      <c r="AO45" s="65">
        <v>-1.73</v>
      </c>
      <c r="AR45" s="3">
        <v>4.07</v>
      </c>
    </row>
    <row r="46" spans="1:44" ht="15">
      <c r="L46" s="18" t="s">
        <v>187</v>
      </c>
      <c r="M46" s="3"/>
      <c r="N46" s="3"/>
      <c r="O46" s="3"/>
      <c r="AC46" s="3"/>
      <c r="AD46" s="3"/>
      <c r="AG46" s="40"/>
      <c r="AH46" s="40"/>
      <c r="AK46" s="65" t="s">
        <v>188</v>
      </c>
      <c r="AL46" s="65" t="s">
        <v>189</v>
      </c>
      <c r="AM46" s="65">
        <v>4.3099999999999996</v>
      </c>
      <c r="AN46" s="65">
        <v>-2.41</v>
      </c>
      <c r="AO46" s="65">
        <v>-4.1399999999999997</v>
      </c>
      <c r="AR46" s="3">
        <v>4.74</v>
      </c>
    </row>
    <row r="47" spans="1:44" ht="15">
      <c r="O47" s="3"/>
      <c r="AC47" s="3"/>
      <c r="AD47" s="3"/>
      <c r="AG47" s="40"/>
      <c r="AH47" s="40"/>
      <c r="AK47" s="65" t="s">
        <v>190</v>
      </c>
      <c r="AL47" s="65" t="s">
        <v>191</v>
      </c>
      <c r="AM47" s="65">
        <v>4.42</v>
      </c>
      <c r="AN47" s="65">
        <v>1.46</v>
      </c>
      <c r="AO47" s="65">
        <v>-2.68</v>
      </c>
      <c r="AR47" s="3">
        <v>4.87</v>
      </c>
    </row>
    <row r="48" spans="1:44" ht="15">
      <c r="P48" s="15" t="s">
        <v>192</v>
      </c>
      <c r="Q48" s="15" t="s">
        <v>193</v>
      </c>
      <c r="R48" s="15">
        <v>608130222</v>
      </c>
      <c r="S48" s="15">
        <v>1</v>
      </c>
      <c r="T48" s="15" t="s">
        <v>27</v>
      </c>
      <c r="U48" s="15" t="s">
        <v>194</v>
      </c>
      <c r="V48" s="15" t="s">
        <v>28</v>
      </c>
      <c r="W48" s="15"/>
      <c r="X48" s="15" t="s">
        <v>195</v>
      </c>
      <c r="AC48" s="3"/>
      <c r="AD48" s="3"/>
      <c r="AG48" s="40"/>
      <c r="AH48" s="40"/>
      <c r="AK48" s="66" t="s">
        <v>196</v>
      </c>
      <c r="AL48" s="67" t="s">
        <v>197</v>
      </c>
      <c r="AM48" s="65">
        <v>11.87</v>
      </c>
      <c r="AN48" s="65">
        <v>9.11</v>
      </c>
      <c r="AO48" s="67">
        <v>6.43</v>
      </c>
      <c r="AP48">
        <f>AO48</f>
        <v>6.43</v>
      </c>
      <c r="AR48" s="68">
        <v>13.04</v>
      </c>
    </row>
    <row r="49" spans="2:45" ht="15">
      <c r="X49" t="s">
        <v>198</v>
      </c>
      <c r="AC49" s="3"/>
      <c r="AD49" s="3"/>
      <c r="AG49" s="40"/>
      <c r="AH49" s="40"/>
      <c r="AK49" s="66" t="s">
        <v>199</v>
      </c>
      <c r="AL49" s="67" t="s">
        <v>200</v>
      </c>
      <c r="AM49" s="65">
        <v>11.16</v>
      </c>
      <c r="AN49" s="65">
        <v>11.16</v>
      </c>
      <c r="AO49" s="67">
        <v>11.16</v>
      </c>
      <c r="AP49" s="69">
        <f>AP48+AO49</f>
        <v>17.59</v>
      </c>
      <c r="AR49" s="3">
        <v>12.28</v>
      </c>
    </row>
    <row r="50" spans="2:45" ht="15">
      <c r="X50" t="s">
        <v>201</v>
      </c>
      <c r="AC50" s="3"/>
      <c r="AD50" s="3"/>
      <c r="AE50" s="3"/>
      <c r="AH50" s="40"/>
      <c r="AI50" s="40"/>
      <c r="AL50" s="65" t="s">
        <v>202</v>
      </c>
      <c r="AM50" s="65" t="s">
        <v>203</v>
      </c>
      <c r="AN50" s="65">
        <v>0</v>
      </c>
      <c r="AO50" s="65">
        <v>0</v>
      </c>
      <c r="AP50" s="70">
        <v>0</v>
      </c>
      <c r="AS50" s="3"/>
    </row>
    <row r="51" spans="2:45" ht="15">
      <c r="P51" s="9">
        <v>25118</v>
      </c>
      <c r="Q51" s="7"/>
      <c r="R51" s="7"/>
      <c r="S51" s="8"/>
      <c r="T51" s="3"/>
      <c r="U51" s="19">
        <f>Q40</f>
        <v>0</v>
      </c>
      <c r="V51" s="18"/>
      <c r="W51" s="25"/>
      <c r="X51" s="26"/>
      <c r="Y51" s="3"/>
      <c r="Z51" s="5"/>
      <c r="AA51" s="5"/>
      <c r="AB51" s="5"/>
      <c r="AC51" s="20"/>
      <c r="AD51" s="20"/>
      <c r="AE51" s="20"/>
      <c r="AH51" t="s">
        <v>204</v>
      </c>
      <c r="AI51" t="s">
        <v>121</v>
      </c>
      <c r="AL51" s="65" t="s">
        <v>205</v>
      </c>
      <c r="AM51" s="65" t="s">
        <v>206</v>
      </c>
      <c r="AN51" s="65">
        <v>0</v>
      </c>
      <c r="AO51" s="65">
        <v>0</v>
      </c>
      <c r="AP51" s="70">
        <v>0</v>
      </c>
      <c r="AS51" s="3"/>
    </row>
    <row r="52" spans="2:45" ht="15">
      <c r="P52" s="12" t="s">
        <v>122</v>
      </c>
      <c r="Q52" s="11" t="s">
        <v>5</v>
      </c>
      <c r="R52" s="12" t="s">
        <v>6</v>
      </c>
      <c r="S52" s="12" t="s">
        <v>7</v>
      </c>
      <c r="T52" s="13" t="s">
        <v>8</v>
      </c>
      <c r="U52" s="3" t="s">
        <v>22</v>
      </c>
      <c r="V52" s="13" t="s">
        <v>25</v>
      </c>
      <c r="W52" s="12" t="s">
        <v>26</v>
      </c>
      <c r="X52" s="12" t="s">
        <v>9</v>
      </c>
      <c r="Y52" s="3"/>
      <c r="Z52" s="5"/>
      <c r="AA52" s="20" t="s">
        <v>124</v>
      </c>
      <c r="AB52" s="20" t="s">
        <v>125</v>
      </c>
      <c r="AC52" t="s">
        <v>207</v>
      </c>
      <c r="AD52" t="s">
        <v>208</v>
      </c>
      <c r="AH52" t="s">
        <v>37</v>
      </c>
      <c r="AJ52" s="48"/>
      <c r="AL52" s="67" t="s">
        <v>209</v>
      </c>
      <c r="AM52" s="66" t="s">
        <v>210</v>
      </c>
      <c r="AN52" s="65">
        <v>3.19</v>
      </c>
      <c r="AO52" s="65">
        <v>3.19</v>
      </c>
      <c r="AP52" s="67">
        <v>3.19</v>
      </c>
      <c r="AQ52">
        <f>AP49+AP52</f>
        <v>20.78</v>
      </c>
      <c r="AS52" s="3">
        <v>3.5</v>
      </c>
    </row>
    <row r="53" spans="2:45" ht="15">
      <c r="P53" s="45" t="s">
        <v>211</v>
      </c>
      <c r="Q53" s="45" t="s">
        <v>212</v>
      </c>
      <c r="R53" s="45">
        <v>607931101</v>
      </c>
      <c r="S53" s="45">
        <v>1</v>
      </c>
      <c r="T53" s="45" t="s">
        <v>27</v>
      </c>
      <c r="U53" s="45" t="s">
        <v>213</v>
      </c>
      <c r="V53" s="45" t="s">
        <v>118</v>
      </c>
      <c r="W53" s="45"/>
      <c r="X53" s="45" t="s">
        <v>214</v>
      </c>
      <c r="Y53" s="48"/>
      <c r="Z53" s="48"/>
      <c r="AA53" s="48"/>
      <c r="AB53" s="48"/>
      <c r="AC53" s="47"/>
      <c r="AD53" s="47"/>
      <c r="AE53" s="47"/>
      <c r="AF53" s="48"/>
      <c r="AL53" s="71" t="s">
        <v>215</v>
      </c>
      <c r="AM53" s="71" t="s">
        <v>216</v>
      </c>
      <c r="AN53" s="65">
        <v>6.36</v>
      </c>
      <c r="AO53" s="65">
        <v>6.36</v>
      </c>
      <c r="AP53" s="72">
        <v>6.36</v>
      </c>
      <c r="AQ53">
        <f>AQ52+AP53</f>
        <v>27.14</v>
      </c>
      <c r="AS53" s="3">
        <v>6.99</v>
      </c>
    </row>
    <row r="54" spans="2:45" ht="15.75">
      <c r="L54" s="47" t="s">
        <v>217</v>
      </c>
      <c r="M54" s="47" t="s">
        <v>218</v>
      </c>
      <c r="N54" s="73" t="s">
        <v>219</v>
      </c>
      <c r="O54" s="47"/>
      <c r="P54" s="32" t="s">
        <v>220</v>
      </c>
      <c r="Q54" s="58">
        <f>R41-1</f>
        <v>607164813.48952889</v>
      </c>
      <c r="R54" s="61">
        <f>R53+20</f>
        <v>607931121</v>
      </c>
      <c r="S54" s="21">
        <f>R54-Q54</f>
        <v>766307.51047110558</v>
      </c>
      <c r="T54" s="21">
        <f>S54*$V$9</f>
        <v>2927294.6899996232</v>
      </c>
      <c r="U54" s="3">
        <v>0</v>
      </c>
      <c r="V54" s="27">
        <f>T54+U54*$V$23</f>
        <v>2927294.6899996232</v>
      </c>
      <c r="W54" s="20">
        <f>Y54*1000000/8</f>
        <v>2857250.0000000005</v>
      </c>
      <c r="X54" s="22">
        <f>W54-V54</f>
        <v>-70044.689999622758</v>
      </c>
      <c r="Y54" s="74">
        <f>1.1*(AO48+AO49+AP52)</f>
        <v>22.858000000000004</v>
      </c>
      <c r="Z54" s="33" t="s">
        <v>221</v>
      </c>
      <c r="AA54" s="56">
        <f>S54*$S$9</f>
        <v>1065941.2859702141</v>
      </c>
      <c r="AB54" s="57">
        <f>AA54*8/1000000</f>
        <v>8.5275302877617118</v>
      </c>
      <c r="AC54" s="56">
        <f>AA54-V54</f>
        <v>-1861353.4040294092</v>
      </c>
      <c r="AD54" s="50">
        <f>AB54-Y54</f>
        <v>-14.330469712238292</v>
      </c>
      <c r="AE54" s="50"/>
      <c r="AF54" s="31" t="s">
        <v>222</v>
      </c>
      <c r="AG54" s="49" t="s">
        <v>223</v>
      </c>
      <c r="AH54" s="53">
        <f>X54*8/1000000</f>
        <v>-0.56035751999698202</v>
      </c>
      <c r="AI54" s="53">
        <f>V54*8/1000000</f>
        <v>23.418357519996984</v>
      </c>
      <c r="AJ54" s="63"/>
      <c r="AL54" s="71" t="s">
        <v>224</v>
      </c>
      <c r="AM54" s="71" t="s">
        <v>225</v>
      </c>
      <c r="AN54" s="65">
        <v>8.57</v>
      </c>
      <c r="AO54" s="65">
        <v>8.57</v>
      </c>
      <c r="AP54" s="72">
        <v>8.57</v>
      </c>
      <c r="AQ54">
        <f>AQ53+AP54</f>
        <v>35.71</v>
      </c>
      <c r="AS54" s="3">
        <v>9.43</v>
      </c>
    </row>
    <row r="55" spans="2:45" ht="15">
      <c r="C55" s="75" t="s">
        <v>226</v>
      </c>
      <c r="D55" s="75" t="s">
        <v>227</v>
      </c>
      <c r="E55" s="75" t="s">
        <v>51</v>
      </c>
      <c r="F55" s="75" t="s">
        <v>49</v>
      </c>
      <c r="G55" s="75" t="s">
        <v>50</v>
      </c>
      <c r="H55" s="75" t="s">
        <v>53</v>
      </c>
      <c r="I55" s="75" t="s">
        <v>54</v>
      </c>
      <c r="J55" s="75" t="s">
        <v>228</v>
      </c>
      <c r="P55" s="15" t="s">
        <v>229</v>
      </c>
      <c r="Q55" s="15" t="s">
        <v>230</v>
      </c>
      <c r="R55" s="15">
        <v>607931322</v>
      </c>
      <c r="S55" s="15">
        <v>1</v>
      </c>
      <c r="T55" s="15" t="s">
        <v>27</v>
      </c>
      <c r="U55" s="15" t="s">
        <v>213</v>
      </c>
      <c r="V55" s="15" t="s">
        <v>28</v>
      </c>
      <c r="W55" s="15"/>
      <c r="X55" s="15" t="s">
        <v>231</v>
      </c>
      <c r="Y55" s="60"/>
      <c r="Z55" s="60"/>
      <c r="AA55" s="60"/>
      <c r="AB55" s="60"/>
      <c r="AC55" s="59"/>
      <c r="AD55" s="59"/>
      <c r="AE55" s="59"/>
      <c r="AH55" s="53"/>
      <c r="AI55" s="53"/>
      <c r="AL55" s="65" t="s">
        <v>232</v>
      </c>
      <c r="AM55" s="65" t="s">
        <v>233</v>
      </c>
      <c r="AN55" s="65">
        <v>0</v>
      </c>
      <c r="AO55" s="65">
        <v>0</v>
      </c>
      <c r="AP55" s="70">
        <v>0</v>
      </c>
      <c r="AS55" s="3"/>
    </row>
    <row r="56" spans="2:45" ht="15.75">
      <c r="B56">
        <v>102</v>
      </c>
      <c r="C56">
        <v>101</v>
      </c>
      <c r="E56" t="s">
        <v>51</v>
      </c>
      <c r="F56" t="s">
        <v>49</v>
      </c>
      <c r="G56" t="s">
        <v>50</v>
      </c>
      <c r="H56" t="s">
        <v>53</v>
      </c>
      <c r="L56" s="59" t="s">
        <v>168</v>
      </c>
      <c r="M56" s="59" t="s">
        <v>234</v>
      </c>
      <c r="N56" s="76" t="s">
        <v>235</v>
      </c>
      <c r="O56" s="59"/>
      <c r="P56" s="32" t="s">
        <v>236</v>
      </c>
      <c r="Q56" s="58">
        <f>R39-1</f>
        <v>607165733.06575108</v>
      </c>
      <c r="R56" s="61">
        <f>R55+20</f>
        <v>607931342</v>
      </c>
      <c r="S56" s="21">
        <f>R56-Q56</f>
        <v>765608.93424892426</v>
      </c>
      <c r="T56" s="21">
        <f>S56*$V$10</f>
        <v>3717609.5700257518</v>
      </c>
      <c r="U56" s="3">
        <v>0</v>
      </c>
      <c r="V56" s="27">
        <f>T56+U56*$V$23</f>
        <v>3717609.5700257518</v>
      </c>
      <c r="W56" s="20">
        <f>Y56*1000000/8+X54</f>
        <v>5179705.3100003786</v>
      </c>
      <c r="X56" s="22">
        <f>W56-V56</f>
        <v>1462095.7399746268</v>
      </c>
      <c r="Y56" s="77">
        <f>1.1*(AP53+AP54+AP59+AP60)</f>
        <v>41.998000000000005</v>
      </c>
      <c r="Z56" s="33" t="s">
        <v>237</v>
      </c>
      <c r="AA56" s="50">
        <v>1654428</v>
      </c>
      <c r="AB56" s="56">
        <f>AA56-T56</f>
        <v>-2063181.5700257518</v>
      </c>
      <c r="AC56" s="62">
        <f>(AB56/8)/1000000</f>
        <v>-0.25789769625321896</v>
      </c>
      <c r="AD56" s="62"/>
      <c r="AE56" s="50"/>
      <c r="AF56" s="31" t="s">
        <v>238</v>
      </c>
      <c r="AG56" s="34" t="s">
        <v>239</v>
      </c>
      <c r="AH56" s="53">
        <f>X56*8/1000000</f>
        <v>11.696765919797015</v>
      </c>
      <c r="AI56" s="53">
        <f>V56*8/1000000</f>
        <v>29.740876560206015</v>
      </c>
      <c r="AL56" s="65" t="s">
        <v>240</v>
      </c>
      <c r="AM56" s="65" t="s">
        <v>241</v>
      </c>
      <c r="AN56" s="65">
        <v>0</v>
      </c>
      <c r="AO56" s="65">
        <v>0</v>
      </c>
      <c r="AP56" s="70">
        <v>0</v>
      </c>
      <c r="AS56" s="3"/>
    </row>
    <row r="57" spans="2:45" ht="15">
      <c r="P57" s="15" t="s">
        <v>242</v>
      </c>
      <c r="Q57" s="15" t="s">
        <v>243</v>
      </c>
      <c r="R57" s="15">
        <v>607961216</v>
      </c>
      <c r="S57" s="15">
        <v>7</v>
      </c>
      <c r="T57" s="15" t="s">
        <v>27</v>
      </c>
      <c r="U57" s="15" t="s">
        <v>244</v>
      </c>
      <c r="V57" s="15" t="s">
        <v>151</v>
      </c>
      <c r="W57" s="15" t="s">
        <v>152</v>
      </c>
      <c r="X57" s="15" t="s">
        <v>245</v>
      </c>
      <c r="Y57" s="60"/>
      <c r="Z57" s="60"/>
      <c r="AA57" s="60"/>
      <c r="AB57" s="60"/>
      <c r="AC57" s="59"/>
      <c r="AD57" s="59"/>
      <c r="AE57" s="59"/>
      <c r="AH57" s="53"/>
      <c r="AI57" s="53"/>
      <c r="AL57" s="65" t="s">
        <v>246</v>
      </c>
      <c r="AM57" s="65" t="s">
        <v>247</v>
      </c>
      <c r="AN57" s="65">
        <v>0</v>
      </c>
      <c r="AO57" s="65">
        <v>0</v>
      </c>
      <c r="AP57" s="70">
        <v>0</v>
      </c>
      <c r="AS57" s="3"/>
    </row>
    <row r="58" spans="2:45" ht="15.75">
      <c r="B58">
        <v>102</v>
      </c>
      <c r="C58">
        <v>101</v>
      </c>
      <c r="E58" t="s">
        <v>51</v>
      </c>
      <c r="F58" t="s">
        <v>49</v>
      </c>
      <c r="G58" t="s">
        <v>50</v>
      </c>
      <c r="H58" t="s">
        <v>53</v>
      </c>
      <c r="L58" s="59" t="s">
        <v>248</v>
      </c>
      <c r="M58" s="78" t="s">
        <v>249</v>
      </c>
      <c r="N58" s="76" t="s">
        <v>250</v>
      </c>
      <c r="O58" s="59"/>
      <c r="P58" s="32" t="s">
        <v>236</v>
      </c>
      <c r="Q58" s="61">
        <f>R57-20</f>
        <v>607961196</v>
      </c>
      <c r="R58" s="21">
        <f>((W58-U58*$V$23)/$V$10)+Q58</f>
        <v>608221654.09265757</v>
      </c>
      <c r="S58" s="21">
        <f>R58-Q58</f>
        <v>260458.09265756607</v>
      </c>
      <c r="T58" s="21">
        <f>S58*$V$10</f>
        <v>1264720.7399745442</v>
      </c>
      <c r="U58" s="3">
        <v>1</v>
      </c>
      <c r="V58" s="27">
        <f>T58+U58*$V$23</f>
        <v>1462095.7399745442</v>
      </c>
      <c r="W58" s="20">
        <f>X56</f>
        <v>1462095.7399746268</v>
      </c>
      <c r="X58" s="22">
        <f>W58-V58</f>
        <v>8.2654878497123718E-8</v>
      </c>
      <c r="Y58" t="s">
        <v>251</v>
      </c>
      <c r="AA58" s="50">
        <v>334035</v>
      </c>
      <c r="AB58" s="56">
        <f>AA58-T58</f>
        <v>-930685.73997454415</v>
      </c>
      <c r="AC58" s="62">
        <f>(AB58/8)/1000000</f>
        <v>-0.11633571749681802</v>
      </c>
      <c r="AD58" s="62"/>
      <c r="AE58" s="3"/>
      <c r="AF58">
        <f>15*60*4.8624</f>
        <v>4376.16</v>
      </c>
      <c r="AG58" t="s">
        <v>20</v>
      </c>
      <c r="AH58" s="53">
        <f>X58*8/1000000</f>
        <v>6.6123902797698976E-13</v>
      </c>
      <c r="AI58" s="53">
        <f>V58*8/1000000</f>
        <v>11.696765919796354</v>
      </c>
      <c r="AL58" s="65" t="s">
        <v>252</v>
      </c>
      <c r="AM58" s="65" t="s">
        <v>253</v>
      </c>
      <c r="AN58" s="65">
        <v>0</v>
      </c>
      <c r="AO58" s="65">
        <v>0</v>
      </c>
      <c r="AP58" s="70">
        <v>0</v>
      </c>
      <c r="AS58" s="3"/>
    </row>
    <row r="59" spans="2:45" ht="15">
      <c r="L59" s="6" t="s">
        <v>254</v>
      </c>
      <c r="M59" t="s">
        <v>255</v>
      </c>
      <c r="N59" t="s">
        <v>256</v>
      </c>
      <c r="P59" s="45" t="s">
        <v>257</v>
      </c>
      <c r="Q59" s="45" t="s">
        <v>258</v>
      </c>
      <c r="R59" s="45">
        <v>607960737</v>
      </c>
      <c r="S59" s="45">
        <v>7</v>
      </c>
      <c r="T59" s="45" t="s">
        <v>27</v>
      </c>
      <c r="U59" s="45" t="s">
        <v>259</v>
      </c>
      <c r="V59" s="45" t="s">
        <v>101</v>
      </c>
      <c r="W59" s="45" t="s">
        <v>102</v>
      </c>
      <c r="X59" s="45" t="s">
        <v>260</v>
      </c>
      <c r="Y59" s="48"/>
      <c r="Z59" s="48"/>
      <c r="AA59" s="48"/>
      <c r="AB59" s="3"/>
      <c r="AC59" s="3"/>
      <c r="AD59" s="3"/>
      <c r="AE59" s="3"/>
      <c r="AF59" s="3"/>
      <c r="AH59" s="53"/>
      <c r="AI59" s="53"/>
      <c r="AL59" s="71" t="s">
        <v>261</v>
      </c>
      <c r="AM59" s="71" t="s">
        <v>262</v>
      </c>
      <c r="AN59" s="65">
        <v>6.03</v>
      </c>
      <c r="AO59" s="65">
        <v>6.03</v>
      </c>
      <c r="AP59" s="72">
        <v>6.03</v>
      </c>
      <c r="AQ59">
        <f>AQ54+AP59</f>
        <v>41.74</v>
      </c>
      <c r="AS59" s="3">
        <v>6.63</v>
      </c>
    </row>
    <row r="60" spans="2:45" ht="15.75">
      <c r="L60" s="47" t="s">
        <v>263</v>
      </c>
      <c r="M60" s="47" t="s">
        <v>264</v>
      </c>
      <c r="N60" s="48" t="s">
        <v>265</v>
      </c>
      <c r="O60" s="47"/>
      <c r="P60" s="32" t="s">
        <v>15</v>
      </c>
      <c r="Q60" s="61">
        <f>R59-20</f>
        <v>607960717</v>
      </c>
      <c r="R60" s="61">
        <f>R62+20</f>
        <v>608535921</v>
      </c>
      <c r="S60" s="21">
        <f>R60-Q60</f>
        <v>575204</v>
      </c>
      <c r="T60" s="21">
        <f>S60*$V$9</f>
        <v>2197279.2799999998</v>
      </c>
      <c r="U60" s="3">
        <v>0</v>
      </c>
      <c r="V60" s="27">
        <f>T60+U60*$V$23</f>
        <v>2197279.2799999998</v>
      </c>
      <c r="W60" s="20">
        <f>Y60*1000000/8</f>
        <v>3121250.0000000005</v>
      </c>
      <c r="X60" s="22">
        <f>W60-V60</f>
        <v>923970.72000000067</v>
      </c>
      <c r="Y60" s="79">
        <f>1.1*(AP61+AP62+AP63)</f>
        <v>24.970000000000002</v>
      </c>
      <c r="Z60" s="33" t="s">
        <v>266</v>
      </c>
      <c r="AA60" s="56">
        <f>S60*$S$9</f>
        <v>800114.42283564818</v>
      </c>
      <c r="AB60" s="57">
        <f>AA60*8/1000000</f>
        <v>6.4009153826851852</v>
      </c>
      <c r="AC60" s="56">
        <f>AA60-V60</f>
        <v>-1397164.8571643517</v>
      </c>
      <c r="AD60" s="50">
        <f>AB60-Y60</f>
        <v>-18.569084617314818</v>
      </c>
      <c r="AE60" s="50"/>
      <c r="AF60" t="s">
        <v>30</v>
      </c>
      <c r="AG60" s="48" t="s">
        <v>267</v>
      </c>
      <c r="AH60" s="53">
        <f>X60*8/1000000</f>
        <v>7.3917657600000055</v>
      </c>
      <c r="AI60" s="53">
        <f>V60*8/1000000</f>
        <v>17.578234239999997</v>
      </c>
      <c r="AL60" s="71" t="s">
        <v>268</v>
      </c>
      <c r="AM60" s="71" t="s">
        <v>269</v>
      </c>
      <c r="AN60" s="65">
        <v>17.22</v>
      </c>
      <c r="AO60" s="65">
        <v>17.22</v>
      </c>
      <c r="AP60" s="72">
        <v>17.22</v>
      </c>
      <c r="AQ60">
        <f>AQ59+AP60</f>
        <v>58.96</v>
      </c>
      <c r="AS60" s="3">
        <v>18.940000000000001</v>
      </c>
    </row>
    <row r="61" spans="2:45" ht="15">
      <c r="O61" s="6" t="s">
        <v>270</v>
      </c>
      <c r="P61" s="46" t="s">
        <v>271</v>
      </c>
      <c r="Q61" s="46" t="s">
        <v>272</v>
      </c>
      <c r="R61" s="46">
        <v>608622301</v>
      </c>
      <c r="S61" s="46">
        <v>1</v>
      </c>
      <c r="T61" s="46" t="s">
        <v>27</v>
      </c>
      <c r="U61" s="46" t="s">
        <v>273</v>
      </c>
      <c r="V61" s="46" t="s">
        <v>118</v>
      </c>
      <c r="W61" s="46"/>
      <c r="X61" s="46" t="s">
        <v>274</v>
      </c>
      <c r="Y61">
        <f>(Y60+Y56+Y54)*0.9</f>
        <v>80.843400000000003</v>
      </c>
      <c r="AC61" s="3"/>
      <c r="AD61" s="3"/>
      <c r="AE61" s="3"/>
      <c r="AH61" s="53"/>
      <c r="AI61" s="53"/>
      <c r="AL61" s="80" t="s">
        <v>275</v>
      </c>
      <c r="AM61" s="80" t="s">
        <v>276</v>
      </c>
      <c r="AN61" s="65">
        <v>8.7799999999999994</v>
      </c>
      <c r="AO61" s="65">
        <v>8.7799999999999994</v>
      </c>
      <c r="AP61" s="81">
        <v>8.7799999999999994</v>
      </c>
      <c r="AQ61">
        <f>AQ60+AP61</f>
        <v>67.739999999999995</v>
      </c>
      <c r="AS61" s="3">
        <v>9.66</v>
      </c>
    </row>
    <row r="62" spans="2:45" ht="15">
      <c r="O62" s="6" t="s">
        <v>277</v>
      </c>
      <c r="P62" s="46" t="s">
        <v>278</v>
      </c>
      <c r="Q62" s="46" t="s">
        <v>279</v>
      </c>
      <c r="R62" s="82">
        <f>R61-86400</f>
        <v>608535901</v>
      </c>
      <c r="S62" s="46">
        <v>1</v>
      </c>
      <c r="T62" s="46" t="s">
        <v>27</v>
      </c>
      <c r="U62" s="46" t="s">
        <v>273</v>
      </c>
      <c r="V62" s="46" t="s">
        <v>118</v>
      </c>
      <c r="W62" s="46"/>
      <c r="X62" s="46" t="s">
        <v>274</v>
      </c>
      <c r="Y62" s="48"/>
      <c r="Z62" s="48"/>
      <c r="AA62" s="48"/>
      <c r="AB62" s="48"/>
      <c r="AC62" s="47"/>
      <c r="AD62" s="47"/>
      <c r="AE62" s="47"/>
      <c r="AF62" s="48"/>
      <c r="AH62" s="53"/>
      <c r="AI62" s="53"/>
      <c r="AL62" s="80" t="s">
        <v>280</v>
      </c>
      <c r="AM62" s="80" t="s">
        <v>281</v>
      </c>
      <c r="AN62" s="65">
        <v>6.38</v>
      </c>
      <c r="AO62" s="65">
        <v>6.38</v>
      </c>
      <c r="AP62" s="81">
        <v>6.38</v>
      </c>
      <c r="AQ62">
        <f>AQ61+AP62</f>
        <v>74.11999999999999</v>
      </c>
      <c r="AS62" s="3">
        <v>7.01</v>
      </c>
    </row>
    <row r="63" spans="2:45" ht="15">
      <c r="O63" s="6" t="s">
        <v>282</v>
      </c>
      <c r="P63" s="46" t="s">
        <v>283</v>
      </c>
      <c r="Q63" s="46" t="s">
        <v>284</v>
      </c>
      <c r="R63" s="46">
        <v>608651936</v>
      </c>
      <c r="S63" s="46">
        <v>7</v>
      </c>
      <c r="T63" s="46" t="s">
        <v>27</v>
      </c>
      <c r="U63" s="46" t="s">
        <v>285</v>
      </c>
      <c r="V63" s="46" t="s">
        <v>101</v>
      </c>
      <c r="W63" s="46" t="s">
        <v>102</v>
      </c>
      <c r="X63" s="46" t="s">
        <v>286</v>
      </c>
      <c r="Y63" s="48"/>
      <c r="Z63" s="48"/>
      <c r="AA63" s="48"/>
      <c r="AB63" s="48"/>
      <c r="AC63" s="47"/>
      <c r="AD63" s="47"/>
      <c r="AE63" s="47"/>
      <c r="AF63" s="48"/>
      <c r="AH63" s="53"/>
      <c r="AI63" s="53"/>
      <c r="AL63" s="80" t="s">
        <v>287</v>
      </c>
      <c r="AM63" s="80" t="s">
        <v>288</v>
      </c>
      <c r="AN63" s="65">
        <v>7.54</v>
      </c>
      <c r="AO63" s="65">
        <v>7.54</v>
      </c>
      <c r="AP63" s="81">
        <v>7.54</v>
      </c>
      <c r="AQ63">
        <f>AQ62+AP63</f>
        <v>81.66</v>
      </c>
      <c r="AR63">
        <f>AQ63/2</f>
        <v>40.83</v>
      </c>
      <c r="AS63" s="3">
        <v>8.3000000000000007</v>
      </c>
    </row>
    <row r="64" spans="2:45" ht="15">
      <c r="O64" s="6" t="s">
        <v>277</v>
      </c>
      <c r="P64" s="46" t="s">
        <v>283</v>
      </c>
      <c r="Q64" s="46" t="s">
        <v>289</v>
      </c>
      <c r="R64" s="82">
        <f>R63-86400</f>
        <v>608565536</v>
      </c>
      <c r="S64" s="46">
        <v>7</v>
      </c>
      <c r="T64" s="46" t="s">
        <v>27</v>
      </c>
      <c r="U64" s="46" t="s">
        <v>285</v>
      </c>
      <c r="V64" s="46" t="s">
        <v>101</v>
      </c>
      <c r="W64" s="46" t="s">
        <v>102</v>
      </c>
      <c r="X64" s="46" t="s">
        <v>286</v>
      </c>
      <c r="Y64" s="48"/>
      <c r="Z64" s="48"/>
      <c r="AA64" s="48"/>
      <c r="AB64" s="48"/>
      <c r="AC64" s="47"/>
      <c r="AD64" s="47"/>
      <c r="AE64" s="47"/>
      <c r="AF64" s="48"/>
      <c r="AH64" s="53"/>
      <c r="AI64" s="53"/>
    </row>
    <row r="65" spans="1:47" ht="15.75">
      <c r="L65" s="47" t="s">
        <v>290</v>
      </c>
      <c r="M65" s="47" t="s">
        <v>291</v>
      </c>
      <c r="N65" s="48" t="s">
        <v>292</v>
      </c>
      <c r="O65" s="47"/>
      <c r="P65" s="32" t="s">
        <v>15</v>
      </c>
      <c r="Q65" s="61">
        <f>R64-20</f>
        <v>608565516</v>
      </c>
      <c r="R65" s="28">
        <f>((W65)/$V$9)+Q65</f>
        <v>608807393.15183246</v>
      </c>
      <c r="S65" s="21">
        <f>R65-Q65</f>
        <v>241877.15183246136</v>
      </c>
      <c r="T65" s="21">
        <f>S65*$V$9</f>
        <v>923970.7200000023</v>
      </c>
      <c r="U65" s="3">
        <v>0</v>
      </c>
      <c r="V65" s="27">
        <f>T65+U65*$V$23</f>
        <v>923970.7200000023</v>
      </c>
      <c r="W65" s="20">
        <f>X60</f>
        <v>923970.72000000067</v>
      </c>
      <c r="X65" s="22">
        <f>W65-V65</f>
        <v>-1.6298145055770874E-9</v>
      </c>
      <c r="Y65">
        <f>SUM(Y54:Y60)</f>
        <v>89.826000000000008</v>
      </c>
      <c r="AA65" s="56">
        <f>S65*$S$9</f>
        <v>336453.49777741509</v>
      </c>
      <c r="AB65" s="57">
        <f>AA65*8/1000000</f>
        <v>2.6916279822193205</v>
      </c>
      <c r="AC65" s="56">
        <f>AA65-V65</f>
        <v>-587517.22222258721</v>
      </c>
      <c r="AD65" s="50">
        <f>AB65-Y65</f>
        <v>-87.134372017780692</v>
      </c>
      <c r="AE65" s="50"/>
      <c r="AG65" s="48" t="s">
        <v>293</v>
      </c>
      <c r="AH65" s="53">
        <f>X65*8/1000000</f>
        <v>-1.3038516044616699E-14</v>
      </c>
      <c r="AI65" s="53">
        <f>V65*8/1000000</f>
        <v>7.3917657600000188</v>
      </c>
      <c r="AU65" s="3"/>
    </row>
    <row r="66" spans="1:47" ht="15">
      <c r="Z66" s="59">
        <f>Y56</f>
        <v>41.998000000000005</v>
      </c>
      <c r="AB66" s="64">
        <f>AB65+AB60+AB54</f>
        <v>17.620073652666218</v>
      </c>
      <c r="AC66" s="3"/>
      <c r="AD66" s="3"/>
      <c r="AE66" s="3"/>
      <c r="AH66" s="53"/>
      <c r="AI66" s="53"/>
    </row>
    <row r="67" spans="1:47" ht="15">
      <c r="X67" t="s">
        <v>198</v>
      </c>
      <c r="AB67" t="s">
        <v>179</v>
      </c>
      <c r="AC67" s="3"/>
      <c r="AD67" s="3"/>
      <c r="AE67" s="3"/>
      <c r="AH67" s="53"/>
      <c r="AI67" s="53"/>
    </row>
    <row r="68" spans="1:47" ht="15">
      <c r="P68" t="s">
        <v>294</v>
      </c>
      <c r="X68" t="s">
        <v>295</v>
      </c>
      <c r="AC68" s="3"/>
      <c r="AD68" s="3"/>
      <c r="AE68" s="3"/>
      <c r="AH68" s="53"/>
      <c r="AI68" s="53"/>
    </row>
    <row r="69" spans="1:47" ht="15">
      <c r="P69" s="15" t="s">
        <v>192</v>
      </c>
      <c r="Q69" s="15" t="s">
        <v>193</v>
      </c>
      <c r="R69" s="15">
        <v>608130222</v>
      </c>
      <c r="S69" s="15">
        <v>1</v>
      </c>
      <c r="T69" s="15" t="s">
        <v>27</v>
      </c>
      <c r="U69" s="15" t="s">
        <v>194</v>
      </c>
      <c r="V69" s="15" t="s">
        <v>28</v>
      </c>
      <c r="W69" s="15"/>
      <c r="X69" s="15" t="s">
        <v>195</v>
      </c>
      <c r="Y69" s="60"/>
      <c r="Z69" s="60"/>
      <c r="AA69" s="60"/>
      <c r="AB69" s="60"/>
      <c r="AC69" s="59"/>
      <c r="AD69" s="59"/>
      <c r="AE69" s="59"/>
      <c r="AH69" s="53"/>
      <c r="AI69" s="53"/>
    </row>
    <row r="70" spans="1:47" ht="15">
      <c r="P70" s="15" t="s">
        <v>296</v>
      </c>
      <c r="Q70" s="15" t="s">
        <v>297</v>
      </c>
      <c r="R70" s="15">
        <v>608131016</v>
      </c>
      <c r="S70" s="15">
        <v>7</v>
      </c>
      <c r="T70" s="15" t="s">
        <v>27</v>
      </c>
      <c r="U70" s="15" t="s">
        <v>298</v>
      </c>
      <c r="V70" s="15" t="s">
        <v>151</v>
      </c>
      <c r="W70" s="15" t="s">
        <v>152</v>
      </c>
      <c r="X70" s="15" t="s">
        <v>299</v>
      </c>
      <c r="Y70" s="60"/>
      <c r="Z70" s="60"/>
      <c r="AA70" s="60"/>
      <c r="AB70" s="60"/>
      <c r="AC70" s="59"/>
      <c r="AD70" s="59"/>
      <c r="AE70" s="59"/>
      <c r="AH70" s="53"/>
      <c r="AI70" s="53"/>
    </row>
    <row r="71" spans="1:47" ht="15">
      <c r="P71" s="9">
        <v>25139</v>
      </c>
      <c r="Q71" s="7"/>
      <c r="R71" s="7"/>
      <c r="S71" s="8"/>
      <c r="T71" s="3"/>
      <c r="U71" s="19"/>
      <c r="V71" s="18"/>
      <c r="W71" s="25"/>
      <c r="X71" s="26"/>
      <c r="AC71" s="3" t="s">
        <v>147</v>
      </c>
      <c r="AD71" s="3"/>
      <c r="AE71" s="3"/>
      <c r="AN71" s="3"/>
    </row>
    <row r="72" spans="1:47" ht="15">
      <c r="L72" t="s">
        <v>300</v>
      </c>
      <c r="P72" s="12" t="s">
        <v>122</v>
      </c>
      <c r="Q72" s="11" t="s">
        <v>5</v>
      </c>
      <c r="R72" s="12" t="s">
        <v>6</v>
      </c>
      <c r="S72" s="12" t="s">
        <v>7</v>
      </c>
      <c r="T72" s="13" t="s">
        <v>8</v>
      </c>
      <c r="U72" s="3" t="s">
        <v>22</v>
      </c>
      <c r="V72" s="13" t="s">
        <v>25</v>
      </c>
      <c r="W72" s="12" t="s">
        <v>26</v>
      </c>
      <c r="X72" s="12" t="s">
        <v>9</v>
      </c>
      <c r="AB72" s="3" t="s">
        <v>154</v>
      </c>
      <c r="AC72" s="3" t="s">
        <v>155</v>
      </c>
      <c r="AD72" s="3" t="s">
        <v>156</v>
      </c>
      <c r="AE72" s="3"/>
      <c r="AN72" s="4"/>
    </row>
    <row r="73" spans="1:47" ht="15">
      <c r="C73" s="75" t="s">
        <v>226</v>
      </c>
      <c r="D73" s="75" t="s">
        <v>227</v>
      </c>
      <c r="E73" s="75" t="s">
        <v>51</v>
      </c>
      <c r="F73" s="75" t="s">
        <v>49</v>
      </c>
      <c r="G73" s="75" t="s">
        <v>50</v>
      </c>
      <c r="H73" s="75" t="s">
        <v>53</v>
      </c>
      <c r="I73" s="75" t="s">
        <v>54</v>
      </c>
      <c r="J73" s="75" t="s">
        <v>228</v>
      </c>
      <c r="L73" t="s">
        <v>301</v>
      </c>
      <c r="P73" s="16" t="s">
        <v>302</v>
      </c>
      <c r="Q73" s="16" t="s">
        <v>303</v>
      </c>
      <c r="R73" s="16">
        <v>608536122</v>
      </c>
      <c r="S73" s="16">
        <v>1</v>
      </c>
      <c r="T73" s="16" t="s">
        <v>27</v>
      </c>
      <c r="U73" s="16" t="s">
        <v>304</v>
      </c>
      <c r="V73" s="16" t="s">
        <v>28</v>
      </c>
      <c r="W73" s="16"/>
      <c r="X73" s="16" t="s">
        <v>305</v>
      </c>
      <c r="Y73" s="60"/>
      <c r="Z73" s="60"/>
      <c r="AA73" s="60"/>
      <c r="AB73" s="60"/>
      <c r="AC73" s="59"/>
      <c r="AD73" s="59"/>
      <c r="AE73" s="59"/>
      <c r="AH73" t="s">
        <v>306</v>
      </c>
      <c r="AI73" t="s">
        <v>121</v>
      </c>
      <c r="AL73" s="83" t="s">
        <v>307</v>
      </c>
      <c r="AM73" s="83" t="s">
        <v>308</v>
      </c>
      <c r="AN73" s="83" t="s">
        <v>309</v>
      </c>
      <c r="AO73" s="83" t="s">
        <v>310</v>
      </c>
      <c r="AP73" s="83" t="s">
        <v>311</v>
      </c>
    </row>
    <row r="74" spans="1:47" ht="15.75">
      <c r="B74">
        <v>102</v>
      </c>
      <c r="C74">
        <v>101</v>
      </c>
      <c r="E74" t="s">
        <v>51</v>
      </c>
      <c r="F74" t="s">
        <v>49</v>
      </c>
      <c r="G74" t="s">
        <v>50</v>
      </c>
      <c r="H74" t="s">
        <v>53</v>
      </c>
      <c r="L74" s="59" t="s">
        <v>249</v>
      </c>
      <c r="M74" s="59" t="s">
        <v>312</v>
      </c>
      <c r="N74" s="76" t="s">
        <v>18</v>
      </c>
      <c r="O74" s="84" t="s">
        <v>313</v>
      </c>
      <c r="P74" s="32" t="s">
        <v>16</v>
      </c>
      <c r="Q74" s="85">
        <f>R58-1</f>
        <v>608221653.09265757</v>
      </c>
      <c r="R74" s="86">
        <f>R73+20</f>
        <v>608536142</v>
      </c>
      <c r="S74" s="21">
        <f>R74-Q74</f>
        <v>314488.90734243393</v>
      </c>
      <c r="T74" s="21">
        <f>S74*$V$10</f>
        <v>1527081.1497910847</v>
      </c>
      <c r="U74" s="3">
        <v>1</v>
      </c>
      <c r="V74" s="27">
        <f>T74+U74*$V$23</f>
        <v>1724456.1497910847</v>
      </c>
      <c r="W74" s="20">
        <f>Y74*1000000/8</f>
        <v>2076250</v>
      </c>
      <c r="X74" s="87">
        <f>W74-V74</f>
        <v>351793.8502089153</v>
      </c>
      <c r="Y74" s="77">
        <f>1.1*AN74</f>
        <v>16.61</v>
      </c>
      <c r="Z74" s="33"/>
      <c r="AA74" s="33"/>
      <c r="AB74" s="50">
        <v>1612718</v>
      </c>
      <c r="AC74" s="50">
        <f>AB74-V74</f>
        <v>-111738.1497910847</v>
      </c>
      <c r="AD74" s="88">
        <f>AC74*8/1000000</f>
        <v>-0.89390519832867754</v>
      </c>
      <c r="AE74" s="62">
        <f>AC74/AB74</f>
        <v>-6.9285609629882408E-2</v>
      </c>
      <c r="AF74" s="31" t="s">
        <v>314</v>
      </c>
      <c r="AG74" s="34" t="s">
        <v>313</v>
      </c>
      <c r="AH74" s="53">
        <f>X74*8/1000000</f>
        <v>2.8143508016713223</v>
      </c>
      <c r="AI74" s="53">
        <f>V74*8/1000000</f>
        <v>13.795649198328677</v>
      </c>
      <c r="AL74" s="89" t="s">
        <v>315</v>
      </c>
      <c r="AM74" s="89" t="s">
        <v>316</v>
      </c>
      <c r="AN74" s="89">
        <v>15.1</v>
      </c>
      <c r="AO74" s="89">
        <v>15.1</v>
      </c>
      <c r="AP74" s="89">
        <v>15.1</v>
      </c>
      <c r="AQ74">
        <f>AP74</f>
        <v>15.1</v>
      </c>
    </row>
    <row r="75" spans="1:47" ht="15">
      <c r="M75" s="3"/>
      <c r="P75" s="16" t="s">
        <v>317</v>
      </c>
      <c r="Q75" s="16" t="s">
        <v>318</v>
      </c>
      <c r="R75" s="16">
        <v>608566017</v>
      </c>
      <c r="S75" s="16">
        <v>7</v>
      </c>
      <c r="T75" s="16" t="s">
        <v>27</v>
      </c>
      <c r="U75" s="16" t="s">
        <v>319</v>
      </c>
      <c r="V75" s="16" t="s">
        <v>151</v>
      </c>
      <c r="W75" s="16" t="s">
        <v>152</v>
      </c>
      <c r="X75" s="16" t="s">
        <v>320</v>
      </c>
      <c r="Y75" s="60"/>
      <c r="Z75" s="60"/>
      <c r="AA75" s="60"/>
      <c r="AB75" s="78"/>
      <c r="AC75" s="59"/>
      <c r="AD75" s="59"/>
      <c r="AE75" s="90"/>
      <c r="AH75" s="53"/>
      <c r="AI75" s="53"/>
    </row>
    <row r="76" spans="1:47" ht="15.75">
      <c r="A76" s="76" t="s">
        <v>157</v>
      </c>
      <c r="B76">
        <v>102</v>
      </c>
      <c r="C76">
        <v>101</v>
      </c>
      <c r="E76" t="s">
        <v>51</v>
      </c>
      <c r="F76" t="s">
        <v>49</v>
      </c>
      <c r="G76" t="s">
        <v>50</v>
      </c>
      <c r="H76" t="s">
        <v>53</v>
      </c>
      <c r="I76" s="76"/>
      <c r="J76" s="76"/>
      <c r="K76" s="76"/>
      <c r="L76" s="78" t="s">
        <v>321</v>
      </c>
      <c r="M76" s="78" t="s">
        <v>322</v>
      </c>
      <c r="N76" s="76"/>
      <c r="O76" s="84" t="s">
        <v>313</v>
      </c>
      <c r="P76" s="32" t="s">
        <v>16</v>
      </c>
      <c r="Q76" s="91">
        <f>R75+20</f>
        <v>608566037</v>
      </c>
      <c r="R76" s="28">
        <f t="shared" ref="R76:R81" si="3">((W76-U76*$V$23)/$V$10)+Q76</f>
        <v>608597838.20158112</v>
      </c>
      <c r="S76" s="21">
        <f t="shared" ref="S76:S81" si="4">R76-Q76</f>
        <v>31801.201581120491</v>
      </c>
      <c r="T76" s="21">
        <f t="shared" ref="T76:T81" si="5">S76*$V$10</f>
        <v>154418.85020878428</v>
      </c>
      <c r="U76" s="3">
        <v>1</v>
      </c>
      <c r="V76" s="27">
        <f t="shared" ref="V76:V81" si="6">T76+U76*$V$23</f>
        <v>351793.85020878428</v>
      </c>
      <c r="W76" s="20">
        <f>X74</f>
        <v>351793.8502089153</v>
      </c>
      <c r="X76" s="87">
        <f t="shared" ref="X76:X81" si="7">W76-V76</f>
        <v>1.3102544471621513E-7</v>
      </c>
      <c r="AB76" s="50">
        <v>334134</v>
      </c>
      <c r="AC76" s="50">
        <f t="shared" ref="AC76:AC81" si="8">AB76-V76</f>
        <v>-17659.850208784279</v>
      </c>
      <c r="AD76" s="88">
        <f t="shared" ref="AD76:AD81" si="9">AC76*8/1000000</f>
        <v>-0.14127880167027423</v>
      </c>
      <c r="AE76" s="62">
        <f t="shared" ref="AE76:AE81" si="10">AC76/AB76</f>
        <v>-5.2852598684313114E-2</v>
      </c>
      <c r="AF76" s="31" t="s">
        <v>314</v>
      </c>
      <c r="AG76" s="34" t="s">
        <v>313</v>
      </c>
      <c r="AH76" s="53">
        <f t="shared" ref="AH76:AH81" si="11">X76*8/1000000</f>
        <v>1.0482035577297211E-12</v>
      </c>
      <c r="AI76" s="53">
        <f t="shared" ref="AI76:AI81" si="12">V76*8/1000000</f>
        <v>2.8143508016702743</v>
      </c>
    </row>
    <row r="77" spans="1:47" ht="15.75">
      <c r="B77">
        <v>102</v>
      </c>
      <c r="C77">
        <v>101</v>
      </c>
      <c r="E77" t="s">
        <v>51</v>
      </c>
      <c r="F77" t="s">
        <v>49</v>
      </c>
      <c r="G77" t="s">
        <v>50</v>
      </c>
      <c r="H77" t="s">
        <v>53</v>
      </c>
      <c r="L77" s="78" t="s">
        <v>322</v>
      </c>
      <c r="M77" s="78" t="s">
        <v>323</v>
      </c>
      <c r="O77" s="84" t="s">
        <v>324</v>
      </c>
      <c r="P77" s="32" t="s">
        <v>325</v>
      </c>
      <c r="Q77" s="85">
        <f>R76-1</f>
        <v>608597837.20158112</v>
      </c>
      <c r="R77" s="28">
        <f t="shared" si="3"/>
        <v>608806816.02288961</v>
      </c>
      <c r="S77" s="21">
        <f t="shared" si="4"/>
        <v>208978.82130849361</v>
      </c>
      <c r="T77" s="21">
        <f t="shared" si="5"/>
        <v>1014750.0000000803</v>
      </c>
      <c r="U77" s="3">
        <v>0</v>
      </c>
      <c r="V77" s="27">
        <f t="shared" si="6"/>
        <v>1014750.0000000803</v>
      </c>
      <c r="W77" s="20">
        <f>Y77*1000000/8</f>
        <v>1014750</v>
      </c>
      <c r="X77" s="87">
        <f t="shared" si="7"/>
        <v>-8.0326572060585022E-8</v>
      </c>
      <c r="Y77" s="77">
        <f>1.1*AN77</f>
        <v>8.1180000000000003</v>
      </c>
      <c r="Z77" s="33"/>
      <c r="AA77" s="33"/>
      <c r="AB77" s="50">
        <v>1116266</v>
      </c>
      <c r="AC77" s="50">
        <f t="shared" si="8"/>
        <v>101515.99999991967</v>
      </c>
      <c r="AD77" s="88">
        <f t="shared" si="9"/>
        <v>0.81212799999935736</v>
      </c>
      <c r="AE77" s="62">
        <f t="shared" si="10"/>
        <v>9.0942481451481705E-2</v>
      </c>
      <c r="AF77" s="31" t="s">
        <v>326</v>
      </c>
      <c r="AG77" s="34" t="s">
        <v>324</v>
      </c>
      <c r="AH77" s="53">
        <f t="shared" si="11"/>
        <v>-6.4261257648468014E-13</v>
      </c>
      <c r="AI77" s="53">
        <f t="shared" si="12"/>
        <v>8.1180000000006434</v>
      </c>
      <c r="AJ77" s="3"/>
      <c r="AK77" s="3"/>
      <c r="AL77" s="89" t="s">
        <v>327</v>
      </c>
      <c r="AM77" s="89" t="s">
        <v>328</v>
      </c>
      <c r="AN77" s="89">
        <v>7.38</v>
      </c>
      <c r="AO77" s="89">
        <v>7.38</v>
      </c>
      <c r="AP77" s="89">
        <v>7.38</v>
      </c>
      <c r="AQ77" s="92">
        <f>AQ74+AP77</f>
        <v>22.48</v>
      </c>
    </row>
    <row r="78" spans="1:47" ht="15.75">
      <c r="B78">
        <v>102</v>
      </c>
      <c r="C78">
        <v>101</v>
      </c>
      <c r="E78" t="s">
        <v>51</v>
      </c>
      <c r="F78" t="s">
        <v>49</v>
      </c>
      <c r="G78" t="s">
        <v>50</v>
      </c>
      <c r="H78" t="s">
        <v>53</v>
      </c>
      <c r="L78" s="78" t="s">
        <v>323</v>
      </c>
      <c r="M78" s="78" t="s">
        <v>329</v>
      </c>
      <c r="O78" s="84" t="s">
        <v>330</v>
      </c>
      <c r="P78" s="32" t="s">
        <v>331</v>
      </c>
      <c r="Q78" s="85">
        <f>R77-1</f>
        <v>608806815.02288961</v>
      </c>
      <c r="R78" s="28">
        <f t="shared" si="3"/>
        <v>608968221.4295913</v>
      </c>
      <c r="S78" s="21">
        <f t="shared" si="4"/>
        <v>161406.406701684</v>
      </c>
      <c r="T78" s="21">
        <f t="shared" si="5"/>
        <v>783750.00000007136</v>
      </c>
      <c r="U78" s="3">
        <v>0</v>
      </c>
      <c r="V78" s="27">
        <f t="shared" si="6"/>
        <v>783750.00000007136</v>
      </c>
      <c r="W78" s="20">
        <f>Y78*1000000/8</f>
        <v>783750</v>
      </c>
      <c r="X78" s="87">
        <f t="shared" si="7"/>
        <v>-7.1362592279911041E-8</v>
      </c>
      <c r="Y78" s="77">
        <f>1.1*AN78</f>
        <v>6.2700000000000005</v>
      </c>
      <c r="Z78" s="33"/>
      <c r="AA78" s="33"/>
      <c r="AB78" s="50">
        <v>862324</v>
      </c>
      <c r="AC78" s="50">
        <f t="shared" si="8"/>
        <v>78573.999999928637</v>
      </c>
      <c r="AD78" s="88">
        <f t="shared" si="9"/>
        <v>0.62859199999942905</v>
      </c>
      <c r="AE78" s="62">
        <f t="shared" si="10"/>
        <v>9.1118883389455285E-2</v>
      </c>
      <c r="AF78" s="31" t="s">
        <v>332</v>
      </c>
      <c r="AG78" s="34" t="s">
        <v>330</v>
      </c>
      <c r="AH78" s="53">
        <f t="shared" si="11"/>
        <v>-5.7090073823928837E-13</v>
      </c>
      <c r="AI78" s="53">
        <f t="shared" si="12"/>
        <v>6.2700000000005707</v>
      </c>
      <c r="AL78" s="89" t="s">
        <v>333</v>
      </c>
      <c r="AM78" s="89" t="s">
        <v>334</v>
      </c>
      <c r="AN78" s="89">
        <v>5.7</v>
      </c>
      <c r="AO78" s="89">
        <v>5.7</v>
      </c>
      <c r="AP78" s="89">
        <v>5.7</v>
      </c>
      <c r="AQ78" s="92">
        <f>AQ77+AP78</f>
        <v>28.18</v>
      </c>
    </row>
    <row r="79" spans="1:47" ht="15.75">
      <c r="B79">
        <v>102</v>
      </c>
      <c r="C79">
        <v>101</v>
      </c>
      <c r="E79" t="s">
        <v>51</v>
      </c>
      <c r="F79" t="s">
        <v>49</v>
      </c>
      <c r="G79" t="s">
        <v>50</v>
      </c>
      <c r="H79" t="s">
        <v>53</v>
      </c>
      <c r="L79" s="78" t="s">
        <v>329</v>
      </c>
      <c r="M79" s="78" t="s">
        <v>335</v>
      </c>
      <c r="O79" s="84" t="s">
        <v>336</v>
      </c>
      <c r="P79" s="32" t="s">
        <v>337</v>
      </c>
      <c r="Q79" s="85">
        <f>R78-1</f>
        <v>608968220.4295913</v>
      </c>
      <c r="R79" s="28">
        <f t="shared" si="3"/>
        <v>609242044.98271501</v>
      </c>
      <c r="S79" s="21">
        <f t="shared" si="4"/>
        <v>273824.55312371254</v>
      </c>
      <c r="T79" s="21">
        <f t="shared" si="5"/>
        <v>1329625.0000000165</v>
      </c>
      <c r="U79" s="3">
        <v>0</v>
      </c>
      <c r="V79" s="27">
        <f t="shared" si="6"/>
        <v>1329625.0000000165</v>
      </c>
      <c r="W79" s="20">
        <f>Y79*1000000/8</f>
        <v>1329625</v>
      </c>
      <c r="X79" s="87">
        <f t="shared" si="7"/>
        <v>-1.6530975699424744E-8</v>
      </c>
      <c r="Y79" s="77">
        <f>1.1*AN79</f>
        <v>10.637</v>
      </c>
      <c r="Z79" s="33"/>
      <c r="AA79" s="33"/>
      <c r="AB79" s="50">
        <v>1414898</v>
      </c>
      <c r="AC79" s="50">
        <f t="shared" si="8"/>
        <v>85272.999999983469</v>
      </c>
      <c r="AD79" s="88">
        <f t="shared" si="9"/>
        <v>0.68218399999986779</v>
      </c>
      <c r="AE79" s="62">
        <f t="shared" si="10"/>
        <v>6.0267948643636125E-2</v>
      </c>
      <c r="AF79" s="31" t="s">
        <v>338</v>
      </c>
      <c r="AG79" s="34" t="s">
        <v>336</v>
      </c>
      <c r="AH79" s="53">
        <f t="shared" si="11"/>
        <v>-1.3224780559539796E-13</v>
      </c>
      <c r="AI79" s="53">
        <f t="shared" si="12"/>
        <v>10.637000000000132</v>
      </c>
      <c r="AL79" s="89" t="s">
        <v>339</v>
      </c>
      <c r="AM79" s="89" t="s">
        <v>340</v>
      </c>
      <c r="AN79" s="89">
        <v>9.67</v>
      </c>
      <c r="AO79" s="89">
        <v>9.67</v>
      </c>
      <c r="AP79" s="89">
        <v>9.67</v>
      </c>
      <c r="AQ79" s="92">
        <f>AQ78+AP79</f>
        <v>37.85</v>
      </c>
    </row>
    <row r="80" spans="1:47" ht="15.75">
      <c r="B80">
        <v>102</v>
      </c>
      <c r="C80">
        <v>101</v>
      </c>
      <c r="E80" t="s">
        <v>51</v>
      </c>
      <c r="F80" t="s">
        <v>49</v>
      </c>
      <c r="G80" t="s">
        <v>50</v>
      </c>
      <c r="H80" t="s">
        <v>53</v>
      </c>
      <c r="L80" s="78" t="s">
        <v>335</v>
      </c>
      <c r="M80" s="78" t="s">
        <v>341</v>
      </c>
      <c r="N80" s="17"/>
      <c r="O80" s="84" t="s">
        <v>342</v>
      </c>
      <c r="P80" s="32" t="s">
        <v>343</v>
      </c>
      <c r="Q80" s="85">
        <f>R79-1</f>
        <v>609242043.98271501</v>
      </c>
      <c r="R80" s="28">
        <f t="shared" si="3"/>
        <v>609420723.7066251</v>
      </c>
      <c r="S80" s="21">
        <f t="shared" si="4"/>
        <v>178679.72391009331</v>
      </c>
      <c r="T80" s="21">
        <f t="shared" si="5"/>
        <v>867624.99999999884</v>
      </c>
      <c r="U80" s="3">
        <v>0</v>
      </c>
      <c r="V80" s="27">
        <f t="shared" si="6"/>
        <v>867624.99999999884</v>
      </c>
      <c r="W80" s="20">
        <f>Y80*1000000/8</f>
        <v>867625</v>
      </c>
      <c r="X80" s="87">
        <f t="shared" si="7"/>
        <v>1.1641532182693481E-9</v>
      </c>
      <c r="Y80" s="77">
        <f>1.1*AN80</f>
        <v>6.9409999999999998</v>
      </c>
      <c r="Z80" s="33"/>
      <c r="AA80" s="33"/>
      <c r="AB80" s="50">
        <v>924952</v>
      </c>
      <c r="AC80" s="50">
        <f t="shared" si="8"/>
        <v>57327.000000001164</v>
      </c>
      <c r="AD80" s="88">
        <f t="shared" si="9"/>
        <v>0.45861600000000929</v>
      </c>
      <c r="AE80" s="62">
        <f t="shared" si="10"/>
        <v>6.1978351309042161E-2</v>
      </c>
      <c r="AF80" s="31" t="s">
        <v>344</v>
      </c>
      <c r="AG80" s="34" t="s">
        <v>342</v>
      </c>
      <c r="AH80" s="53">
        <f t="shared" si="11"/>
        <v>9.3132257461547859E-15</v>
      </c>
      <c r="AI80" s="53">
        <f t="shared" si="12"/>
        <v>6.940999999999991</v>
      </c>
      <c r="AL80" s="89" t="s">
        <v>345</v>
      </c>
      <c r="AM80" s="89" t="s">
        <v>346</v>
      </c>
      <c r="AN80" s="89">
        <v>6.31</v>
      </c>
      <c r="AO80" s="89">
        <v>6.31</v>
      </c>
      <c r="AP80" s="89">
        <v>6.31</v>
      </c>
      <c r="AQ80" s="92">
        <f>AQ79+AP80</f>
        <v>44.160000000000004</v>
      </c>
    </row>
    <row r="81" spans="1:43" ht="15.75">
      <c r="B81">
        <v>102</v>
      </c>
      <c r="C81">
        <v>101</v>
      </c>
      <c r="E81" t="s">
        <v>51</v>
      </c>
      <c r="F81" t="s">
        <v>49</v>
      </c>
      <c r="G81" t="s">
        <v>50</v>
      </c>
      <c r="H81" t="s">
        <v>53</v>
      </c>
      <c r="L81" s="78" t="s">
        <v>341</v>
      </c>
      <c r="M81" s="78" t="s">
        <v>347</v>
      </c>
      <c r="N81" s="17"/>
      <c r="O81" s="84" t="s">
        <v>348</v>
      </c>
      <c r="P81" s="32" t="s">
        <v>349</v>
      </c>
      <c r="Q81" s="85">
        <f>R80-1</f>
        <v>609420722.7066251</v>
      </c>
      <c r="R81" s="28">
        <f t="shared" si="3"/>
        <v>609625453.99091506</v>
      </c>
      <c r="S81" s="21">
        <f t="shared" si="4"/>
        <v>204731.28428995609</v>
      </c>
      <c r="T81" s="21">
        <f t="shared" si="5"/>
        <v>994124.99999972805</v>
      </c>
      <c r="U81" s="3">
        <v>0</v>
      </c>
      <c r="V81" s="27">
        <f t="shared" si="6"/>
        <v>994124.99999972805</v>
      </c>
      <c r="W81" s="20">
        <f>Y81*1000000/8</f>
        <v>994125.00000000012</v>
      </c>
      <c r="X81" s="87">
        <f t="shared" si="7"/>
        <v>2.7206260710954666E-7</v>
      </c>
      <c r="Y81" s="77">
        <f>1.1*AN81</f>
        <v>7.9530000000000012</v>
      </c>
      <c r="Z81" s="93">
        <f>SUM(Y74:Y81)</f>
        <v>56.529000000000011</v>
      </c>
      <c r="AA81" s="50"/>
      <c r="AB81" s="50">
        <v>1063706</v>
      </c>
      <c r="AC81" s="50">
        <f t="shared" si="8"/>
        <v>69581.000000271946</v>
      </c>
      <c r="AD81" s="88">
        <f t="shared" si="9"/>
        <v>0.55664800000217562</v>
      </c>
      <c r="AE81" s="62">
        <f t="shared" si="10"/>
        <v>6.5413751544385335E-2</v>
      </c>
      <c r="AF81" s="31" t="s">
        <v>350</v>
      </c>
      <c r="AG81" s="34" t="s">
        <v>348</v>
      </c>
      <c r="AH81" s="53">
        <f t="shared" si="11"/>
        <v>2.1765008568763734E-12</v>
      </c>
      <c r="AI81" s="53">
        <f t="shared" si="12"/>
        <v>7.9529999999978243</v>
      </c>
      <c r="AL81" s="89" t="s">
        <v>351</v>
      </c>
      <c r="AM81" s="89" t="s">
        <v>352</v>
      </c>
      <c r="AN81" s="89">
        <v>7.23</v>
      </c>
      <c r="AO81" s="89">
        <v>7.23</v>
      </c>
      <c r="AP81" s="89">
        <v>7.23</v>
      </c>
      <c r="AQ81" s="92">
        <f>AQ80+AP81</f>
        <v>51.39</v>
      </c>
    </row>
    <row r="82" spans="1:43" ht="15">
      <c r="V82">
        <f>23*0.96</f>
        <v>22.08</v>
      </c>
      <c r="W82">
        <f>86400*V82</f>
        <v>1907711.9999999998</v>
      </c>
      <c r="Z82" s="59">
        <f>Y72</f>
        <v>0</v>
      </c>
      <c r="AB82" s="64">
        <f>AB81+AB76+AB70</f>
        <v>1397840</v>
      </c>
      <c r="AC82" s="3"/>
      <c r="AD82" s="3">
        <f>SUM(AD74:AD81)</f>
        <v>2.1029840000018876</v>
      </c>
      <c r="AE82" s="3"/>
      <c r="AH82" s="53"/>
      <c r="AI82" s="53"/>
    </row>
    <row r="83" spans="1:43" ht="15">
      <c r="O83" t="s">
        <v>353</v>
      </c>
      <c r="Q83" s="3">
        <v>590138632</v>
      </c>
      <c r="Y83" s="3"/>
      <c r="Z83" s="5"/>
      <c r="AA83" s="5"/>
      <c r="AB83" s="5"/>
      <c r="AC83" s="20"/>
      <c r="AD83" s="20"/>
      <c r="AE83" s="20"/>
      <c r="AH83" s="53"/>
      <c r="AI83" s="53"/>
    </row>
    <row r="84" spans="1:43" ht="15">
      <c r="M84" t="s">
        <v>354</v>
      </c>
      <c r="P84" s="45" t="s">
        <v>355</v>
      </c>
      <c r="Q84" s="45" t="s">
        <v>356</v>
      </c>
      <c r="R84" s="45">
        <v>590207401</v>
      </c>
      <c r="S84" s="45">
        <v>1</v>
      </c>
      <c r="T84" s="45" t="s">
        <v>27</v>
      </c>
      <c r="U84" s="45" t="s">
        <v>357</v>
      </c>
      <c r="V84" s="45" t="s">
        <v>118</v>
      </c>
      <c r="W84" s="45"/>
      <c r="X84" s="45" t="s">
        <v>358</v>
      </c>
      <c r="Y84" s="48"/>
      <c r="AC84" s="3"/>
      <c r="AD84" s="3"/>
      <c r="AE84" s="3"/>
      <c r="AH84" s="53"/>
      <c r="AI84" s="53"/>
    </row>
    <row r="85" spans="1:43" ht="15.75">
      <c r="L85" s="94" t="s">
        <v>359</v>
      </c>
      <c r="M85" s="94" t="s">
        <v>360</v>
      </c>
      <c r="N85" s="73" t="s">
        <v>18</v>
      </c>
      <c r="O85" s="34" t="s">
        <v>361</v>
      </c>
      <c r="P85" s="10" t="s">
        <v>10</v>
      </c>
      <c r="Q85" s="85">
        <f>Q83-3</f>
        <v>590138629</v>
      </c>
      <c r="R85" s="91">
        <f>R84+20</f>
        <v>590207421</v>
      </c>
      <c r="S85" s="21">
        <f>R85-Q85</f>
        <v>68792</v>
      </c>
      <c r="T85" s="21">
        <f>S85*$W$9</f>
        <v>253437.51089120371</v>
      </c>
      <c r="U85" s="3">
        <v>0</v>
      </c>
      <c r="V85" s="27">
        <f>T85+U85*$W$9</f>
        <v>253437.51089120371</v>
      </c>
      <c r="W85" s="20">
        <f>Y85*1000000/8</f>
        <v>396000</v>
      </c>
      <c r="X85" s="87">
        <f>W85-V85</f>
        <v>142562.48910879629</v>
      </c>
      <c r="Y85" s="77">
        <f>1.1*AN85</f>
        <v>3.1680000000000001</v>
      </c>
      <c r="Z85" s="33"/>
      <c r="AA85" s="33"/>
      <c r="AB85" s="50">
        <v>283727</v>
      </c>
      <c r="AC85" s="50">
        <f>AB85-W85</f>
        <v>-112273</v>
      </c>
      <c r="AD85" s="50">
        <f>AC85*8/1000000</f>
        <v>-0.89818399999999998</v>
      </c>
      <c r="AE85" s="50"/>
      <c r="AF85" s="31" t="s">
        <v>362</v>
      </c>
      <c r="AG85" s="34" t="s">
        <v>361</v>
      </c>
      <c r="AH85" s="53">
        <f>X85*8/1000000</f>
        <v>1.1404999128703703</v>
      </c>
      <c r="AI85" s="53">
        <f>V85*8/1000000</f>
        <v>2.0275000871296296</v>
      </c>
      <c r="AL85" s="95" t="s">
        <v>363</v>
      </c>
      <c r="AM85" s="95" t="s">
        <v>364</v>
      </c>
      <c r="AN85" s="95">
        <v>2.88</v>
      </c>
      <c r="AO85" s="95">
        <v>2.88</v>
      </c>
      <c r="AP85" s="95">
        <v>2.88</v>
      </c>
      <c r="AQ85" s="48">
        <f>AP85</f>
        <v>2.88</v>
      </c>
    </row>
    <row r="86" spans="1:43" ht="15">
      <c r="O86" t="s">
        <v>23</v>
      </c>
      <c r="P86" s="46" t="s">
        <v>365</v>
      </c>
      <c r="Q86" s="46" t="s">
        <v>366</v>
      </c>
      <c r="R86" s="46">
        <v>590247116</v>
      </c>
      <c r="S86" s="46">
        <v>7</v>
      </c>
      <c r="T86" s="46" t="s">
        <v>27</v>
      </c>
      <c r="U86" s="46" t="s">
        <v>367</v>
      </c>
      <c r="V86" s="45" t="s">
        <v>101</v>
      </c>
      <c r="W86" s="46" t="s">
        <v>102</v>
      </c>
      <c r="X86" s="46" t="s">
        <v>368</v>
      </c>
      <c r="Y86" s="48"/>
      <c r="Z86" s="48"/>
      <c r="AA86" s="48"/>
      <c r="AB86" s="48"/>
      <c r="AC86" s="47"/>
      <c r="AD86" s="47"/>
      <c r="AE86" s="47"/>
      <c r="AG86" t="s">
        <v>23</v>
      </c>
      <c r="AH86" s="53"/>
      <c r="AI86" s="53"/>
    </row>
    <row r="87" spans="1:43" ht="15.75">
      <c r="A87" s="73" t="s">
        <v>157</v>
      </c>
      <c r="B87" s="73"/>
      <c r="C87" s="73"/>
      <c r="D87" s="73"/>
      <c r="E87" s="73"/>
      <c r="F87" s="73"/>
      <c r="G87" s="73"/>
      <c r="H87" s="73"/>
      <c r="I87" s="73"/>
      <c r="J87" s="73"/>
      <c r="K87" s="73"/>
      <c r="L87" s="94" t="s">
        <v>369</v>
      </c>
      <c r="M87" s="94" t="s">
        <v>370</v>
      </c>
      <c r="O87" s="34" t="s">
        <v>361</v>
      </c>
      <c r="P87" s="32" t="s">
        <v>10</v>
      </c>
      <c r="Q87" s="91">
        <f>R86-20</f>
        <v>590247096</v>
      </c>
      <c r="R87" s="28">
        <f t="shared" ref="R87:R92" si="13">((W87)/$W$9)+Q87</f>
        <v>590285792.5556767</v>
      </c>
      <c r="S87" s="21">
        <f t="shared" ref="S87:S92" si="14">R87-Q87</f>
        <v>38696.555676698685</v>
      </c>
      <c r="T87" s="21">
        <f t="shared" ref="T87:T92" si="15">S87*$W$9</f>
        <v>142562.48910869568</v>
      </c>
      <c r="U87" s="3">
        <v>0</v>
      </c>
      <c r="V87" s="27">
        <f t="shared" ref="V87:V92" si="16">T87+U87*$V$23</f>
        <v>142562.48910869568</v>
      </c>
      <c r="W87" s="20">
        <f>X85</f>
        <v>142562.48910879629</v>
      </c>
      <c r="X87" s="87">
        <f t="shared" ref="X87:X92" si="17">W87-V87</f>
        <v>1.0061194188892841E-7</v>
      </c>
      <c r="AB87" s="50">
        <v>191209</v>
      </c>
      <c r="AC87" s="50">
        <f t="shared" ref="AC87:AC92" si="18">AB87-W87</f>
        <v>48646.51089120371</v>
      </c>
      <c r="AD87" s="50">
        <f t="shared" ref="AD87:AD92" si="19">AC87*8/1000000</f>
        <v>0.3891720871296297</v>
      </c>
      <c r="AE87" s="50"/>
      <c r="AH87" s="53">
        <f t="shared" ref="AH87:AH92" si="20">X87*8/1000000</f>
        <v>8.0489553511142731E-13</v>
      </c>
      <c r="AI87" s="53">
        <f t="shared" ref="AI87:AI92" si="21">V87*8/1000000</f>
        <v>1.1404999128695654</v>
      </c>
    </row>
    <row r="88" spans="1:43" ht="15.75">
      <c r="L88" s="94" t="s">
        <v>370</v>
      </c>
      <c r="M88" s="94" t="s">
        <v>371</v>
      </c>
      <c r="O88" s="34" t="s">
        <v>372</v>
      </c>
      <c r="P88" s="32" t="s">
        <v>373</v>
      </c>
      <c r="Q88" s="85">
        <f>R87-3</f>
        <v>590285789.5556767</v>
      </c>
      <c r="R88" s="28">
        <f t="shared" si="13"/>
        <v>590669090.75942671</v>
      </c>
      <c r="S88" s="21">
        <f t="shared" si="14"/>
        <v>383301.20375001431</v>
      </c>
      <c r="T88" s="21">
        <f t="shared" si="15"/>
        <v>1412125.0000000836</v>
      </c>
      <c r="U88" s="3">
        <v>0</v>
      </c>
      <c r="V88" s="27">
        <f t="shared" si="16"/>
        <v>1412125.0000000836</v>
      </c>
      <c r="W88" s="20">
        <f>Y88*1000000/8</f>
        <v>1412125</v>
      </c>
      <c r="X88" s="87">
        <f t="shared" si="17"/>
        <v>-8.3586201071739197E-8</v>
      </c>
      <c r="Y88" s="77">
        <f>1.1*AN88</f>
        <v>11.297000000000001</v>
      </c>
      <c r="Z88" s="33"/>
      <c r="AA88" s="33"/>
      <c r="AB88" s="50">
        <v>1411117</v>
      </c>
      <c r="AC88" s="50">
        <f t="shared" si="18"/>
        <v>-1008</v>
      </c>
      <c r="AD88" s="50">
        <f t="shared" si="19"/>
        <v>-8.064E-3</v>
      </c>
      <c r="AE88" s="50"/>
      <c r="AF88" s="31" t="s">
        <v>374</v>
      </c>
      <c r="AG88" s="34" t="s">
        <v>372</v>
      </c>
      <c r="AH88" s="53">
        <f t="shared" si="20"/>
        <v>-6.6868960857391357E-13</v>
      </c>
      <c r="AI88" s="53">
        <f t="shared" si="21"/>
        <v>11.297000000000669</v>
      </c>
      <c r="AL88" s="95" t="s">
        <v>375</v>
      </c>
      <c r="AM88" s="95" t="s">
        <v>376</v>
      </c>
      <c r="AN88" s="95">
        <v>10.27</v>
      </c>
      <c r="AO88" s="95">
        <v>10.27</v>
      </c>
      <c r="AP88" s="95">
        <v>10.27</v>
      </c>
      <c r="AQ88" s="48">
        <f>AQ85+AP88</f>
        <v>13.149999999999999</v>
      </c>
    </row>
    <row r="89" spans="1:43" ht="15.75">
      <c r="L89" s="94" t="s">
        <v>371</v>
      </c>
      <c r="M89" s="94" t="s">
        <v>377</v>
      </c>
      <c r="O89" s="34" t="s">
        <v>378</v>
      </c>
      <c r="P89" s="32" t="s">
        <v>17</v>
      </c>
      <c r="Q89" s="85">
        <f>R88-3</f>
        <v>590669087.75942671</v>
      </c>
      <c r="R89" s="28">
        <f t="shared" si="13"/>
        <v>591454351.37450945</v>
      </c>
      <c r="S89" s="21">
        <f t="shared" si="14"/>
        <v>785263.61508274078</v>
      </c>
      <c r="T89" s="21">
        <f t="shared" si="15"/>
        <v>2892999.9999999725</v>
      </c>
      <c r="U89" s="3">
        <v>0</v>
      </c>
      <c r="V89" s="27">
        <f t="shared" si="16"/>
        <v>2892999.9999999725</v>
      </c>
      <c r="W89" s="20">
        <f>Y89*1000000/8</f>
        <v>2893000.0000000005</v>
      </c>
      <c r="X89" s="87">
        <f t="shared" si="17"/>
        <v>2.7939677238464355E-8</v>
      </c>
      <c r="Y89" s="77">
        <f>1.1*AN89</f>
        <v>23.144000000000002</v>
      </c>
      <c r="Z89" s="33"/>
      <c r="AA89" s="33"/>
      <c r="AB89" s="50">
        <v>2901234</v>
      </c>
      <c r="AC89" s="50">
        <f t="shared" si="18"/>
        <v>8233.9999999995343</v>
      </c>
      <c r="AD89" s="50">
        <f t="shared" si="19"/>
        <v>6.5871999999996281E-2</v>
      </c>
      <c r="AE89" s="50"/>
      <c r="AF89" s="31" t="s">
        <v>379</v>
      </c>
      <c r="AG89" s="34" t="s">
        <v>378</v>
      </c>
      <c r="AH89" s="53">
        <f t="shared" si="20"/>
        <v>2.2351741790771485E-13</v>
      </c>
      <c r="AI89" s="53">
        <f t="shared" si="21"/>
        <v>23.143999999999782</v>
      </c>
      <c r="AL89" s="95" t="s">
        <v>380</v>
      </c>
      <c r="AM89" s="95" t="s">
        <v>381</v>
      </c>
      <c r="AN89" s="95">
        <v>21.04</v>
      </c>
      <c r="AO89" s="95">
        <v>21.04</v>
      </c>
      <c r="AP89" s="95">
        <v>21.04</v>
      </c>
      <c r="AQ89" s="48">
        <f>AQ88+AP89</f>
        <v>34.19</v>
      </c>
    </row>
    <row r="90" spans="1:43" ht="15.75">
      <c r="L90" s="94" t="s">
        <v>377</v>
      </c>
      <c r="M90" s="94" t="s">
        <v>382</v>
      </c>
      <c r="N90" s="17"/>
      <c r="O90" s="34" t="s">
        <v>383</v>
      </c>
      <c r="P90" s="32" t="s">
        <v>384</v>
      </c>
      <c r="Q90" s="85">
        <f>R89-3</f>
        <v>591454348.37450945</v>
      </c>
      <c r="R90" s="28">
        <f t="shared" si="13"/>
        <v>591795102.02497077</v>
      </c>
      <c r="S90" s="21">
        <f t="shared" si="14"/>
        <v>340753.65046131611</v>
      </c>
      <c r="T90" s="21">
        <f t="shared" si="15"/>
        <v>1255375.000000105</v>
      </c>
      <c r="U90" s="3">
        <v>0</v>
      </c>
      <c r="V90" s="27">
        <f t="shared" si="16"/>
        <v>1255375.000000105</v>
      </c>
      <c r="W90" s="20">
        <f>Y90*1000000/8</f>
        <v>1255375.0000000002</v>
      </c>
      <c r="X90" s="87">
        <f t="shared" si="17"/>
        <v>-1.0477378964424133E-7</v>
      </c>
      <c r="Y90" s="77">
        <f>1.1*AN90</f>
        <v>10.043000000000001</v>
      </c>
      <c r="Z90" s="33"/>
      <c r="AA90" s="33"/>
      <c r="AB90" s="50">
        <v>1259168</v>
      </c>
      <c r="AC90" s="50">
        <f t="shared" si="18"/>
        <v>3792.9999999997672</v>
      </c>
      <c r="AD90" s="50">
        <f t="shared" si="19"/>
        <v>3.0343999999998136E-2</v>
      </c>
      <c r="AE90" s="50"/>
      <c r="AF90" s="31" t="s">
        <v>385</v>
      </c>
      <c r="AG90" s="34" t="s">
        <v>383</v>
      </c>
      <c r="AH90" s="53">
        <f t="shared" si="20"/>
        <v>-8.3819031715393064E-13</v>
      </c>
      <c r="AI90" s="53">
        <f t="shared" si="21"/>
        <v>10.043000000000839</v>
      </c>
      <c r="AL90" s="95" t="s">
        <v>386</v>
      </c>
      <c r="AM90" s="95" t="s">
        <v>387</v>
      </c>
      <c r="AN90" s="95">
        <v>9.1300000000000008</v>
      </c>
      <c r="AO90" s="95">
        <v>9.1300000000000008</v>
      </c>
      <c r="AP90" s="95">
        <v>9.1300000000000008</v>
      </c>
      <c r="AQ90" s="48">
        <f>AQ89+AP90</f>
        <v>43.32</v>
      </c>
    </row>
    <row r="91" spans="1:43" ht="15.75">
      <c r="L91" s="47" t="s">
        <v>382</v>
      </c>
      <c r="M91" s="47" t="s">
        <v>388</v>
      </c>
      <c r="O91" s="34" t="s">
        <v>389</v>
      </c>
      <c r="P91" s="32" t="s">
        <v>390</v>
      </c>
      <c r="Q91" s="58">
        <f>R90-3</f>
        <v>591795099.02497077</v>
      </c>
      <c r="R91" s="21">
        <f t="shared" si="13"/>
        <v>592042173.41336656</v>
      </c>
      <c r="S91" s="21">
        <f t="shared" si="14"/>
        <v>247074.38839578629</v>
      </c>
      <c r="T91" s="21">
        <f t="shared" si="15"/>
        <v>910249.9999999213</v>
      </c>
      <c r="U91" s="3">
        <v>0</v>
      </c>
      <c r="V91" s="20">
        <f t="shared" si="16"/>
        <v>910249.9999999213</v>
      </c>
      <c r="W91" s="20">
        <f>Y91*1000000/8</f>
        <v>910250.00000000012</v>
      </c>
      <c r="X91" s="87">
        <f t="shared" si="17"/>
        <v>7.8813172876834869E-8</v>
      </c>
      <c r="Y91" s="77">
        <f>1.1*AN91</f>
        <v>7.2820000000000009</v>
      </c>
      <c r="Z91" s="33"/>
      <c r="AA91" s="33"/>
      <c r="AB91" s="50">
        <v>915898</v>
      </c>
      <c r="AC91" s="50">
        <f t="shared" si="18"/>
        <v>5647.9999999998836</v>
      </c>
      <c r="AD91" s="50">
        <f t="shared" si="19"/>
        <v>4.5183999999999072E-2</v>
      </c>
      <c r="AE91" s="50"/>
      <c r="AF91" s="31" t="s">
        <v>391</v>
      </c>
      <c r="AG91" s="34" t="s">
        <v>389</v>
      </c>
      <c r="AH91" s="53">
        <f t="shared" si="20"/>
        <v>6.3050538301467893E-13</v>
      </c>
      <c r="AI91" s="53">
        <f t="shared" si="21"/>
        <v>7.2819999999993703</v>
      </c>
      <c r="AL91" s="95" t="s">
        <v>392</v>
      </c>
      <c r="AM91" s="95" t="s">
        <v>393</v>
      </c>
      <c r="AN91" s="95">
        <v>6.62</v>
      </c>
      <c r="AO91" s="95">
        <v>6.62</v>
      </c>
      <c r="AP91" s="95">
        <v>6.62</v>
      </c>
      <c r="AQ91" s="48">
        <f>AQ90+AP91</f>
        <v>49.94</v>
      </c>
    </row>
    <row r="92" spans="1:43" ht="15.75">
      <c r="L92" s="47" t="s">
        <v>388</v>
      </c>
      <c r="M92" s="47" t="s">
        <v>394</v>
      </c>
      <c r="O92" s="34" t="s">
        <v>395</v>
      </c>
      <c r="P92" s="32" t="s">
        <v>396</v>
      </c>
      <c r="Q92" s="58">
        <f>R91-3</f>
        <v>592042170.41336656</v>
      </c>
      <c r="R92" s="21">
        <f t="shared" si="13"/>
        <v>592432562.87599802</v>
      </c>
      <c r="S92" s="21">
        <f t="shared" si="14"/>
        <v>390392.462631464</v>
      </c>
      <c r="T92" s="21">
        <f t="shared" si="15"/>
        <v>1438250.0000000799</v>
      </c>
      <c r="U92" s="3">
        <v>0</v>
      </c>
      <c r="V92" s="20">
        <f t="shared" si="16"/>
        <v>1438250.0000000799</v>
      </c>
      <c r="W92" s="20">
        <f>Y92*1000000/8</f>
        <v>1438250.0000000002</v>
      </c>
      <c r="X92" s="87">
        <f t="shared" si="17"/>
        <v>-7.9628080129623413E-8</v>
      </c>
      <c r="Y92" s="77">
        <f>1.1*AN92</f>
        <v>11.506000000000002</v>
      </c>
      <c r="Z92" s="96">
        <f>SUM(Y85:Y92)</f>
        <v>66.440000000000012</v>
      </c>
      <c r="AA92" s="50"/>
      <c r="AB92" s="50">
        <v>1436041</v>
      </c>
      <c r="AC92" s="50">
        <f t="shared" si="18"/>
        <v>-2209.0000000002328</v>
      </c>
      <c r="AD92" s="50">
        <f t="shared" si="19"/>
        <v>-1.7672000000001863E-2</v>
      </c>
      <c r="AE92" s="50"/>
      <c r="AF92" s="31" t="s">
        <v>397</v>
      </c>
      <c r="AG92" s="34" t="s">
        <v>395</v>
      </c>
      <c r="AH92" s="53">
        <f t="shared" si="20"/>
        <v>-6.3702464103698734E-13</v>
      </c>
      <c r="AI92" s="53">
        <f t="shared" si="21"/>
        <v>11.50600000000064</v>
      </c>
      <c r="AL92" s="95" t="s">
        <v>398</v>
      </c>
      <c r="AM92" s="95" t="s">
        <v>399</v>
      </c>
      <c r="AN92" s="95">
        <v>10.46</v>
      </c>
      <c r="AO92" s="95">
        <v>10.46</v>
      </c>
      <c r="AP92" s="95">
        <v>10.46</v>
      </c>
      <c r="AQ92" s="48">
        <f>AQ91+AP92</f>
        <v>60.4</v>
      </c>
    </row>
    <row r="93" spans="1:43" ht="15">
      <c r="P93" s="12" t="s">
        <v>122</v>
      </c>
      <c r="Q93" s="11" t="s">
        <v>5</v>
      </c>
      <c r="R93" s="12" t="s">
        <v>6</v>
      </c>
      <c r="S93" s="12" t="s">
        <v>7</v>
      </c>
      <c r="T93" s="13" t="s">
        <v>8</v>
      </c>
      <c r="U93" s="3" t="s">
        <v>22</v>
      </c>
      <c r="V93" s="13" t="s">
        <v>25</v>
      </c>
      <c r="W93" s="12" t="s">
        <v>26</v>
      </c>
      <c r="X93" s="12" t="s">
        <v>9</v>
      </c>
      <c r="Y93" s="12" t="s">
        <v>400</v>
      </c>
      <c r="AC93" s="3"/>
      <c r="AD93" s="3">
        <f>SUM(AD85:AD92)</f>
        <v>-0.39334791287037862</v>
      </c>
      <c r="AE93" s="3"/>
      <c r="AH93" s="53"/>
      <c r="AI93" s="53"/>
    </row>
    <row r="94" spans="1:43" ht="15.75">
      <c r="P94" s="32" t="s">
        <v>401</v>
      </c>
      <c r="Q94" s="58">
        <f>R92-3</f>
        <v>592432559.87599802</v>
      </c>
      <c r="R94" s="21">
        <f>((W94)/$W$9)+Q94</f>
        <v>592883201.30270076</v>
      </c>
      <c r="S94" s="21">
        <f>R94-Q94</f>
        <v>450641.42670273781</v>
      </c>
      <c r="T94" s="21">
        <f>S94*$W$9</f>
        <v>1660214.0000000391</v>
      </c>
      <c r="U94" s="3">
        <v>0</v>
      </c>
      <c r="V94" s="20">
        <f>T94+U94*$V$23</f>
        <v>1660214.0000000391</v>
      </c>
      <c r="W94" s="20">
        <f>982562+579837+100705-2890</f>
        <v>1660214</v>
      </c>
      <c r="X94" s="87">
        <f>W94-V94</f>
        <v>-3.9115548133850098E-8</v>
      </c>
      <c r="Y94" s="77">
        <f>W94*8/1000000</f>
        <v>13.281712000000001</v>
      </c>
      <c r="Z94" t="s">
        <v>402</v>
      </c>
      <c r="AC94" s="3" t="s">
        <v>155</v>
      </c>
      <c r="AD94" s="3"/>
      <c r="AE94" s="3"/>
      <c r="AH94" s="53">
        <f>X94*8/1000000</f>
        <v>-3.1292438507080076E-13</v>
      </c>
      <c r="AI94" s="53">
        <f>V94*8/1000000</f>
        <v>13.281712000000313</v>
      </c>
    </row>
    <row r="95" spans="1:43" ht="15">
      <c r="AC95" s="3"/>
      <c r="AH95" s="53"/>
      <c r="AI95" s="53"/>
      <c r="AJ95" s="97"/>
      <c r="AK95" s="97"/>
      <c r="AL95" s="97"/>
      <c r="AM95" s="97"/>
      <c r="AN95" s="97"/>
    </row>
    <row r="96" spans="1:43" ht="15">
      <c r="AC96" s="3"/>
      <c r="AI96" s="97"/>
      <c r="AJ96" s="97"/>
      <c r="AK96" s="97"/>
      <c r="AL96" s="97"/>
      <c r="AM96" s="97"/>
    </row>
    <row r="97" spans="16:41" ht="15">
      <c r="AA97" s="60"/>
      <c r="AC97" s="3"/>
      <c r="AI97" s="97"/>
      <c r="AJ97" s="97"/>
      <c r="AK97" s="97"/>
      <c r="AL97" s="97"/>
      <c r="AM97" s="97"/>
    </row>
    <row r="98" spans="16:41" ht="15">
      <c r="AG98" s="97"/>
      <c r="AH98" s="97"/>
      <c r="AI98" s="97"/>
      <c r="AJ98" s="97"/>
      <c r="AK98" s="97"/>
    </row>
    <row r="100" spans="16:41" ht="15">
      <c r="AK100" s="65"/>
      <c r="AL100" s="65"/>
      <c r="AM100" s="65"/>
      <c r="AN100" s="65"/>
      <c r="AO100" s="65"/>
    </row>
    <row r="101" spans="16:41" ht="15">
      <c r="AK101" s="65"/>
      <c r="AL101" s="65"/>
      <c r="AM101" s="65"/>
      <c r="AN101" s="65"/>
      <c r="AO101" s="65"/>
    </row>
    <row r="102" spans="16:41" ht="15">
      <c r="AK102" s="65"/>
      <c r="AL102" s="65"/>
      <c r="AM102" s="65"/>
      <c r="AN102" s="65"/>
      <c r="AO102" s="65"/>
    </row>
    <row r="103" spans="16:41" ht="15">
      <c r="AK103" s="65"/>
      <c r="AL103" s="65"/>
      <c r="AM103" s="65"/>
      <c r="AN103" s="65"/>
      <c r="AO103" s="65"/>
    </row>
    <row r="104" spans="16:41" ht="15">
      <c r="P104" s="15" t="s">
        <v>403</v>
      </c>
      <c r="Q104" s="15" t="s">
        <v>404</v>
      </c>
      <c r="R104" s="15">
        <v>611744576</v>
      </c>
      <c r="S104" s="15">
        <v>7</v>
      </c>
      <c r="T104" s="15" t="s">
        <v>27</v>
      </c>
      <c r="U104" s="15" t="s">
        <v>405</v>
      </c>
      <c r="V104" s="15" t="s">
        <v>151</v>
      </c>
      <c r="W104" s="15" t="s">
        <v>152</v>
      </c>
      <c r="X104" s="15" t="s">
        <v>406</v>
      </c>
      <c r="Y104" s="60"/>
      <c r="Z104" s="60"/>
      <c r="AA104" s="60"/>
      <c r="AK104" s="65"/>
      <c r="AL104" s="65"/>
      <c r="AM104" s="65"/>
      <c r="AN104" s="65"/>
      <c r="AO104" s="65"/>
    </row>
    <row r="105" spans="16:41" ht="15">
      <c r="P105" s="15" t="s">
        <v>407</v>
      </c>
      <c r="Q105" s="15" t="s">
        <v>408</v>
      </c>
      <c r="R105" s="15">
        <v>611746916</v>
      </c>
      <c r="S105" s="15">
        <v>0</v>
      </c>
      <c r="T105" s="15" t="s">
        <v>409</v>
      </c>
      <c r="U105" s="15" t="s">
        <v>410</v>
      </c>
      <c r="V105" s="15" t="s">
        <v>411</v>
      </c>
      <c r="W105" s="15"/>
      <c r="X105" s="15" t="s">
        <v>406</v>
      </c>
      <c r="Y105" s="60"/>
      <c r="Z105" s="60"/>
      <c r="AA105" s="60"/>
      <c r="AG105" s="97"/>
      <c r="AH105" s="97"/>
      <c r="AI105" s="97"/>
      <c r="AJ105" s="97"/>
      <c r="AK105" s="65"/>
      <c r="AL105" s="65"/>
      <c r="AM105" s="65"/>
      <c r="AN105" s="65"/>
      <c r="AO105" s="65"/>
    </row>
    <row r="106" spans="16:41" ht="15">
      <c r="AK106" s="65"/>
      <c r="AL106" s="65"/>
      <c r="AM106" s="65"/>
      <c r="AN106" s="65"/>
      <c r="AO106" s="65"/>
    </row>
    <row r="107" spans="16:41" ht="15">
      <c r="P107" s="15" t="s">
        <v>412</v>
      </c>
      <c r="Q107" s="15" t="s">
        <v>413</v>
      </c>
      <c r="R107" s="15">
        <v>611791076</v>
      </c>
      <c r="S107" s="15">
        <v>0</v>
      </c>
      <c r="T107" s="15" t="s">
        <v>409</v>
      </c>
      <c r="U107" s="15" t="s">
        <v>414</v>
      </c>
      <c r="V107" s="15" t="s">
        <v>415</v>
      </c>
      <c r="W107" s="15"/>
      <c r="X107" s="15"/>
      <c r="AK107" s="65"/>
      <c r="AL107" s="65"/>
      <c r="AM107" s="65"/>
      <c r="AN107" s="65"/>
      <c r="AO107" s="65"/>
    </row>
    <row r="108" spans="16:41" ht="15">
      <c r="P108" s="15" t="s">
        <v>412</v>
      </c>
      <c r="Q108" s="15" t="s">
        <v>413</v>
      </c>
      <c r="R108" s="15">
        <v>611791076</v>
      </c>
      <c r="S108" s="15">
        <v>0</v>
      </c>
      <c r="T108" s="15" t="s">
        <v>409</v>
      </c>
      <c r="U108" s="15" t="s">
        <v>414</v>
      </c>
      <c r="V108" s="15" t="s">
        <v>416</v>
      </c>
      <c r="W108" s="15" t="s">
        <v>417</v>
      </c>
      <c r="X108" s="15"/>
      <c r="AK108" s="65"/>
      <c r="AL108" s="65"/>
      <c r="AM108" s="65"/>
      <c r="AN108" s="65"/>
      <c r="AO108" s="65"/>
    </row>
    <row r="109" spans="16:41" ht="15">
      <c r="P109" s="15" t="s">
        <v>412</v>
      </c>
      <c r="Q109" s="15" t="s">
        <v>413</v>
      </c>
      <c r="R109" s="15">
        <v>611791076</v>
      </c>
      <c r="S109" s="15">
        <v>0</v>
      </c>
      <c r="T109" s="15" t="s">
        <v>409</v>
      </c>
      <c r="U109" s="15" t="s">
        <v>414</v>
      </c>
      <c r="V109" s="15" t="s">
        <v>418</v>
      </c>
      <c r="W109" s="15"/>
      <c r="X109" s="15"/>
      <c r="AB109" t="s">
        <v>419</v>
      </c>
      <c r="AK109" s="65"/>
      <c r="AL109" s="65"/>
      <c r="AM109" s="65"/>
      <c r="AN109" s="65"/>
      <c r="AO109" s="65"/>
    </row>
    <row r="110" spans="16:41" ht="15">
      <c r="X110" t="s">
        <v>198</v>
      </c>
      <c r="AK110" s="65"/>
      <c r="AL110" s="65"/>
      <c r="AM110" s="65"/>
      <c r="AN110" s="65"/>
      <c r="AO110" s="65"/>
    </row>
    <row r="111" spans="16:41" ht="15">
      <c r="P111" s="9">
        <v>25159</v>
      </c>
      <c r="T111" s="3"/>
      <c r="V111" s="18"/>
      <c r="X111" t="s">
        <v>295</v>
      </c>
      <c r="AK111" s="65"/>
      <c r="AL111" s="65"/>
      <c r="AM111" s="65"/>
      <c r="AN111" s="65"/>
      <c r="AO111" s="65"/>
    </row>
    <row r="112" spans="16:41" ht="15">
      <c r="P112" s="12" t="s">
        <v>122</v>
      </c>
      <c r="Q112" s="11" t="s">
        <v>5</v>
      </c>
      <c r="R112" s="12" t="s">
        <v>6</v>
      </c>
      <c r="S112" s="12" t="s">
        <v>7</v>
      </c>
      <c r="T112" s="13" t="s">
        <v>8</v>
      </c>
      <c r="U112" s="3" t="s">
        <v>22</v>
      </c>
      <c r="V112" s="13" t="s">
        <v>25</v>
      </c>
      <c r="W112" s="12" t="s">
        <v>26</v>
      </c>
      <c r="X112" s="12" t="s">
        <v>9</v>
      </c>
      <c r="AC112" t="s">
        <v>147</v>
      </c>
      <c r="AK112" s="65"/>
      <c r="AL112" s="65"/>
      <c r="AM112" s="65"/>
      <c r="AN112" s="65"/>
      <c r="AO112" s="65"/>
    </row>
    <row r="113" spans="1:48" ht="15">
      <c r="C113" s="75" t="s">
        <v>226</v>
      </c>
      <c r="D113" s="75" t="s">
        <v>227</v>
      </c>
      <c r="E113" s="75" t="s">
        <v>51</v>
      </c>
      <c r="F113" s="75" t="s">
        <v>49</v>
      </c>
      <c r="G113" s="75" t="s">
        <v>50</v>
      </c>
      <c r="H113" s="75" t="s">
        <v>53</v>
      </c>
      <c r="I113" s="75" t="s">
        <v>54</v>
      </c>
      <c r="J113" s="75" t="s">
        <v>228</v>
      </c>
      <c r="L113" t="s">
        <v>420</v>
      </c>
      <c r="P113" s="15" t="s">
        <v>421</v>
      </c>
      <c r="Q113" s="15" t="s">
        <v>422</v>
      </c>
      <c r="R113" s="15">
        <v>609911802</v>
      </c>
      <c r="S113" s="15">
        <v>1</v>
      </c>
      <c r="T113" s="15" t="s">
        <v>27</v>
      </c>
      <c r="U113" s="15" t="s">
        <v>194</v>
      </c>
      <c r="V113" s="15" t="s">
        <v>28</v>
      </c>
      <c r="W113" s="15"/>
      <c r="X113" s="15" t="s">
        <v>423</v>
      </c>
      <c r="Y113" s="60"/>
      <c r="Z113" s="60"/>
      <c r="AB113" s="3" t="s">
        <v>424</v>
      </c>
      <c r="AC113" s="3" t="s">
        <v>155</v>
      </c>
      <c r="AH113" t="s">
        <v>306</v>
      </c>
      <c r="AI113" t="s">
        <v>121</v>
      </c>
      <c r="AM113" s="65"/>
      <c r="AN113" s="65"/>
      <c r="AO113" s="65"/>
      <c r="AP113" s="65"/>
    </row>
    <row r="114" spans="1:48" ht="15.75">
      <c r="B114">
        <v>102</v>
      </c>
      <c r="C114">
        <v>101</v>
      </c>
      <c r="E114" t="s">
        <v>51</v>
      </c>
      <c r="F114" t="s">
        <v>49</v>
      </c>
      <c r="G114" t="s">
        <v>50</v>
      </c>
      <c r="L114" s="78" t="s">
        <v>347</v>
      </c>
      <c r="M114" s="78" t="s">
        <v>425</v>
      </c>
      <c r="N114" s="17"/>
      <c r="O114" s="84" t="str">
        <f>AG114</f>
        <v>160/16:16</v>
      </c>
      <c r="P114" s="32" t="s">
        <v>11</v>
      </c>
      <c r="Q114" s="85">
        <f>R81-1</f>
        <v>609625452.99091506</v>
      </c>
      <c r="R114" s="86">
        <f>R113+20</f>
        <v>609911822</v>
      </c>
      <c r="S114" s="21">
        <f>R114-Q114</f>
        <v>286369.00908493996</v>
      </c>
      <c r="T114" s="21">
        <f>S114*$V$13</f>
        <v>1082666.264182217</v>
      </c>
      <c r="U114" s="3">
        <v>0</v>
      </c>
      <c r="V114" s="27">
        <f>T114+U114*$V$23</f>
        <v>1082666.264182217</v>
      </c>
      <c r="W114" s="20">
        <f>Y114*1000000/8</f>
        <v>1236125.0000000002</v>
      </c>
      <c r="X114" s="87">
        <f>W114-V114</f>
        <v>153458.73581778328</v>
      </c>
      <c r="Y114" s="77">
        <f>1.1*AL114</f>
        <v>9.8890000000000011</v>
      </c>
      <c r="Z114" s="93">
        <f>SUM(Y106:Y114)</f>
        <v>9.8890000000000011</v>
      </c>
      <c r="AA114" s="50"/>
      <c r="AB114" s="50">
        <v>1242139</v>
      </c>
      <c r="AC114" s="50">
        <f>AB114-T114</f>
        <v>159472.73581778305</v>
      </c>
      <c r="AD114" s="98">
        <f>AC114*8/1000000</f>
        <v>1.2757818865422643</v>
      </c>
      <c r="AE114" s="62">
        <f>AC114/AB114</f>
        <v>0.1283855798890326</v>
      </c>
      <c r="AF114" s="31" t="s">
        <v>426</v>
      </c>
      <c r="AG114" s="34" t="s">
        <v>427</v>
      </c>
      <c r="AH114" s="53">
        <f>X114*8/1000000</f>
        <v>1.2276698865422662</v>
      </c>
      <c r="AI114" s="53">
        <f>V114*8/1000000</f>
        <v>8.6613301134577352</v>
      </c>
      <c r="AJ114" s="70" t="s">
        <v>428</v>
      </c>
      <c r="AK114" s="65" t="s">
        <v>429</v>
      </c>
      <c r="AL114" s="65">
        <v>8.99</v>
      </c>
      <c r="AM114" s="65">
        <v>8.99</v>
      </c>
      <c r="AN114" s="65">
        <v>8.99</v>
      </c>
      <c r="AP114" s="65"/>
      <c r="AQ114" s="65"/>
      <c r="AR114" s="65"/>
      <c r="AS114" s="65"/>
      <c r="AT114" s="65"/>
      <c r="AU114" s="65"/>
      <c r="AV114" s="65"/>
    </row>
    <row r="115" spans="1:48" ht="15">
      <c r="P115" s="15" t="s">
        <v>430</v>
      </c>
      <c r="Q115" s="16" t="s">
        <v>431</v>
      </c>
      <c r="R115" s="15">
        <v>609912716</v>
      </c>
      <c r="S115" s="15">
        <v>7</v>
      </c>
      <c r="T115" s="15" t="s">
        <v>27</v>
      </c>
      <c r="U115" s="15" t="s">
        <v>405</v>
      </c>
      <c r="V115" s="15" t="s">
        <v>151</v>
      </c>
      <c r="W115" s="15" t="s">
        <v>152</v>
      </c>
      <c r="X115" s="15" t="s">
        <v>432</v>
      </c>
      <c r="Y115" s="60"/>
      <c r="Z115" s="60"/>
      <c r="AA115" s="59"/>
      <c r="AB115" s="59"/>
      <c r="AC115" s="3" t="s">
        <v>433</v>
      </c>
      <c r="AD115" s="99"/>
      <c r="AK115" s="65"/>
      <c r="AL115" s="65"/>
      <c r="AM115" s="65"/>
      <c r="AO115" s="65"/>
      <c r="AP115" s="65"/>
    </row>
    <row r="116" spans="1:48" ht="15">
      <c r="N116" s="17"/>
      <c r="P116" s="15" t="s">
        <v>434</v>
      </c>
      <c r="Q116" s="15" t="s">
        <v>435</v>
      </c>
      <c r="R116" s="15">
        <v>609914566</v>
      </c>
      <c r="S116" s="15">
        <v>0</v>
      </c>
      <c r="T116" s="15" t="s">
        <v>409</v>
      </c>
      <c r="U116" s="15" t="s">
        <v>436</v>
      </c>
      <c r="V116" s="15" t="s">
        <v>437</v>
      </c>
      <c r="W116" s="15"/>
      <c r="X116" s="15" t="s">
        <v>432</v>
      </c>
      <c r="Y116" s="60"/>
      <c r="Z116" s="60"/>
      <c r="AA116" s="60"/>
      <c r="AB116" s="59"/>
      <c r="AC116" s="3" t="s">
        <v>438</v>
      </c>
      <c r="AD116" s="99"/>
      <c r="AI116" s="70"/>
      <c r="AJ116" s="65"/>
      <c r="AK116" s="65"/>
      <c r="AL116" s="65"/>
      <c r="AM116" s="65"/>
      <c r="AP116" s="65"/>
      <c r="AQ116" s="65"/>
      <c r="AR116" s="65"/>
      <c r="AS116" s="65"/>
      <c r="AT116" s="65"/>
      <c r="AU116" s="65"/>
    </row>
    <row r="117" spans="1:48" ht="15">
      <c r="P117" s="15" t="s">
        <v>439</v>
      </c>
      <c r="Q117" s="15" t="s">
        <v>440</v>
      </c>
      <c r="R117" s="15">
        <v>609914569</v>
      </c>
      <c r="S117" s="15">
        <v>0</v>
      </c>
      <c r="T117" s="15" t="s">
        <v>409</v>
      </c>
      <c r="U117" s="15" t="s">
        <v>436</v>
      </c>
      <c r="V117" s="15" t="s">
        <v>441</v>
      </c>
      <c r="W117" s="15"/>
      <c r="X117" s="15" t="s">
        <v>432</v>
      </c>
      <c r="Y117" s="60"/>
      <c r="Z117" s="60"/>
      <c r="AA117" s="60"/>
      <c r="AB117" s="59"/>
      <c r="AC117" s="3" t="s">
        <v>442</v>
      </c>
      <c r="AD117" s="99"/>
    </row>
    <row r="118" spans="1:48" ht="15">
      <c r="P118" s="15" t="s">
        <v>443</v>
      </c>
      <c r="Q118" s="15" t="s">
        <v>444</v>
      </c>
      <c r="R118" s="15">
        <v>609914572</v>
      </c>
      <c r="S118" s="15">
        <v>0</v>
      </c>
      <c r="T118" s="15" t="s">
        <v>409</v>
      </c>
      <c r="U118" s="15" t="s">
        <v>436</v>
      </c>
      <c r="V118" s="15" t="s">
        <v>445</v>
      </c>
      <c r="W118" s="15"/>
      <c r="X118" s="15" t="s">
        <v>432</v>
      </c>
      <c r="Y118" s="60"/>
      <c r="Z118" s="60"/>
      <c r="AA118" s="60"/>
      <c r="AB118" s="59"/>
      <c r="AC118" s="3" t="s">
        <v>446</v>
      </c>
      <c r="AD118" s="99"/>
      <c r="AE118" s="99"/>
    </row>
    <row r="119" spans="1:48" ht="15">
      <c r="P119" s="15" t="s">
        <v>447</v>
      </c>
      <c r="Q119" s="15" t="s">
        <v>448</v>
      </c>
      <c r="R119" s="15">
        <v>609914575</v>
      </c>
      <c r="S119" s="15">
        <v>0</v>
      </c>
      <c r="T119" s="15" t="s">
        <v>409</v>
      </c>
      <c r="U119" s="15" t="s">
        <v>436</v>
      </c>
      <c r="V119" s="15" t="s">
        <v>449</v>
      </c>
      <c r="W119" s="15"/>
      <c r="X119" s="15" t="s">
        <v>432</v>
      </c>
      <c r="Y119" s="60"/>
      <c r="Z119" s="60"/>
      <c r="AA119" s="60"/>
      <c r="AB119" s="59"/>
      <c r="AC119" s="3" t="s">
        <v>450</v>
      </c>
      <c r="AD119" s="99">
        <f>SUM(AD121:AD128)</f>
        <v>6.8930581134568474</v>
      </c>
      <c r="AE119" s="99"/>
    </row>
    <row r="120" spans="1:48" ht="15">
      <c r="L120" t="s">
        <v>451</v>
      </c>
      <c r="P120" s="15" t="s">
        <v>452</v>
      </c>
      <c r="Q120" s="15" t="s">
        <v>453</v>
      </c>
      <c r="R120" s="15">
        <v>609915176</v>
      </c>
      <c r="S120" s="15">
        <v>0</v>
      </c>
      <c r="T120" s="15" t="s">
        <v>409</v>
      </c>
      <c r="U120" s="15" t="s">
        <v>410</v>
      </c>
      <c r="V120" s="15" t="s">
        <v>454</v>
      </c>
      <c r="W120" s="15"/>
      <c r="X120" s="15" t="s">
        <v>432</v>
      </c>
      <c r="Y120" s="60"/>
      <c r="Z120" s="60"/>
      <c r="AA120" s="60"/>
      <c r="AB120" s="59"/>
      <c r="AC120" t="s">
        <v>455</v>
      </c>
      <c r="AD120" s="99"/>
      <c r="AE120" s="99"/>
    </row>
    <row r="121" spans="1:48" ht="15.75">
      <c r="A121" t="s">
        <v>157</v>
      </c>
      <c r="B121">
        <v>102</v>
      </c>
      <c r="C121">
        <v>101</v>
      </c>
      <c r="E121" t="s">
        <v>51</v>
      </c>
      <c r="F121" t="s">
        <v>49</v>
      </c>
      <c r="G121" t="s">
        <v>50</v>
      </c>
      <c r="L121" s="78" t="s">
        <v>456</v>
      </c>
      <c r="M121" s="78" t="s">
        <v>457</v>
      </c>
      <c r="N121" s="17"/>
      <c r="P121" s="32" t="s">
        <v>11</v>
      </c>
      <c r="Q121" s="100">
        <f>R115-20</f>
        <v>609912696</v>
      </c>
      <c r="R121" s="28">
        <f t="shared" ref="R121:R128" si="22">((W121-U121*$V$23)/$V$13)+Q121</f>
        <v>609953286.37171972</v>
      </c>
      <c r="S121" s="21">
        <f t="shared" ref="S121:S128" si="23">R121-Q121</f>
        <v>40590.371719717979</v>
      </c>
      <c r="T121" s="21">
        <f t="shared" ref="T121:T128" si="24">S121*$V$13</f>
        <v>153458.73581774277</v>
      </c>
      <c r="U121" s="3">
        <v>0</v>
      </c>
      <c r="V121" s="27">
        <f>T121+U121*$V$23+$V$23</f>
        <v>350833.73581774277</v>
      </c>
      <c r="W121" s="101">
        <f>X114</f>
        <v>153458.73581778328</v>
      </c>
      <c r="X121" s="87">
        <f t="shared" ref="X121:X128" si="25">W121-V121</f>
        <v>-197374.99999995949</v>
      </c>
      <c r="AB121" s="50">
        <v>306124</v>
      </c>
      <c r="AC121" s="50">
        <f>AB121-W121</f>
        <v>152665.26418221672</v>
      </c>
      <c r="AD121" s="98">
        <f t="shared" ref="AD121:AD128" si="26">AC121*8/1000000</f>
        <v>1.2213221134577337</v>
      </c>
      <c r="AE121" s="62">
        <f t="shared" ref="AE121:AE127" si="27">AC121/AB121</f>
        <v>0.49870400289495997</v>
      </c>
      <c r="AF121" t="s">
        <v>458</v>
      </c>
      <c r="AH121" t="s">
        <v>459</v>
      </c>
      <c r="AI121" t="e">
        <f>V120*8/1000000</f>
        <v>#VALUE!</v>
      </c>
    </row>
    <row r="122" spans="1:48" ht="15.75">
      <c r="B122">
        <v>102</v>
      </c>
      <c r="C122">
        <v>101</v>
      </c>
      <c r="E122" t="s">
        <v>51</v>
      </c>
      <c r="F122" t="s">
        <v>49</v>
      </c>
      <c r="G122" t="s">
        <v>50</v>
      </c>
      <c r="L122" s="78" t="str">
        <f t="shared" ref="L122:L128" si="28">M121</f>
        <v>139/09:36</v>
      </c>
      <c r="M122" s="78" t="s">
        <v>460</v>
      </c>
      <c r="O122" s="84" t="str">
        <f t="shared" ref="O122:O128" si="29">AG122</f>
        <v>161/15:11</v>
      </c>
      <c r="P122" s="32" t="s">
        <v>31</v>
      </c>
      <c r="Q122" s="85">
        <f t="shared" ref="Q122:Q128" si="30">R121-1</f>
        <v>609953285.37171972</v>
      </c>
      <c r="R122" s="28">
        <f t="shared" si="22"/>
        <v>610156754.68403363</v>
      </c>
      <c r="S122" s="21">
        <f t="shared" si="23"/>
        <v>203469.3123139143</v>
      </c>
      <c r="T122" s="21">
        <f t="shared" si="24"/>
        <v>769250.00000014075</v>
      </c>
      <c r="U122" s="3">
        <v>0</v>
      </c>
      <c r="V122" s="27">
        <f t="shared" ref="V122:V128" si="31">T122+U122*$V$23</f>
        <v>769250.00000014075</v>
      </c>
      <c r="W122" s="20">
        <f>Y122*1000000/8+X121</f>
        <v>769250.00000004063</v>
      </c>
      <c r="X122" s="87">
        <f t="shared" si="25"/>
        <v>-1.0011717677116394E-7</v>
      </c>
      <c r="Y122" s="77">
        <f t="shared" ref="Y122:Y128" si="32">1.1*AL122</f>
        <v>7.7330000000000005</v>
      </c>
      <c r="Z122" s="93">
        <f>Z114+Y122</f>
        <v>17.622</v>
      </c>
      <c r="AA122" s="50"/>
      <c r="AB122" s="50">
        <v>873308</v>
      </c>
      <c r="AC122" s="50">
        <f t="shared" ref="AC122:AC128" si="33">AB122-T122</f>
        <v>104057.99999985925</v>
      </c>
      <c r="AD122" s="98">
        <f t="shared" si="26"/>
        <v>0.83246399999887399</v>
      </c>
      <c r="AE122" s="62">
        <f t="shared" si="27"/>
        <v>0.11915383805010289</v>
      </c>
      <c r="AF122" s="31" t="s">
        <v>32</v>
      </c>
      <c r="AG122" s="34" t="s">
        <v>461</v>
      </c>
      <c r="AH122" s="102">
        <f>X121*8/1000000</f>
        <v>-1.578999999999676</v>
      </c>
      <c r="AI122" s="53">
        <f>V121*8/1000000</f>
        <v>2.8066698865419419</v>
      </c>
      <c r="AJ122" s="70" t="s">
        <v>462</v>
      </c>
      <c r="AK122" s="65" t="s">
        <v>463</v>
      </c>
      <c r="AL122" s="65">
        <v>7.03</v>
      </c>
      <c r="AM122" s="65">
        <v>7.03</v>
      </c>
      <c r="AN122" s="65">
        <v>7.03</v>
      </c>
    </row>
    <row r="123" spans="1:48" ht="15.75">
      <c r="B123">
        <v>102</v>
      </c>
      <c r="C123">
        <v>101</v>
      </c>
      <c r="E123" t="s">
        <v>51</v>
      </c>
      <c r="F123" t="s">
        <v>49</v>
      </c>
      <c r="G123" t="s">
        <v>50</v>
      </c>
      <c r="L123" s="78" t="str">
        <f t="shared" si="28"/>
        <v>141/18:07</v>
      </c>
      <c r="M123" s="78" t="s">
        <v>464</v>
      </c>
      <c r="O123" s="84" t="str">
        <f t="shared" si="29"/>
        <v>162/01:06</v>
      </c>
      <c r="P123" s="32" t="s">
        <v>12</v>
      </c>
      <c r="Q123" s="85">
        <f t="shared" si="30"/>
        <v>610156753.68403363</v>
      </c>
      <c r="R123" s="28">
        <f t="shared" si="22"/>
        <v>610410247.21954072</v>
      </c>
      <c r="S123" s="21">
        <f t="shared" si="23"/>
        <v>253493.53550708294</v>
      </c>
      <c r="T123" s="21">
        <f t="shared" si="24"/>
        <v>958375.00000005704</v>
      </c>
      <c r="U123" s="3">
        <v>0</v>
      </c>
      <c r="V123" s="27">
        <f t="shared" si="31"/>
        <v>958375.00000005704</v>
      </c>
      <c r="W123" s="20">
        <f t="shared" ref="W123:W128" si="34">Y123*1000000/8</f>
        <v>958375.00000000012</v>
      </c>
      <c r="X123" s="87">
        <f t="shared" si="25"/>
        <v>-5.6927092373371124E-8</v>
      </c>
      <c r="Y123" s="77">
        <f t="shared" si="32"/>
        <v>7.6670000000000007</v>
      </c>
      <c r="Z123" s="93">
        <f t="shared" ref="Z123:Z128" si="35">Y123+Z122</f>
        <v>25.289000000000001</v>
      </c>
      <c r="AA123" s="50"/>
      <c r="AB123" s="50">
        <v>1092116</v>
      </c>
      <c r="AC123" s="50">
        <f t="shared" si="33"/>
        <v>133740.99999994296</v>
      </c>
      <c r="AD123" s="98">
        <f t="shared" si="26"/>
        <v>1.0699279999995437</v>
      </c>
      <c r="AE123" s="62">
        <f t="shared" si="27"/>
        <v>0.1224604346057955</v>
      </c>
      <c r="AF123" s="31" t="s">
        <v>465</v>
      </c>
      <c r="AG123" s="34" t="s">
        <v>466</v>
      </c>
      <c r="AH123" s="53">
        <f>X122*8/1000000</f>
        <v>-8.009374141693115E-13</v>
      </c>
      <c r="AI123" s="53">
        <f>V122*8/1000000</f>
        <v>6.1540000000011261</v>
      </c>
      <c r="AJ123" s="65" t="s">
        <v>467</v>
      </c>
      <c r="AK123" s="65" t="s">
        <v>468</v>
      </c>
      <c r="AL123" s="65">
        <v>6.97</v>
      </c>
      <c r="AM123" s="65">
        <v>6.97</v>
      </c>
      <c r="AN123" s="65">
        <v>6.97</v>
      </c>
    </row>
    <row r="124" spans="1:48" ht="15.75">
      <c r="B124">
        <v>102</v>
      </c>
      <c r="C124">
        <v>101</v>
      </c>
      <c r="E124" t="s">
        <v>51</v>
      </c>
      <c r="F124" t="s">
        <v>49</v>
      </c>
      <c r="G124" t="s">
        <v>50</v>
      </c>
      <c r="L124" s="78" t="str">
        <f t="shared" si="28"/>
        <v>144/16:32</v>
      </c>
      <c r="M124" s="78" t="s">
        <v>469</v>
      </c>
      <c r="O124" s="84" t="str">
        <f t="shared" si="29"/>
        <v>162/17:01</v>
      </c>
      <c r="P124" s="32" t="s">
        <v>470</v>
      </c>
      <c r="Q124" s="85">
        <f t="shared" si="30"/>
        <v>610410246.21954072</v>
      </c>
      <c r="R124" s="28">
        <f t="shared" si="22"/>
        <v>610650283.13981998</v>
      </c>
      <c r="S124" s="21">
        <f t="shared" si="23"/>
        <v>240036.92027926445</v>
      </c>
      <c r="T124" s="21">
        <f t="shared" si="24"/>
        <v>907499.99999990535</v>
      </c>
      <c r="U124" s="3">
        <v>0</v>
      </c>
      <c r="V124" s="27">
        <f t="shared" si="31"/>
        <v>907499.99999990535</v>
      </c>
      <c r="W124" s="20">
        <f t="shared" si="34"/>
        <v>907500</v>
      </c>
      <c r="X124" s="87">
        <f t="shared" si="25"/>
        <v>9.4645656645298004E-8</v>
      </c>
      <c r="Y124" s="77">
        <f t="shared" si="32"/>
        <v>7.26</v>
      </c>
      <c r="Z124" s="93">
        <f t="shared" si="35"/>
        <v>32.548999999999999</v>
      </c>
      <c r="AA124" s="50"/>
      <c r="AB124" s="50">
        <v>1024638</v>
      </c>
      <c r="AC124" s="50">
        <f t="shared" si="33"/>
        <v>117138.00000009465</v>
      </c>
      <c r="AD124" s="98">
        <f t="shared" si="26"/>
        <v>0.93710400000075722</v>
      </c>
      <c r="AE124" s="62">
        <f t="shared" si="27"/>
        <v>0.1143213505648772</v>
      </c>
      <c r="AF124" s="31" t="s">
        <v>471</v>
      </c>
      <c r="AG124" s="34" t="s">
        <v>472</v>
      </c>
      <c r="AH124" s="53">
        <f>X123*8/1000000</f>
        <v>-4.5541673898696896E-13</v>
      </c>
      <c r="AI124" s="53">
        <f>V123*8/1000000</f>
        <v>7.6670000000004563</v>
      </c>
      <c r="AJ124" s="65" t="s">
        <v>473</v>
      </c>
      <c r="AK124" s="65" t="s">
        <v>474</v>
      </c>
      <c r="AL124" s="65">
        <v>6.6</v>
      </c>
      <c r="AM124" s="65">
        <v>6.6</v>
      </c>
      <c r="AN124" s="65">
        <v>6.6</v>
      </c>
    </row>
    <row r="125" spans="1:48" ht="15.75">
      <c r="B125">
        <v>102</v>
      </c>
      <c r="C125">
        <v>101</v>
      </c>
      <c r="E125" t="s">
        <v>51</v>
      </c>
      <c r="F125" t="s">
        <v>49</v>
      </c>
      <c r="G125" t="s">
        <v>50</v>
      </c>
      <c r="L125" s="78" t="str">
        <f t="shared" si="28"/>
        <v>147/11:13</v>
      </c>
      <c r="M125" s="78" t="s">
        <v>475</v>
      </c>
      <c r="O125" s="84" t="str">
        <f t="shared" si="29"/>
        <v>164/00:56</v>
      </c>
      <c r="P125" s="32" t="s">
        <v>476</v>
      </c>
      <c r="Q125" s="85">
        <f t="shared" si="30"/>
        <v>610650282.13981998</v>
      </c>
      <c r="R125" s="28">
        <f t="shared" si="22"/>
        <v>610784848.29209781</v>
      </c>
      <c r="S125" s="21">
        <f t="shared" si="23"/>
        <v>134566.15227782726</v>
      </c>
      <c r="T125" s="21">
        <f t="shared" si="24"/>
        <v>508750.00000016543</v>
      </c>
      <c r="U125" s="3">
        <v>0</v>
      </c>
      <c r="V125" s="27">
        <f t="shared" si="31"/>
        <v>508750.00000016543</v>
      </c>
      <c r="W125" s="20">
        <f t="shared" si="34"/>
        <v>508750.00000000006</v>
      </c>
      <c r="X125" s="87">
        <f t="shared" si="25"/>
        <v>-1.653679646551609E-7</v>
      </c>
      <c r="Y125" s="77">
        <f t="shared" si="32"/>
        <v>4.07</v>
      </c>
      <c r="Z125" s="93">
        <f t="shared" si="35"/>
        <v>36.619</v>
      </c>
      <c r="AA125" s="50"/>
      <c r="AB125" s="50">
        <v>574838</v>
      </c>
      <c r="AC125" s="50">
        <f t="shared" si="33"/>
        <v>66087.999999834574</v>
      </c>
      <c r="AD125" s="98">
        <f t="shared" si="26"/>
        <v>0.52870399999867657</v>
      </c>
      <c r="AE125" s="62">
        <f t="shared" si="27"/>
        <v>0.11496804317013588</v>
      </c>
      <c r="AF125" s="31" t="s">
        <v>477</v>
      </c>
      <c r="AG125" s="34" t="s">
        <v>478</v>
      </c>
      <c r="AH125" s="53">
        <f>X124*8/1000000</f>
        <v>7.5716525316238406E-13</v>
      </c>
      <c r="AI125" s="53">
        <f>V124*8/1000000</f>
        <v>7.2599999999992431</v>
      </c>
      <c r="AJ125" s="65" t="s">
        <v>479</v>
      </c>
      <c r="AK125" s="65" t="s">
        <v>480</v>
      </c>
      <c r="AL125" s="65">
        <v>3.7</v>
      </c>
      <c r="AM125" s="65">
        <v>3.7</v>
      </c>
      <c r="AN125" s="65">
        <v>3.7</v>
      </c>
    </row>
    <row r="126" spans="1:48" ht="15.75">
      <c r="B126">
        <v>102</v>
      </c>
      <c r="C126">
        <v>101</v>
      </c>
      <c r="E126" t="s">
        <v>51</v>
      </c>
      <c r="F126" t="s">
        <v>49</v>
      </c>
      <c r="G126" t="s">
        <v>50</v>
      </c>
      <c r="L126" s="78" t="str">
        <f t="shared" si="28"/>
        <v>149/00:35</v>
      </c>
      <c r="M126" s="78" t="s">
        <v>481</v>
      </c>
      <c r="O126" s="84" t="str">
        <f t="shared" si="29"/>
        <v>166/15:41</v>
      </c>
      <c r="P126" s="32" t="s">
        <v>482</v>
      </c>
      <c r="Q126" s="85">
        <f t="shared" si="30"/>
        <v>610784847.29209781</v>
      </c>
      <c r="R126" s="28">
        <f t="shared" si="22"/>
        <v>611216550.05629706</v>
      </c>
      <c r="S126" s="21">
        <f t="shared" si="23"/>
        <v>431702.7641992569</v>
      </c>
      <c r="T126" s="21">
        <f t="shared" si="24"/>
        <v>1632124.9999999595</v>
      </c>
      <c r="U126" s="3">
        <v>0</v>
      </c>
      <c r="V126" s="27">
        <f t="shared" si="31"/>
        <v>1632124.9999999595</v>
      </c>
      <c r="W126" s="20">
        <f t="shared" si="34"/>
        <v>1632125</v>
      </c>
      <c r="X126" s="87">
        <f t="shared" si="25"/>
        <v>4.0512531995773315E-8</v>
      </c>
      <c r="Y126" s="103">
        <f t="shared" si="32"/>
        <v>13.057</v>
      </c>
      <c r="Z126" s="93">
        <f t="shared" si="35"/>
        <v>49.676000000000002</v>
      </c>
      <c r="AA126" s="50"/>
      <c r="AB126" s="50">
        <v>1838628</v>
      </c>
      <c r="AC126" s="50">
        <f t="shared" si="33"/>
        <v>206503.00000004051</v>
      </c>
      <c r="AD126" s="98">
        <f t="shared" si="26"/>
        <v>1.6520240000003241</v>
      </c>
      <c r="AE126" s="62">
        <f t="shared" si="27"/>
        <v>0.11231363821286335</v>
      </c>
      <c r="AF126" s="31" t="s">
        <v>483</v>
      </c>
      <c r="AG126" s="34" t="s">
        <v>484</v>
      </c>
      <c r="AH126" s="53">
        <f>X126*8/1000000</f>
        <v>3.2410025596618653E-13</v>
      </c>
      <c r="AI126" s="53">
        <f>V126*8/1000000</f>
        <v>13.056999999999675</v>
      </c>
      <c r="AJ126" s="65" t="s">
        <v>485</v>
      </c>
      <c r="AK126" s="65" t="s">
        <v>486</v>
      </c>
      <c r="AL126" s="65">
        <v>11.87</v>
      </c>
      <c r="AM126" s="65">
        <v>11.87</v>
      </c>
      <c r="AN126" s="65">
        <v>11.87</v>
      </c>
    </row>
    <row r="127" spans="1:48" ht="15.75">
      <c r="B127">
        <v>102</v>
      </c>
      <c r="C127">
        <v>101</v>
      </c>
      <c r="E127" t="s">
        <v>51</v>
      </c>
      <c r="F127" t="s">
        <v>49</v>
      </c>
      <c r="G127" t="s">
        <v>50</v>
      </c>
      <c r="L127" s="78" t="str">
        <f t="shared" si="28"/>
        <v>154/00:30</v>
      </c>
      <c r="M127" s="78" t="s">
        <v>487</v>
      </c>
      <c r="O127" s="84" t="str">
        <f t="shared" si="29"/>
        <v>167/15:51</v>
      </c>
      <c r="P127" s="32" t="s">
        <v>13</v>
      </c>
      <c r="Q127" s="85">
        <f t="shared" si="30"/>
        <v>611216549.05629706</v>
      </c>
      <c r="R127" s="28">
        <f t="shared" si="22"/>
        <v>611398758.90032721</v>
      </c>
      <c r="S127" s="21">
        <f t="shared" si="23"/>
        <v>182209.84403014183</v>
      </c>
      <c r="T127" s="21">
        <f t="shared" si="24"/>
        <v>688874.99999982573</v>
      </c>
      <c r="U127" s="3">
        <v>0</v>
      </c>
      <c r="V127" s="27">
        <f t="shared" si="31"/>
        <v>688874.99999982573</v>
      </c>
      <c r="W127" s="20">
        <f t="shared" si="34"/>
        <v>688875</v>
      </c>
      <c r="X127" s="87">
        <f t="shared" si="25"/>
        <v>1.7427373677492142E-7</v>
      </c>
      <c r="Y127" s="103">
        <f t="shared" si="32"/>
        <v>5.5110000000000001</v>
      </c>
      <c r="Z127" s="93">
        <f t="shared" si="35"/>
        <v>55.187000000000005</v>
      </c>
      <c r="AA127" s="50"/>
      <c r="AB127" s="50">
        <v>770314</v>
      </c>
      <c r="AC127" s="50">
        <f t="shared" si="33"/>
        <v>81439.000000174274</v>
      </c>
      <c r="AD127" s="98">
        <f t="shared" si="26"/>
        <v>0.6515120000013942</v>
      </c>
      <c r="AE127" s="62">
        <f t="shared" si="27"/>
        <v>0.10572182252974018</v>
      </c>
      <c r="AF127" s="31" t="s">
        <v>488</v>
      </c>
      <c r="AG127" s="34" t="s">
        <v>489</v>
      </c>
      <c r="AH127" s="53">
        <f>X127*8/1000000</f>
        <v>1.3941898941993714E-12</v>
      </c>
      <c r="AI127" s="53">
        <f>V127*8/1000000</f>
        <v>5.5109999999986057</v>
      </c>
      <c r="AJ127" s="65" t="s">
        <v>490</v>
      </c>
      <c r="AK127" s="65" t="s">
        <v>491</v>
      </c>
      <c r="AL127" s="65">
        <v>5.01</v>
      </c>
      <c r="AM127" s="65">
        <v>5.01</v>
      </c>
      <c r="AN127" s="65">
        <v>5.01</v>
      </c>
    </row>
    <row r="128" spans="1:48" ht="15.75">
      <c r="B128">
        <v>102</v>
      </c>
      <c r="C128">
        <v>101</v>
      </c>
      <c r="E128" t="s">
        <v>51</v>
      </c>
      <c r="F128" t="s">
        <v>49</v>
      </c>
      <c r="G128" t="s">
        <v>50</v>
      </c>
      <c r="L128" s="78" t="str">
        <f t="shared" si="28"/>
        <v>156/03:07</v>
      </c>
      <c r="M128" s="78" t="s">
        <v>492</v>
      </c>
      <c r="O128" s="84" t="str">
        <f t="shared" si="29"/>
        <v>168/15:51</v>
      </c>
      <c r="P128" s="32" t="s">
        <v>493</v>
      </c>
      <c r="Q128" s="85">
        <f t="shared" si="30"/>
        <v>611398757.90032721</v>
      </c>
      <c r="R128" s="28">
        <f t="shared" si="22"/>
        <v>611652251.43583429</v>
      </c>
      <c r="S128" s="21">
        <f t="shared" si="23"/>
        <v>253493.53550708294</v>
      </c>
      <c r="T128" s="21">
        <f t="shared" si="24"/>
        <v>958375.00000005704</v>
      </c>
      <c r="U128" s="3">
        <v>0</v>
      </c>
      <c r="V128" s="27">
        <f t="shared" si="31"/>
        <v>958375.00000005704</v>
      </c>
      <c r="W128" s="20">
        <f t="shared" si="34"/>
        <v>958375.00000000012</v>
      </c>
      <c r="X128" s="87">
        <f t="shared" si="25"/>
        <v>-5.6927092373371124E-8</v>
      </c>
      <c r="Y128" s="103">
        <f t="shared" si="32"/>
        <v>7.6670000000000007</v>
      </c>
      <c r="Z128" s="93">
        <f t="shared" si="35"/>
        <v>62.854000000000006</v>
      </c>
      <c r="AA128" s="50"/>
      <c r="AB128" s="50">
        <v>958375</v>
      </c>
      <c r="AC128" s="50">
        <f t="shared" si="33"/>
        <v>-5.7043507695198059E-8</v>
      </c>
      <c r="AD128" s="98">
        <f t="shared" si="26"/>
        <v>-4.5634806156158446E-13</v>
      </c>
      <c r="AE128" s="62"/>
      <c r="AF128" s="31" t="s">
        <v>494</v>
      </c>
      <c r="AG128" s="34" t="s">
        <v>495</v>
      </c>
      <c r="AH128" s="53">
        <f>X128*8/1000000</f>
        <v>-4.5541673898696896E-13</v>
      </c>
      <c r="AI128" s="53">
        <f>V128*8/1000000</f>
        <v>7.6670000000004563</v>
      </c>
      <c r="AJ128" s="65" t="s">
        <v>496</v>
      </c>
      <c r="AK128" s="65" t="s">
        <v>497</v>
      </c>
      <c r="AL128" s="65">
        <v>6.97</v>
      </c>
      <c r="AM128" s="65">
        <v>6.97</v>
      </c>
      <c r="AN128" s="65">
        <v>6.97</v>
      </c>
    </row>
    <row r="129" spans="1:40" ht="15.75">
      <c r="L129" s="104"/>
      <c r="M129" s="105"/>
      <c r="N129" s="105"/>
      <c r="O129" s="106" t="s">
        <v>498</v>
      </c>
      <c r="P129" s="15" t="s">
        <v>499</v>
      </c>
      <c r="Q129" s="15" t="s">
        <v>500</v>
      </c>
      <c r="R129" s="15">
        <v>611744022</v>
      </c>
      <c r="S129" s="15">
        <v>1</v>
      </c>
      <c r="T129" s="15" t="s">
        <v>27</v>
      </c>
      <c r="U129" s="15" t="s">
        <v>501</v>
      </c>
      <c r="V129" s="15" t="s">
        <v>28</v>
      </c>
      <c r="W129" s="15"/>
      <c r="X129" s="15" t="s">
        <v>502</v>
      </c>
      <c r="Y129" s="107"/>
      <c r="Z129" s="107"/>
      <c r="AA129" s="59"/>
      <c r="AB129" s="50"/>
      <c r="AC129" s="50"/>
      <c r="AD129" s="99"/>
      <c r="AE129" s="99"/>
      <c r="AF129" s="31"/>
      <c r="AG129" s="34"/>
      <c r="AH129" s="53"/>
      <c r="AI129" s="53"/>
      <c r="AJ129" s="65"/>
      <c r="AK129" s="65"/>
      <c r="AL129" s="65">
        <v>4.93</v>
      </c>
      <c r="AM129" s="65">
        <v>4.93</v>
      </c>
      <c r="AN129" s="65">
        <v>4.93</v>
      </c>
    </row>
    <row r="130" spans="1:40" ht="15.75">
      <c r="B130">
        <v>102</v>
      </c>
      <c r="C130">
        <v>101</v>
      </c>
      <c r="E130" t="s">
        <v>51</v>
      </c>
      <c r="F130" t="s">
        <v>49</v>
      </c>
      <c r="G130" t="s">
        <v>50</v>
      </c>
      <c r="L130" s="78" t="str">
        <f>M128</f>
        <v>159/01:32</v>
      </c>
      <c r="M130" s="108" t="s">
        <v>503</v>
      </c>
      <c r="N130" t="s">
        <v>18</v>
      </c>
      <c r="O130" s="84" t="str">
        <f>AG130</f>
        <v>169/01:21</v>
      </c>
      <c r="P130" s="32" t="s">
        <v>14</v>
      </c>
      <c r="Q130" s="85">
        <f>R128-1</f>
        <v>611652250.43583429</v>
      </c>
      <c r="R130" s="35">
        <f>R129+20</f>
        <v>611744042</v>
      </c>
      <c r="S130" s="21">
        <f>R130-Q130</f>
        <v>91791.564165711403</v>
      </c>
      <c r="T130" s="21">
        <f>S130*$V$13</f>
        <v>347033.46628285473</v>
      </c>
      <c r="U130" s="3">
        <v>0</v>
      </c>
      <c r="V130" s="27">
        <f>T130+U130*$V$23</f>
        <v>347033.46628285473</v>
      </c>
      <c r="W130" s="20">
        <f>Y130*1000000/8</f>
        <v>677875</v>
      </c>
      <c r="X130" s="87">
        <f>W130-V130</f>
        <v>330841.53371714527</v>
      </c>
      <c r="Y130" s="103">
        <f>1.1*AL130</f>
        <v>5.423</v>
      </c>
      <c r="Z130" s="109">
        <f>Y130+Z128</f>
        <v>68.277000000000001</v>
      </c>
      <c r="AA130" s="50"/>
      <c r="AB130" s="50"/>
      <c r="AC130" s="50">
        <f>AB130-T130</f>
        <v>-347033.46628285473</v>
      </c>
      <c r="AD130" s="98">
        <f>AC130*8/1000000</f>
        <v>-2.776267730262838</v>
      </c>
      <c r="AE130" s="98"/>
      <c r="AF130" s="31" t="s">
        <v>33</v>
      </c>
      <c r="AG130" s="34" t="s">
        <v>504</v>
      </c>
      <c r="AH130" s="53">
        <f>X130*8/1000000</f>
        <v>2.646732269737162</v>
      </c>
      <c r="AI130" s="53">
        <f>V130*8/1000000</f>
        <v>2.776267730262838</v>
      </c>
      <c r="AJ130" s="65" t="s">
        <v>505</v>
      </c>
      <c r="AK130" s="65" t="s">
        <v>506</v>
      </c>
      <c r="AL130" s="65">
        <v>4.93</v>
      </c>
      <c r="AM130" s="65">
        <v>4.93</v>
      </c>
      <c r="AN130" s="65">
        <v>4.93</v>
      </c>
    </row>
    <row r="131" spans="1:40" ht="15.75">
      <c r="L131" s="104"/>
      <c r="M131" s="105"/>
      <c r="N131" s="105"/>
      <c r="O131" s="106" t="s">
        <v>507</v>
      </c>
      <c r="P131" s="15" t="s">
        <v>403</v>
      </c>
      <c r="Q131" s="15" t="s">
        <v>404</v>
      </c>
      <c r="R131" s="15">
        <v>611744576</v>
      </c>
      <c r="S131" s="15">
        <v>7</v>
      </c>
      <c r="T131" s="15" t="s">
        <v>27</v>
      </c>
      <c r="U131" s="15" t="s">
        <v>405</v>
      </c>
      <c r="V131" s="15" t="s">
        <v>151</v>
      </c>
      <c r="W131" s="15" t="s">
        <v>152</v>
      </c>
      <c r="X131" s="15" t="s">
        <v>406</v>
      </c>
      <c r="Y131" s="107"/>
      <c r="Z131" s="107"/>
      <c r="AA131" s="60"/>
      <c r="AB131" s="50"/>
      <c r="AC131" s="50"/>
      <c r="AD131" s="99"/>
      <c r="AE131" s="99"/>
      <c r="AF131" s="31"/>
      <c r="AG131" s="34"/>
      <c r="AH131" s="53"/>
      <c r="AI131" s="53"/>
      <c r="AJ131" s="65"/>
      <c r="AK131" s="65"/>
      <c r="AL131" s="65"/>
      <c r="AM131" s="65"/>
    </row>
    <row r="132" spans="1:40" ht="15.75">
      <c r="A132" s="6"/>
      <c r="B132">
        <v>102</v>
      </c>
      <c r="C132">
        <v>103</v>
      </c>
      <c r="D132">
        <v>110</v>
      </c>
      <c r="E132" t="s">
        <v>51</v>
      </c>
      <c r="F132" t="s">
        <v>49</v>
      </c>
      <c r="G132" t="s">
        <v>50</v>
      </c>
      <c r="H132" s="6"/>
      <c r="I132" s="6"/>
      <c r="J132" s="6"/>
      <c r="K132" s="6" t="s">
        <v>157</v>
      </c>
      <c r="L132" s="78" t="s">
        <v>508</v>
      </c>
      <c r="M132" s="78" t="s">
        <v>509</v>
      </c>
      <c r="P132" s="32" t="s">
        <v>14</v>
      </c>
      <c r="Q132" s="100">
        <f>R131-20</f>
        <v>611744556</v>
      </c>
      <c r="R132" s="28">
        <f>((W132-U132*$V$23)/$V$12)+Q132</f>
        <v>611851610.92407358</v>
      </c>
      <c r="S132" s="21">
        <f t="shared" ref="S132:S142" si="36">R132-Q132</f>
        <v>107054.92407357693</v>
      </c>
      <c r="T132" s="21">
        <f>S132*$V$12</f>
        <v>330841.53371706873</v>
      </c>
      <c r="U132" s="3">
        <v>0</v>
      </c>
      <c r="V132" s="27">
        <f t="shared" ref="V132:V142" si="37">T132+U132*$V$23</f>
        <v>330841.53371706873</v>
      </c>
      <c r="W132" s="20">
        <f>X130</f>
        <v>330841.53371714527</v>
      </c>
      <c r="X132" s="87">
        <f t="shared" ref="X132:X142" si="38">W132-V132</f>
        <v>7.6543074101209641E-8</v>
      </c>
      <c r="Y132" s="103"/>
      <c r="Z132" s="110"/>
      <c r="AA132" s="50"/>
      <c r="AB132" s="50"/>
      <c r="AC132" s="50">
        <f t="shared" ref="AC132:AC142" si="39">AB132-T132</f>
        <v>-330841.53371706873</v>
      </c>
      <c r="AD132" s="98">
        <f t="shared" ref="AD132:AD142" si="40">AC132*8/1000000</f>
        <v>-2.6467322697365496</v>
      </c>
      <c r="AE132" s="98"/>
      <c r="AF132" s="31"/>
      <c r="AG132" s="34"/>
      <c r="AH132" s="53">
        <f t="shared" ref="AH132:AH142" si="41">X132*8/1000000</f>
        <v>6.1234459280967711E-13</v>
      </c>
      <c r="AI132" s="53">
        <f t="shared" ref="AI132:AI142" si="42">V132*8/1000000</f>
        <v>2.6467322697365496</v>
      </c>
      <c r="AJ132" s="65"/>
      <c r="AK132" s="65"/>
      <c r="AL132" s="65"/>
      <c r="AM132" s="65"/>
    </row>
    <row r="133" spans="1:40" ht="15.75">
      <c r="B133">
        <v>102</v>
      </c>
      <c r="C133">
        <v>103</v>
      </c>
      <c r="D133">
        <v>110</v>
      </c>
      <c r="E133" t="s">
        <v>51</v>
      </c>
      <c r="F133" t="s">
        <v>49</v>
      </c>
      <c r="G133" t="s">
        <v>50</v>
      </c>
      <c r="L133" s="78" t="str">
        <f>M132</f>
        <v>161/08:55</v>
      </c>
      <c r="M133" s="78" t="s">
        <v>510</v>
      </c>
      <c r="O133" s="84" t="str">
        <f>AG133</f>
        <v>169/22:11</v>
      </c>
      <c r="P133" s="32" t="s">
        <v>511</v>
      </c>
      <c r="Q133" s="85">
        <f>R132-1</f>
        <v>611851609.92407358</v>
      </c>
      <c r="R133" s="28">
        <f>((W133-U133*$V$23)/$V$12)+Q133</f>
        <v>612349038.95054173</v>
      </c>
      <c r="S133" s="21">
        <f t="shared" si="36"/>
        <v>497429.02646815777</v>
      </c>
      <c r="T133" s="21">
        <f>S133*$V$12</f>
        <v>1537250.0000000705</v>
      </c>
      <c r="U133" s="3">
        <v>0</v>
      </c>
      <c r="V133" s="27">
        <f t="shared" si="37"/>
        <v>1537250.0000000705</v>
      </c>
      <c r="W133" s="20">
        <f>Y133*1000000/8</f>
        <v>1537250</v>
      </c>
      <c r="X133" s="87">
        <f t="shared" si="38"/>
        <v>-7.0547685027122498E-8</v>
      </c>
      <c r="Y133" s="103">
        <f>1.1*AL133</f>
        <v>12.298</v>
      </c>
      <c r="Z133" s="109">
        <f>Z130+Y133</f>
        <v>80.575000000000003</v>
      </c>
      <c r="AA133" s="50"/>
      <c r="AB133" s="50"/>
      <c r="AC133" s="50">
        <f t="shared" si="39"/>
        <v>-1537250.0000000705</v>
      </c>
      <c r="AD133" s="98">
        <f t="shared" si="40"/>
        <v>-12.298000000000565</v>
      </c>
      <c r="AE133" s="98"/>
      <c r="AF133" s="31" t="s">
        <v>512</v>
      </c>
      <c r="AG133" s="34" t="s">
        <v>513</v>
      </c>
      <c r="AH133" s="53">
        <f t="shared" si="41"/>
        <v>-5.6438148021697997E-13</v>
      </c>
      <c r="AI133" s="53">
        <f t="shared" si="42"/>
        <v>12.298000000000565</v>
      </c>
      <c r="AJ133" s="65" t="s">
        <v>514</v>
      </c>
      <c r="AK133" s="65" t="s">
        <v>515</v>
      </c>
      <c r="AL133" s="65">
        <v>11.18</v>
      </c>
      <c r="AM133" s="65">
        <v>11.18</v>
      </c>
      <c r="AN133" s="65">
        <v>11.18</v>
      </c>
    </row>
    <row r="134" spans="1:40" ht="15.75">
      <c r="B134">
        <v>102</v>
      </c>
      <c r="C134">
        <v>103</v>
      </c>
      <c r="D134">
        <v>110</v>
      </c>
      <c r="E134" t="s">
        <v>51</v>
      </c>
      <c r="F134" t="s">
        <v>49</v>
      </c>
      <c r="G134" t="s">
        <v>50</v>
      </c>
      <c r="L134" s="78" t="str">
        <f>M133</f>
        <v>167/03:05</v>
      </c>
      <c r="M134" s="78" t="s">
        <v>516</v>
      </c>
      <c r="O134" s="84" t="str">
        <f>AG134</f>
        <v>170/16:06</v>
      </c>
      <c r="P134" s="32" t="s">
        <v>517</v>
      </c>
      <c r="Q134" s="85">
        <f>R133-1</f>
        <v>612349037.95054173</v>
      </c>
      <c r="R134" s="35">
        <v>612647515</v>
      </c>
      <c r="S134" s="21">
        <f t="shared" si="36"/>
        <v>298477.0494582653</v>
      </c>
      <c r="T134" s="21">
        <f>S134*$V$12</f>
        <v>922410.67542348371</v>
      </c>
      <c r="U134" s="3">
        <v>0</v>
      </c>
      <c r="V134" s="27">
        <f t="shared" si="37"/>
        <v>922410.67542348371</v>
      </c>
      <c r="W134" s="20">
        <f>Y134*1000000/8</f>
        <v>2965875.0000000005</v>
      </c>
      <c r="X134" s="87">
        <f t="shared" si="38"/>
        <v>2043464.3245765166</v>
      </c>
      <c r="Y134" s="103">
        <f>1.1*AL134</f>
        <v>23.727000000000004</v>
      </c>
      <c r="Z134" s="109">
        <f>Z133+AA134</f>
        <v>87.954285403387871</v>
      </c>
      <c r="AA134" s="50">
        <f>AI134</f>
        <v>7.3792854033878701</v>
      </c>
      <c r="AB134" s="50"/>
      <c r="AC134" s="50">
        <f t="shared" si="39"/>
        <v>-922410.67542348371</v>
      </c>
      <c r="AD134" s="98">
        <f t="shared" si="40"/>
        <v>-7.3792854033878701</v>
      </c>
      <c r="AE134" s="98"/>
      <c r="AF134" t="s">
        <v>518</v>
      </c>
      <c r="AG134" s="34" t="s">
        <v>519</v>
      </c>
      <c r="AH134" s="53">
        <f t="shared" si="41"/>
        <v>16.347714596612132</v>
      </c>
      <c r="AI134" s="53">
        <f t="shared" si="42"/>
        <v>7.3792854033878701</v>
      </c>
      <c r="AJ134" s="65" t="s">
        <v>520</v>
      </c>
      <c r="AK134" s="65" t="s">
        <v>521</v>
      </c>
      <c r="AL134" s="65">
        <v>21.57</v>
      </c>
      <c r="AM134" s="65">
        <v>21.57</v>
      </c>
      <c r="AN134" s="65"/>
    </row>
    <row r="135" spans="1:40" ht="15.75">
      <c r="L135" s="47" t="s">
        <v>394</v>
      </c>
      <c r="M135" s="47" t="s">
        <v>522</v>
      </c>
      <c r="O135" s="34"/>
      <c r="P135" s="32" t="s">
        <v>517</v>
      </c>
      <c r="Q135" s="58">
        <f>R92-3</f>
        <v>592432559.87599802</v>
      </c>
      <c r="R135" s="21">
        <f t="shared" ref="R135:R141" si="43">((W135)/$X$9)+Q135</f>
        <v>592985455.41489768</v>
      </c>
      <c r="S135" s="21">
        <f t="shared" si="36"/>
        <v>552895.53889966011</v>
      </c>
      <c r="T135" s="21">
        <f t="shared" ref="T135:T141" si="44">S135*$X$9</f>
        <v>2043464.3245764237</v>
      </c>
      <c r="U135" s="3">
        <v>0</v>
      </c>
      <c r="V135" s="20">
        <f t="shared" si="37"/>
        <v>2043464.3245764237</v>
      </c>
      <c r="W135" s="20">
        <f>X134</f>
        <v>2043464.3245765166</v>
      </c>
      <c r="X135" s="87">
        <f t="shared" si="38"/>
        <v>9.2899426817893982E-8</v>
      </c>
      <c r="Z135" s="111">
        <f>W135*8/1000000</f>
        <v>16.347714596612132</v>
      </c>
      <c r="AA135" s="111"/>
      <c r="AB135" s="50"/>
      <c r="AC135" s="50">
        <f t="shared" si="39"/>
        <v>-2043464.3245764237</v>
      </c>
      <c r="AD135" s="98">
        <f t="shared" si="40"/>
        <v>-16.347714596611389</v>
      </c>
      <c r="AE135" s="98"/>
      <c r="AH135" s="53">
        <f t="shared" si="41"/>
        <v>7.4319541454315185E-13</v>
      </c>
      <c r="AI135" s="53">
        <f t="shared" si="42"/>
        <v>16.347714596611389</v>
      </c>
    </row>
    <row r="136" spans="1:40" ht="15.75">
      <c r="L136" s="47" t="str">
        <f t="shared" ref="L136:L141" si="45">M135</f>
        <v>309/00:19</v>
      </c>
      <c r="M136" s="47" t="s">
        <v>523</v>
      </c>
      <c r="O136" s="84" t="str">
        <f t="shared" ref="O136:O142" si="46">AG136</f>
        <v>173/15:36</v>
      </c>
      <c r="P136" s="32" t="s">
        <v>524</v>
      </c>
      <c r="Q136" s="58">
        <f t="shared" ref="Q136:Q141" si="47">R135-3</f>
        <v>592985452.41489768</v>
      </c>
      <c r="R136" s="21">
        <f t="shared" si="43"/>
        <v>593579957.39755702</v>
      </c>
      <c r="S136" s="21">
        <f t="shared" si="36"/>
        <v>594504.9826593399</v>
      </c>
      <c r="T136" s="21">
        <f t="shared" si="44"/>
        <v>2197250.0000000154</v>
      </c>
      <c r="U136" s="3">
        <v>0</v>
      </c>
      <c r="V136" s="20">
        <f t="shared" si="37"/>
        <v>2197250.0000000154</v>
      </c>
      <c r="W136" s="20">
        <f t="shared" ref="W136:W142" si="48">Y136*1000000/8</f>
        <v>2197250.0000000005</v>
      </c>
      <c r="X136" s="87">
        <f t="shared" si="38"/>
        <v>-1.4901161193847656E-8</v>
      </c>
      <c r="Y136" s="103">
        <f t="shared" ref="Y136:Y141" si="49">1.1*AL136</f>
        <v>17.578000000000003</v>
      </c>
      <c r="Z136" s="111">
        <f>Z135+Y136</f>
        <v>33.925714596612139</v>
      </c>
      <c r="AA136" s="50"/>
      <c r="AB136" s="50"/>
      <c r="AC136" s="50">
        <f t="shared" si="39"/>
        <v>-2197250.0000000154</v>
      </c>
      <c r="AD136" s="98">
        <f t="shared" si="40"/>
        <v>-17.578000000000124</v>
      </c>
      <c r="AE136" s="98"/>
      <c r="AF136" s="31" t="s">
        <v>525</v>
      </c>
      <c r="AG136" s="34" t="s">
        <v>526</v>
      </c>
      <c r="AH136" s="53">
        <f t="shared" si="41"/>
        <v>-1.1920928955078124E-13</v>
      </c>
      <c r="AI136" s="53">
        <f t="shared" si="42"/>
        <v>17.578000000000124</v>
      </c>
      <c r="AJ136" s="65" t="s">
        <v>527</v>
      </c>
      <c r="AK136" s="65" t="s">
        <v>528</v>
      </c>
      <c r="AL136" s="65">
        <v>15.98</v>
      </c>
      <c r="AM136" s="65">
        <v>15.98</v>
      </c>
      <c r="AN136" s="65">
        <v>15.98</v>
      </c>
    </row>
    <row r="137" spans="1:40" ht="15.75">
      <c r="L137" s="47" t="str">
        <f t="shared" si="45"/>
        <v>315/21:27</v>
      </c>
      <c r="M137" s="47" t="s">
        <v>529</v>
      </c>
      <c r="O137" s="84" t="str">
        <f t="shared" si="46"/>
        <v>174/15:46</v>
      </c>
      <c r="P137" s="32" t="s">
        <v>530</v>
      </c>
      <c r="Q137" s="58">
        <f t="shared" si="47"/>
        <v>593579954.39755702</v>
      </c>
      <c r="R137" s="21">
        <f t="shared" si="43"/>
        <v>593841863.97690129</v>
      </c>
      <c r="S137" s="21">
        <f t="shared" si="36"/>
        <v>261909.57934427261</v>
      </c>
      <c r="T137" s="21">
        <f t="shared" si="44"/>
        <v>967999.99999994272</v>
      </c>
      <c r="U137" s="3">
        <v>0</v>
      </c>
      <c r="V137" s="20">
        <f t="shared" si="37"/>
        <v>967999.99999994272</v>
      </c>
      <c r="W137" s="20">
        <f t="shared" si="48"/>
        <v>968000.00000000012</v>
      </c>
      <c r="X137" s="87">
        <f t="shared" si="38"/>
        <v>5.7392753660678864E-8</v>
      </c>
      <c r="Y137" s="103">
        <f t="shared" si="49"/>
        <v>7.7440000000000007</v>
      </c>
      <c r="Z137" s="111">
        <f>Z136+Y137</f>
        <v>41.669714596612138</v>
      </c>
      <c r="AA137" s="50"/>
      <c r="AB137" s="50"/>
      <c r="AC137" s="50">
        <f t="shared" si="39"/>
        <v>-967999.99999994272</v>
      </c>
      <c r="AD137" s="98">
        <f t="shared" si="40"/>
        <v>-7.7439999999995415</v>
      </c>
      <c r="AE137" s="98"/>
      <c r="AF137" s="31" t="s">
        <v>531</v>
      </c>
      <c r="AG137" s="34" t="s">
        <v>532</v>
      </c>
      <c r="AH137" s="53">
        <f t="shared" si="41"/>
        <v>4.5914202928543086E-13</v>
      </c>
      <c r="AI137" s="53">
        <f t="shared" si="42"/>
        <v>7.7439999999995415</v>
      </c>
      <c r="AJ137" s="65" t="s">
        <v>533</v>
      </c>
      <c r="AK137" s="65" t="s">
        <v>534</v>
      </c>
      <c r="AL137" s="65">
        <v>7.04</v>
      </c>
      <c r="AM137" s="65">
        <v>7.04</v>
      </c>
      <c r="AN137" s="65">
        <v>7.04</v>
      </c>
    </row>
    <row r="138" spans="1:40" ht="15.75">
      <c r="A138" s="6"/>
      <c r="B138" s="6"/>
      <c r="C138" s="6"/>
      <c r="D138" s="6"/>
      <c r="E138" s="6"/>
      <c r="F138" s="6"/>
      <c r="G138" s="6"/>
      <c r="H138" s="6"/>
      <c r="I138" s="6"/>
      <c r="J138" s="6"/>
      <c r="K138" s="6"/>
      <c r="L138" s="47" t="str">
        <f t="shared" si="45"/>
        <v>318/22:12</v>
      </c>
      <c r="M138" s="47" t="s">
        <v>535</v>
      </c>
      <c r="O138" s="84" t="str">
        <f t="shared" si="46"/>
        <v>175/23:26</v>
      </c>
      <c r="P138" s="32" t="s">
        <v>536</v>
      </c>
      <c r="Q138" s="58">
        <f t="shared" si="47"/>
        <v>593841860.97690129</v>
      </c>
      <c r="R138" s="21">
        <f t="shared" si="43"/>
        <v>594108978.98538029</v>
      </c>
      <c r="S138" s="21">
        <f t="shared" si="36"/>
        <v>267118.00847899914</v>
      </c>
      <c r="T138" s="21">
        <f t="shared" si="44"/>
        <v>987250.00000008673</v>
      </c>
      <c r="U138" s="3">
        <v>0</v>
      </c>
      <c r="V138" s="20">
        <f t="shared" si="37"/>
        <v>987250.00000008673</v>
      </c>
      <c r="W138" s="20">
        <f t="shared" si="48"/>
        <v>987250.00000000012</v>
      </c>
      <c r="X138" s="87">
        <f t="shared" si="38"/>
        <v>-8.6612999439239502E-8</v>
      </c>
      <c r="Y138" s="103">
        <f t="shared" si="49"/>
        <v>7.8980000000000006</v>
      </c>
      <c r="Z138" s="111">
        <f>Z137+Y138</f>
        <v>49.567714596612142</v>
      </c>
      <c r="AA138" s="50"/>
      <c r="AB138" s="50"/>
      <c r="AC138" s="50">
        <f t="shared" si="39"/>
        <v>-987250.00000008673</v>
      </c>
      <c r="AD138" s="98">
        <f t="shared" si="40"/>
        <v>-7.8980000000006942</v>
      </c>
      <c r="AE138" s="98"/>
      <c r="AF138" s="31" t="s">
        <v>537</v>
      </c>
      <c r="AG138" s="34" t="s">
        <v>538</v>
      </c>
      <c r="AH138" s="53">
        <f t="shared" si="41"/>
        <v>-6.92903995513916E-13</v>
      </c>
      <c r="AI138" s="53">
        <f t="shared" si="42"/>
        <v>7.8980000000006942</v>
      </c>
      <c r="AJ138" s="65" t="s">
        <v>539</v>
      </c>
      <c r="AK138" s="65" t="s">
        <v>540</v>
      </c>
      <c r="AL138" s="65">
        <v>7.18</v>
      </c>
      <c r="AM138" s="65">
        <v>7.18</v>
      </c>
      <c r="AN138" s="65">
        <v>7.18</v>
      </c>
    </row>
    <row r="139" spans="1:40" ht="15.75">
      <c r="L139" s="47" t="str">
        <f t="shared" si="45"/>
        <v>322/00:24</v>
      </c>
      <c r="M139" s="47" t="s">
        <v>541</v>
      </c>
      <c r="O139" s="84" t="str">
        <f t="shared" si="46"/>
        <v>177/00:06</v>
      </c>
      <c r="P139" s="32" t="s">
        <v>542</v>
      </c>
      <c r="Q139" s="58">
        <f t="shared" si="47"/>
        <v>594108975.98538029</v>
      </c>
      <c r="R139" s="21">
        <f t="shared" si="43"/>
        <v>594325497.82512236</v>
      </c>
      <c r="S139" s="21">
        <f t="shared" si="36"/>
        <v>216521.83974206448</v>
      </c>
      <c r="T139" s="21">
        <f t="shared" si="44"/>
        <v>800250.00000019802</v>
      </c>
      <c r="U139" s="3">
        <v>0</v>
      </c>
      <c r="V139" s="20">
        <f t="shared" si="37"/>
        <v>800250.00000019802</v>
      </c>
      <c r="W139" s="20">
        <f t="shared" si="48"/>
        <v>800250.00000000012</v>
      </c>
      <c r="X139" s="87">
        <f t="shared" si="38"/>
        <v>-1.9790604710578918E-7</v>
      </c>
      <c r="Y139" s="103">
        <f t="shared" si="49"/>
        <v>6.402000000000001</v>
      </c>
      <c r="Z139" s="111">
        <f>Z138+Y139</f>
        <v>55.969714596612143</v>
      </c>
      <c r="AA139" s="50"/>
      <c r="AB139" s="50"/>
      <c r="AC139" s="50">
        <f t="shared" si="39"/>
        <v>-800250.00000019802</v>
      </c>
      <c r="AD139" s="98">
        <f t="shared" si="40"/>
        <v>-6.4020000000015838</v>
      </c>
      <c r="AE139" s="98"/>
      <c r="AF139" s="31" t="s">
        <v>543</v>
      </c>
      <c r="AG139" s="34" t="s">
        <v>544</v>
      </c>
      <c r="AH139" s="53">
        <f t="shared" si="41"/>
        <v>-1.5832483768463134E-12</v>
      </c>
      <c r="AI139" s="53">
        <f t="shared" si="42"/>
        <v>6.4020000000015838</v>
      </c>
      <c r="AJ139" s="65" t="s">
        <v>545</v>
      </c>
      <c r="AK139" s="65" t="s">
        <v>546</v>
      </c>
      <c r="AL139" s="65">
        <v>5.82</v>
      </c>
      <c r="AM139" s="65">
        <v>5.82</v>
      </c>
      <c r="AN139" s="65">
        <v>5.82</v>
      </c>
    </row>
    <row r="140" spans="1:40" ht="15.75">
      <c r="L140" s="47" t="str">
        <f t="shared" si="45"/>
        <v>324/12:33</v>
      </c>
      <c r="M140" s="47" t="s">
        <v>547</v>
      </c>
      <c r="O140" s="84" t="str">
        <f t="shared" si="46"/>
        <v>177/17:16</v>
      </c>
      <c r="P140" s="32" t="s">
        <v>548</v>
      </c>
      <c r="Q140" s="58">
        <f t="shared" si="47"/>
        <v>594325494.82512236</v>
      </c>
      <c r="R140" s="21">
        <f t="shared" si="43"/>
        <v>594930416.66605103</v>
      </c>
      <c r="S140" s="21">
        <f t="shared" si="36"/>
        <v>604921.84092867374</v>
      </c>
      <c r="T140" s="21">
        <f t="shared" si="44"/>
        <v>2235749.9999998626</v>
      </c>
      <c r="U140" s="3">
        <v>0</v>
      </c>
      <c r="V140" s="20">
        <f t="shared" si="37"/>
        <v>2235749.9999998626</v>
      </c>
      <c r="W140" s="20">
        <f t="shared" si="48"/>
        <v>2235750.0000000005</v>
      </c>
      <c r="X140" s="87">
        <f t="shared" si="38"/>
        <v>1.3783574104309082E-7</v>
      </c>
      <c r="Y140" s="103">
        <f t="shared" si="49"/>
        <v>17.886000000000003</v>
      </c>
      <c r="Z140" s="111">
        <f>Y140+Z139</f>
        <v>73.855714596612145</v>
      </c>
      <c r="AA140" s="111"/>
      <c r="AB140" s="50"/>
      <c r="AC140" s="50">
        <f t="shared" si="39"/>
        <v>-2235749.9999998626</v>
      </c>
      <c r="AD140" s="98">
        <f t="shared" si="40"/>
        <v>-17.885999999998901</v>
      </c>
      <c r="AE140" s="98"/>
      <c r="AF140" s="31" t="s">
        <v>549</v>
      </c>
      <c r="AG140" s="34" t="s">
        <v>550</v>
      </c>
      <c r="AH140" s="53">
        <f t="shared" si="41"/>
        <v>1.1026859283447265E-12</v>
      </c>
      <c r="AI140" s="53">
        <f t="shared" si="42"/>
        <v>17.885999999998901</v>
      </c>
      <c r="AJ140" s="65" t="s">
        <v>551</v>
      </c>
      <c r="AK140" s="65" t="s">
        <v>552</v>
      </c>
      <c r="AL140" s="65">
        <v>16.260000000000002</v>
      </c>
      <c r="AM140" s="65">
        <v>16.260000000000002</v>
      </c>
      <c r="AN140" s="65">
        <v>16.260000000000002</v>
      </c>
    </row>
    <row r="141" spans="1:40" ht="15.75">
      <c r="L141" s="47" t="str">
        <f t="shared" si="45"/>
        <v>331/12:35</v>
      </c>
      <c r="M141" s="47" t="s">
        <v>553</v>
      </c>
      <c r="O141" s="84" t="str">
        <f t="shared" si="46"/>
        <v>179/13:51</v>
      </c>
      <c r="P141" s="32" t="s">
        <v>554</v>
      </c>
      <c r="Q141" s="58">
        <f t="shared" si="47"/>
        <v>594930413.66605103</v>
      </c>
      <c r="R141" s="21">
        <f t="shared" si="43"/>
        <v>595490319.7980299</v>
      </c>
      <c r="S141" s="21">
        <f t="shared" si="36"/>
        <v>559906.13197886944</v>
      </c>
      <c r="T141" s="21">
        <f t="shared" si="44"/>
        <v>2069374.9999998449</v>
      </c>
      <c r="U141" s="3">
        <v>0</v>
      </c>
      <c r="V141" s="20">
        <f t="shared" si="37"/>
        <v>2069374.9999998449</v>
      </c>
      <c r="W141" s="20">
        <f t="shared" si="48"/>
        <v>2069375.0000000005</v>
      </c>
      <c r="X141" s="87">
        <f t="shared" si="38"/>
        <v>1.5553086996078491E-7</v>
      </c>
      <c r="Y141" s="103">
        <f t="shared" si="49"/>
        <v>16.555000000000003</v>
      </c>
      <c r="Z141" s="111">
        <f>Y141+Z140</f>
        <v>90.410714596612152</v>
      </c>
      <c r="AA141" s="111"/>
      <c r="AB141" s="50"/>
      <c r="AC141" s="50">
        <f t="shared" si="39"/>
        <v>-2069374.9999998449</v>
      </c>
      <c r="AD141" s="98">
        <f t="shared" si="40"/>
        <v>-16.55499999999876</v>
      </c>
      <c r="AE141" s="98"/>
      <c r="AF141" s="31" t="s">
        <v>555</v>
      </c>
      <c r="AG141" s="34" t="s">
        <v>556</v>
      </c>
      <c r="AH141" s="53">
        <f t="shared" si="41"/>
        <v>1.2442469596862792E-12</v>
      </c>
      <c r="AI141" s="53">
        <f t="shared" si="42"/>
        <v>16.55499999999876</v>
      </c>
      <c r="AJ141" s="65" t="s">
        <v>557</v>
      </c>
      <c r="AK141" s="65" t="s">
        <v>558</v>
      </c>
      <c r="AL141" s="65">
        <v>15.05</v>
      </c>
      <c r="AM141" s="65">
        <v>15.05</v>
      </c>
      <c r="AN141" s="65">
        <v>15.05</v>
      </c>
    </row>
    <row r="142" spans="1:40" ht="15.75">
      <c r="L142" s="78" t="s">
        <v>516</v>
      </c>
      <c r="M142" s="78" t="s">
        <v>559</v>
      </c>
      <c r="O142" s="84" t="str">
        <f t="shared" si="46"/>
        <v>180/16:16</v>
      </c>
      <c r="P142" s="32" t="s">
        <v>560</v>
      </c>
      <c r="Q142" s="58">
        <f>R134-1</f>
        <v>612647514</v>
      </c>
      <c r="R142" s="21">
        <f>((W142-U142*$V$23)/$V$12)+Q142</f>
        <v>613358508.26144552</v>
      </c>
      <c r="S142" s="21">
        <f t="shared" si="36"/>
        <v>710994.26144552231</v>
      </c>
      <c r="T142" s="21">
        <f>S142*$V$12</f>
        <v>2197250.0000000396</v>
      </c>
      <c r="U142" s="3">
        <v>0</v>
      </c>
      <c r="V142" s="27">
        <f t="shared" si="37"/>
        <v>2197250.0000000396</v>
      </c>
      <c r="W142" s="20">
        <f t="shared" si="48"/>
        <v>2197250.0000000005</v>
      </c>
      <c r="X142" s="87">
        <f t="shared" si="38"/>
        <v>-3.9115548133850098E-8</v>
      </c>
      <c r="Y142" s="103">
        <f>1.1*AL136</f>
        <v>17.578000000000003</v>
      </c>
      <c r="Z142" s="93">
        <f>Z134+Y142</f>
        <v>105.53228540338787</v>
      </c>
      <c r="AA142" s="50">
        <f>Z142-Z130</f>
        <v>37.255285403387873</v>
      </c>
      <c r="AB142" s="50"/>
      <c r="AC142" s="50">
        <f t="shared" si="39"/>
        <v>-2197250.0000000396</v>
      </c>
      <c r="AD142" s="98">
        <f t="shared" si="40"/>
        <v>-17.578000000000316</v>
      </c>
      <c r="AE142" s="98"/>
      <c r="AF142" s="31" t="s">
        <v>561</v>
      </c>
      <c r="AG142" s="34" t="s">
        <v>562</v>
      </c>
      <c r="AH142" s="53">
        <f t="shared" si="41"/>
        <v>-3.1292438507080076E-13</v>
      </c>
      <c r="AI142" s="53">
        <f t="shared" si="42"/>
        <v>17.578000000000316</v>
      </c>
      <c r="AJ142" s="65" t="s">
        <v>563</v>
      </c>
      <c r="AK142" s="65" t="s">
        <v>564</v>
      </c>
      <c r="AL142" s="65">
        <v>16.260000000000002</v>
      </c>
      <c r="AM142" s="65">
        <v>16.260000000000002</v>
      </c>
      <c r="AN142" s="65">
        <v>16.260000000000002</v>
      </c>
    </row>
    <row r="143" spans="1:40" ht="15">
      <c r="X143" s="53"/>
      <c r="Z143" s="3"/>
      <c r="AH143" s="53"/>
      <c r="AI143" s="53"/>
      <c r="AN143">
        <f>SUM(AM114:AM142)</f>
        <v>183.34</v>
      </c>
    </row>
    <row r="144" spans="1:40" ht="15">
      <c r="L144" s="47" t="s">
        <v>553</v>
      </c>
      <c r="M144" s="47" t="s">
        <v>565</v>
      </c>
      <c r="P144" t="s">
        <v>566</v>
      </c>
      <c r="Q144" s="58">
        <f>R141-3</f>
        <v>595490316.7980299</v>
      </c>
      <c r="R144" s="21">
        <f>((W144)/$X$9)+Q144</f>
        <v>595690536.93099976</v>
      </c>
      <c r="S144" s="21">
        <f>R144-Q144</f>
        <v>200220.13296985626</v>
      </c>
      <c r="T144" s="21">
        <f>S144*$X$9</f>
        <v>740000.00000018196</v>
      </c>
      <c r="U144" s="3">
        <v>0</v>
      </c>
      <c r="V144" s="20">
        <f>T144+U144*$V$23</f>
        <v>740000.00000018196</v>
      </c>
      <c r="W144" s="20">
        <v>740000</v>
      </c>
      <c r="X144" s="87">
        <f>W144-V144</f>
        <v>-1.8195714801549911E-7</v>
      </c>
      <c r="Z144" s="3"/>
      <c r="AA144" t="s">
        <v>23</v>
      </c>
      <c r="AH144" s="53">
        <f>X144*8/1000000</f>
        <v>-1.4556571841239929E-12</v>
      </c>
      <c r="AI144" s="53">
        <f>V144*8/1000000</f>
        <v>5.9200000000014557</v>
      </c>
      <c r="AJ144" s="65"/>
    </row>
    <row r="145" spans="1:57" ht="15.75">
      <c r="L145" s="47" t="s">
        <v>565</v>
      </c>
      <c r="M145" s="47" t="s">
        <v>567</v>
      </c>
      <c r="O145" s="84" t="s">
        <v>568</v>
      </c>
      <c r="P145" t="s">
        <v>569</v>
      </c>
      <c r="Q145" s="58">
        <f>R144-3</f>
        <v>595690533.93099976</v>
      </c>
      <c r="R145" s="21">
        <f>((W145)/$X$9)+Q145</f>
        <v>596272254.58760118</v>
      </c>
      <c r="S145" s="21">
        <f>R145-Q145</f>
        <v>581720.65660142899</v>
      </c>
      <c r="T145" s="21">
        <f>S145*$X$9</f>
        <v>2149999.9999998617</v>
      </c>
      <c r="U145" s="3">
        <v>0</v>
      </c>
      <c r="V145" s="20">
        <f>T145+U145*$V$23</f>
        <v>2149999.9999998617</v>
      </c>
      <c r="W145" s="20">
        <v>2150000</v>
      </c>
      <c r="X145" s="87">
        <f>W145-V145</f>
        <v>1.3830140233039856E-7</v>
      </c>
      <c r="AB145" s="50">
        <v>2153619</v>
      </c>
      <c r="AC145" s="50"/>
      <c r="AH145" s="53">
        <f>X145*8/1000000</f>
        <v>1.1064112186431885E-12</v>
      </c>
      <c r="AI145" s="53">
        <f>V145*8/1000000</f>
        <v>17.199999999998894</v>
      </c>
      <c r="AQ145" s="17"/>
      <c r="AY145" s="17"/>
      <c r="AZ145" s="17"/>
      <c r="BA145" s="17"/>
      <c r="BB145" s="17"/>
      <c r="BC145" s="17"/>
      <c r="BD145" s="17"/>
      <c r="BE145" s="17"/>
    </row>
    <row r="146" spans="1:57" ht="15">
      <c r="AG146" s="53"/>
      <c r="AH146" s="53">
        <f>AI145+AI144</f>
        <v>23.120000000000349</v>
      </c>
      <c r="AV146" s="17"/>
      <c r="AW146" s="17"/>
    </row>
    <row r="147" spans="1:57" ht="15">
      <c r="AE147" s="53"/>
      <c r="AF147" s="53"/>
    </row>
    <row r="148" spans="1:57" ht="15">
      <c r="X148" t="s">
        <v>198</v>
      </c>
    </row>
    <row r="149" spans="1:57" ht="15">
      <c r="C149" s="112" t="s">
        <v>226</v>
      </c>
      <c r="D149" s="112" t="s">
        <v>227</v>
      </c>
      <c r="E149" s="112" t="s">
        <v>51</v>
      </c>
      <c r="F149" s="112" t="s">
        <v>49</v>
      </c>
      <c r="G149" s="112" t="s">
        <v>50</v>
      </c>
      <c r="H149" s="112" t="s">
        <v>53</v>
      </c>
      <c r="I149" s="112" t="s">
        <v>54</v>
      </c>
      <c r="J149" s="112" t="s">
        <v>228</v>
      </c>
      <c r="P149" s="9">
        <v>25181</v>
      </c>
      <c r="T149" s="3"/>
      <c r="V149" s="18"/>
      <c r="X149" t="s">
        <v>295</v>
      </c>
    </row>
    <row r="150" spans="1:57" ht="15">
      <c r="C150" s="3"/>
      <c r="D150" s="3"/>
      <c r="E150" s="3"/>
      <c r="F150" s="3"/>
      <c r="G150" s="3"/>
      <c r="H150" s="3"/>
      <c r="I150" s="3"/>
      <c r="J150" s="3"/>
      <c r="P150" s="12" t="s">
        <v>122</v>
      </c>
      <c r="Q150" s="11" t="s">
        <v>5</v>
      </c>
      <c r="R150" s="12" t="s">
        <v>6</v>
      </c>
      <c r="S150" s="12" t="s">
        <v>7</v>
      </c>
      <c r="T150" s="13" t="s">
        <v>8</v>
      </c>
      <c r="U150" s="3" t="s">
        <v>22</v>
      </c>
      <c r="V150" s="13" t="s">
        <v>25</v>
      </c>
      <c r="W150" s="12" t="s">
        <v>26</v>
      </c>
      <c r="X150" s="12" t="s">
        <v>9</v>
      </c>
    </row>
    <row r="151" spans="1:57" ht="15">
      <c r="C151" s="3"/>
      <c r="D151" s="3"/>
      <c r="E151" s="3"/>
      <c r="F151" s="3"/>
      <c r="G151" s="3"/>
      <c r="H151" s="3"/>
      <c r="I151" s="3"/>
      <c r="J151" s="3"/>
      <c r="P151" s="15" t="s">
        <v>570</v>
      </c>
      <c r="Q151" s="15" t="s">
        <v>571</v>
      </c>
      <c r="R151" s="15">
        <v>613555316</v>
      </c>
      <c r="S151" s="15">
        <v>0</v>
      </c>
      <c r="T151" s="15" t="s">
        <v>409</v>
      </c>
      <c r="U151" s="15" t="s">
        <v>572</v>
      </c>
      <c r="V151" s="15" t="s">
        <v>573</v>
      </c>
      <c r="W151" s="15"/>
      <c r="X151" s="15" t="s">
        <v>574</v>
      </c>
    </row>
    <row r="152" spans="1:57" ht="15">
      <c r="C152" s="3"/>
      <c r="D152" s="3"/>
      <c r="E152" s="3"/>
      <c r="F152" s="3"/>
      <c r="G152" s="3"/>
      <c r="H152" s="3"/>
      <c r="I152" s="3"/>
      <c r="J152" s="3"/>
      <c r="O152" s="113" t="s">
        <v>575</v>
      </c>
      <c r="P152" s="14" t="s">
        <v>576</v>
      </c>
      <c r="Q152" s="114" t="s">
        <v>577</v>
      </c>
      <c r="R152" s="115">
        <v>613555366</v>
      </c>
      <c r="S152" s="14">
        <v>0</v>
      </c>
      <c r="T152" s="14" t="s">
        <v>409</v>
      </c>
      <c r="U152" s="14" t="s">
        <v>578</v>
      </c>
      <c r="V152" s="14" t="s">
        <v>579</v>
      </c>
      <c r="AH152" t="s">
        <v>306</v>
      </c>
      <c r="AI152" t="s">
        <v>121</v>
      </c>
      <c r="AL152" s="65"/>
      <c r="AM152" s="65"/>
      <c r="AN152" s="65"/>
      <c r="AO152" s="65"/>
      <c r="AP152" s="65"/>
      <c r="AQ152" s="17"/>
    </row>
    <row r="153" spans="1:57" ht="30">
      <c r="A153" t="s">
        <v>580</v>
      </c>
      <c r="C153" s="3">
        <v>103</v>
      </c>
      <c r="D153" s="3">
        <v>110</v>
      </c>
      <c r="E153" s="3" t="s">
        <v>51</v>
      </c>
      <c r="F153" s="3" t="s">
        <v>49</v>
      </c>
      <c r="G153" s="3" t="s">
        <v>50</v>
      </c>
      <c r="H153" s="3"/>
      <c r="I153" s="3"/>
      <c r="J153" s="3"/>
      <c r="L153" s="78" t="s">
        <v>559</v>
      </c>
      <c r="M153" s="116" t="s">
        <v>581</v>
      </c>
      <c r="O153" s="84" t="str">
        <f>AG153</f>
        <v>182/15:36</v>
      </c>
      <c r="P153" s="32" t="str">
        <f>MID(AJ153,11,5)</f>
        <v>182_1</v>
      </c>
      <c r="Q153" s="58">
        <f>R142-1</f>
        <v>613358507.26144552</v>
      </c>
      <c r="R153" s="117">
        <f>R152</f>
        <v>613555366</v>
      </c>
      <c r="S153" s="21">
        <f>R153-Q153</f>
        <v>196858.73855447769</v>
      </c>
      <c r="T153" s="21">
        <f>S153*$V$12</f>
        <v>608370.4000780835</v>
      </c>
      <c r="U153" s="3">
        <v>0</v>
      </c>
      <c r="V153" s="27">
        <f>T153+U153*$V$23</f>
        <v>608370.4000780835</v>
      </c>
      <c r="W153" s="20">
        <f>Y153*1000000/8</f>
        <v>1001000.0000000001</v>
      </c>
      <c r="X153" s="87">
        <f>W153-V153</f>
        <v>392629.59992191661</v>
      </c>
      <c r="Y153" s="77">
        <f>1.1*AN153</f>
        <v>8.0080000000000009</v>
      </c>
      <c r="Z153" s="50"/>
      <c r="AA153" s="50"/>
      <c r="AB153" s="118">
        <f>AI153</f>
        <v>4.8669632006246681</v>
      </c>
      <c r="AC153" s="98"/>
      <c r="AD153" s="98"/>
      <c r="AE153" s="62"/>
      <c r="AF153" s="31" t="str">
        <f>MID(AJ153,7,9)</f>
        <v>TRK_182_1</v>
      </c>
      <c r="AG153" s="34" t="s">
        <v>582</v>
      </c>
      <c r="AH153" s="53">
        <f>X153*8/1000000</f>
        <v>3.1410367993753328</v>
      </c>
      <c r="AI153" s="53">
        <f>V153*8/1000000</f>
        <v>4.8669632006246681</v>
      </c>
      <c r="AJ153" s="97" t="s">
        <v>583</v>
      </c>
      <c r="AK153" s="97" t="s">
        <v>584</v>
      </c>
      <c r="AL153" s="97">
        <v>7.28</v>
      </c>
      <c r="AM153" s="97">
        <v>7.28</v>
      </c>
      <c r="AN153" s="97">
        <v>7.28</v>
      </c>
      <c r="AO153" s="65"/>
      <c r="AP153" s="65">
        <f>SUM(AT114:AT151)</f>
        <v>0</v>
      </c>
    </row>
    <row r="154" spans="1:57" ht="15.75">
      <c r="A154" t="s">
        <v>585</v>
      </c>
      <c r="C154" s="3">
        <v>103</v>
      </c>
      <c r="D154" s="3">
        <v>110</v>
      </c>
      <c r="E154" s="3" t="s">
        <v>51</v>
      </c>
      <c r="F154" s="3" t="s">
        <v>49</v>
      </c>
      <c r="G154" s="3" t="s">
        <v>50</v>
      </c>
      <c r="H154" s="3"/>
      <c r="I154" s="3"/>
      <c r="J154" s="3"/>
      <c r="L154" s="116" t="s">
        <v>581</v>
      </c>
      <c r="M154" s="119" t="s">
        <v>586</v>
      </c>
      <c r="O154" s="113" t="s">
        <v>587</v>
      </c>
      <c r="P154" s="32"/>
      <c r="Q154" s="120">
        <f>R153-1</f>
        <v>613555365</v>
      </c>
      <c r="R154" s="121">
        <f>R155</f>
        <v>613559216</v>
      </c>
      <c r="S154" s="21">
        <f>R154-Q154</f>
        <v>3851</v>
      </c>
      <c r="T154" s="21">
        <f>S154*$V$15</f>
        <v>6668.6483333333099</v>
      </c>
      <c r="U154" s="3">
        <v>0</v>
      </c>
      <c r="V154" s="27">
        <f>T154+U154*$V$23</f>
        <v>6668.6483333333099</v>
      </c>
      <c r="W154" s="101">
        <f>X153</f>
        <v>392629.59992191661</v>
      </c>
      <c r="X154" s="87">
        <f>W154-V154</f>
        <v>385960.9515885833</v>
      </c>
      <c r="Y154" s="77"/>
      <c r="Z154" s="50"/>
      <c r="AA154" s="50"/>
      <c r="AB154" s="118">
        <f>AB153+AI154</f>
        <v>4.920312387291335</v>
      </c>
      <c r="AC154" s="98"/>
      <c r="AD154" s="98"/>
      <c r="AE154" s="62"/>
      <c r="AH154" s="53">
        <f>X154*8/1000000</f>
        <v>3.0876876127086663</v>
      </c>
      <c r="AI154" s="53">
        <f>V154*8/1000000</f>
        <v>5.3349186666666479E-2</v>
      </c>
    </row>
    <row r="155" spans="1:57" ht="15.75">
      <c r="A155" s="105" t="s">
        <v>588</v>
      </c>
      <c r="B155" s="105"/>
      <c r="C155" s="104"/>
      <c r="D155" s="104"/>
      <c r="E155" s="104"/>
      <c r="F155" s="104"/>
      <c r="G155" s="104"/>
      <c r="H155" s="104"/>
      <c r="I155" s="104"/>
      <c r="J155" s="104"/>
      <c r="O155" s="113" t="s">
        <v>589</v>
      </c>
      <c r="P155" s="16" t="s">
        <v>590</v>
      </c>
      <c r="Q155" s="122" t="s">
        <v>591</v>
      </c>
      <c r="R155" s="122">
        <f>613558916+300</f>
        <v>613559216</v>
      </c>
      <c r="S155" s="16">
        <v>8</v>
      </c>
      <c r="T155" s="16" t="s">
        <v>27</v>
      </c>
      <c r="U155" s="16" t="s">
        <v>298</v>
      </c>
      <c r="V155" s="16"/>
      <c r="W155" s="16"/>
      <c r="X155" s="16" t="s">
        <v>592</v>
      </c>
      <c r="Y155" s="17"/>
      <c r="Z155" s="17"/>
      <c r="AB155" s="99"/>
      <c r="AC155" s="98"/>
      <c r="AD155" s="98"/>
      <c r="AE155" s="123"/>
      <c r="AH155" s="53"/>
      <c r="AI155" s="53"/>
    </row>
    <row r="156" spans="1:57" ht="15.75">
      <c r="A156" t="s">
        <v>593</v>
      </c>
      <c r="C156" s="3"/>
      <c r="D156" s="3"/>
      <c r="E156" s="3"/>
      <c r="F156" s="3"/>
      <c r="G156" s="3">
        <v>3.1</v>
      </c>
      <c r="H156" s="3"/>
      <c r="I156" s="3" t="s">
        <v>54</v>
      </c>
      <c r="J156" s="3"/>
      <c r="K156" s="6" t="s">
        <v>594</v>
      </c>
      <c r="L156" s="78" t="s">
        <v>508</v>
      </c>
      <c r="M156" s="78" t="s">
        <v>595</v>
      </c>
      <c r="N156" t="s">
        <v>596</v>
      </c>
      <c r="P156" s="32"/>
      <c r="Q156" s="124">
        <f>Q132</f>
        <v>611744556</v>
      </c>
      <c r="R156" s="21">
        <f>((W156-U156*$V$23)/$V$14)+Q156</f>
        <v>612295255.66091263</v>
      </c>
      <c r="S156" s="21">
        <f t="shared" ref="S156:S182" si="50">R156-Q156</f>
        <v>550699.66091263294</v>
      </c>
      <c r="T156" s="21">
        <f>S156*$V$14</f>
        <v>188585.95158857069</v>
      </c>
      <c r="U156" s="3">
        <v>1</v>
      </c>
      <c r="V156" s="27">
        <f t="shared" ref="V156:V182" si="51">T156+U156*$V$23</f>
        <v>385960.95158857072</v>
      </c>
      <c r="W156" s="20">
        <f>X154</f>
        <v>385960.9515885833</v>
      </c>
      <c r="X156" s="125">
        <f t="shared" ref="X156:X182" si="52">W156-V156</f>
        <v>1.257285475730896E-8</v>
      </c>
      <c r="Y156" s="77"/>
      <c r="Z156" s="50"/>
      <c r="AA156" s="50"/>
      <c r="AB156" s="118">
        <f>AB154+AI156</f>
        <v>8.0079999999999014</v>
      </c>
      <c r="AC156" s="98"/>
      <c r="AD156" s="98"/>
      <c r="AE156" s="62"/>
      <c r="AH156" s="53">
        <f t="shared" ref="AH156:AH182" si="53">X156*8/1000000</f>
        <v>1.0058283805847168E-13</v>
      </c>
      <c r="AI156" s="53">
        <f t="shared" ref="AI156:AI182" si="54">V156*8/1000000</f>
        <v>3.087687612708566</v>
      </c>
    </row>
    <row r="157" spans="1:57" ht="30">
      <c r="A157" t="s">
        <v>597</v>
      </c>
      <c r="C157" s="3"/>
      <c r="D157" s="3"/>
      <c r="E157" s="3"/>
      <c r="F157" s="3"/>
      <c r="G157">
        <v>3.5</v>
      </c>
      <c r="H157" s="3"/>
      <c r="I157" s="3" t="s">
        <v>54</v>
      </c>
      <c r="J157" s="3"/>
      <c r="L157" s="78" t="s">
        <v>595</v>
      </c>
      <c r="M157" s="78" t="s">
        <v>586</v>
      </c>
      <c r="N157">
        <v>431523</v>
      </c>
      <c r="O157" s="84" t="str">
        <f>AG157</f>
        <v>183/14:46</v>
      </c>
      <c r="P157" s="32" t="str">
        <f>MID(AJ157,11,5)</f>
        <v>183_1</v>
      </c>
      <c r="Q157" s="58">
        <f>R156-1</f>
        <v>612295254.66091263</v>
      </c>
      <c r="R157" s="126">
        <f>R155</f>
        <v>613559216</v>
      </c>
      <c r="S157" s="21">
        <f t="shared" si="50"/>
        <v>1263961.3390873671</v>
      </c>
      <c r="T157" s="21">
        <f>S157*$V$14</f>
        <v>432840.92731767852</v>
      </c>
      <c r="U157" s="3">
        <v>0</v>
      </c>
      <c r="V157" s="27">
        <f t="shared" si="51"/>
        <v>432840.92731767852</v>
      </c>
      <c r="W157" s="20">
        <f>Y157*1000000/8</f>
        <v>1197625.0000000002</v>
      </c>
      <c r="X157" s="87">
        <f t="shared" si="52"/>
        <v>764784.07268232177</v>
      </c>
      <c r="Y157" s="77">
        <f>1.1*AN157</f>
        <v>9.5810000000000013</v>
      </c>
      <c r="Z157" s="50"/>
      <c r="AA157" s="50"/>
      <c r="AB157" s="118">
        <f>AB156+AI157</f>
        <v>11.47072741854133</v>
      </c>
      <c r="AC157" s="98"/>
      <c r="AD157" s="98"/>
      <c r="AE157" s="62"/>
      <c r="AF157" s="31" t="str">
        <f>MID(AJ157,7,9)</f>
        <v>TRK_183_1</v>
      </c>
      <c r="AG157" s="34" t="s">
        <v>598</v>
      </c>
      <c r="AH157" s="53">
        <f t="shared" si="53"/>
        <v>6.1182725814585739</v>
      </c>
      <c r="AI157" s="53">
        <f t="shared" si="54"/>
        <v>3.4627274185414283</v>
      </c>
      <c r="AJ157" s="97" t="s">
        <v>599</v>
      </c>
      <c r="AK157" s="97" t="s">
        <v>600</v>
      </c>
      <c r="AL157" s="97">
        <v>8.7100000000000009</v>
      </c>
      <c r="AM157" s="97">
        <v>8.7100000000000009</v>
      </c>
      <c r="AN157" s="97">
        <v>8.7100000000000009</v>
      </c>
    </row>
    <row r="158" spans="1:57" ht="15.75">
      <c r="A158" t="s">
        <v>601</v>
      </c>
      <c r="D158" s="3"/>
      <c r="E158" s="3" t="s">
        <v>51</v>
      </c>
      <c r="F158" s="3" t="s">
        <v>49</v>
      </c>
      <c r="G158" s="3"/>
      <c r="H158" s="3" t="s">
        <v>53</v>
      </c>
      <c r="I158" s="3" t="s">
        <v>54</v>
      </c>
      <c r="J158" s="3"/>
      <c r="L158" s="78" t="s">
        <v>586</v>
      </c>
      <c r="M158" s="78" t="s">
        <v>602</v>
      </c>
      <c r="O158" s="84"/>
      <c r="P158" s="32" t="str">
        <f>MID(AJ158,11,5)</f>
        <v/>
      </c>
      <c r="Q158" s="127">
        <f>R157-1</f>
        <v>613559215</v>
      </c>
      <c r="R158" s="128">
        <v>613766276</v>
      </c>
      <c r="S158" s="21">
        <f t="shared" si="50"/>
        <v>207061</v>
      </c>
      <c r="T158" s="21">
        <f>S158*$V$17</f>
        <v>439979.46133680444</v>
      </c>
      <c r="U158" s="3">
        <v>0</v>
      </c>
      <c r="V158" s="27">
        <f t="shared" si="51"/>
        <v>439979.46133680444</v>
      </c>
      <c r="W158" s="101">
        <f>X157</f>
        <v>764784.07268232177</v>
      </c>
      <c r="X158" s="87">
        <f t="shared" si="52"/>
        <v>324804.61134551733</v>
      </c>
      <c r="Y158" s="77"/>
      <c r="Z158" s="50"/>
      <c r="AA158" s="50"/>
      <c r="AB158" s="118">
        <f>AB157+AI158</f>
        <v>14.990563109235765</v>
      </c>
      <c r="AC158" s="98"/>
      <c r="AD158" s="98"/>
      <c r="AE158" s="62"/>
      <c r="AF158" s="31"/>
      <c r="AG158" s="34"/>
      <c r="AH158" s="53">
        <f t="shared" si="53"/>
        <v>2.5984368907641389</v>
      </c>
      <c r="AI158" s="53">
        <f t="shared" si="54"/>
        <v>3.5198356906944355</v>
      </c>
      <c r="AJ158" s="97"/>
      <c r="AK158" s="97"/>
      <c r="AL158" s="97"/>
      <c r="AM158" s="97"/>
      <c r="AN158" s="97"/>
    </row>
    <row r="159" spans="1:57" ht="15.75">
      <c r="A159" t="s">
        <v>603</v>
      </c>
      <c r="D159" s="3"/>
      <c r="E159" s="3"/>
      <c r="F159" s="3"/>
      <c r="G159" s="3"/>
      <c r="H159" s="3"/>
      <c r="I159" s="3"/>
      <c r="J159" s="3"/>
      <c r="L159" s="47" t="s">
        <v>567</v>
      </c>
      <c r="M159" s="47" t="s">
        <v>604</v>
      </c>
      <c r="O159" s="84"/>
      <c r="P159" s="32"/>
      <c r="Q159" s="58">
        <f>R145-3</f>
        <v>596272251.58760118</v>
      </c>
      <c r="R159" s="21">
        <f t="shared" ref="R159:R176" si="55">((W159)/$X$9)+Q159</f>
        <v>596360133.23959148</v>
      </c>
      <c r="S159" s="21">
        <f t="shared" si="50"/>
        <v>87881.651990294456</v>
      </c>
      <c r="T159" s="21">
        <f t="shared" ref="T159:T176" si="56">S159*$X$9</f>
        <v>324804.61134557688</v>
      </c>
      <c r="U159" s="3">
        <v>0</v>
      </c>
      <c r="V159" s="20">
        <f t="shared" si="51"/>
        <v>324804.61134557688</v>
      </c>
      <c r="W159" s="101">
        <f>X158</f>
        <v>324804.61134551733</v>
      </c>
      <c r="X159" s="87">
        <f t="shared" si="52"/>
        <v>-5.9546437114477158E-8</v>
      </c>
      <c r="Y159" s="77"/>
      <c r="Z159" s="50"/>
      <c r="AA159" s="129">
        <f>AI159</f>
        <v>2.5984368907646149</v>
      </c>
      <c r="AB159" s="98"/>
      <c r="AC159" s="98"/>
      <c r="AD159" s="98"/>
      <c r="AE159" s="98"/>
      <c r="AF159" s="31"/>
      <c r="AG159" s="34"/>
      <c r="AH159" s="53">
        <f t="shared" si="53"/>
        <v>-4.7637149691581728E-13</v>
      </c>
      <c r="AI159" s="53">
        <f t="shared" si="54"/>
        <v>2.5984368907646149</v>
      </c>
      <c r="AJ159" s="97"/>
      <c r="AK159" s="97"/>
      <c r="AL159" s="97"/>
      <c r="AM159" s="97"/>
      <c r="AN159" s="97"/>
    </row>
    <row r="160" spans="1:57" ht="30">
      <c r="C160" s="3"/>
      <c r="D160" s="3"/>
      <c r="E160" s="3"/>
      <c r="F160" s="3"/>
      <c r="G160" s="3"/>
      <c r="H160" s="3"/>
      <c r="I160" s="3"/>
      <c r="J160" s="3"/>
      <c r="L160" s="47" t="s">
        <v>604</v>
      </c>
      <c r="M160" s="47" t="s">
        <v>605</v>
      </c>
      <c r="O160" s="84" t="str">
        <f t="shared" ref="O160:O181" si="57">AG160</f>
        <v>183/23:16</v>
      </c>
      <c r="P160" s="32" t="str">
        <f t="shared" ref="P160:P182" si="58">MID(AJ160,11,5)</f>
        <v>183_2</v>
      </c>
      <c r="Q160" s="58">
        <f t="shared" ref="Q160:Q176" si="59">R159-3</f>
        <v>596360130.23959148</v>
      </c>
      <c r="R160" s="21">
        <f t="shared" si="55"/>
        <v>596666311.46658063</v>
      </c>
      <c r="S160" s="21">
        <f t="shared" si="50"/>
        <v>306181.22698915005</v>
      </c>
      <c r="T160" s="21">
        <f t="shared" si="56"/>
        <v>1131625.0000000657</v>
      </c>
      <c r="U160" s="3">
        <v>0</v>
      </c>
      <c r="V160" s="20">
        <f t="shared" si="51"/>
        <v>1131625.0000000657</v>
      </c>
      <c r="W160" s="20">
        <f t="shared" ref="W160:W181" si="60">Y160*1000000/8</f>
        <v>1131625</v>
      </c>
      <c r="X160" s="87">
        <f t="shared" si="52"/>
        <v>-6.5658241510391235E-8</v>
      </c>
      <c r="Y160" s="77">
        <f t="shared" ref="Y160:Y181" si="61">1.1*AN160</f>
        <v>9.0530000000000008</v>
      </c>
      <c r="Z160" s="50"/>
      <c r="AA160" s="129">
        <f t="shared" ref="AA160:AA176" si="62">AA159+AI160</f>
        <v>11.65143689076514</v>
      </c>
      <c r="AB160" s="98"/>
      <c r="AC160" s="98"/>
      <c r="AD160" s="98"/>
      <c r="AE160" s="98"/>
      <c r="AF160" s="31" t="str">
        <f t="shared" ref="AF160:AF181" si="63">MID(AJ160,7,9)</f>
        <v>TRK_183_2</v>
      </c>
      <c r="AG160" s="34" t="s">
        <v>606</v>
      </c>
      <c r="AH160" s="53">
        <f t="shared" si="53"/>
        <v>-5.2526593208312993E-13</v>
      </c>
      <c r="AI160" s="53">
        <f t="shared" si="54"/>
        <v>9.0530000000005248</v>
      </c>
      <c r="AJ160" s="97" t="s">
        <v>607</v>
      </c>
      <c r="AK160" s="97" t="s">
        <v>608</v>
      </c>
      <c r="AL160" s="97">
        <v>8.23</v>
      </c>
      <c r="AM160" s="97">
        <v>8.23</v>
      </c>
      <c r="AN160" s="97">
        <v>8.23</v>
      </c>
    </row>
    <row r="161" spans="3:40" ht="30">
      <c r="C161" s="3"/>
      <c r="D161" s="3"/>
      <c r="E161" s="3"/>
      <c r="F161" s="3"/>
      <c r="G161" s="3"/>
      <c r="H161" s="3"/>
      <c r="I161" s="3"/>
      <c r="J161" s="3"/>
      <c r="L161" s="47" t="s">
        <v>605</v>
      </c>
      <c r="M161" s="47" t="s">
        <v>609</v>
      </c>
      <c r="O161" s="84" t="str">
        <f t="shared" si="57"/>
        <v>184/21:41</v>
      </c>
      <c r="P161" s="32" t="str">
        <f t="shared" si="58"/>
        <v>184_2</v>
      </c>
      <c r="Q161" s="58">
        <f t="shared" si="59"/>
        <v>596666308.46658063</v>
      </c>
      <c r="R161" s="21">
        <f t="shared" si="55"/>
        <v>597034618.8125335</v>
      </c>
      <c r="S161" s="21">
        <f t="shared" si="50"/>
        <v>368310.34595286846</v>
      </c>
      <c r="T161" s="21">
        <f t="shared" si="56"/>
        <v>1361249.9999998643</v>
      </c>
      <c r="U161" s="3">
        <v>0</v>
      </c>
      <c r="V161" s="20">
        <f t="shared" si="51"/>
        <v>1361249.9999998643</v>
      </c>
      <c r="W161" s="20">
        <f t="shared" si="60"/>
        <v>1361250</v>
      </c>
      <c r="X161" s="87">
        <f t="shared" si="52"/>
        <v>1.3574026525020599E-7</v>
      </c>
      <c r="Y161" s="77">
        <f t="shared" si="61"/>
        <v>10.89</v>
      </c>
      <c r="Z161" s="50"/>
      <c r="AA161" s="129">
        <f t="shared" si="62"/>
        <v>22.541436890764054</v>
      </c>
      <c r="AB161" s="98"/>
      <c r="AC161" s="98"/>
      <c r="AD161" s="98"/>
      <c r="AE161" s="98"/>
      <c r="AF161" s="31" t="str">
        <f t="shared" si="63"/>
        <v>TRK_184_2</v>
      </c>
      <c r="AG161" s="34" t="s">
        <v>610</v>
      </c>
      <c r="AH161" s="53">
        <f t="shared" si="53"/>
        <v>1.0859221220016479E-12</v>
      </c>
      <c r="AI161" s="53">
        <f t="shared" si="54"/>
        <v>10.889999999998913</v>
      </c>
      <c r="AJ161" s="97" t="s">
        <v>611</v>
      </c>
      <c r="AK161" s="97" t="s">
        <v>612</v>
      </c>
      <c r="AL161" s="97">
        <v>9.9</v>
      </c>
      <c r="AM161" s="97">
        <v>9.9</v>
      </c>
      <c r="AN161" s="97">
        <v>9.9</v>
      </c>
    </row>
    <row r="162" spans="3:40" ht="30">
      <c r="C162" s="3"/>
      <c r="D162" s="3"/>
      <c r="E162" s="3"/>
      <c r="F162" s="3"/>
      <c r="G162" s="3"/>
      <c r="H162" s="3"/>
      <c r="I162" s="3"/>
      <c r="J162" s="3"/>
      <c r="L162" s="47" t="s">
        <v>609</v>
      </c>
      <c r="M162" s="47" t="s">
        <v>613</v>
      </c>
      <c r="O162" s="84" t="str">
        <f t="shared" si="57"/>
        <v>185/16:36</v>
      </c>
      <c r="P162" s="32" t="str">
        <f t="shared" si="58"/>
        <v>185_1</v>
      </c>
      <c r="Q162" s="58">
        <f t="shared" si="59"/>
        <v>597034615.8125335</v>
      </c>
      <c r="R162" s="21">
        <f t="shared" si="55"/>
        <v>597147341.10023427</v>
      </c>
      <c r="S162" s="21">
        <f t="shared" si="50"/>
        <v>112725.28770077229</v>
      </c>
      <c r="T162" s="21">
        <f t="shared" si="56"/>
        <v>416625.00000012806</v>
      </c>
      <c r="U162" s="3">
        <v>0</v>
      </c>
      <c r="V162" s="20">
        <f t="shared" si="51"/>
        <v>416625.00000012806</v>
      </c>
      <c r="W162" s="20">
        <f t="shared" si="60"/>
        <v>416625</v>
      </c>
      <c r="X162" s="87">
        <f t="shared" si="52"/>
        <v>-1.280568540096283E-7</v>
      </c>
      <c r="Y162" s="77">
        <f t="shared" si="61"/>
        <v>3.3330000000000002</v>
      </c>
      <c r="Z162" s="50"/>
      <c r="AA162" s="129">
        <f t="shared" si="62"/>
        <v>25.874436890765079</v>
      </c>
      <c r="AB162" s="98"/>
      <c r="AC162" s="98"/>
      <c r="AD162" s="98"/>
      <c r="AE162" s="98"/>
      <c r="AF162" s="31" t="str">
        <f t="shared" si="63"/>
        <v>TRK_185_1</v>
      </c>
      <c r="AG162" s="34" t="s">
        <v>614</v>
      </c>
      <c r="AH162" s="53">
        <f t="shared" si="53"/>
        <v>-1.0244548320770264E-12</v>
      </c>
      <c r="AI162" s="53">
        <f t="shared" si="54"/>
        <v>3.3330000000010243</v>
      </c>
      <c r="AJ162" s="97" t="s">
        <v>615</v>
      </c>
      <c r="AK162" s="97" t="s">
        <v>616</v>
      </c>
      <c r="AL162" s="97">
        <v>3.03</v>
      </c>
      <c r="AM162" s="97">
        <v>3.03</v>
      </c>
      <c r="AN162" s="97">
        <v>3.03</v>
      </c>
    </row>
    <row r="163" spans="3:40" ht="30">
      <c r="C163" s="3"/>
      <c r="D163" s="3"/>
      <c r="E163" s="3"/>
      <c r="F163" s="3"/>
      <c r="G163" s="3"/>
      <c r="H163" s="3"/>
      <c r="I163" s="3"/>
      <c r="J163" s="3"/>
      <c r="L163" s="47" t="s">
        <v>613</v>
      </c>
      <c r="M163" s="47" t="s">
        <v>617</v>
      </c>
      <c r="O163" s="84" t="str">
        <f t="shared" si="57"/>
        <v>186/16:36</v>
      </c>
      <c r="P163" s="32" t="str">
        <f t="shared" si="58"/>
        <v>186_1</v>
      </c>
      <c r="Q163" s="58">
        <f t="shared" si="59"/>
        <v>597147338.10023427</v>
      </c>
      <c r="R163" s="21">
        <f t="shared" si="55"/>
        <v>597267131.97033203</v>
      </c>
      <c r="S163" s="21">
        <f t="shared" si="50"/>
        <v>119793.87009775639</v>
      </c>
      <c r="T163" s="21">
        <f t="shared" si="56"/>
        <v>442749.99999978853</v>
      </c>
      <c r="U163" s="3">
        <v>0</v>
      </c>
      <c r="V163" s="20">
        <f t="shared" si="51"/>
        <v>442749.99999978853</v>
      </c>
      <c r="W163" s="20">
        <f t="shared" si="60"/>
        <v>442750.00000000012</v>
      </c>
      <c r="X163" s="87">
        <f t="shared" si="52"/>
        <v>2.1158484742045403E-7</v>
      </c>
      <c r="Y163" s="77">
        <f t="shared" si="61"/>
        <v>3.5420000000000007</v>
      </c>
      <c r="Z163" s="50"/>
      <c r="AA163" s="129">
        <f t="shared" si="62"/>
        <v>29.416436890763386</v>
      </c>
      <c r="AB163" s="98"/>
      <c r="AC163" s="98"/>
      <c r="AD163" s="98"/>
      <c r="AE163" s="98"/>
      <c r="AF163" s="31" t="str">
        <f t="shared" si="63"/>
        <v>TRK_186_1</v>
      </c>
      <c r="AG163" s="34" t="s">
        <v>618</v>
      </c>
      <c r="AH163" s="53">
        <f t="shared" si="53"/>
        <v>1.6926787793636323E-12</v>
      </c>
      <c r="AI163" s="53">
        <f t="shared" si="54"/>
        <v>3.5419999999983083</v>
      </c>
      <c r="AJ163" s="97" t="s">
        <v>619</v>
      </c>
      <c r="AK163" s="97" t="s">
        <v>620</v>
      </c>
      <c r="AL163" s="97">
        <v>3.22</v>
      </c>
      <c r="AM163" s="97">
        <v>3.22</v>
      </c>
      <c r="AN163" s="97">
        <v>3.22</v>
      </c>
    </row>
    <row r="164" spans="3:40" ht="30">
      <c r="C164" s="3"/>
      <c r="D164" s="3"/>
      <c r="E164" s="3"/>
      <c r="F164" s="3"/>
      <c r="G164" s="3"/>
      <c r="H164" s="3"/>
      <c r="I164" s="3"/>
      <c r="J164" s="3"/>
      <c r="L164" s="47" t="s">
        <v>617</v>
      </c>
      <c r="M164" s="47" t="s">
        <v>621</v>
      </c>
      <c r="O164" s="84" t="str">
        <f t="shared" si="57"/>
        <v>186/22:56</v>
      </c>
      <c r="P164" s="32" t="str">
        <f t="shared" si="58"/>
        <v>186_2</v>
      </c>
      <c r="Q164" s="58">
        <f t="shared" si="59"/>
        <v>597267128.97033203</v>
      </c>
      <c r="R164" s="21">
        <f t="shared" si="55"/>
        <v>597572938.16666865</v>
      </c>
      <c r="S164" s="21">
        <f t="shared" si="50"/>
        <v>305809.19633662701</v>
      </c>
      <c r="T164" s="21">
        <f t="shared" si="56"/>
        <v>1130249.999999898</v>
      </c>
      <c r="U164" s="3">
        <v>0</v>
      </c>
      <c r="V164" s="20">
        <f t="shared" si="51"/>
        <v>1130249.999999898</v>
      </c>
      <c r="W164" s="20">
        <f t="shared" si="60"/>
        <v>1130250.0000000002</v>
      </c>
      <c r="X164" s="87">
        <f t="shared" si="52"/>
        <v>1.0221265256404877E-7</v>
      </c>
      <c r="Y164" s="77">
        <f t="shared" si="61"/>
        <v>9.0420000000000016</v>
      </c>
      <c r="Z164" s="50"/>
      <c r="AA164" s="129">
        <f t="shared" si="62"/>
        <v>38.45843689076257</v>
      </c>
      <c r="AB164" s="98"/>
      <c r="AC164" s="98"/>
      <c r="AD164" s="98"/>
      <c r="AE164" s="98"/>
      <c r="AF164" s="31" t="str">
        <f t="shared" si="63"/>
        <v>TRK_186_2</v>
      </c>
      <c r="AG164" s="34" t="s">
        <v>622</v>
      </c>
      <c r="AH164" s="53">
        <f t="shared" si="53"/>
        <v>8.1770122051239012E-13</v>
      </c>
      <c r="AI164" s="53">
        <f t="shared" si="54"/>
        <v>9.0419999999991845</v>
      </c>
      <c r="AJ164" s="97" t="s">
        <v>623</v>
      </c>
      <c r="AK164" s="97" t="s">
        <v>624</v>
      </c>
      <c r="AL164" s="97">
        <v>8.2200000000000006</v>
      </c>
      <c r="AM164" s="97">
        <v>8.2200000000000006</v>
      </c>
      <c r="AN164" s="97">
        <v>8.2200000000000006</v>
      </c>
    </row>
    <row r="165" spans="3:40" ht="30">
      <c r="C165" s="3"/>
      <c r="D165" s="3"/>
      <c r="E165" s="3"/>
      <c r="F165" s="3"/>
      <c r="G165" s="3"/>
      <c r="H165" s="3"/>
      <c r="I165" s="3"/>
      <c r="J165" s="3"/>
      <c r="L165" s="47" t="s">
        <v>621</v>
      </c>
      <c r="M165" s="47" t="s">
        <v>625</v>
      </c>
      <c r="O165" s="84" t="str">
        <f t="shared" si="57"/>
        <v>187/13:21</v>
      </c>
      <c r="P165" s="32" t="str">
        <f t="shared" si="58"/>
        <v>187_1</v>
      </c>
      <c r="Q165" s="58">
        <f t="shared" si="59"/>
        <v>597572935.16666865</v>
      </c>
      <c r="R165" s="21">
        <f t="shared" si="55"/>
        <v>597943849.72718894</v>
      </c>
      <c r="S165" s="21">
        <f t="shared" si="50"/>
        <v>370914.56052029133</v>
      </c>
      <c r="T165" s="21">
        <f t="shared" si="56"/>
        <v>1370875.0000001567</v>
      </c>
      <c r="U165" s="3">
        <v>0</v>
      </c>
      <c r="V165" s="20">
        <f t="shared" si="51"/>
        <v>1370875.0000001567</v>
      </c>
      <c r="W165" s="20">
        <f t="shared" si="60"/>
        <v>1370875.0000000002</v>
      </c>
      <c r="X165" s="87">
        <f t="shared" si="52"/>
        <v>-1.5646219253540039E-7</v>
      </c>
      <c r="Y165" s="77">
        <f t="shared" si="61"/>
        <v>10.967000000000002</v>
      </c>
      <c r="Z165" s="50"/>
      <c r="AA165" s="129">
        <f t="shared" si="62"/>
        <v>49.42543689076382</v>
      </c>
      <c r="AB165" s="98"/>
      <c r="AC165" s="98"/>
      <c r="AD165" s="98"/>
      <c r="AE165" s="98"/>
      <c r="AF165" s="31" t="str">
        <f t="shared" si="63"/>
        <v>TRK_187_1</v>
      </c>
      <c r="AG165" s="34" t="s">
        <v>626</v>
      </c>
      <c r="AH165" s="53">
        <f t="shared" si="53"/>
        <v>-1.2516975402832031E-12</v>
      </c>
      <c r="AI165" s="53">
        <f t="shared" si="54"/>
        <v>10.967000000001253</v>
      </c>
      <c r="AJ165" s="97" t="s">
        <v>627</v>
      </c>
      <c r="AK165" s="97" t="s">
        <v>628</v>
      </c>
      <c r="AL165" s="97">
        <v>9.9700000000000006</v>
      </c>
      <c r="AM165" s="97">
        <v>9.9700000000000006</v>
      </c>
      <c r="AN165" s="97">
        <v>9.9700000000000006</v>
      </c>
    </row>
    <row r="166" spans="3:40" ht="30">
      <c r="C166" s="3"/>
      <c r="D166" s="3"/>
      <c r="E166" s="3"/>
      <c r="F166" s="3"/>
      <c r="G166" s="3"/>
      <c r="H166" s="3"/>
      <c r="I166" s="3"/>
      <c r="J166" s="3"/>
      <c r="L166" s="47" t="s">
        <v>625</v>
      </c>
      <c r="M166" s="47" t="s">
        <v>629</v>
      </c>
      <c r="O166" s="84" t="str">
        <f t="shared" si="57"/>
        <v>189/12:16</v>
      </c>
      <c r="P166" s="32" t="str">
        <f t="shared" si="58"/>
        <v>189_1</v>
      </c>
      <c r="Q166" s="58">
        <f t="shared" si="59"/>
        <v>597943846.72718894</v>
      </c>
      <c r="R166" s="21">
        <f t="shared" si="55"/>
        <v>598228822.2069869</v>
      </c>
      <c r="S166" s="21">
        <f t="shared" si="50"/>
        <v>284975.47979795933</v>
      </c>
      <c r="T166" s="21">
        <f t="shared" si="56"/>
        <v>1053250.000000203</v>
      </c>
      <c r="U166" s="3">
        <v>0</v>
      </c>
      <c r="V166" s="20">
        <f t="shared" si="51"/>
        <v>1053250.000000203</v>
      </c>
      <c r="W166" s="20">
        <f t="shared" si="60"/>
        <v>1053250</v>
      </c>
      <c r="X166" s="87">
        <f t="shared" si="52"/>
        <v>-2.0302832126617432E-7</v>
      </c>
      <c r="Y166" s="77">
        <f t="shared" si="61"/>
        <v>8.4260000000000002</v>
      </c>
      <c r="Z166" s="50"/>
      <c r="AA166" s="129">
        <f t="shared" si="62"/>
        <v>57.851436890765441</v>
      </c>
      <c r="AB166" s="98"/>
      <c r="AC166" s="98"/>
      <c r="AD166" s="98"/>
      <c r="AE166" s="98"/>
      <c r="AF166" s="31" t="str">
        <f t="shared" si="63"/>
        <v>TRK_189_1</v>
      </c>
      <c r="AG166" s="34" t="s">
        <v>630</v>
      </c>
      <c r="AH166" s="53">
        <f t="shared" si="53"/>
        <v>-1.6242265701293946E-12</v>
      </c>
      <c r="AI166" s="53">
        <f t="shared" si="54"/>
        <v>8.4260000000016237</v>
      </c>
      <c r="AJ166" s="97" t="s">
        <v>631</v>
      </c>
      <c r="AK166" s="97" t="s">
        <v>632</v>
      </c>
      <c r="AL166" s="97">
        <v>7.66</v>
      </c>
      <c r="AM166" s="97">
        <v>7.66</v>
      </c>
      <c r="AN166" s="97">
        <v>7.66</v>
      </c>
    </row>
    <row r="167" spans="3:40" ht="30">
      <c r="C167" s="3"/>
      <c r="D167" s="3"/>
      <c r="E167" s="3"/>
      <c r="F167" s="3"/>
      <c r="G167" s="3"/>
      <c r="H167" s="3"/>
      <c r="I167" s="3"/>
      <c r="J167" s="3"/>
      <c r="L167" s="47" t="s">
        <v>629</v>
      </c>
      <c r="M167" s="47" t="s">
        <v>633</v>
      </c>
      <c r="O167" s="84" t="str">
        <f t="shared" si="57"/>
        <v>190/20:06</v>
      </c>
      <c r="P167" s="32" t="str">
        <f t="shared" si="58"/>
        <v>190_1</v>
      </c>
      <c r="Q167" s="58">
        <f t="shared" si="59"/>
        <v>598228819.2069869</v>
      </c>
      <c r="R167" s="21">
        <f t="shared" si="55"/>
        <v>598699065.95171869</v>
      </c>
      <c r="S167" s="21">
        <f t="shared" si="50"/>
        <v>470246.74473178387</v>
      </c>
      <c r="T167" s="21">
        <f t="shared" si="56"/>
        <v>1737999.9999999772</v>
      </c>
      <c r="U167" s="3">
        <v>0</v>
      </c>
      <c r="V167" s="20">
        <f t="shared" si="51"/>
        <v>1737999.9999999772</v>
      </c>
      <c r="W167" s="20">
        <f t="shared" si="60"/>
        <v>1738000.0000000002</v>
      </c>
      <c r="X167" s="87">
        <f t="shared" si="52"/>
        <v>2.3050233721733093E-8</v>
      </c>
      <c r="Y167" s="77">
        <f t="shared" si="61"/>
        <v>13.904000000000002</v>
      </c>
      <c r="Z167" s="50"/>
      <c r="AA167" s="129">
        <f t="shared" si="62"/>
        <v>71.755436890765253</v>
      </c>
      <c r="AB167" s="98"/>
      <c r="AC167" s="98"/>
      <c r="AD167" s="98"/>
      <c r="AE167" s="98"/>
      <c r="AF167" s="31" t="str">
        <f t="shared" si="63"/>
        <v>TRK_190_1</v>
      </c>
      <c r="AG167" s="34" t="s">
        <v>634</v>
      </c>
      <c r="AH167" s="53">
        <f t="shared" si="53"/>
        <v>1.8440186977386473E-13</v>
      </c>
      <c r="AI167" s="53">
        <f t="shared" si="54"/>
        <v>13.903999999999817</v>
      </c>
      <c r="AJ167" s="97" t="s">
        <v>635</v>
      </c>
      <c r="AK167" s="97" t="s">
        <v>636</v>
      </c>
      <c r="AL167" s="97">
        <v>12.64</v>
      </c>
      <c r="AM167" s="97">
        <v>12.64</v>
      </c>
      <c r="AN167" s="97">
        <v>12.64</v>
      </c>
    </row>
    <row r="168" spans="3:40" ht="30">
      <c r="C168" s="3"/>
      <c r="D168" s="3"/>
      <c r="E168" s="3"/>
      <c r="F168" s="3"/>
      <c r="G168" s="3"/>
      <c r="H168" s="3"/>
      <c r="I168" s="3"/>
      <c r="J168" s="3"/>
      <c r="L168" s="47" t="s">
        <v>633</v>
      </c>
      <c r="M168" s="47" t="s">
        <v>637</v>
      </c>
      <c r="O168" s="84" t="str">
        <f t="shared" si="57"/>
        <v>191/12:11</v>
      </c>
      <c r="P168" s="32" t="str">
        <f t="shared" si="58"/>
        <v>191_1</v>
      </c>
      <c r="Q168" s="58">
        <f t="shared" si="59"/>
        <v>598699062.95171869</v>
      </c>
      <c r="R168" s="21">
        <f t="shared" si="55"/>
        <v>599169681.72710299</v>
      </c>
      <c r="S168" s="21">
        <f t="shared" si="50"/>
        <v>470618.77538430691</v>
      </c>
      <c r="T168" s="21">
        <f t="shared" si="56"/>
        <v>1739375.0000001448</v>
      </c>
      <c r="U168" s="3">
        <v>0</v>
      </c>
      <c r="V168" s="20">
        <f t="shared" si="51"/>
        <v>1739375.0000001448</v>
      </c>
      <c r="W168" s="20">
        <f t="shared" si="60"/>
        <v>1739375</v>
      </c>
      <c r="X168" s="87">
        <f t="shared" si="52"/>
        <v>-1.4482066035270691E-7</v>
      </c>
      <c r="Y168" s="77">
        <f t="shared" si="61"/>
        <v>13.915000000000001</v>
      </c>
      <c r="Z168" s="50"/>
      <c r="AA168" s="129">
        <f t="shared" si="62"/>
        <v>85.67043689076641</v>
      </c>
      <c r="AB168" s="98"/>
      <c r="AC168" s="98"/>
      <c r="AD168" s="98"/>
      <c r="AE168" s="98"/>
      <c r="AF168" s="31" t="str">
        <f t="shared" si="63"/>
        <v>TRK_191_1</v>
      </c>
      <c r="AG168" s="34" t="s">
        <v>638</v>
      </c>
      <c r="AH168" s="53">
        <f t="shared" si="53"/>
        <v>-1.1585652828216554E-12</v>
      </c>
      <c r="AI168" s="53">
        <f t="shared" si="54"/>
        <v>13.915000000001159</v>
      </c>
      <c r="AJ168" s="97" t="s">
        <v>639</v>
      </c>
      <c r="AK168" s="97" t="s">
        <v>640</v>
      </c>
      <c r="AL168" s="97">
        <v>12.65</v>
      </c>
      <c r="AM168" s="97">
        <v>12.65</v>
      </c>
      <c r="AN168" s="97">
        <v>12.65</v>
      </c>
    </row>
    <row r="169" spans="3:40" ht="30">
      <c r="C169" s="3"/>
      <c r="D169" s="3"/>
      <c r="E169" s="3"/>
      <c r="F169" s="3"/>
      <c r="G169" s="3"/>
      <c r="H169" s="3"/>
      <c r="I169" s="3"/>
      <c r="J169" s="3"/>
      <c r="L169" s="47" t="s">
        <v>637</v>
      </c>
      <c r="M169" s="47" t="s">
        <v>641</v>
      </c>
      <c r="O169" s="84" t="str">
        <f t="shared" si="57"/>
        <v>192/12:06</v>
      </c>
      <c r="P169" s="32" t="str">
        <f t="shared" si="58"/>
        <v>192_2</v>
      </c>
      <c r="Q169" s="58">
        <f t="shared" si="59"/>
        <v>599169678.72710299</v>
      </c>
      <c r="R169" s="21">
        <f t="shared" si="55"/>
        <v>599478464.16865945</v>
      </c>
      <c r="S169" s="21">
        <f t="shared" si="50"/>
        <v>308785.4415564537</v>
      </c>
      <c r="T169" s="21">
        <f t="shared" si="56"/>
        <v>1141249.9999999173</v>
      </c>
      <c r="U169" s="3">
        <v>0</v>
      </c>
      <c r="V169" s="20">
        <f t="shared" si="51"/>
        <v>1141249.9999999173</v>
      </c>
      <c r="W169" s="20">
        <f t="shared" si="60"/>
        <v>1141250</v>
      </c>
      <c r="X169" s="87">
        <f t="shared" si="52"/>
        <v>8.2654878497123718E-8</v>
      </c>
      <c r="Y169" s="77">
        <f t="shared" si="61"/>
        <v>9.1300000000000008</v>
      </c>
      <c r="Z169" s="50"/>
      <c r="AA169" s="129">
        <f t="shared" si="62"/>
        <v>94.800436890765752</v>
      </c>
      <c r="AB169" s="98"/>
      <c r="AC169" s="98"/>
      <c r="AD169" s="98"/>
      <c r="AE169" s="98"/>
      <c r="AF169" s="31" t="str">
        <f t="shared" si="63"/>
        <v>TRK_192_2</v>
      </c>
      <c r="AG169" s="34" t="s">
        <v>642</v>
      </c>
      <c r="AH169" s="53">
        <f t="shared" si="53"/>
        <v>6.6123902797698976E-13</v>
      </c>
      <c r="AI169" s="53">
        <f t="shared" si="54"/>
        <v>9.1299999999993382</v>
      </c>
      <c r="AJ169" s="97" t="s">
        <v>643</v>
      </c>
      <c r="AK169" s="97" t="s">
        <v>644</v>
      </c>
      <c r="AL169" s="97">
        <v>8.3000000000000007</v>
      </c>
      <c r="AM169" s="97">
        <v>8.3000000000000007</v>
      </c>
      <c r="AN169" s="97">
        <v>8.3000000000000007</v>
      </c>
    </row>
    <row r="170" spans="3:40" ht="30">
      <c r="C170" s="3"/>
      <c r="D170" s="3"/>
      <c r="E170" s="3"/>
      <c r="F170" s="3"/>
      <c r="G170" s="3"/>
      <c r="H170" s="3"/>
      <c r="I170" s="3"/>
      <c r="J170" s="3"/>
      <c r="L170" s="47" t="s">
        <v>641</v>
      </c>
      <c r="M170" s="47" t="s">
        <v>645</v>
      </c>
      <c r="O170" s="84" t="str">
        <f t="shared" si="57"/>
        <v>193/13:50</v>
      </c>
      <c r="P170" s="32" t="str">
        <f t="shared" si="58"/>
        <v>193_1</v>
      </c>
      <c r="Q170" s="58">
        <f t="shared" si="59"/>
        <v>599478461.16865945</v>
      </c>
      <c r="R170" s="21">
        <f t="shared" si="55"/>
        <v>600150720.55768657</v>
      </c>
      <c r="S170" s="21">
        <f t="shared" si="50"/>
        <v>672259.38902711868</v>
      </c>
      <c r="T170" s="21">
        <f t="shared" si="56"/>
        <v>2484624.9999998054</v>
      </c>
      <c r="U170" s="3">
        <v>0</v>
      </c>
      <c r="V170" s="20">
        <f t="shared" si="51"/>
        <v>2484624.9999998054</v>
      </c>
      <c r="W170" s="20">
        <f t="shared" si="60"/>
        <v>2484625.0000000005</v>
      </c>
      <c r="X170" s="87">
        <f t="shared" si="52"/>
        <v>1.9511207938194275E-7</v>
      </c>
      <c r="Y170" s="77">
        <f t="shared" si="61"/>
        <v>19.877000000000002</v>
      </c>
      <c r="Z170" s="50"/>
      <c r="AA170" s="129">
        <f t="shared" si="62"/>
        <v>114.6774368907642</v>
      </c>
      <c r="AB170" s="98"/>
      <c r="AC170" s="98"/>
      <c r="AD170" s="98"/>
      <c r="AE170" s="98"/>
      <c r="AF170" s="31" t="str">
        <f t="shared" si="63"/>
        <v>TRK_193_1</v>
      </c>
      <c r="AG170" s="34" t="s">
        <v>646</v>
      </c>
      <c r="AH170" s="53">
        <f t="shared" si="53"/>
        <v>1.560896635055542E-12</v>
      </c>
      <c r="AI170" s="53">
        <f t="shared" si="54"/>
        <v>19.876999999998443</v>
      </c>
      <c r="AJ170" s="97" t="s">
        <v>647</v>
      </c>
      <c r="AK170" s="97" t="s">
        <v>648</v>
      </c>
      <c r="AL170" s="97">
        <v>18.07</v>
      </c>
      <c r="AM170" s="97">
        <v>18.07</v>
      </c>
      <c r="AN170" s="97">
        <v>18.07</v>
      </c>
    </row>
    <row r="171" spans="3:40" ht="30">
      <c r="C171" s="3"/>
      <c r="D171" s="3"/>
      <c r="E171" s="3"/>
      <c r="F171" s="3"/>
      <c r="G171" s="3"/>
      <c r="H171" s="3"/>
      <c r="I171" s="3"/>
      <c r="J171" s="3"/>
      <c r="L171" s="47" t="s">
        <v>645</v>
      </c>
      <c r="M171" s="47" t="s">
        <v>649</v>
      </c>
      <c r="O171" s="84" t="str">
        <f t="shared" si="57"/>
        <v>194/16:20</v>
      </c>
      <c r="P171" s="32" t="str">
        <f t="shared" si="58"/>
        <v>194_2</v>
      </c>
      <c r="Q171" s="58">
        <f t="shared" si="59"/>
        <v>600150717.55768657</v>
      </c>
      <c r="R171" s="21">
        <f t="shared" si="55"/>
        <v>600221403.38165736</v>
      </c>
      <c r="S171" s="21">
        <f t="shared" si="50"/>
        <v>70685.823970794678</v>
      </c>
      <c r="T171" s="21">
        <f t="shared" si="56"/>
        <v>261250.00000012974</v>
      </c>
      <c r="U171" s="3">
        <v>0</v>
      </c>
      <c r="V171" s="20">
        <f t="shared" si="51"/>
        <v>261250.00000012974</v>
      </c>
      <c r="W171" s="20">
        <f t="shared" si="60"/>
        <v>261249.99999999997</v>
      </c>
      <c r="X171" s="87">
        <f t="shared" si="52"/>
        <v>-1.2977398000657558E-7</v>
      </c>
      <c r="Y171" s="77">
        <f t="shared" si="61"/>
        <v>2.09</v>
      </c>
      <c r="Z171" s="50"/>
      <c r="AA171" s="129">
        <f t="shared" si="62"/>
        <v>116.76743689076524</v>
      </c>
      <c r="AB171" s="98"/>
      <c r="AC171" s="98"/>
      <c r="AD171" s="98"/>
      <c r="AE171" s="98"/>
      <c r="AF171" s="31" t="str">
        <f t="shared" si="63"/>
        <v>TRK_194_2</v>
      </c>
      <c r="AG171" s="34" t="s">
        <v>650</v>
      </c>
      <c r="AH171" s="53">
        <f t="shared" si="53"/>
        <v>-1.0381918400526047E-12</v>
      </c>
      <c r="AI171" s="53">
        <f t="shared" si="54"/>
        <v>2.0900000000010381</v>
      </c>
      <c r="AJ171" s="97" t="s">
        <v>651</v>
      </c>
      <c r="AK171" s="97" t="s">
        <v>652</v>
      </c>
      <c r="AL171" s="97">
        <v>1.9</v>
      </c>
      <c r="AM171" s="97">
        <v>1.9</v>
      </c>
      <c r="AN171" s="97">
        <v>1.9</v>
      </c>
    </row>
    <row r="172" spans="3:40" ht="30">
      <c r="C172" s="3"/>
      <c r="D172" s="3"/>
      <c r="E172" s="3"/>
      <c r="F172" s="3"/>
      <c r="G172" s="3"/>
      <c r="H172" s="3"/>
      <c r="I172" s="3"/>
      <c r="J172" s="3"/>
      <c r="L172" s="47" t="s">
        <v>649</v>
      </c>
      <c r="M172" s="47" t="s">
        <v>653</v>
      </c>
      <c r="O172" s="84" t="str">
        <f t="shared" si="57"/>
        <v>194/22:50</v>
      </c>
      <c r="P172" s="32" t="str">
        <f t="shared" si="58"/>
        <v>194_3</v>
      </c>
      <c r="Q172" s="58">
        <f t="shared" si="59"/>
        <v>600221400.38165736</v>
      </c>
      <c r="R172" s="21">
        <f t="shared" si="55"/>
        <v>600487402.29817891</v>
      </c>
      <c r="S172" s="21">
        <f t="shared" si="50"/>
        <v>266001.91652154922</v>
      </c>
      <c r="T172" s="21">
        <f t="shared" si="56"/>
        <v>983125.00000002445</v>
      </c>
      <c r="U172" s="3">
        <v>0</v>
      </c>
      <c r="V172" s="20">
        <f t="shared" si="51"/>
        <v>983125.00000002445</v>
      </c>
      <c r="W172" s="20">
        <f t="shared" si="60"/>
        <v>983125.00000000012</v>
      </c>
      <c r="X172" s="87">
        <f t="shared" si="52"/>
        <v>-2.4330802261829376E-8</v>
      </c>
      <c r="Y172" s="77">
        <f t="shared" si="61"/>
        <v>7.8650000000000011</v>
      </c>
      <c r="Z172" s="50"/>
      <c r="AA172" s="129">
        <f t="shared" si="62"/>
        <v>124.63243689076543</v>
      </c>
      <c r="AB172" s="98"/>
      <c r="AC172" s="98"/>
      <c r="AD172" s="98"/>
      <c r="AE172" s="98"/>
      <c r="AF172" s="31" t="str">
        <f t="shared" si="63"/>
        <v>TRK_194_3</v>
      </c>
      <c r="AG172" s="34" t="s">
        <v>654</v>
      </c>
      <c r="AH172" s="53">
        <f t="shared" si="53"/>
        <v>-1.9464641809463502E-13</v>
      </c>
      <c r="AI172" s="53">
        <f t="shared" si="54"/>
        <v>7.8650000000001956</v>
      </c>
      <c r="AJ172" s="97" t="s">
        <v>655</v>
      </c>
      <c r="AK172" s="97" t="s">
        <v>656</v>
      </c>
      <c r="AL172" s="97">
        <v>7.15</v>
      </c>
      <c r="AM172" s="97">
        <v>7.15</v>
      </c>
      <c r="AN172" s="97">
        <v>7.15</v>
      </c>
    </row>
    <row r="173" spans="3:40" ht="30">
      <c r="C173" s="3"/>
      <c r="D173" s="3"/>
      <c r="E173" s="3"/>
      <c r="F173" s="3"/>
      <c r="G173" s="3"/>
      <c r="H173" s="3"/>
      <c r="I173" s="3"/>
      <c r="J173" s="3"/>
      <c r="L173" s="47" t="s">
        <v>653</v>
      </c>
      <c r="M173" s="47" t="s">
        <v>657</v>
      </c>
      <c r="O173" s="84" t="str">
        <f t="shared" si="57"/>
        <v>195/15:30</v>
      </c>
      <c r="P173" s="32" t="str">
        <f t="shared" si="58"/>
        <v>195_1</v>
      </c>
      <c r="Q173" s="58">
        <f t="shared" si="59"/>
        <v>600487399.29817891</v>
      </c>
      <c r="R173" s="21">
        <f t="shared" si="55"/>
        <v>600627654.85416305</v>
      </c>
      <c r="S173" s="21">
        <f t="shared" si="50"/>
        <v>140255.55598413944</v>
      </c>
      <c r="T173" s="21">
        <f t="shared" si="56"/>
        <v>518375.00000019715</v>
      </c>
      <c r="U173" s="3">
        <v>0</v>
      </c>
      <c r="V173" s="20">
        <f t="shared" si="51"/>
        <v>518375.00000019715</v>
      </c>
      <c r="W173" s="20">
        <f t="shared" si="60"/>
        <v>518375.00000000006</v>
      </c>
      <c r="X173" s="87">
        <f t="shared" si="52"/>
        <v>-1.9709113985300064E-7</v>
      </c>
      <c r="Y173" s="77">
        <f t="shared" si="61"/>
        <v>4.1470000000000002</v>
      </c>
      <c r="Z173" s="50"/>
      <c r="AA173" s="129">
        <f t="shared" si="62"/>
        <v>128.77943689076702</v>
      </c>
      <c r="AB173" s="98"/>
      <c r="AC173" s="98"/>
      <c r="AD173" s="98"/>
      <c r="AE173" s="98"/>
      <c r="AF173" s="31" t="str">
        <f t="shared" si="63"/>
        <v>TRK_195_1</v>
      </c>
      <c r="AG173" s="34" t="s">
        <v>658</v>
      </c>
      <c r="AH173" s="53">
        <f t="shared" si="53"/>
        <v>-1.5767291188240052E-12</v>
      </c>
      <c r="AI173" s="53">
        <f t="shared" si="54"/>
        <v>4.1470000000015768</v>
      </c>
      <c r="AJ173" s="97" t="s">
        <v>659</v>
      </c>
      <c r="AK173" s="97" t="s">
        <v>660</v>
      </c>
      <c r="AL173" s="97">
        <v>3.77</v>
      </c>
      <c r="AM173" s="97">
        <v>3.77</v>
      </c>
      <c r="AN173" s="97">
        <v>3.77</v>
      </c>
    </row>
    <row r="174" spans="3:40" ht="30">
      <c r="C174" s="3"/>
      <c r="D174" s="3"/>
      <c r="E174" s="3"/>
      <c r="F174" s="3"/>
      <c r="G174" s="3"/>
      <c r="H174" s="3"/>
      <c r="I174" s="3"/>
      <c r="J174" s="3"/>
      <c r="L174" s="47" t="s">
        <v>657</v>
      </c>
      <c r="M174" s="47" t="s">
        <v>661</v>
      </c>
      <c r="O174" s="84" t="str">
        <f t="shared" si="57"/>
        <v>195/22:50</v>
      </c>
      <c r="P174" s="32" t="str">
        <f t="shared" si="58"/>
        <v>195_2</v>
      </c>
      <c r="Q174" s="58">
        <f t="shared" si="59"/>
        <v>600627651.85416305</v>
      </c>
      <c r="R174" s="21">
        <f t="shared" si="55"/>
        <v>600889189.40285492</v>
      </c>
      <c r="S174" s="21">
        <f t="shared" si="50"/>
        <v>261537.54869186878</v>
      </c>
      <c r="T174" s="21">
        <f t="shared" si="56"/>
        <v>966625.0000002156</v>
      </c>
      <c r="U174" s="3">
        <v>0</v>
      </c>
      <c r="V174" s="20">
        <f t="shared" si="51"/>
        <v>966625.0000002156</v>
      </c>
      <c r="W174" s="20">
        <f t="shared" si="60"/>
        <v>966625.00000000012</v>
      </c>
      <c r="X174" s="87">
        <f t="shared" si="52"/>
        <v>-2.1548476070165634E-7</v>
      </c>
      <c r="Y174" s="77">
        <f t="shared" si="61"/>
        <v>7.7330000000000005</v>
      </c>
      <c r="Z174" s="50"/>
      <c r="AA174" s="129">
        <f t="shared" si="62"/>
        <v>136.51243689076875</v>
      </c>
      <c r="AB174" s="98"/>
      <c r="AC174" s="98"/>
      <c r="AD174" s="98"/>
      <c r="AE174" s="98"/>
      <c r="AF174" s="31" t="str">
        <f t="shared" si="63"/>
        <v>TRK_195_2</v>
      </c>
      <c r="AG174" s="34" t="s">
        <v>662</v>
      </c>
      <c r="AH174" s="53">
        <f t="shared" si="53"/>
        <v>-1.7238780856132507E-12</v>
      </c>
      <c r="AI174" s="53">
        <f t="shared" si="54"/>
        <v>7.7330000000017245</v>
      </c>
      <c r="AJ174" s="97" t="s">
        <v>663</v>
      </c>
      <c r="AK174" s="97" t="s">
        <v>664</v>
      </c>
      <c r="AL174" s="97">
        <v>7.03</v>
      </c>
      <c r="AM174" s="97">
        <v>7.03</v>
      </c>
      <c r="AN174" s="97">
        <v>7.03</v>
      </c>
    </row>
    <row r="175" spans="3:40" ht="30">
      <c r="C175" s="3"/>
      <c r="D175" s="3"/>
      <c r="E175" s="3"/>
      <c r="F175" s="3"/>
      <c r="G175" s="3"/>
      <c r="H175" s="3"/>
      <c r="I175" s="3"/>
      <c r="J175" s="3"/>
      <c r="L175" s="47" t="s">
        <v>661</v>
      </c>
      <c r="M175" s="47" t="s">
        <v>665</v>
      </c>
      <c r="O175" s="84" t="str">
        <f t="shared" si="57"/>
        <v>197/15:45</v>
      </c>
      <c r="P175" s="32" t="str">
        <f t="shared" si="58"/>
        <v>197_2</v>
      </c>
      <c r="Q175" s="58">
        <f t="shared" si="59"/>
        <v>600889186.40285492</v>
      </c>
      <c r="R175" s="21">
        <f t="shared" si="55"/>
        <v>600955779.88964844</v>
      </c>
      <c r="S175" s="21">
        <f t="shared" si="50"/>
        <v>66593.486793518066</v>
      </c>
      <c r="T175" s="21">
        <f t="shared" si="56"/>
        <v>246125.00000004802</v>
      </c>
      <c r="U175" s="3">
        <v>0</v>
      </c>
      <c r="V175" s="20">
        <f t="shared" si="51"/>
        <v>246125.00000004802</v>
      </c>
      <c r="W175" s="20">
        <f t="shared" si="60"/>
        <v>246125.00000000003</v>
      </c>
      <c r="X175" s="87">
        <f t="shared" si="52"/>
        <v>-4.7992216423153877E-8</v>
      </c>
      <c r="Y175" s="77">
        <f t="shared" si="61"/>
        <v>1.9690000000000003</v>
      </c>
      <c r="Z175" s="50"/>
      <c r="AA175" s="129">
        <f t="shared" si="62"/>
        <v>138.48143689076915</v>
      </c>
      <c r="AB175" s="98"/>
      <c r="AC175" s="98"/>
      <c r="AD175" s="98"/>
      <c r="AE175" s="98"/>
      <c r="AF175" s="31" t="str">
        <f t="shared" si="63"/>
        <v>TRK_197_2</v>
      </c>
      <c r="AG175" s="34" t="s">
        <v>666</v>
      </c>
      <c r="AH175" s="53">
        <f t="shared" si="53"/>
        <v>-3.8393773138523104E-13</v>
      </c>
      <c r="AI175" s="53">
        <f t="shared" si="54"/>
        <v>1.9690000000003842</v>
      </c>
      <c r="AJ175" s="97" t="s">
        <v>667</v>
      </c>
      <c r="AK175" s="97" t="s">
        <v>668</v>
      </c>
      <c r="AL175" s="97">
        <v>1.79</v>
      </c>
      <c r="AM175" s="97">
        <v>1.79</v>
      </c>
      <c r="AN175" s="97">
        <v>1.79</v>
      </c>
    </row>
    <row r="176" spans="3:40" ht="30">
      <c r="C176" s="3"/>
      <c r="D176" s="3"/>
      <c r="E176" s="3"/>
      <c r="F176" s="3"/>
      <c r="G176" s="3"/>
      <c r="H176" s="3"/>
      <c r="I176" s="3"/>
      <c r="J176" s="3"/>
      <c r="L176" s="47" t="s">
        <v>665</v>
      </c>
      <c r="M176" s="47" t="s">
        <v>669</v>
      </c>
      <c r="O176" s="84" t="str">
        <f t="shared" si="57"/>
        <v>197/22:00</v>
      </c>
      <c r="P176" s="32" t="str">
        <f t="shared" si="58"/>
        <v>197_3</v>
      </c>
      <c r="Q176" s="58">
        <f t="shared" si="59"/>
        <v>600955776.88964844</v>
      </c>
      <c r="R176" s="21">
        <f t="shared" si="55"/>
        <v>601328551.60343111</v>
      </c>
      <c r="S176" s="21">
        <f t="shared" si="50"/>
        <v>372774.71378266811</v>
      </c>
      <c r="T176" s="21">
        <f t="shared" si="56"/>
        <v>1377750.0000001136</v>
      </c>
      <c r="U176" s="3">
        <v>0</v>
      </c>
      <c r="V176" s="20">
        <f t="shared" si="51"/>
        <v>1377750.0000001136</v>
      </c>
      <c r="W176" s="20">
        <f t="shared" si="60"/>
        <v>1377750</v>
      </c>
      <c r="X176" s="87">
        <f t="shared" si="52"/>
        <v>-1.1362135410308838E-7</v>
      </c>
      <c r="Y176" s="77">
        <f t="shared" si="61"/>
        <v>11.022</v>
      </c>
      <c r="Z176" s="50"/>
      <c r="AA176" s="129">
        <f t="shared" si="62"/>
        <v>149.50343689077005</v>
      </c>
      <c r="AB176" s="98"/>
      <c r="AC176" s="98"/>
      <c r="AD176" s="98"/>
      <c r="AE176" s="98"/>
      <c r="AF176" s="31" t="str">
        <f t="shared" si="63"/>
        <v>TRK_197_3</v>
      </c>
      <c r="AG176" s="34" t="s">
        <v>670</v>
      </c>
      <c r="AH176" s="53">
        <f t="shared" si="53"/>
        <v>-9.0897083282470701E-13</v>
      </c>
      <c r="AI176" s="53">
        <f t="shared" si="54"/>
        <v>11.02200000000091</v>
      </c>
      <c r="AJ176" s="97" t="s">
        <v>671</v>
      </c>
      <c r="AK176" s="97" t="s">
        <v>672</v>
      </c>
      <c r="AL176" s="97">
        <v>10.02</v>
      </c>
      <c r="AM176" s="97">
        <v>10.02</v>
      </c>
      <c r="AN176" s="97">
        <v>10.02</v>
      </c>
    </row>
    <row r="177" spans="1:42" ht="30">
      <c r="A177" t="s">
        <v>673</v>
      </c>
      <c r="C177" s="3"/>
      <c r="D177" s="3"/>
      <c r="E177" s="3"/>
      <c r="F177" s="3"/>
      <c r="G177" s="3"/>
      <c r="H177" s="3" t="s">
        <v>53</v>
      </c>
      <c r="I177" s="3"/>
      <c r="J177" s="3"/>
      <c r="L177" s="78" t="s">
        <v>674</v>
      </c>
      <c r="M177" s="78" t="s">
        <v>675</v>
      </c>
      <c r="O177" s="84" t="str">
        <f t="shared" si="57"/>
        <v>198/14:30</v>
      </c>
      <c r="P177" s="32" t="str">
        <f t="shared" si="58"/>
        <v>198_1</v>
      </c>
      <c r="Q177" s="85">
        <v>612597116</v>
      </c>
      <c r="R177" s="28">
        <f>((W177-U177*$V$23)/$V$20)+Q177</f>
        <v>612615336.37914693</v>
      </c>
      <c r="S177" s="21">
        <f t="shared" si="50"/>
        <v>18220.379146933556</v>
      </c>
      <c r="T177" s="21">
        <f>S177*$V$20</f>
        <v>961125.00000074506</v>
      </c>
      <c r="U177" s="3">
        <v>0</v>
      </c>
      <c r="V177" s="20">
        <f t="shared" si="51"/>
        <v>961125.00000074506</v>
      </c>
      <c r="W177" s="20">
        <f t="shared" si="60"/>
        <v>961125.00000000012</v>
      </c>
      <c r="X177" s="87">
        <f t="shared" si="52"/>
        <v>-7.4494164437055588E-7</v>
      </c>
      <c r="Y177" s="77">
        <f t="shared" si="61"/>
        <v>7.6890000000000009</v>
      </c>
      <c r="Z177" s="50"/>
      <c r="AA177" s="50"/>
      <c r="AB177" s="118">
        <f>AB158+AI177</f>
        <v>22.679563109241727</v>
      </c>
      <c r="AC177" s="118"/>
      <c r="AD177" s="118"/>
      <c r="AE177" s="118"/>
      <c r="AF177" s="31" t="str">
        <f t="shared" si="63"/>
        <v>TRK_198_1</v>
      </c>
      <c r="AG177" s="34" t="s">
        <v>676</v>
      </c>
      <c r="AH177" s="53">
        <f t="shared" si="53"/>
        <v>-5.9595331549644472E-12</v>
      </c>
      <c r="AI177" s="53">
        <f t="shared" si="54"/>
        <v>7.6890000000059606</v>
      </c>
      <c r="AJ177" s="97" t="s">
        <v>677</v>
      </c>
      <c r="AK177" s="97" t="s">
        <v>678</v>
      </c>
      <c r="AL177" s="97">
        <v>6.99</v>
      </c>
      <c r="AM177" s="97">
        <v>6.99</v>
      </c>
      <c r="AN177" s="97">
        <v>6.99</v>
      </c>
    </row>
    <row r="178" spans="1:42" ht="30">
      <c r="A178" t="s">
        <v>673</v>
      </c>
      <c r="C178" s="3"/>
      <c r="D178" s="3"/>
      <c r="E178" s="3"/>
      <c r="F178" s="3"/>
      <c r="G178" s="3"/>
      <c r="H178" s="3" t="s">
        <v>53</v>
      </c>
      <c r="I178" s="3"/>
      <c r="J178" s="3"/>
      <c r="L178" s="78" t="s">
        <v>675</v>
      </c>
      <c r="M178" s="78" t="s">
        <v>679</v>
      </c>
      <c r="O178" s="84" t="str">
        <f t="shared" si="57"/>
        <v>198/22:25</v>
      </c>
      <c r="P178" s="32" t="str">
        <f t="shared" si="58"/>
        <v>198_2</v>
      </c>
      <c r="Q178" s="85">
        <f>R177-3</f>
        <v>612615333.37914693</v>
      </c>
      <c r="R178" s="28">
        <f>((W178-U178*$V$23)/$V$20)+Q178</f>
        <v>612634987.407583</v>
      </c>
      <c r="S178" s="21">
        <f t="shared" si="50"/>
        <v>19654.02843606472</v>
      </c>
      <c r="T178" s="21">
        <f>S178*$V$20</f>
        <v>1036750.000002414</v>
      </c>
      <c r="U178" s="3">
        <v>0</v>
      </c>
      <c r="V178" s="20">
        <f t="shared" si="51"/>
        <v>1036750.000002414</v>
      </c>
      <c r="W178" s="20">
        <f t="shared" si="60"/>
        <v>1036750.0000000001</v>
      </c>
      <c r="X178" s="87">
        <f t="shared" si="52"/>
        <v>-2.4138716980814934E-6</v>
      </c>
      <c r="Y178" s="77">
        <f t="shared" si="61"/>
        <v>8.2940000000000005</v>
      </c>
      <c r="Z178" s="50"/>
      <c r="AA178" s="50"/>
      <c r="AB178" s="118">
        <f>AB177+AI178</f>
        <v>30.973563109261036</v>
      </c>
      <c r="AC178" s="118"/>
      <c r="AD178" s="118"/>
      <c r="AE178" s="118"/>
      <c r="AF178" s="31" t="str">
        <f t="shared" si="63"/>
        <v>TRK_198_2</v>
      </c>
      <c r="AG178" s="34" t="s">
        <v>680</v>
      </c>
      <c r="AH178" s="53">
        <f t="shared" si="53"/>
        <v>-1.9310973584651947E-11</v>
      </c>
      <c r="AI178" s="130">
        <f t="shared" si="54"/>
        <v>8.2940000000193113</v>
      </c>
      <c r="AJ178" s="97" t="s">
        <v>681</v>
      </c>
      <c r="AK178" s="97" t="s">
        <v>682</v>
      </c>
      <c r="AL178" s="97">
        <v>7.54</v>
      </c>
      <c r="AM178" s="97">
        <v>7.54</v>
      </c>
      <c r="AN178" s="97">
        <v>7.54</v>
      </c>
    </row>
    <row r="179" spans="1:42" ht="30">
      <c r="A179" t="s">
        <v>683</v>
      </c>
      <c r="C179" s="3"/>
      <c r="D179" s="3"/>
      <c r="E179" s="3" t="s">
        <v>51</v>
      </c>
      <c r="F179" s="3" t="s">
        <v>49</v>
      </c>
      <c r="G179" s="3"/>
      <c r="H179" s="3" t="s">
        <v>53</v>
      </c>
      <c r="I179" s="3" t="s">
        <v>54</v>
      </c>
      <c r="J179" s="3"/>
      <c r="L179" s="78" t="s">
        <v>602</v>
      </c>
      <c r="M179" s="78" t="s">
        <v>684</v>
      </c>
      <c r="O179" s="84" t="str">
        <f t="shared" si="57"/>
        <v>199/14:45</v>
      </c>
      <c r="P179" s="32" t="str">
        <f t="shared" si="58"/>
        <v>199_1</v>
      </c>
      <c r="Q179" s="58">
        <f>R158-1</f>
        <v>613766275</v>
      </c>
      <c r="R179" s="21">
        <f>((W179-U179*$V$23)/$V$17)+Q179</f>
        <v>614172004.08581376</v>
      </c>
      <c r="S179" s="21">
        <f t="shared" si="50"/>
        <v>405729.08581376076</v>
      </c>
      <c r="T179" s="21">
        <f>S179*$V$17</f>
        <v>862125.00000006065</v>
      </c>
      <c r="U179" s="3">
        <v>0</v>
      </c>
      <c r="V179" s="27">
        <f t="shared" si="51"/>
        <v>862125.00000006065</v>
      </c>
      <c r="W179" s="20">
        <f t="shared" si="60"/>
        <v>862125</v>
      </c>
      <c r="X179" s="87">
        <f t="shared" si="52"/>
        <v>-6.0652382671833038E-8</v>
      </c>
      <c r="Y179" s="77">
        <f t="shared" si="61"/>
        <v>6.8970000000000002</v>
      </c>
      <c r="Z179" s="50"/>
      <c r="AA179" s="50"/>
      <c r="AB179" s="118">
        <f>AB178+AI179</f>
        <v>37.870563109261525</v>
      </c>
      <c r="AC179" s="118"/>
      <c r="AD179" s="118"/>
      <c r="AE179" s="118"/>
      <c r="AF179" s="31" t="str">
        <f t="shared" si="63"/>
        <v>TRK_199_1</v>
      </c>
      <c r="AG179" s="34" t="s">
        <v>685</v>
      </c>
      <c r="AH179" s="53">
        <f t="shared" si="53"/>
        <v>-4.8521906137466429E-13</v>
      </c>
      <c r="AI179" s="130">
        <f t="shared" si="54"/>
        <v>6.8970000000004852</v>
      </c>
      <c r="AJ179" s="97" t="s">
        <v>686</v>
      </c>
      <c r="AK179" s="97" t="s">
        <v>687</v>
      </c>
      <c r="AL179" s="97">
        <v>6.27</v>
      </c>
      <c r="AM179" s="97">
        <v>6.27</v>
      </c>
      <c r="AN179" s="97">
        <v>6.27</v>
      </c>
    </row>
    <row r="180" spans="1:42" ht="30">
      <c r="A180" t="s">
        <v>683</v>
      </c>
      <c r="C180" s="3"/>
      <c r="D180" s="3"/>
      <c r="E180" s="3" t="s">
        <v>51</v>
      </c>
      <c r="F180" s="3" t="s">
        <v>49</v>
      </c>
      <c r="G180" s="3"/>
      <c r="H180" s="3" t="s">
        <v>53</v>
      </c>
      <c r="I180" s="3" t="s">
        <v>54</v>
      </c>
      <c r="J180" s="3"/>
      <c r="L180" s="78" t="s">
        <v>684</v>
      </c>
      <c r="M180" s="78" t="s">
        <v>688</v>
      </c>
      <c r="O180" s="84" t="str">
        <f t="shared" si="57"/>
        <v>200/14:40</v>
      </c>
      <c r="P180" s="32" t="str">
        <f t="shared" si="58"/>
        <v>200_1</v>
      </c>
      <c r="Q180" s="58">
        <f>R179-1</f>
        <v>614172003.08581376</v>
      </c>
      <c r="R180" s="21">
        <f>((W180-U180*$V$23)/$V$17)+Q180</f>
        <v>615002874.13236058</v>
      </c>
      <c r="S180" s="21">
        <f t="shared" si="50"/>
        <v>830871.04654681683</v>
      </c>
      <c r="T180" s="21">
        <f>S180*$V$17</f>
        <v>1765500.0000000745</v>
      </c>
      <c r="U180" s="3">
        <v>0</v>
      </c>
      <c r="V180" s="27">
        <f t="shared" si="51"/>
        <v>1765500.0000000745</v>
      </c>
      <c r="W180" s="20">
        <f t="shared" si="60"/>
        <v>1765500</v>
      </c>
      <c r="X180" s="87">
        <f t="shared" si="52"/>
        <v>-7.4505805969238281E-8</v>
      </c>
      <c r="Y180" s="77">
        <f t="shared" si="61"/>
        <v>14.124000000000001</v>
      </c>
      <c r="Z180" s="50"/>
      <c r="AA180" s="50"/>
      <c r="AB180" s="118">
        <f>AB179+AI180</f>
        <v>51.994563109262117</v>
      </c>
      <c r="AC180" s="118"/>
      <c r="AD180" s="118"/>
      <c r="AE180" s="118"/>
      <c r="AF180" s="31" t="str">
        <f t="shared" si="63"/>
        <v>TRK_200_1</v>
      </c>
      <c r="AG180" s="34" t="s">
        <v>689</v>
      </c>
      <c r="AH180" s="53">
        <f t="shared" si="53"/>
        <v>-5.960464477539063E-13</v>
      </c>
      <c r="AI180" s="53">
        <f t="shared" si="54"/>
        <v>14.124000000000596</v>
      </c>
      <c r="AJ180" s="97" t="s">
        <v>690</v>
      </c>
      <c r="AK180" s="97" t="s">
        <v>691</v>
      </c>
      <c r="AL180" s="97">
        <v>12.84</v>
      </c>
      <c r="AM180" s="97">
        <v>12.84</v>
      </c>
      <c r="AN180" s="97">
        <v>12.84</v>
      </c>
    </row>
    <row r="181" spans="1:42" ht="30">
      <c r="A181" t="s">
        <v>683</v>
      </c>
      <c r="C181" s="3"/>
      <c r="D181" s="3"/>
      <c r="E181" s="3" t="s">
        <v>51</v>
      </c>
      <c r="F181" s="3" t="s">
        <v>49</v>
      </c>
      <c r="G181" s="3"/>
      <c r="H181" s="3" t="s">
        <v>53</v>
      </c>
      <c r="I181" s="3" t="s">
        <v>54</v>
      </c>
      <c r="J181" s="3"/>
      <c r="L181" s="78" t="s">
        <v>688</v>
      </c>
      <c r="M181" s="78" t="s">
        <v>692</v>
      </c>
      <c r="O181" s="84" t="str">
        <f t="shared" si="57"/>
        <v>201/18:40</v>
      </c>
      <c r="P181" s="32" t="str">
        <f t="shared" si="58"/>
        <v>201_1</v>
      </c>
      <c r="Q181" s="58">
        <f>R180-1</f>
        <v>615002873.13236058</v>
      </c>
      <c r="R181" s="128">
        <v>615335513</v>
      </c>
      <c r="S181" s="21">
        <f t="shared" si="50"/>
        <v>332639.86763942242</v>
      </c>
      <c r="T181" s="21">
        <f>S181*$V$17</f>
        <v>706819.2937498563</v>
      </c>
      <c r="U181" s="3">
        <v>0</v>
      </c>
      <c r="V181" s="27">
        <f t="shared" si="51"/>
        <v>706819.2937498563</v>
      </c>
      <c r="W181" s="20">
        <f t="shared" si="60"/>
        <v>1962125.0000000002</v>
      </c>
      <c r="X181" s="87">
        <f t="shared" si="52"/>
        <v>1255305.7062501439</v>
      </c>
      <c r="Y181" s="77">
        <f t="shared" si="61"/>
        <v>15.697000000000001</v>
      </c>
      <c r="Z181" s="50"/>
      <c r="AA181" s="50"/>
      <c r="AB181" s="118">
        <f>AB180+AI181</f>
        <v>57.649117459260964</v>
      </c>
      <c r="AC181" s="118"/>
      <c r="AD181" s="118"/>
      <c r="AE181" s="118"/>
      <c r="AF181" s="31" t="str">
        <f t="shared" si="63"/>
        <v>TRK_201_1</v>
      </c>
      <c r="AG181" s="34" t="s">
        <v>693</v>
      </c>
      <c r="AH181" s="53">
        <f t="shared" si="53"/>
        <v>10.042445650001152</v>
      </c>
      <c r="AI181" s="53">
        <f t="shared" si="54"/>
        <v>5.6545543499988504</v>
      </c>
      <c r="AJ181" s="97" t="s">
        <v>694</v>
      </c>
      <c r="AK181" s="97" t="s">
        <v>695</v>
      </c>
      <c r="AL181" s="97">
        <v>14.27</v>
      </c>
      <c r="AM181" s="97">
        <v>14.27</v>
      </c>
      <c r="AN181" s="97">
        <v>14.27</v>
      </c>
    </row>
    <row r="182" spans="1:42" ht="15.75">
      <c r="A182" t="s">
        <v>696</v>
      </c>
      <c r="C182" s="3"/>
      <c r="D182" s="3"/>
      <c r="E182" s="3"/>
      <c r="F182" s="3"/>
      <c r="G182" s="3" t="s">
        <v>50</v>
      </c>
      <c r="H182" s="3"/>
      <c r="I182" s="3"/>
      <c r="J182" s="3"/>
      <c r="L182" s="78" t="s">
        <v>586</v>
      </c>
      <c r="M182" s="78" t="s">
        <v>697</v>
      </c>
      <c r="O182" s="84"/>
      <c r="P182" s="32" t="str">
        <f t="shared" si="58"/>
        <v/>
      </c>
      <c r="Q182" s="131">
        <f>Q158</f>
        <v>613559215</v>
      </c>
      <c r="R182" s="21">
        <f>((W182-U182*$V$23)/$V$18)+Q182</f>
        <v>614308973.7444849</v>
      </c>
      <c r="S182" s="21">
        <f t="shared" si="50"/>
        <v>749758.74448490143</v>
      </c>
      <c r="T182" s="21">
        <f>S182*$V$18</f>
        <v>1255305.7062501269</v>
      </c>
      <c r="U182" s="3">
        <v>0</v>
      </c>
      <c r="V182" s="27">
        <f t="shared" si="51"/>
        <v>1255305.7062501269</v>
      </c>
      <c r="W182" s="132">
        <f>X181</f>
        <v>1255305.7062501439</v>
      </c>
      <c r="X182" s="87">
        <f t="shared" si="52"/>
        <v>1.6996636986732483E-8</v>
      </c>
      <c r="AB182" s="118">
        <f>AB181+AI182</f>
        <v>67.691563109261978</v>
      </c>
      <c r="AC182" s="118"/>
      <c r="AD182" s="118"/>
      <c r="AE182" s="118"/>
      <c r="AH182" s="53">
        <f t="shared" si="53"/>
        <v>1.3597309589385986E-13</v>
      </c>
      <c r="AI182" s="53">
        <f t="shared" si="54"/>
        <v>10.042445650001016</v>
      </c>
    </row>
    <row r="183" spans="1:42" ht="15">
      <c r="C183" s="3"/>
      <c r="D183" s="3"/>
      <c r="E183" s="3"/>
      <c r="F183" s="3"/>
      <c r="G183" s="3"/>
      <c r="H183" s="3"/>
      <c r="I183" s="3"/>
      <c r="J183" s="3"/>
      <c r="AL183" t="s">
        <v>698</v>
      </c>
      <c r="AO183">
        <f>30.53+12.81+49.55-12.87</f>
        <v>80.02</v>
      </c>
    </row>
    <row r="184" spans="1:42" ht="30">
      <c r="C184" s="3"/>
      <c r="D184" s="3"/>
      <c r="E184" s="3"/>
      <c r="F184" s="3"/>
      <c r="G184" s="3"/>
      <c r="H184" s="3"/>
      <c r="I184" s="3"/>
      <c r="J184" s="3"/>
      <c r="O184" s="113" t="s">
        <v>699</v>
      </c>
      <c r="P184" s="15" t="s">
        <v>700</v>
      </c>
      <c r="Q184" s="15" t="s">
        <v>701</v>
      </c>
      <c r="R184" s="15">
        <v>615338922</v>
      </c>
      <c r="S184" s="15">
        <v>1</v>
      </c>
      <c r="T184" s="15" t="s">
        <v>27</v>
      </c>
      <c r="U184" s="15" t="s">
        <v>702</v>
      </c>
      <c r="V184" s="15" t="s">
        <v>28</v>
      </c>
      <c r="W184" s="15"/>
      <c r="X184" s="15" t="s">
        <v>703</v>
      </c>
      <c r="AA184" s="50"/>
      <c r="AF184" s="31" t="str">
        <f>MID(AJ184,7,9)</f>
        <v>TRK_202_1</v>
      </c>
      <c r="AG184" s="34" t="s">
        <v>704</v>
      </c>
      <c r="AH184" s="53"/>
      <c r="AI184" s="53"/>
      <c r="AJ184" s="97" t="s">
        <v>705</v>
      </c>
      <c r="AK184" s="97" t="s">
        <v>706</v>
      </c>
      <c r="AL184" s="133">
        <v>30.53</v>
      </c>
      <c r="AM184" s="133">
        <v>-3.95</v>
      </c>
      <c r="AN184" s="133">
        <v>-3.95</v>
      </c>
      <c r="AO184">
        <f>AN184+AL184</f>
        <v>26.580000000000002</v>
      </c>
      <c r="AP184">
        <f>AO184</f>
        <v>26.580000000000002</v>
      </c>
    </row>
    <row r="185" spans="1:42" ht="30">
      <c r="C185" s="3"/>
      <c r="D185" s="3"/>
      <c r="E185" s="3"/>
      <c r="F185" s="3"/>
      <c r="G185" s="3"/>
      <c r="H185" s="3"/>
      <c r="I185" s="3"/>
      <c r="J185" s="3"/>
      <c r="K185" t="s">
        <v>707</v>
      </c>
      <c r="Y185" s="74">
        <f>1.1*AN185</f>
        <v>-13.552000000000001</v>
      </c>
      <c r="Z185" s="50"/>
      <c r="AA185" s="50"/>
      <c r="AF185" s="31" t="str">
        <f>MID(AJ185,7,9)</f>
        <v>TRK_203_2</v>
      </c>
      <c r="AG185" s="34" t="s">
        <v>708</v>
      </c>
      <c r="AH185" s="53">
        <f>X185*8/1000000</f>
        <v>0</v>
      </c>
      <c r="AI185" s="53">
        <f>V185*8/1000000</f>
        <v>0</v>
      </c>
      <c r="AJ185" s="97" t="s">
        <v>709</v>
      </c>
      <c r="AK185" s="97" t="s">
        <v>710</v>
      </c>
      <c r="AL185" s="133">
        <v>12.81</v>
      </c>
      <c r="AM185" s="133">
        <v>-8.3699999999999992</v>
      </c>
      <c r="AN185" s="133">
        <v>-12.32</v>
      </c>
      <c r="AO185">
        <f>AN185+AL185</f>
        <v>0.49000000000000021</v>
      </c>
      <c r="AP185">
        <f>AP184+AO185</f>
        <v>27.07</v>
      </c>
    </row>
    <row r="186" spans="1:42" ht="30">
      <c r="A186" t="s">
        <v>696</v>
      </c>
      <c r="C186" s="3"/>
      <c r="D186" s="3"/>
      <c r="E186" s="3"/>
      <c r="F186" s="3"/>
      <c r="G186" s="3" t="s">
        <v>50</v>
      </c>
      <c r="H186" s="3"/>
      <c r="I186" s="3"/>
      <c r="J186" s="3"/>
      <c r="L186" s="78" t="s">
        <v>697</v>
      </c>
      <c r="M186" s="78" t="s">
        <v>711</v>
      </c>
      <c r="O186" s="84" t="str">
        <f>AG186</f>
        <v>204/12:55</v>
      </c>
      <c r="P186" s="32" t="str">
        <f>MID(AJ186,11,5)</f>
        <v>204_1</v>
      </c>
      <c r="Q186" s="58">
        <f>R182-1</f>
        <v>614308972.7444849</v>
      </c>
      <c r="R186" s="21">
        <f>((W186-U186*$V$23)/$V$18)+Q186</f>
        <v>615365919.91807222</v>
      </c>
      <c r="S186" s="21">
        <f>R186-Q186</f>
        <v>1056947.1735873222</v>
      </c>
      <c r="T186" s="21">
        <f>S186*$V$18</f>
        <v>1769625.0000000207</v>
      </c>
      <c r="U186" s="3">
        <v>0</v>
      </c>
      <c r="V186" s="27">
        <f>T186+U186*$V$23</f>
        <v>1769625.0000000207</v>
      </c>
      <c r="W186" s="20">
        <f>Y186*1000000/8</f>
        <v>1769625</v>
      </c>
      <c r="X186" s="87">
        <f>W186-V186</f>
        <v>-2.0721927285194397E-8</v>
      </c>
      <c r="Y186" s="77">
        <f>1.1*AN186</f>
        <v>14.157</v>
      </c>
      <c r="Z186" s="50"/>
      <c r="AA186" s="50"/>
      <c r="AB186" s="118">
        <f>AB182+AI186</f>
        <v>81.848563109262145</v>
      </c>
      <c r="AC186" s="118"/>
      <c r="AD186" s="118"/>
      <c r="AE186" s="118"/>
      <c r="AF186" s="31" t="str">
        <f>MID(AJ186,7,9)</f>
        <v>TRK_204_1</v>
      </c>
      <c r="AG186" s="34" t="s">
        <v>712</v>
      </c>
      <c r="AH186" s="53">
        <f>X186*8/1000000</f>
        <v>-1.6577541828155517E-13</v>
      </c>
      <c r="AI186" s="53">
        <f>V186*8/1000000</f>
        <v>14.157000000000165</v>
      </c>
      <c r="AJ186" s="97" t="s">
        <v>713</v>
      </c>
      <c r="AK186" s="97" t="s">
        <v>714</v>
      </c>
      <c r="AL186" s="133">
        <v>49.55</v>
      </c>
      <c r="AM186" s="133">
        <v>25.2</v>
      </c>
      <c r="AN186" s="133">
        <v>12.87</v>
      </c>
      <c r="AO186">
        <f>AN186+AL186</f>
        <v>62.419999999999995</v>
      </c>
      <c r="AP186">
        <f>AP185+AO186</f>
        <v>89.49</v>
      </c>
    </row>
    <row r="187" spans="1:42" ht="30">
      <c r="A187" t="s">
        <v>603</v>
      </c>
      <c r="C187" s="3"/>
      <c r="D187" s="3"/>
      <c r="E187" s="3"/>
      <c r="F187" s="3"/>
      <c r="G187" s="3"/>
      <c r="H187" s="3"/>
      <c r="I187" s="3"/>
      <c r="J187" s="3"/>
      <c r="L187" s="47" t="s">
        <v>669</v>
      </c>
      <c r="M187" s="47" t="s">
        <v>715</v>
      </c>
      <c r="O187" s="84" t="str">
        <f>AG187</f>
        <v>206/11:24</v>
      </c>
      <c r="P187" s="32" t="str">
        <f>MID(AJ187,11,5)</f>
        <v>206_1</v>
      </c>
      <c r="Q187" s="58">
        <f>R176-3</f>
        <v>601328548.60343111</v>
      </c>
      <c r="R187" s="21">
        <f>((W187)/$X$9)+Q187</f>
        <v>601729597.64680207</v>
      </c>
      <c r="S187" s="21">
        <f>R187-Q187</f>
        <v>401049.04337096214</v>
      </c>
      <c r="T187" s="21">
        <f>S187*$X$9</f>
        <v>1482250.0000000775</v>
      </c>
      <c r="U187" s="3">
        <v>0</v>
      </c>
      <c r="V187" s="20">
        <f>T187+U187*$V$23</f>
        <v>1482250.0000000775</v>
      </c>
      <c r="W187" s="20">
        <f>Y187*1000000/8</f>
        <v>1482250</v>
      </c>
      <c r="X187" s="87">
        <f>W187-V187</f>
        <v>-7.7532604336738586E-8</v>
      </c>
      <c r="Y187" s="77">
        <f>1.1*AN187</f>
        <v>11.858000000000001</v>
      </c>
      <c r="Z187" s="50"/>
      <c r="AA187" s="129">
        <f>AA176+AI187</f>
        <v>161.36143689077068</v>
      </c>
      <c r="AB187" s="118"/>
      <c r="AC187" s="118"/>
      <c r="AD187" s="118"/>
      <c r="AE187" s="118"/>
      <c r="AF187" s="31" t="str">
        <f>MID(AJ187,7,9)</f>
        <v>TRK_206_1</v>
      </c>
      <c r="AG187" s="34" t="s">
        <v>716</v>
      </c>
      <c r="AH187" s="53">
        <f>X187*8/1000000</f>
        <v>-6.2026083469390872E-13</v>
      </c>
      <c r="AI187" s="53">
        <f>V187*8/1000000</f>
        <v>11.85800000000062</v>
      </c>
      <c r="AJ187" s="97" t="s">
        <v>717</v>
      </c>
      <c r="AK187" s="97" t="s">
        <v>718</v>
      </c>
      <c r="AL187" s="97">
        <v>10.78</v>
      </c>
      <c r="AM187" s="97">
        <v>10.78</v>
      </c>
      <c r="AN187" s="97">
        <v>10.78</v>
      </c>
    </row>
    <row r="188" spans="1:42" ht="30">
      <c r="A188" t="s">
        <v>603</v>
      </c>
      <c r="C188" s="3"/>
      <c r="D188" s="3"/>
      <c r="E188" s="3"/>
      <c r="F188" s="3"/>
      <c r="G188" s="3"/>
      <c r="H188" s="3"/>
      <c r="I188" s="3"/>
      <c r="J188" s="3"/>
      <c r="L188" s="47" t="s">
        <v>715</v>
      </c>
      <c r="M188" s="47" t="s">
        <v>719</v>
      </c>
      <c r="O188" s="84" t="str">
        <f>AG188</f>
        <v>207/15:24</v>
      </c>
      <c r="P188" s="32" t="str">
        <f>MID(AJ188,11,5)</f>
        <v>207_1</v>
      </c>
      <c r="Q188" s="58">
        <f>R187-3</f>
        <v>601729594.64680207</v>
      </c>
      <c r="R188" s="21">
        <f>((W188)/$X$9)+Q188</f>
        <v>601814789.66621947</v>
      </c>
      <c r="S188" s="21">
        <f>R188-Q188</f>
        <v>85195.019417405128</v>
      </c>
      <c r="T188" s="21">
        <f>S188*$X$9</f>
        <v>314875.00000005896</v>
      </c>
      <c r="U188" s="3">
        <v>0</v>
      </c>
      <c r="V188" s="20">
        <f>T188+U188*$V$23</f>
        <v>314875.00000005896</v>
      </c>
      <c r="W188" s="20">
        <f>Y188*1000000/8</f>
        <v>314875</v>
      </c>
      <c r="X188" s="87">
        <f>W188-V188</f>
        <v>-5.8964360505342484E-8</v>
      </c>
      <c r="Y188" s="77">
        <f>1.1*AN188</f>
        <v>2.5190000000000001</v>
      </c>
      <c r="Z188" s="50"/>
      <c r="AA188" s="129">
        <f>AA187+AI188</f>
        <v>163.88043689077114</v>
      </c>
      <c r="AB188" s="118"/>
      <c r="AC188" s="118"/>
      <c r="AD188" s="118"/>
      <c r="AE188" s="118"/>
      <c r="AF188" s="31" t="str">
        <f>MID(AJ188,7,9)</f>
        <v>TRK_207_1</v>
      </c>
      <c r="AG188" s="34" t="s">
        <v>720</v>
      </c>
      <c r="AH188" s="53">
        <f>X188*8/1000000</f>
        <v>-4.7171488404273987E-13</v>
      </c>
      <c r="AI188" s="53">
        <f>V188*8/1000000</f>
        <v>2.5190000000004718</v>
      </c>
      <c r="AJ188" s="97" t="s">
        <v>721</v>
      </c>
      <c r="AK188" s="97" t="s">
        <v>722</v>
      </c>
      <c r="AL188" s="97">
        <v>2.29</v>
      </c>
      <c r="AM188" s="97">
        <v>2.29</v>
      </c>
      <c r="AN188" s="97">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15" t="s">
        <v>723</v>
      </c>
      <c r="Q190" s="15" t="s">
        <v>724</v>
      </c>
      <c r="R190" s="15">
        <v>615780416</v>
      </c>
      <c r="S190" s="15">
        <v>7</v>
      </c>
      <c r="T190" s="15" t="s">
        <v>27</v>
      </c>
      <c r="U190" s="15" t="s">
        <v>725</v>
      </c>
      <c r="V190" s="15" t="s">
        <v>151</v>
      </c>
      <c r="W190" s="15" t="s">
        <v>152</v>
      </c>
      <c r="Z190" s="15" t="s">
        <v>726</v>
      </c>
    </row>
    <row r="191" spans="1:42" ht="15">
      <c r="C191" s="3"/>
      <c r="D191" s="3"/>
      <c r="E191" s="3"/>
      <c r="F191" s="3"/>
      <c r="G191" s="3"/>
      <c r="H191" s="3"/>
      <c r="I191" s="3"/>
      <c r="J191" s="3"/>
      <c r="P191" s="15" t="s">
        <v>727</v>
      </c>
      <c r="Q191" s="15" t="s">
        <v>728</v>
      </c>
      <c r="R191" s="15">
        <v>615782106</v>
      </c>
      <c r="S191" s="15">
        <v>0</v>
      </c>
      <c r="T191" s="15" t="s">
        <v>409</v>
      </c>
      <c r="U191" s="15" t="s">
        <v>725</v>
      </c>
      <c r="V191" s="15" t="s">
        <v>729</v>
      </c>
      <c r="W191" s="15"/>
      <c r="Z191" s="15" t="s">
        <v>726</v>
      </c>
      <c r="AB191">
        <f>380*0.12</f>
        <v>45.6</v>
      </c>
    </row>
    <row r="192" spans="1:42" ht="15">
      <c r="C192" s="3"/>
      <c r="D192" s="3"/>
      <c r="E192" s="3"/>
      <c r="F192" s="3"/>
      <c r="G192" s="3"/>
      <c r="H192" s="3"/>
      <c r="I192" s="3"/>
      <c r="J192" s="3"/>
      <c r="P192" s="15" t="s">
        <v>730</v>
      </c>
      <c r="Q192" s="15" t="s">
        <v>731</v>
      </c>
      <c r="R192" s="15">
        <v>615782109</v>
      </c>
      <c r="S192" s="15">
        <v>0</v>
      </c>
      <c r="T192" s="15" t="s">
        <v>409</v>
      </c>
      <c r="U192" s="15" t="s">
        <v>725</v>
      </c>
      <c r="V192" s="15" t="s">
        <v>732</v>
      </c>
      <c r="W192" s="15"/>
      <c r="Z192" s="15" t="s">
        <v>726</v>
      </c>
    </row>
    <row r="193" spans="1:44" ht="15">
      <c r="C193" s="3"/>
      <c r="D193" s="3"/>
      <c r="E193" s="3"/>
      <c r="F193" s="3"/>
      <c r="G193" s="3"/>
      <c r="H193" s="3"/>
      <c r="I193" s="3"/>
      <c r="J193" s="3"/>
      <c r="P193" s="15" t="s">
        <v>733</v>
      </c>
      <c r="Q193" s="15" t="s">
        <v>734</v>
      </c>
      <c r="R193" s="15">
        <v>615782112</v>
      </c>
      <c r="S193" s="15">
        <v>0</v>
      </c>
      <c r="T193" s="15" t="s">
        <v>409</v>
      </c>
      <c r="U193" s="15" t="s">
        <v>735</v>
      </c>
      <c r="V193" s="15" t="s">
        <v>445</v>
      </c>
      <c r="W193" s="15"/>
      <c r="Z193" s="15" t="s">
        <v>726</v>
      </c>
    </row>
    <row r="194" spans="1:44" ht="15">
      <c r="P194" s="15" t="s">
        <v>736</v>
      </c>
      <c r="Q194" s="15" t="s">
        <v>737</v>
      </c>
      <c r="R194" s="15">
        <v>615782115</v>
      </c>
      <c r="S194" s="15">
        <v>0</v>
      </c>
      <c r="T194" s="15" t="s">
        <v>409</v>
      </c>
      <c r="U194" s="15" t="s">
        <v>735</v>
      </c>
      <c r="V194" s="15" t="s">
        <v>449</v>
      </c>
      <c r="W194" s="15"/>
      <c r="Z194" s="15" t="s">
        <v>726</v>
      </c>
    </row>
    <row r="195" spans="1:44" ht="15">
      <c r="AJ195" t="s">
        <v>738</v>
      </c>
      <c r="AK195" t="s">
        <v>739</v>
      </c>
      <c r="AL195" t="s">
        <v>740</v>
      </c>
      <c r="AM195" t="s">
        <v>741</v>
      </c>
      <c r="AN195" t="s">
        <v>742</v>
      </c>
      <c r="AO195" t="s">
        <v>743</v>
      </c>
      <c r="AP195" s="134" t="s">
        <v>744</v>
      </c>
      <c r="AQ195" t="s">
        <v>745</v>
      </c>
    </row>
    <row r="196" spans="1:44" ht="15">
      <c r="P196" s="9">
        <v>25207</v>
      </c>
      <c r="T196" s="3"/>
      <c r="V196" s="18"/>
      <c r="X196" t="s">
        <v>295</v>
      </c>
      <c r="AP196" s="134"/>
    </row>
    <row r="197" spans="1:44" ht="15">
      <c r="P197" s="12" t="s">
        <v>122</v>
      </c>
      <c r="Q197" s="11" t="s">
        <v>5</v>
      </c>
      <c r="R197" s="12" t="s">
        <v>6</v>
      </c>
      <c r="S197" s="12" t="s">
        <v>7</v>
      </c>
      <c r="T197" s="13" t="s">
        <v>8</v>
      </c>
      <c r="U197" s="3" t="s">
        <v>22</v>
      </c>
      <c r="V197" s="13" t="s">
        <v>25</v>
      </c>
      <c r="W197" s="12" t="s">
        <v>26</v>
      </c>
      <c r="X197" s="12" t="s">
        <v>9</v>
      </c>
      <c r="AJ197" t="s">
        <v>746</v>
      </c>
      <c r="AK197" t="s">
        <v>747</v>
      </c>
      <c r="AL197">
        <v>2.7576000000000001</v>
      </c>
      <c r="AM197">
        <v>8</v>
      </c>
      <c r="AN197">
        <v>1.7008620000000001</v>
      </c>
      <c r="AO197">
        <v>0</v>
      </c>
      <c r="AP197" s="134"/>
      <c r="AQ197">
        <v>0</v>
      </c>
    </row>
    <row r="198" spans="1:44" ht="15">
      <c r="P198" s="45" t="s">
        <v>748</v>
      </c>
      <c r="Q198" s="45" t="s">
        <v>749</v>
      </c>
      <c r="R198" s="45">
        <v>615306116</v>
      </c>
      <c r="S198" s="45">
        <v>8</v>
      </c>
      <c r="T198" s="45" t="s">
        <v>27</v>
      </c>
      <c r="U198" s="45" t="s">
        <v>750</v>
      </c>
      <c r="V198" s="45" t="s">
        <v>101</v>
      </c>
      <c r="W198" s="45" t="s">
        <v>102</v>
      </c>
      <c r="X198" s="45" t="s">
        <v>751</v>
      </c>
      <c r="AJ198" t="s">
        <v>752</v>
      </c>
      <c r="AK198" t="s">
        <v>753</v>
      </c>
      <c r="AL198">
        <v>1.3248500000000001</v>
      </c>
      <c r="AM198">
        <v>2</v>
      </c>
      <c r="AN198">
        <v>0.84326100000000004</v>
      </c>
      <c r="AO198">
        <v>0</v>
      </c>
      <c r="AP198" s="134"/>
      <c r="AQ198">
        <v>0</v>
      </c>
    </row>
    <row r="199" spans="1:44" ht="15">
      <c r="P199" s="45" t="s">
        <v>754</v>
      </c>
      <c r="Q199" s="45" t="s">
        <v>755</v>
      </c>
      <c r="R199" s="45">
        <v>615312896</v>
      </c>
      <c r="S199" s="45">
        <v>0</v>
      </c>
      <c r="T199" s="45" t="s">
        <v>111</v>
      </c>
      <c r="U199" s="45" t="s">
        <v>750</v>
      </c>
      <c r="V199" s="45" t="s">
        <v>756</v>
      </c>
      <c r="W199" s="45"/>
      <c r="X199" s="45" t="s">
        <v>757</v>
      </c>
      <c r="AP199" s="134"/>
    </row>
    <row r="200" spans="1:44" ht="15">
      <c r="P200" s="45" t="s">
        <v>758</v>
      </c>
      <c r="Q200" s="45" t="s">
        <v>759</v>
      </c>
      <c r="R200" s="45">
        <v>615338560</v>
      </c>
      <c r="S200" s="45">
        <v>0</v>
      </c>
      <c r="T200" s="45" t="s">
        <v>111</v>
      </c>
      <c r="U200" s="45" t="s">
        <v>760</v>
      </c>
      <c r="V200" s="45" t="s">
        <v>113</v>
      </c>
      <c r="W200" s="45"/>
      <c r="X200" s="45" t="s">
        <v>761</v>
      </c>
      <c r="AP200" s="134"/>
    </row>
    <row r="201" spans="1:44" ht="15">
      <c r="P201" s="45" t="s">
        <v>762</v>
      </c>
      <c r="Q201" s="45" t="s">
        <v>763</v>
      </c>
      <c r="R201" s="45">
        <v>615339001</v>
      </c>
      <c r="S201" s="45">
        <v>1</v>
      </c>
      <c r="T201" s="45" t="s">
        <v>27</v>
      </c>
      <c r="U201" s="45" t="s">
        <v>760</v>
      </c>
      <c r="V201" s="45" t="s">
        <v>118</v>
      </c>
      <c r="W201" s="45"/>
      <c r="X201" s="45" t="s">
        <v>761</v>
      </c>
      <c r="AP201" s="134"/>
    </row>
    <row r="202" spans="1:44" ht="15">
      <c r="AP202" s="134"/>
    </row>
    <row r="203" spans="1:44" ht="15.75">
      <c r="A203" t="s">
        <v>603</v>
      </c>
      <c r="C203" s="3"/>
      <c r="D203" s="3"/>
      <c r="E203" s="3"/>
      <c r="F203" s="3"/>
      <c r="G203" s="3"/>
      <c r="H203" s="3"/>
      <c r="I203" s="3"/>
      <c r="J203" s="3"/>
      <c r="L203" s="47" t="s">
        <v>719</v>
      </c>
      <c r="M203" s="47" t="s">
        <v>764</v>
      </c>
      <c r="O203" s="84" t="str">
        <f>AG203</f>
        <v>209/22:54</v>
      </c>
      <c r="P203" s="32" t="str">
        <f>MID(AJ203,5,5)</f>
        <v>209_2</v>
      </c>
      <c r="Q203" s="58">
        <f>R188-3</f>
        <v>601814786.66621947</v>
      </c>
      <c r="R203" s="21">
        <f>((W203)/$X$9)+Q203</f>
        <v>601824016.27321386</v>
      </c>
      <c r="S203" s="21">
        <f t="shared" ref="S203:S210" si="64">R203-Q203</f>
        <v>9229.6069943904877</v>
      </c>
      <c r="T203" s="21">
        <f>S203*$X$9</f>
        <v>34111.999999914609</v>
      </c>
      <c r="U203" s="3">
        <v>0</v>
      </c>
      <c r="V203" s="20">
        <f t="shared" ref="V203:V210" si="65">T203+U203*$V$23</f>
        <v>34111.999999914609</v>
      </c>
      <c r="W203" s="20">
        <f>Y203*1000000/8</f>
        <v>34112</v>
      </c>
      <c r="X203" s="87">
        <f t="shared" ref="X203:X210" si="66">W203-V203</f>
        <v>8.5390638560056686E-8</v>
      </c>
      <c r="Y203" s="77">
        <f>AP203</f>
        <v>0.27289600000000003</v>
      </c>
      <c r="Z203" s="50"/>
      <c r="AA203" s="129">
        <f>AA198+AI203</f>
        <v>0.27289599999931685</v>
      </c>
      <c r="AF203" s="31" t="str">
        <f>AJ203</f>
        <v>TRK_209_2</v>
      </c>
      <c r="AG203" s="34" t="s">
        <v>765</v>
      </c>
      <c r="AH203" s="53">
        <f t="shared" ref="AH203:AH210" si="67">X203*8/1000000</f>
        <v>6.8312510848045349E-13</v>
      </c>
      <c r="AI203" s="53">
        <f t="shared" ref="AI203:AI210" si="68">V203*8/1000000</f>
        <v>0.27289599999931685</v>
      </c>
      <c r="AJ203" t="s">
        <v>766</v>
      </c>
      <c r="AK203" t="s">
        <v>767</v>
      </c>
      <c r="AL203">
        <v>0.67269000000000001</v>
      </c>
      <c r="AM203">
        <v>9</v>
      </c>
      <c r="AN203">
        <v>0.70681099999999997</v>
      </c>
      <c r="AO203">
        <v>3.4112000000000003E-2</v>
      </c>
      <c r="AP203" s="134">
        <f>AO203*8</f>
        <v>0.27289600000000003</v>
      </c>
      <c r="AQ203">
        <v>0.30018699999999998</v>
      </c>
      <c r="AR203">
        <f>AQ203</f>
        <v>0.30018699999999998</v>
      </c>
    </row>
    <row r="204" spans="1:44" ht="15.75">
      <c r="A204" t="s">
        <v>768</v>
      </c>
      <c r="C204" s="3"/>
      <c r="D204" s="3"/>
      <c r="E204" s="3"/>
      <c r="F204" s="3"/>
      <c r="G204" s="3"/>
      <c r="H204" s="3"/>
      <c r="I204" s="3"/>
      <c r="J204" s="3"/>
      <c r="L204" s="47" t="s">
        <v>769</v>
      </c>
      <c r="M204" s="47" t="s">
        <v>770</v>
      </c>
      <c r="O204" s="84" t="str">
        <f>AG204</f>
        <v>210/20:49</v>
      </c>
      <c r="P204" s="32" t="str">
        <f>MID(AJ204,5,5)</f>
        <v>210_2</v>
      </c>
      <c r="Q204" s="58">
        <f>R198-20</f>
        <v>615306096</v>
      </c>
      <c r="R204" s="21">
        <f>R201+20</f>
        <v>615339021</v>
      </c>
      <c r="S204" s="21">
        <f t="shared" si="64"/>
        <v>32925</v>
      </c>
      <c r="T204" s="21">
        <f>W204</f>
        <v>845631</v>
      </c>
      <c r="U204" s="3">
        <v>0</v>
      </c>
      <c r="V204" s="20">
        <f t="shared" si="65"/>
        <v>845631</v>
      </c>
      <c r="W204" s="20">
        <f>Y204*1000000/8</f>
        <v>845631</v>
      </c>
      <c r="X204" s="87">
        <f t="shared" si="66"/>
        <v>0</v>
      </c>
      <c r="Y204" s="77">
        <f>AP204</f>
        <v>6.7650480000000002</v>
      </c>
      <c r="Z204" s="50"/>
      <c r="AA204" s="129">
        <f>AA203+AI204</f>
        <v>7.0379439999993174</v>
      </c>
      <c r="AF204" s="31" t="str">
        <f>AJ204</f>
        <v>TRK_210_2</v>
      </c>
      <c r="AG204" s="34" t="s">
        <v>771</v>
      </c>
      <c r="AH204" s="53">
        <f t="shared" si="67"/>
        <v>0</v>
      </c>
      <c r="AI204" s="53">
        <f t="shared" si="68"/>
        <v>6.7650480000000002</v>
      </c>
      <c r="AJ204" t="s">
        <v>772</v>
      </c>
      <c r="AK204" t="s">
        <v>773</v>
      </c>
      <c r="AL204">
        <v>0.55793000000000004</v>
      </c>
      <c r="AM204">
        <v>7</v>
      </c>
      <c r="AN204">
        <v>1.4035679999999999</v>
      </c>
      <c r="AO204">
        <v>0.84563100000000002</v>
      </c>
      <c r="AP204" s="134">
        <f>AO204*8</f>
        <v>6.7650480000000002</v>
      </c>
      <c r="AQ204">
        <v>7.4415480000000001</v>
      </c>
      <c r="AR204">
        <f>AQ204+AQ203</f>
        <v>7.7417350000000003</v>
      </c>
    </row>
    <row r="205" spans="1:44" ht="15.75">
      <c r="A205" t="s">
        <v>603</v>
      </c>
      <c r="C205" s="3"/>
      <c r="D205" s="3"/>
      <c r="E205" s="3"/>
      <c r="F205" s="3"/>
      <c r="G205" s="3"/>
      <c r="H205" s="3"/>
      <c r="I205" s="3"/>
      <c r="J205" s="3"/>
      <c r="L205" s="47" t="s">
        <v>764</v>
      </c>
      <c r="M205" s="47" t="s">
        <v>774</v>
      </c>
      <c r="O205" s="84" t="str">
        <f>AG205</f>
        <v>211/13:39</v>
      </c>
      <c r="P205" s="32" t="str">
        <f>MID(AJ205,5,5)</f>
        <v>211_1</v>
      </c>
      <c r="Q205" s="58">
        <f>R203-3</f>
        <v>601824013.27321386</v>
      </c>
      <c r="R205" s="21">
        <f>((W205)/$X$9)+Q205</f>
        <v>602046790.36870468</v>
      </c>
      <c r="S205" s="21">
        <f t="shared" si="64"/>
        <v>222777.09549081326</v>
      </c>
      <c r="T205" s="21">
        <f>S205*$X$9</f>
        <v>823368.99999992386</v>
      </c>
      <c r="U205" s="3">
        <v>0</v>
      </c>
      <c r="V205" s="20">
        <f t="shared" si="65"/>
        <v>823368.99999992386</v>
      </c>
      <c r="W205" s="20">
        <f>Y205*1000000/8</f>
        <v>823369</v>
      </c>
      <c r="X205" s="87">
        <f t="shared" si="66"/>
        <v>7.6135620474815369E-8</v>
      </c>
      <c r="Y205" s="77">
        <f>AP205</f>
        <v>6.5869520000000001</v>
      </c>
      <c r="Z205" s="50"/>
      <c r="AA205" s="129">
        <f>AA204+AI205</f>
        <v>13.624895999998708</v>
      </c>
      <c r="AF205" s="31" t="str">
        <f>AJ205</f>
        <v>TRK_211_1</v>
      </c>
      <c r="AG205" s="34" t="s">
        <v>775</v>
      </c>
      <c r="AH205" s="53">
        <f t="shared" si="67"/>
        <v>6.0908496379852291E-13</v>
      </c>
      <c r="AI205" s="53">
        <f t="shared" si="68"/>
        <v>6.5869519999993908</v>
      </c>
      <c r="AJ205" t="s">
        <v>39</v>
      </c>
      <c r="AK205" t="s">
        <v>776</v>
      </c>
      <c r="AL205">
        <v>0.24687999999999999</v>
      </c>
      <c r="AM205">
        <v>0</v>
      </c>
      <c r="AN205">
        <v>1.070249</v>
      </c>
      <c r="AO205">
        <v>0.82336900000000002</v>
      </c>
      <c r="AP205" s="134">
        <f>AO205*8</f>
        <v>6.5869520000000001</v>
      </c>
      <c r="AQ205">
        <v>7.2456469999999999</v>
      </c>
      <c r="AR205">
        <f>AQ205+AQ204</f>
        <v>14.687194999999999</v>
      </c>
    </row>
    <row r="206" spans="1:44" ht="15.75">
      <c r="A206" t="s">
        <v>603</v>
      </c>
      <c r="C206" s="3"/>
      <c r="D206" s="3"/>
      <c r="E206" s="3"/>
      <c r="F206" s="3"/>
      <c r="G206" s="3"/>
      <c r="H206" s="3"/>
      <c r="I206" s="3"/>
      <c r="J206" s="3"/>
      <c r="L206" s="47" t="s">
        <v>774</v>
      </c>
      <c r="M206" s="47" t="s">
        <v>777</v>
      </c>
      <c r="O206" s="84" t="str">
        <f>AG206</f>
        <v>212/08:19</v>
      </c>
      <c r="P206" s="32" t="str">
        <f>MID(AJ206,5,5)</f>
        <v>212_1</v>
      </c>
      <c r="Q206" s="58">
        <f>R205-3</f>
        <v>602046787.36870468</v>
      </c>
      <c r="R206" s="21">
        <f>((W206)/$X$9)+Q206</f>
        <v>602076916.71076822</v>
      </c>
      <c r="S206" s="21">
        <f t="shared" si="64"/>
        <v>30129.342063546181</v>
      </c>
      <c r="T206" s="21">
        <f>S206*$X$9</f>
        <v>111356.0000001915</v>
      </c>
      <c r="U206" s="3">
        <v>0</v>
      </c>
      <c r="V206" s="20">
        <f t="shared" si="65"/>
        <v>111356.0000001915</v>
      </c>
      <c r="W206" s="20">
        <f>Y206*1000000/8</f>
        <v>111356</v>
      </c>
      <c r="X206" s="87">
        <f t="shared" si="66"/>
        <v>-1.9150320440530777E-7</v>
      </c>
      <c r="Y206" s="77">
        <f>AP206</f>
        <v>0.89084799999999997</v>
      </c>
      <c r="Z206" s="50"/>
      <c r="AA206" s="129">
        <f>AA205+AI206</f>
        <v>14.51574400000024</v>
      </c>
      <c r="AF206" s="31" t="str">
        <f>AJ206</f>
        <v>TRK_212_1</v>
      </c>
      <c r="AG206" s="34" t="s">
        <v>778</v>
      </c>
      <c r="AH206" s="53">
        <f t="shared" si="67"/>
        <v>-1.5320256352424621E-12</v>
      </c>
      <c r="AI206" s="53">
        <f t="shared" si="68"/>
        <v>0.89084800000153208</v>
      </c>
      <c r="AJ206" t="s">
        <v>779</v>
      </c>
      <c r="AK206" t="s">
        <v>780</v>
      </c>
      <c r="AL206">
        <v>0.26268999999999998</v>
      </c>
      <c r="AM206">
        <v>7</v>
      </c>
      <c r="AN206">
        <v>0.37405300000000002</v>
      </c>
      <c r="AO206">
        <v>0.111356</v>
      </c>
      <c r="AP206" s="134">
        <f>AO206*8</f>
        <v>0.89084799999999997</v>
      </c>
      <c r="AQ206">
        <v>0.97992999999999997</v>
      </c>
      <c r="AR206">
        <f>AQ206+AQ205</f>
        <v>8.2255769999999995</v>
      </c>
    </row>
    <row r="207" spans="1:44" ht="15.75">
      <c r="A207" t="s">
        <v>683</v>
      </c>
      <c r="C207" s="3"/>
      <c r="D207" s="3"/>
      <c r="E207" s="3" t="s">
        <v>51</v>
      </c>
      <c r="F207" s="3" t="s">
        <v>49</v>
      </c>
      <c r="G207" s="3"/>
      <c r="H207" s="3" t="s">
        <v>53</v>
      </c>
      <c r="I207" s="3" t="s">
        <v>54</v>
      </c>
      <c r="J207" s="3"/>
      <c r="L207" s="78" t="s">
        <v>692</v>
      </c>
      <c r="M207" s="78" t="s">
        <v>781</v>
      </c>
      <c r="N207" t="s">
        <v>18</v>
      </c>
      <c r="O207" s="84" t="str">
        <f>AG207</f>
        <v>212/20:54</v>
      </c>
      <c r="P207" s="32" t="str">
        <f>MID(AJ207,5,5)</f>
        <v>212_2</v>
      </c>
      <c r="Q207" s="58">
        <f>R181-1</f>
        <v>615335512</v>
      </c>
      <c r="R207" s="128">
        <f>R184+20</f>
        <v>615338942</v>
      </c>
      <c r="S207" s="21">
        <f t="shared" si="64"/>
        <v>3430</v>
      </c>
      <c r="T207" s="21">
        <f>S207*$V$17</f>
        <v>7288.3331597222032</v>
      </c>
      <c r="U207" s="3">
        <v>0</v>
      </c>
      <c r="V207" s="27">
        <f t="shared" si="65"/>
        <v>7288.3331597222032</v>
      </c>
      <c r="W207" s="20">
        <f>Y207*1000000/8</f>
        <v>1095433</v>
      </c>
      <c r="X207" s="87">
        <f t="shared" si="66"/>
        <v>1088144.6668402778</v>
      </c>
      <c r="Y207" s="77">
        <f>AP207</f>
        <v>8.7634640000000008</v>
      </c>
      <c r="Z207" s="50"/>
      <c r="AA207" s="50"/>
      <c r="AB207" s="118">
        <f>AI207</f>
        <v>5.8306665277777628E-2</v>
      </c>
      <c r="AC207" s="118"/>
      <c r="AD207" s="118"/>
      <c r="AE207" s="118"/>
      <c r="AF207" s="31" t="str">
        <f>AJ207</f>
        <v>TRK_212_2</v>
      </c>
      <c r="AG207" s="34" t="s">
        <v>782</v>
      </c>
      <c r="AH207" s="53">
        <f t="shared" si="67"/>
        <v>8.7051573347222231</v>
      </c>
      <c r="AI207" s="53">
        <f t="shared" si="68"/>
        <v>5.8306665277777628E-2</v>
      </c>
      <c r="AJ207" t="s">
        <v>783</v>
      </c>
      <c r="AK207" t="s">
        <v>784</v>
      </c>
      <c r="AL207">
        <v>0.22791</v>
      </c>
      <c r="AM207">
        <v>1</v>
      </c>
      <c r="AN207">
        <v>1.3233440000000001</v>
      </c>
      <c r="AO207">
        <v>1.0954330000000001</v>
      </c>
      <c r="AP207" s="134">
        <f>AO207*8</f>
        <v>8.7634640000000008</v>
      </c>
      <c r="AQ207">
        <v>9.6398080000000004</v>
      </c>
      <c r="AR207">
        <f>AQ207+AQ206</f>
        <v>10.619738</v>
      </c>
    </row>
    <row r="208" spans="1:44" ht="15.75">
      <c r="A208" t="s">
        <v>785</v>
      </c>
      <c r="C208" s="3"/>
      <c r="D208" s="3"/>
      <c r="E208" s="3" t="s">
        <v>51</v>
      </c>
      <c r="F208" s="3" t="s">
        <v>49</v>
      </c>
      <c r="G208" s="3" t="s">
        <v>50</v>
      </c>
      <c r="H208" s="3"/>
      <c r="I208" s="3"/>
      <c r="J208" s="3"/>
      <c r="K208" t="s">
        <v>786</v>
      </c>
      <c r="L208" s="78" t="s">
        <v>787</v>
      </c>
      <c r="M208" s="78" t="s">
        <v>788</v>
      </c>
      <c r="O208" s="84"/>
      <c r="P208" s="32"/>
      <c r="Q208" s="124">
        <f>R190-20</f>
        <v>615780396</v>
      </c>
      <c r="R208" s="128">
        <f>R213</f>
        <v>615857156</v>
      </c>
      <c r="S208" s="21">
        <f t="shared" si="64"/>
        <v>76760</v>
      </c>
      <c r="T208" s="21">
        <f>S208*$V$15</f>
        <v>132922.73333333287</v>
      </c>
      <c r="U208" s="3">
        <v>1</v>
      </c>
      <c r="V208" s="27">
        <f t="shared" si="65"/>
        <v>330297.73333333287</v>
      </c>
      <c r="W208" s="135">
        <f>X207</f>
        <v>1088144.6668402778</v>
      </c>
      <c r="X208" s="87">
        <f t="shared" si="66"/>
        <v>757846.93350694492</v>
      </c>
      <c r="Y208" s="77"/>
      <c r="Z208" s="50"/>
      <c r="AA208" s="50"/>
      <c r="AB208" s="118">
        <f>AI208+AB207</f>
        <v>2.7006885319444409</v>
      </c>
      <c r="AC208" s="118"/>
      <c r="AD208" s="118"/>
      <c r="AE208" s="118"/>
      <c r="AF208" s="31"/>
      <c r="AG208" s="34"/>
      <c r="AH208" s="53">
        <f t="shared" si="67"/>
        <v>6.062775468055559</v>
      </c>
      <c r="AI208" s="53">
        <f t="shared" si="68"/>
        <v>2.6423818666666632</v>
      </c>
    </row>
    <row r="209" spans="1:44" ht="15.75">
      <c r="A209" t="s">
        <v>789</v>
      </c>
      <c r="C209" s="3"/>
      <c r="D209" s="3"/>
      <c r="E209" s="3" t="s">
        <v>51</v>
      </c>
      <c r="F209" s="3" t="s">
        <v>49</v>
      </c>
      <c r="G209" s="3"/>
      <c r="H209" s="3" t="s">
        <v>53</v>
      </c>
      <c r="I209" s="3" t="s">
        <v>54</v>
      </c>
      <c r="J209" s="3"/>
      <c r="L209" s="78" t="s">
        <v>788</v>
      </c>
      <c r="M209" s="78" t="s">
        <v>790</v>
      </c>
      <c r="O209" s="84"/>
      <c r="P209" s="32" t="str">
        <f>MID(AJ209,5,5)</f>
        <v/>
      </c>
      <c r="Q209" s="58">
        <f>R208-1</f>
        <v>615857155</v>
      </c>
      <c r="R209" s="21">
        <f>((W209-U209*$V$23)/$V$21)+Q209</f>
        <v>616280773.53132844</v>
      </c>
      <c r="S209" s="21">
        <f t="shared" si="64"/>
        <v>423618.53132843971</v>
      </c>
      <c r="T209" s="21">
        <f>S209*$V$21</f>
        <v>757846.93350702629</v>
      </c>
      <c r="U209" s="3">
        <v>0</v>
      </c>
      <c r="V209" s="27">
        <f t="shared" si="65"/>
        <v>757846.93350702629</v>
      </c>
      <c r="W209" s="135">
        <f>X208</f>
        <v>757846.93350694492</v>
      </c>
      <c r="X209" s="87">
        <f t="shared" si="66"/>
        <v>-8.1374309957027435E-8</v>
      </c>
      <c r="Y209" s="77"/>
      <c r="Z209" s="50"/>
      <c r="AA209" s="50"/>
      <c r="AB209" s="118">
        <f>AI209+AB208</f>
        <v>8.763464000000651</v>
      </c>
      <c r="AC209" s="118"/>
      <c r="AD209" s="118"/>
      <c r="AE209" s="118"/>
      <c r="AH209" s="53">
        <f t="shared" si="67"/>
        <v>-6.5099447965621945E-13</v>
      </c>
      <c r="AI209" s="53">
        <f t="shared" si="68"/>
        <v>6.06277546805621</v>
      </c>
    </row>
    <row r="210" spans="1:44" ht="15.75">
      <c r="A210" t="s">
        <v>791</v>
      </c>
      <c r="L210" s="47" t="str">
        <f>M206</f>
        <v>048/05:43</v>
      </c>
      <c r="M210" s="47" t="s">
        <v>792</v>
      </c>
      <c r="O210" s="84" t="str">
        <f>AG210</f>
        <v>213/11:49</v>
      </c>
      <c r="P210" s="32" t="str">
        <f>MID(AJ210,5,5)</f>
        <v>213_1</v>
      </c>
      <c r="Q210" s="58">
        <f>R206-3</f>
        <v>602076913.71076822</v>
      </c>
      <c r="R210" s="21">
        <f>((W210)/$X$9)+Q210</f>
        <v>602366037.53526711</v>
      </c>
      <c r="S210" s="21">
        <f t="shared" si="64"/>
        <v>289123.82449889183</v>
      </c>
      <c r="T210" s="21">
        <f>S210*$X$9</f>
        <v>1068582.0000001879</v>
      </c>
      <c r="U210" s="3">
        <v>0</v>
      </c>
      <c r="V210" s="20">
        <f t="shared" si="65"/>
        <v>1068582.0000001879</v>
      </c>
      <c r="W210" s="20">
        <f>Y210*1000000/8</f>
        <v>1068582</v>
      </c>
      <c r="X210" s="87">
        <f t="shared" si="66"/>
        <v>-1.8789432942867279E-7</v>
      </c>
      <c r="Y210" s="77">
        <f>AP210</f>
        <v>8.5486559999999994</v>
      </c>
      <c r="Z210" s="50"/>
      <c r="AA210" s="129">
        <f>AA209+AI210</f>
        <v>8.5486560000015039</v>
      </c>
      <c r="AB210">
        <f>AB209+AB208+AB207</f>
        <v>11.52245919722287</v>
      </c>
      <c r="AF210" s="31" t="str">
        <f>AJ210</f>
        <v>TRK_213_1</v>
      </c>
      <c r="AG210" s="34" t="s">
        <v>793</v>
      </c>
      <c r="AH210" s="53">
        <f t="shared" si="67"/>
        <v>-1.5031546354293823E-12</v>
      </c>
      <c r="AI210" s="53">
        <f t="shared" si="68"/>
        <v>8.5486560000015039</v>
      </c>
      <c r="AJ210" t="s">
        <v>40</v>
      </c>
      <c r="AK210" t="s">
        <v>794</v>
      </c>
      <c r="AL210">
        <v>0.38590999999999998</v>
      </c>
      <c r="AM210">
        <v>0</v>
      </c>
      <c r="AN210">
        <v>1.4544919999999999</v>
      </c>
      <c r="AO210">
        <v>1.0685819999999999</v>
      </c>
      <c r="AP210" s="134">
        <f>AO210*8</f>
        <v>8.5486559999999994</v>
      </c>
      <c r="AQ210">
        <v>9.4035250000000001</v>
      </c>
      <c r="AR210">
        <f>AQ210+AQ207</f>
        <v>19.043333000000001</v>
      </c>
    </row>
    <row r="211" spans="1:44" ht="15">
      <c r="AB211">
        <f>AB210+119</f>
        <v>130.52245919722287</v>
      </c>
      <c r="AJ211" s="136" t="s">
        <v>795</v>
      </c>
      <c r="AK211" s="136" t="s">
        <v>796</v>
      </c>
      <c r="AL211" s="136">
        <v>0.86926000000000003</v>
      </c>
      <c r="AM211" s="136">
        <v>4</v>
      </c>
      <c r="AN211" s="136">
        <v>2.0916389999999998</v>
      </c>
      <c r="AO211" s="136">
        <v>1.222375</v>
      </c>
      <c r="AP211" s="134">
        <f>AO211*8</f>
        <v>9.7789999999999999</v>
      </c>
      <c r="AQ211" s="136">
        <v>10.756899000000001</v>
      </c>
    </row>
    <row r="212" spans="1:44" ht="15">
      <c r="AB212">
        <f>AB211*0.12</f>
        <v>15.662695103666744</v>
      </c>
      <c r="AJ212" s="136" t="s">
        <v>797</v>
      </c>
      <c r="AK212" s="136" t="s">
        <v>798</v>
      </c>
      <c r="AL212" s="136">
        <v>0.24697</v>
      </c>
      <c r="AM212" s="136">
        <v>1</v>
      </c>
      <c r="AN212" s="136">
        <v>2.9744730000000001</v>
      </c>
      <c r="AO212" s="136">
        <v>2.7275019999999999</v>
      </c>
      <c r="AP212" s="134">
        <f>AO212*8</f>
        <v>21.820015999999999</v>
      </c>
      <c r="AQ212" s="136">
        <v>24.002020000000002</v>
      </c>
    </row>
    <row r="213" spans="1:44" ht="15">
      <c r="P213" s="15" t="s">
        <v>799</v>
      </c>
      <c r="Q213" s="15" t="s">
        <v>800</v>
      </c>
      <c r="R213" s="15">
        <v>615857156</v>
      </c>
      <c r="S213" s="15">
        <v>0</v>
      </c>
      <c r="T213" s="15" t="s">
        <v>409</v>
      </c>
      <c r="U213" s="15" t="s">
        <v>801</v>
      </c>
      <c r="V213" s="15" t="s">
        <v>802</v>
      </c>
      <c r="W213" s="15"/>
      <c r="X213" s="15" t="s">
        <v>803</v>
      </c>
      <c r="AJ213" s="136" t="s">
        <v>804</v>
      </c>
      <c r="AK213" s="136" t="s">
        <v>805</v>
      </c>
      <c r="AL213" s="136">
        <v>0.52649000000000001</v>
      </c>
      <c r="AM213" s="136">
        <v>1</v>
      </c>
      <c r="AN213" s="136">
        <v>1.3696569999999999</v>
      </c>
      <c r="AO213" s="136">
        <v>0.84316599999999997</v>
      </c>
      <c r="AP213" s="134">
        <f>AO213*8</f>
        <v>6.7453279999999998</v>
      </c>
      <c r="AQ213" s="136">
        <v>7.4198620000000002</v>
      </c>
    </row>
    <row r="214" spans="1:44" ht="15">
      <c r="P214" s="15" t="s">
        <v>806</v>
      </c>
      <c r="Q214" s="15" t="s">
        <v>807</v>
      </c>
      <c r="R214" s="15">
        <v>615857159</v>
      </c>
      <c r="S214" s="15">
        <v>0</v>
      </c>
      <c r="T214" s="15" t="s">
        <v>409</v>
      </c>
      <c r="U214" s="15" t="s">
        <v>801</v>
      </c>
      <c r="V214" s="15" t="s">
        <v>808</v>
      </c>
      <c r="W214" s="15"/>
      <c r="X214" s="15" t="s">
        <v>803</v>
      </c>
      <c r="AJ214" s="136" t="s">
        <v>809</v>
      </c>
      <c r="AK214" s="136" t="s">
        <v>810</v>
      </c>
      <c r="AL214" s="136">
        <v>0.27113999999999999</v>
      </c>
      <c r="AM214" s="136">
        <v>5</v>
      </c>
      <c r="AN214" s="136">
        <v>0.32642500000000002</v>
      </c>
      <c r="AO214" s="136">
        <v>5.5280000000000003E-2</v>
      </c>
      <c r="AP214" s="134">
        <f>AO214*8</f>
        <v>0.44224000000000002</v>
      </c>
      <c r="AQ214" s="136">
        <v>0.48646099999999998</v>
      </c>
    </row>
    <row r="215" spans="1:44" ht="15">
      <c r="P215" s="15" t="s">
        <v>811</v>
      </c>
      <c r="Q215" s="15" t="s">
        <v>812</v>
      </c>
      <c r="R215" s="15">
        <v>615857162</v>
      </c>
      <c r="S215" s="15">
        <v>0</v>
      </c>
      <c r="T215" s="15" t="s">
        <v>409</v>
      </c>
      <c r="U215" s="15" t="s">
        <v>801</v>
      </c>
      <c r="V215" s="15" t="s">
        <v>813</v>
      </c>
      <c r="W215" s="15"/>
      <c r="X215" s="15" t="s">
        <v>803</v>
      </c>
      <c r="AL215">
        <f>AL214+AL213+AL212+AL211</f>
        <v>1.9138600000000001</v>
      </c>
      <c r="AP215">
        <f>AP214+AP213+AP212+AP211</f>
        <v>38.786583999999998</v>
      </c>
      <c r="AQ215" s="137">
        <f>SUM(AQ197:AQ212)</f>
        <v>69.769564000000003</v>
      </c>
    </row>
    <row r="216" spans="1:44" ht="15">
      <c r="P216" s="15" t="s">
        <v>814</v>
      </c>
      <c r="Q216" s="15" t="s">
        <v>815</v>
      </c>
      <c r="R216" s="15">
        <v>615857165</v>
      </c>
      <c r="S216" s="15">
        <v>0</v>
      </c>
      <c r="T216" s="15" t="s">
        <v>409</v>
      </c>
      <c r="U216" s="15" t="s">
        <v>801</v>
      </c>
      <c r="V216" s="15" t="s">
        <v>449</v>
      </c>
      <c r="W216" s="15"/>
      <c r="X216" s="15" t="s">
        <v>803</v>
      </c>
    </row>
    <row r="217" spans="1:44" ht="15">
      <c r="P217" s="15" t="s">
        <v>816</v>
      </c>
      <c r="Q217" s="15" t="s">
        <v>817</v>
      </c>
      <c r="R217" s="15">
        <v>615857756</v>
      </c>
      <c r="S217" s="15">
        <v>0</v>
      </c>
      <c r="T217" s="15" t="s">
        <v>409</v>
      </c>
      <c r="U217" s="15" t="s">
        <v>801</v>
      </c>
      <c r="V217" s="15" t="s">
        <v>818</v>
      </c>
      <c r="W217" s="15"/>
      <c r="X217" s="15" t="s">
        <v>803</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96E2B4-65BC-4F10-86B6-C8663FE415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4" baseType="variant">
      <vt:variant>
        <vt:lpstr>Worksheets</vt:lpstr>
      </vt:variant>
      <vt:variant>
        <vt:i4>19</vt:i4>
      </vt:variant>
      <vt:variant>
        <vt:lpstr>Named Ranges</vt:lpstr>
      </vt:variant>
      <vt:variant>
        <vt:i4>4</vt:i4>
      </vt:variant>
    </vt:vector>
  </HeadingPairs>
  <TitlesOfParts>
    <vt:vector size="23" baseType="lpstr">
      <vt:lpstr>2025_pb_2</vt:lpstr>
      <vt:lpstr>Playbacks</vt:lpstr>
      <vt:lpstr>swp_ssf</vt:lpstr>
      <vt:lpstr>pep_ssf</vt:lpstr>
      <vt:lpstr>dev</vt:lpstr>
      <vt:lpstr>_tl24-277-07-50</vt:lpstr>
      <vt:lpstr>_tl25-096-16-35</vt:lpstr>
      <vt:lpstr>_tl25-116-08-15</vt:lpstr>
      <vt:lpstr>_tl25-118-07-25</vt:lpstr>
      <vt:lpstr>_tl25-123-08-15</vt:lpstr>
      <vt:lpstr>_tl25-138-22-20</vt:lpstr>
      <vt:lpstr>_tl25-160-03-11</vt:lpstr>
      <vt:lpstr>_tl25-219-03-27</vt:lpstr>
      <vt:lpstr>_tl26-179-03-29</vt:lpstr>
      <vt:lpstr>_tl_template</vt:lpstr>
      <vt:lpstr>sclk_data</vt:lpstr>
      <vt:lpstr>btc_mods</vt:lpstr>
      <vt:lpstr>SWAP Data Volumns</vt:lpstr>
      <vt:lpstr>2025_pb</vt:lpstr>
      <vt:lpstr>c_\temp\nh_sandbox\</vt:lpstr>
      <vt:lpstr>End_Time</vt:lpstr>
      <vt:lpstr>Start_Time</vt:lpstr>
      <vt:lpstr>Statesim_Files_Directory</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Dunn, Gregory F.</cp:lastModifiedBy>
  <cp:revision>127</cp:revision>
  <dcterms:created xsi:type="dcterms:W3CDTF">2021-10-05T20:43:26Z</dcterms:created>
  <dcterms:modified xsi:type="dcterms:W3CDTF">2026-09-30T14:12:07Z</dcterms:modified>
  <dc:language>en-US</dc:language>
</cp:coreProperties>
</file>