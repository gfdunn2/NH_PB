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15.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swri-my.sharepoint.us/personal/gregory_dunn_swri_org/Documents/Projects/05310 - New Horizons/playback-tool/NH_PB/PB_eXcel/"/>
    </mc:Choice>
  </mc:AlternateContent>
  <xr:revisionPtr revIDLastSave="20" documentId="8_{349525B1-3A67-49B8-AD7B-5FC7B1C6E60A}" xr6:coauthVersionLast="47" xr6:coauthVersionMax="47" xr10:uidLastSave="{B9D8D604-0033-4771-B6D4-4E2C4ADB4775}"/>
  <bookViews>
    <workbookView xWindow="-120" yWindow="-120" windowWidth="29040" windowHeight="16440" tabRatio="906" firstSheet="5" activeTab="16" xr2:uid="{00000000-000D-0000-FFFF-FFFF00000000}"/>
  </bookViews>
  <sheets>
    <sheet name="2025_pb_2" sheetId="21" r:id="rId1"/>
    <sheet name="swp_ssf" sheetId="95" r:id="rId2"/>
    <sheet name="pep_ssf" sheetId="19" r:id="rId3"/>
    <sheet name="dev" sheetId="22" r:id="rId4"/>
    <sheet name="_tl24-277-07-50" sheetId="86" r:id="rId5"/>
    <sheet name="_tl25-096-16-35" sheetId="87" r:id="rId6"/>
    <sheet name="_tl25-116-08-15" sheetId="88" r:id="rId7"/>
    <sheet name="_tl25-118-07-25" sheetId="89" r:id="rId8"/>
    <sheet name="_tl25-123-08-15" sheetId="90" r:id="rId9"/>
    <sheet name="_tl25-138-22-20" sheetId="91" r:id="rId10"/>
    <sheet name="_tl25-160-03-11" sheetId="92" r:id="rId11"/>
    <sheet name="_tl25-219-03-27" sheetId="93" r:id="rId12"/>
    <sheet name="_tl26-179-03-29" sheetId="94" r:id="rId13"/>
    <sheet name="_tl_template" sheetId="20" r:id="rId14"/>
    <sheet name="sclk_data" sheetId="17" r:id="rId15"/>
    <sheet name="btc_mods" sheetId="16" r:id="rId16"/>
    <sheet name="SWAP Data Volumns" sheetId="6" r:id="rId17"/>
    <sheet name="2025_pb" sheetId="2" r:id="rId18"/>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_xlpm.bits" hidden="1" xlm="1">#NAME?</definedName>
    <definedName name="_xlpm.cnt" hidden="1" xlm="1">#NAME?</definedName>
    <definedName name="_xlpm.per"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2" hidden="1">pep_ssf!$A$13:$D$68</definedName>
    <definedName name="ExternalData_2" localSheetId="1" hidden="1">swp_ssf!$A$13:$D$74</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4" i="6" l="1"/>
  <c r="Z5" i="6"/>
  <c r="Z6" i="6"/>
  <c r="Z7" i="6"/>
  <c r="Z8" i="6"/>
  <c r="Z9" i="6"/>
  <c r="Z10" i="6"/>
  <c r="Z11" i="6"/>
  <c r="Z12" i="6"/>
  <c r="Z13" i="6"/>
  <c r="Z14" i="6"/>
  <c r="Z15" i="6"/>
  <c r="Z16" i="6"/>
  <c r="Z17" i="6"/>
  <c r="Z18" i="6"/>
  <c r="Z19" i="6"/>
  <c r="Z20" i="6"/>
  <c r="Z21" i="6"/>
  <c r="Z22" i="6"/>
  <c r="Y4" i="6"/>
  <c r="X4" i="6"/>
  <c r="W4" i="6"/>
  <c r="V4" i="6"/>
  <c r="U21" i="6"/>
  <c r="U20" i="6"/>
  <c r="U19" i="6"/>
  <c r="U18" i="6"/>
  <c r="U17" i="6"/>
  <c r="U16" i="6"/>
  <c r="U15" i="6"/>
  <c r="U14" i="6"/>
  <c r="U13" i="6"/>
  <c r="U12" i="6"/>
  <c r="U11" i="6"/>
  <c r="U10" i="6"/>
  <c r="U9" i="6"/>
  <c r="U8" i="6"/>
  <c r="U7" i="6"/>
  <c r="U6" i="6"/>
  <c r="U5" i="6"/>
  <c r="U4" i="6"/>
  <c r="Y22" i="6"/>
  <c r="X22" i="6"/>
  <c r="W22" i="6"/>
  <c r="V22" i="6"/>
  <c r="Y21" i="6"/>
  <c r="X21" i="6"/>
  <c r="W21" i="6"/>
  <c r="V21" i="6"/>
  <c r="Y20" i="6"/>
  <c r="X20" i="6"/>
  <c r="W20" i="6"/>
  <c r="V20" i="6"/>
  <c r="Y19" i="6"/>
  <c r="X19" i="6"/>
  <c r="W19" i="6"/>
  <c r="V19" i="6"/>
  <c r="Y18" i="6"/>
  <c r="X18" i="6"/>
  <c r="W18" i="6"/>
  <c r="V18" i="6"/>
  <c r="Y17" i="6"/>
  <c r="X17" i="6"/>
  <c r="W17" i="6"/>
  <c r="V17" i="6"/>
  <c r="Y16" i="6"/>
  <c r="W16" i="6"/>
  <c r="V16" i="6"/>
  <c r="Y15" i="6"/>
  <c r="X15" i="6"/>
  <c r="W15" i="6"/>
  <c r="V15" i="6"/>
  <c r="Y14" i="6"/>
  <c r="Y12" i="6"/>
  <c r="W12" i="6"/>
  <c r="V12" i="6"/>
  <c r="Y11" i="6"/>
  <c r="X11" i="6"/>
  <c r="W11" i="6"/>
  <c r="V11" i="6"/>
  <c r="Y10" i="6"/>
  <c r="W8" i="6"/>
  <c r="V8" i="6"/>
  <c r="Y7" i="6"/>
  <c r="X7" i="6"/>
  <c r="W7" i="6"/>
  <c r="V7" i="6"/>
  <c r="Y6" i="6"/>
  <c r="S31" i="6"/>
  <c r="S30" i="6"/>
  <c r="X8" i="6" s="1"/>
  <c r="S29" i="6"/>
  <c r="W13" i="6" s="1"/>
  <c r="S28" i="6"/>
  <c r="V13" i="6" s="1"/>
  <c r="S27" i="6"/>
  <c r="S26" i="6"/>
  <c r="R22" i="6"/>
  <c r="R21" i="6"/>
  <c r="R20" i="6"/>
  <c r="R19" i="6"/>
  <c r="R18" i="6"/>
  <c r="R17" i="6"/>
  <c r="R16" i="6"/>
  <c r="R15" i="6"/>
  <c r="Q14" i="6"/>
  <c r="R14" i="6" s="1"/>
  <c r="Q13" i="6"/>
  <c r="R13" i="6" s="1"/>
  <c r="Q12" i="6"/>
  <c r="R12" i="6" s="1"/>
  <c r="Q11" i="6"/>
  <c r="R11" i="6" s="1"/>
  <c r="Q10" i="6"/>
  <c r="X10" i="6" s="1"/>
  <c r="Q9" i="6"/>
  <c r="R9" i="6" s="1"/>
  <c r="Q8" i="6"/>
  <c r="R8" i="6" s="1"/>
  <c r="Q7" i="6"/>
  <c r="R7" i="6" s="1"/>
  <c r="Q6" i="6"/>
  <c r="R6" i="6" s="1"/>
  <c r="Q5" i="6"/>
  <c r="R5" i="6" s="1"/>
  <c r="X12" i="6" l="1"/>
  <c r="V5" i="6"/>
  <c r="W5" i="6"/>
  <c r="X13" i="6"/>
  <c r="Y9" i="6"/>
  <c r="U22" i="6"/>
  <c r="X16" i="6"/>
  <c r="Y8" i="6"/>
  <c r="W9" i="6"/>
  <c r="Y13" i="6"/>
  <c r="V6" i="6"/>
  <c r="V10" i="6"/>
  <c r="V14" i="6"/>
  <c r="X5" i="6"/>
  <c r="Y5" i="6"/>
  <c r="W6" i="6"/>
  <c r="W10" i="6"/>
  <c r="W14" i="6"/>
  <c r="V9" i="6"/>
  <c r="X9" i="6"/>
  <c r="X6" i="6"/>
  <c r="X14" i="6"/>
  <c r="R10" i="6"/>
  <c r="G14" i="95" l="1"/>
  <c r="H14" i="95"/>
  <c r="J14" i="95"/>
  <c r="G15" i="95"/>
  <c r="J15" i="95" s="1"/>
  <c r="G16" i="95"/>
  <c r="G17" i="95"/>
  <c r="G18" i="95"/>
  <c r="G19" i="95"/>
  <c r="G20" i="95"/>
  <c r="G21" i="95"/>
  <c r="G22" i="95"/>
  <c r="G23" i="95"/>
  <c r="G24" i="95"/>
  <c r="G25" i="95"/>
  <c r="G26" i="95"/>
  <c r="G27" i="95"/>
  <c r="H27" i="95"/>
  <c r="J27" i="95"/>
  <c r="G28" i="95"/>
  <c r="J28" i="95"/>
  <c r="G29" i="95"/>
  <c r="J29" i="95" s="1"/>
  <c r="G30" i="95"/>
  <c r="G31" i="95"/>
  <c r="G32" i="95"/>
  <c r="G33" i="95"/>
  <c r="G34" i="95"/>
  <c r="G35" i="95"/>
  <c r="G36" i="95"/>
  <c r="G37" i="95"/>
  <c r="G38" i="95"/>
  <c r="G39" i="95"/>
  <c r="G40" i="95"/>
  <c r="H40" i="95"/>
  <c r="J40" i="95"/>
  <c r="G41" i="95"/>
  <c r="J41" i="95" s="1"/>
  <c r="G42" i="95"/>
  <c r="G43" i="95"/>
  <c r="G44" i="95"/>
  <c r="G45" i="95"/>
  <c r="G46" i="95"/>
  <c r="G47" i="95"/>
  <c r="G48" i="95"/>
  <c r="G49" i="95"/>
  <c r="G50" i="95"/>
  <c r="G51" i="95"/>
  <c r="H51" i="95"/>
  <c r="J51" i="95"/>
  <c r="G52" i="95"/>
  <c r="J52" i="95"/>
  <c r="G53" i="95"/>
  <c r="J53" i="95" s="1"/>
  <c r="G54" i="95"/>
  <c r="G55" i="95"/>
  <c r="G56" i="95"/>
  <c r="G57" i="95"/>
  <c r="I57" i="95"/>
  <c r="G58" i="95"/>
  <c r="H58" i="95"/>
  <c r="J58" i="95"/>
  <c r="G59" i="95"/>
  <c r="J59" i="95"/>
  <c r="G60" i="95"/>
  <c r="J60" i="95"/>
  <c r="G61" i="95"/>
  <c r="J61" i="95" s="1"/>
  <c r="G62" i="95"/>
  <c r="G63" i="95"/>
  <c r="G64" i="95"/>
  <c r="G65" i="95"/>
  <c r="G66" i="95"/>
  <c r="G67" i="95"/>
  <c r="G68" i="95"/>
  <c r="G69" i="95"/>
  <c r="J69" i="95" s="1"/>
  <c r="H69" i="95"/>
  <c r="G70" i="95"/>
  <c r="G71" i="95"/>
  <c r="G72" i="95"/>
  <c r="G73" i="95"/>
  <c r="G74" i="95"/>
  <c r="I74" i="95"/>
  <c r="G14" i="19"/>
  <c r="R14" i="19" s="1"/>
  <c r="V14" i="19" s="1"/>
  <c r="G15" i="19"/>
  <c r="N15" i="19" s="1"/>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H14" i="19"/>
  <c r="H28" i="19"/>
  <c r="H52" i="19"/>
  <c r="I68" i="19"/>
  <c r="J14" i="19"/>
  <c r="J15" i="19"/>
  <c r="J16" i="19"/>
  <c r="J28" i="19"/>
  <c r="J52" i="19"/>
  <c r="J53" i="19"/>
  <c r="M14" i="19"/>
  <c r="X14" i="19" s="1"/>
  <c r="M15" i="19"/>
  <c r="M18" i="19"/>
  <c r="X18" i="19" s="1"/>
  <c r="M19" i="19"/>
  <c r="X19" i="19" s="1"/>
  <c r="M20" i="19"/>
  <c r="M22" i="19"/>
  <c r="M23" i="19"/>
  <c r="M24" i="19"/>
  <c r="M25" i="19"/>
  <c r="M26" i="19"/>
  <c r="X26" i="19" s="1"/>
  <c r="M27" i="19"/>
  <c r="X27" i="19" s="1"/>
  <c r="M28" i="19"/>
  <c r="M32" i="19"/>
  <c r="X32" i="19" s="1"/>
  <c r="M33" i="19"/>
  <c r="M34" i="19" s="1"/>
  <c r="M35" i="19" s="1"/>
  <c r="X35" i="19" s="1"/>
  <c r="M36" i="19"/>
  <c r="X36" i="19" s="1"/>
  <c r="M39" i="19"/>
  <c r="X39" i="19" s="1"/>
  <c r="M40" i="19"/>
  <c r="X40" i="19" s="1"/>
  <c r="M41" i="19"/>
  <c r="X41" i="19" s="1"/>
  <c r="M42" i="19"/>
  <c r="M43" i="19" s="1"/>
  <c r="M47" i="19"/>
  <c r="M48" i="19"/>
  <c r="M49" i="19" s="1"/>
  <c r="M52" i="19"/>
  <c r="M56" i="19"/>
  <c r="X56" i="19" s="1"/>
  <c r="M57" i="19"/>
  <c r="M60" i="19"/>
  <c r="X60" i="19" s="1"/>
  <c r="M61" i="19"/>
  <c r="M63" i="19"/>
  <c r="M64" i="19"/>
  <c r="M65" i="19"/>
  <c r="X65" i="19" s="1"/>
  <c r="M66" i="19"/>
  <c r="X66" i="19" s="1"/>
  <c r="M67" i="19"/>
  <c r="N14" i="19"/>
  <c r="N16" i="19"/>
  <c r="N20" i="19"/>
  <c r="N21" i="19" s="1"/>
  <c r="N25" i="19"/>
  <c r="N26" i="19"/>
  <c r="N27" i="19"/>
  <c r="N28" i="19"/>
  <c r="N30" i="19"/>
  <c r="N34" i="19"/>
  <c r="N38" i="19"/>
  <c r="N39" i="19"/>
  <c r="N40" i="19"/>
  <c r="N46" i="19"/>
  <c r="N47" i="19"/>
  <c r="N52" i="19"/>
  <c r="Z52" i="19" s="1"/>
  <c r="N53" i="19"/>
  <c r="N54" i="19"/>
  <c r="N58" i="19"/>
  <c r="N62" i="19"/>
  <c r="N67" i="19"/>
  <c r="N68" i="19"/>
  <c r="O14" i="19"/>
  <c r="AA14" i="19" s="1"/>
  <c r="O15" i="19"/>
  <c r="O17" i="19"/>
  <c r="O18" i="19"/>
  <c r="O19" i="19" s="1"/>
  <c r="O20" i="19" s="1"/>
  <c r="O21" i="19"/>
  <c r="O22" i="19"/>
  <c r="AA22" i="19" s="1"/>
  <c r="O23" i="19"/>
  <c r="AA23" i="19" s="1"/>
  <c r="O24" i="19"/>
  <c r="O25" i="19"/>
  <c r="O26" i="19"/>
  <c r="AA26" i="19" s="1"/>
  <c r="O27" i="19"/>
  <c r="AA27" i="19" s="1"/>
  <c r="O28" i="19"/>
  <c r="O29" i="19"/>
  <c r="O30" i="19"/>
  <c r="O31" i="19"/>
  <c r="O32" i="19"/>
  <c r="AA32" i="19" s="1"/>
  <c r="O35" i="19"/>
  <c r="AA35" i="19" s="1"/>
  <c r="O36" i="19"/>
  <c r="AA36" i="19" s="1"/>
  <c r="O37" i="19"/>
  <c r="O40" i="19"/>
  <c r="O41" i="19"/>
  <c r="O42" i="19"/>
  <c r="AA42" i="19" s="1"/>
  <c r="O43" i="19"/>
  <c r="AA43" i="19" s="1"/>
  <c r="O44" i="19"/>
  <c r="O48" i="19"/>
  <c r="O52" i="19"/>
  <c r="AA52" i="19" s="1"/>
  <c r="O53" i="19"/>
  <c r="AA53" i="19" s="1"/>
  <c r="O55" i="19"/>
  <c r="AA55" i="19" s="1"/>
  <c r="O56" i="19"/>
  <c r="O59" i="19"/>
  <c r="O60" i="19" s="1"/>
  <c r="O61" i="19" s="1"/>
  <c r="O62" i="19" s="1"/>
  <c r="O63" i="19" s="1"/>
  <c r="O64" i="19"/>
  <c r="O65" i="19"/>
  <c r="AA65" i="19" s="1"/>
  <c r="O66" i="19"/>
  <c r="P14" i="19"/>
  <c r="W14" i="19" s="1"/>
  <c r="P15" i="19"/>
  <c r="W15" i="19" s="1"/>
  <c r="P19" i="19"/>
  <c r="P20" i="19"/>
  <c r="P21" i="19"/>
  <c r="P23" i="19"/>
  <c r="P24" i="19" s="1"/>
  <c r="P25" i="19" s="1"/>
  <c r="P26" i="19" s="1"/>
  <c r="W26" i="19" s="1"/>
  <c r="P27" i="19"/>
  <c r="W27" i="19" s="1"/>
  <c r="P28" i="19"/>
  <c r="P29" i="19"/>
  <c r="P33" i="19"/>
  <c r="P34" i="19"/>
  <c r="P37" i="19"/>
  <c r="P38" i="19" s="1"/>
  <c r="P39" i="19" s="1"/>
  <c r="P41" i="19"/>
  <c r="W41" i="19" s="1"/>
  <c r="P42" i="19"/>
  <c r="W42" i="19" s="1"/>
  <c r="P49" i="19"/>
  <c r="W49" i="19" s="1"/>
  <c r="P50" i="19"/>
  <c r="W50" i="19" s="1"/>
  <c r="P51" i="19"/>
  <c r="W51" i="19" s="1"/>
  <c r="P52" i="19"/>
  <c r="P57" i="19"/>
  <c r="W57" i="19" s="1"/>
  <c r="P58" i="19"/>
  <c r="P59" i="19" s="1"/>
  <c r="P60" i="19" s="1"/>
  <c r="P61" i="19"/>
  <c r="P62" i="19"/>
  <c r="P63" i="19"/>
  <c r="P64" i="19" s="1"/>
  <c r="W64" i="19" s="1"/>
  <c r="P65" i="19"/>
  <c r="P66" i="19"/>
  <c r="P67" i="19"/>
  <c r="W67" i="19" s="1"/>
  <c r="P68" i="19"/>
  <c r="W68" i="19" s="1"/>
  <c r="Q14" i="19"/>
  <c r="Q28" i="19"/>
  <c r="Q44" i="19"/>
  <c r="Q45" i="19"/>
  <c r="Q46" i="19"/>
  <c r="Q47" i="19"/>
  <c r="Q48" i="19" s="1"/>
  <c r="Q52" i="19"/>
  <c r="Q53" i="19"/>
  <c r="Q54" i="19"/>
  <c r="Y54" i="19" s="1"/>
  <c r="Q55" i="19"/>
  <c r="Q56" i="19" s="1"/>
  <c r="R28" i="19"/>
  <c r="U28" i="19" s="1"/>
  <c r="R44" i="19"/>
  <c r="R45" i="19"/>
  <c r="R46" i="19"/>
  <c r="R47" i="19"/>
  <c r="R52" i="19"/>
  <c r="R53" i="19"/>
  <c r="S14" i="19"/>
  <c r="S15" i="19" s="1"/>
  <c r="S16" i="19" s="1"/>
  <c r="S28" i="19"/>
  <c r="S42" i="19"/>
  <c r="S52" i="19"/>
  <c r="S53" i="19"/>
  <c r="S54" i="19"/>
  <c r="S55" i="19"/>
  <c r="S56" i="19" s="1"/>
  <c r="S57" i="19"/>
  <c r="S58" i="19"/>
  <c r="S66" i="19"/>
  <c r="S67" i="19" s="1"/>
  <c r="U14" i="19"/>
  <c r="V28" i="19"/>
  <c r="W19" i="19"/>
  <c r="W20" i="19"/>
  <c r="W23" i="19"/>
  <c r="W24" i="19"/>
  <c r="W25" i="19"/>
  <c r="W28" i="19"/>
  <c r="W33" i="19"/>
  <c r="W37" i="19"/>
  <c r="W38" i="19"/>
  <c r="W58" i="19"/>
  <c r="W59" i="19"/>
  <c r="W60" i="19"/>
  <c r="W61" i="19"/>
  <c r="W62" i="19"/>
  <c r="W63" i="19"/>
  <c r="W65" i="19"/>
  <c r="W66" i="19"/>
  <c r="X22" i="19"/>
  <c r="X23" i="19"/>
  <c r="X24" i="19"/>
  <c r="X25" i="19"/>
  <c r="X33" i="19"/>
  <c r="X42" i="19"/>
  <c r="X47" i="19"/>
  <c r="X63" i="19"/>
  <c r="X64" i="19"/>
  <c r="Y28" i="19"/>
  <c r="Y52" i="19"/>
  <c r="Z14" i="19"/>
  <c r="Z15" i="19"/>
  <c r="Z28" i="19"/>
  <c r="AA17" i="19"/>
  <c r="AA18" i="19"/>
  <c r="AA19" i="19"/>
  <c r="AA20" i="19"/>
  <c r="AA21" i="19"/>
  <c r="AA24" i="19"/>
  <c r="AA25" i="19"/>
  <c r="AA28" i="19"/>
  <c r="AA29" i="19"/>
  <c r="AA30" i="19"/>
  <c r="AA31" i="19"/>
  <c r="AA40" i="19"/>
  <c r="AA41" i="19"/>
  <c r="AA59" i="19"/>
  <c r="AA60" i="19"/>
  <c r="AA61" i="19"/>
  <c r="AA62" i="19"/>
  <c r="AA63" i="19"/>
  <c r="AA64" i="19"/>
  <c r="AA19" i="22"/>
  <c r="AA31" i="22"/>
  <c r="AA30" i="22"/>
  <c r="AA28" i="22"/>
  <c r="AA26" i="22"/>
  <c r="AA24" i="22"/>
  <c r="AA22" i="22"/>
  <c r="AA21" i="22"/>
  <c r="AA20" i="22"/>
  <c r="K25" i="22"/>
  <c r="J25" i="22" s="1"/>
  <c r="K30" i="22"/>
  <c r="J30" i="22" s="1"/>
  <c r="K29" i="22"/>
  <c r="J29" i="22" s="1"/>
  <c r="L103" i="6"/>
  <c r="L151" i="6"/>
  <c r="L139" i="6"/>
  <c r="L121" i="6"/>
  <c r="L112" i="6"/>
  <c r="L94" i="6"/>
  <c r="L85" i="6"/>
  <c r="L76" i="6"/>
  <c r="L67" i="6"/>
  <c r="L58" i="6"/>
  <c r="L49" i="6"/>
  <c r="L40" i="6"/>
  <c r="J31" i="22"/>
  <c r="J24" i="22"/>
  <c r="J23" i="22"/>
  <c r="J22" i="22"/>
  <c r="J21" i="22"/>
  <c r="J20" i="22"/>
  <c r="J19" i="22"/>
  <c r="J18" i="22"/>
  <c r="K17" i="22"/>
  <c r="J17" i="22" s="1"/>
  <c r="T10" i="22"/>
  <c r="K11" i="22" s="1"/>
  <c r="K26" i="22"/>
  <c r="J26" i="22" s="1"/>
  <c r="U31"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F14" i="95" a="1"/>
  <c r="F24" i="95" a="1"/>
  <c r="F34" i="95" a="1"/>
  <c r="F44" i="95" a="1"/>
  <c r="F54" i="95" a="1"/>
  <c r="F64" i="95" a="1"/>
  <c r="F74" i="95" a="1"/>
  <c r="F37" i="95" a="1"/>
  <c r="F67" i="95" a="1"/>
  <c r="F38" i="95" a="1"/>
  <c r="F49" i="95" a="1"/>
  <c r="F41" i="95" a="1"/>
  <c r="F62" i="95" a="1"/>
  <c r="F27" i="95" a="1"/>
  <c r="F18" i="95" a="1"/>
  <c r="F58" i="95" a="1"/>
  <c r="F19" i="95" a="1"/>
  <c r="F59" i="95" a="1"/>
  <c r="F69" i="95" a="1"/>
  <c r="F31" i="95" a="1"/>
  <c r="F32" i="95" a="1"/>
  <c r="F33" i="95" a="1"/>
  <c r="F15" i="95" a="1"/>
  <c r="F25" i="95" a="1"/>
  <c r="F35" i="95" a="1"/>
  <c r="F45" i="95" a="1"/>
  <c r="F55" i="95" a="1"/>
  <c r="F65" i="95" a="1"/>
  <c r="F17" i="95" a="1"/>
  <c r="F57" i="95" a="1"/>
  <c r="F48" i="95" a="1"/>
  <c r="F68" i="95" a="1"/>
  <c r="F39" i="95" a="1"/>
  <c r="F61" i="95" a="1"/>
  <c r="F42" i="95" a="1"/>
  <c r="F43" i="95" a="1"/>
  <c r="F16" i="95" a="1"/>
  <c r="F26" i="95" a="1"/>
  <c r="F36" i="95" a="1"/>
  <c r="F46" i="95" a="1"/>
  <c r="F56" i="95" a="1"/>
  <c r="F66" i="95" a="1"/>
  <c r="F47" i="95" a="1"/>
  <c r="F28" i="95" a="1"/>
  <c r="F29" i="95" a="1"/>
  <c r="F51" i="95" a="1"/>
  <c r="F52" i="95" a="1"/>
  <c r="F63" i="95" a="1"/>
  <c r="F20" i="95" a="1"/>
  <c r="F30" i="95" a="1"/>
  <c r="F40" i="95" a="1"/>
  <c r="F50" i="95" a="1"/>
  <c r="F60" i="95" a="1"/>
  <c r="F70" i="95" a="1"/>
  <c r="F21" i="95" a="1"/>
  <c r="F71" i="95" a="1"/>
  <c r="F22" i="95" a="1"/>
  <c r="F72" i="95" a="1"/>
  <c r="F23" i="95" a="1"/>
  <c r="F53" i="95" a="1"/>
  <c r="F73" i="95" a="1"/>
  <c r="E13" i="92"/>
  <c r="O30" i="22"/>
  <c r="F55" i="19" a="1"/>
  <c r="F52" i="19" a="1"/>
  <c r="F39" i="19" a="1"/>
  <c r="D13" i="94"/>
  <c r="D12" i="89"/>
  <c r="C11" i="88"/>
  <c r="E12" i="91"/>
  <c r="F37" i="19" a="1"/>
  <c r="D14" i="93"/>
  <c r="R12" i="22"/>
  <c r="F53" i="19" a="1"/>
  <c r="F56" i="19" a="1"/>
  <c r="C11" i="87"/>
  <c r="O27" i="22"/>
  <c r="D11" i="86"/>
  <c r="E11" i="94"/>
  <c r="E13" i="94"/>
  <c r="R17" i="22"/>
  <c r="F22" i="19" a="1"/>
  <c r="F34" i="19" a="1"/>
  <c r="E12" i="94"/>
  <c r="F28" i="19" a="1"/>
  <c r="E11" i="90"/>
  <c r="F63" i="19" a="1"/>
  <c r="D12" i="92"/>
  <c r="E16" i="93"/>
  <c r="F31" i="19" a="1"/>
  <c r="F35" i="19" a="1"/>
  <c r="D13" i="93"/>
  <c r="D11" i="90"/>
  <c r="E12" i="93"/>
  <c r="F18" i="19" a="1"/>
  <c r="D18" i="93"/>
  <c r="E11" i="93"/>
  <c r="O25" i="22"/>
  <c r="F65" i="19" a="1"/>
  <c r="F19" i="19" a="1"/>
  <c r="F41" i="19" a="1"/>
  <c r="C11" i="91"/>
  <c r="C11" i="93"/>
  <c r="L17" i="22"/>
  <c r="F16" i="19" a="1"/>
  <c r="F51" i="19" a="1"/>
  <c r="D20" i="93"/>
  <c r="D12" i="88"/>
  <c r="E11" i="91"/>
  <c r="F26" i="19" a="1"/>
  <c r="F57" i="19" a="1"/>
  <c r="C13" i="93"/>
  <c r="C13" i="94"/>
  <c r="D12" i="93"/>
  <c r="O29" i="22"/>
  <c r="D12" i="86"/>
  <c r="E12" i="87"/>
  <c r="D11" i="88"/>
  <c r="C14" i="93"/>
  <c r="C12" i="86"/>
  <c r="E11" i="89"/>
  <c r="D19" i="93"/>
  <c r="F24" i="19" a="1"/>
  <c r="C12" i="93"/>
  <c r="D12" i="94"/>
  <c r="E11" i="88"/>
  <c r="C14" i="92"/>
  <c r="F29" i="19" a="1"/>
  <c r="E18" i="93"/>
  <c r="D13" i="92"/>
  <c r="F25" i="19" a="1"/>
  <c r="F33" i="19" a="1"/>
  <c r="C11" i="92"/>
  <c r="F59" i="19" a="1"/>
  <c r="D11" i="94"/>
  <c r="O24" i="22"/>
  <c r="F47" i="19" a="1"/>
  <c r="C18" i="93"/>
  <c r="Q11" i="22"/>
  <c r="F68" i="19" a="1"/>
  <c r="F66" i="19" a="1"/>
  <c r="F20" i="19" a="1"/>
  <c r="F61" i="19" a="1"/>
  <c r="D12" i="87"/>
  <c r="F62" i="19" a="1"/>
  <c r="F58" i="19" a="1"/>
  <c r="D11" i="93"/>
  <c r="F32" i="19" a="1"/>
  <c r="C12" i="87"/>
  <c r="D17" i="93"/>
  <c r="C12" i="90"/>
  <c r="F50" i="19" a="1"/>
  <c r="L25" i="22"/>
  <c r="D16" i="93"/>
  <c r="F43" i="19" a="1"/>
  <c r="F15" i="19" a="1"/>
  <c r="E11" i="86"/>
  <c r="O26" i="22"/>
  <c r="F36" i="19" a="1"/>
  <c r="F23" i="19" a="1"/>
  <c r="F67" i="19" a="1"/>
  <c r="D15" i="93"/>
  <c r="D12" i="90"/>
  <c r="C12" i="91"/>
  <c r="E17" i="93"/>
  <c r="O18" i="22"/>
  <c r="F46" i="19" a="1"/>
  <c r="F42" i="19" a="1"/>
  <c r="D11" i="91"/>
  <c r="E15" i="93"/>
  <c r="C12" i="89"/>
  <c r="F21" i="19" a="1"/>
  <c r="E14" i="92"/>
  <c r="F48" i="19" a="1"/>
  <c r="E11" i="92"/>
  <c r="F30" i="19" a="1"/>
  <c r="C11" i="86"/>
  <c r="E11" i="87"/>
  <c r="F14" i="19" a="1"/>
  <c r="F40" i="19" a="1"/>
  <c r="C11" i="94"/>
  <c r="C16" i="93"/>
  <c r="E14" i="93"/>
  <c r="C19" i="93"/>
  <c r="F60" i="19" a="1"/>
  <c r="E19" i="93"/>
  <c r="D14" i="92"/>
  <c r="F54" i="19" a="1"/>
  <c r="D11" i="92"/>
  <c r="F17" i="19" a="1"/>
  <c r="D11" i="87"/>
  <c r="E13" i="93"/>
  <c r="C12" i="94"/>
  <c r="C12" i="92"/>
  <c r="E20" i="93"/>
  <c r="F38" i="19" a="1"/>
  <c r="F45" i="19" a="1"/>
  <c r="C11" i="90"/>
  <c r="O28" i="22"/>
  <c r="C11" i="89"/>
  <c r="C20" i="93"/>
  <c r="C12" i="88"/>
  <c r="F49" i="19" a="1"/>
  <c r="E12" i="92"/>
  <c r="F27" i="19" a="1"/>
  <c r="E12" i="89"/>
  <c r="D11" i="89"/>
  <c r="F44" i="19" a="1"/>
  <c r="E12" i="88"/>
  <c r="D12" i="91"/>
  <c r="C15" i="93"/>
  <c r="E12" i="90"/>
  <c r="F64" i="19" a="1"/>
  <c r="C17" i="93"/>
  <c r="E12" i="86"/>
  <c r="C13" i="92"/>
  <c r="O17" i="22"/>
  <c r="O23" i="22"/>
  <c r="F73" i="95" l="1"/>
  <c r="F53" i="95"/>
  <c r="F23" i="95"/>
  <c r="F72" i="95"/>
  <c r="F22" i="95"/>
  <c r="F71" i="95"/>
  <c r="F21" i="95"/>
  <c r="F70" i="95"/>
  <c r="F60" i="95"/>
  <c r="F50" i="95"/>
  <c r="F40" i="95"/>
  <c r="F30" i="95"/>
  <c r="F20" i="95"/>
  <c r="F63" i="95"/>
  <c r="F52" i="95"/>
  <c r="F51" i="95"/>
  <c r="F29" i="95"/>
  <c r="F28" i="95"/>
  <c r="F47" i="95"/>
  <c r="F66" i="95"/>
  <c r="F56" i="95"/>
  <c r="F46" i="95"/>
  <c r="F36" i="95"/>
  <c r="F26" i="95"/>
  <c r="F16" i="95"/>
  <c r="F43" i="95"/>
  <c r="F42" i="95"/>
  <c r="F61" i="95"/>
  <c r="F39" i="95"/>
  <c r="F68" i="95"/>
  <c r="F48" i="95"/>
  <c r="F57" i="95"/>
  <c r="F17" i="95"/>
  <c r="F65" i="95"/>
  <c r="F55" i="95"/>
  <c r="F45" i="95"/>
  <c r="F35" i="95"/>
  <c r="F25" i="95"/>
  <c r="F15" i="95"/>
  <c r="F33" i="95"/>
  <c r="F32" i="95"/>
  <c r="F31" i="95"/>
  <c r="F69" i="95"/>
  <c r="F59" i="95"/>
  <c r="F19" i="95"/>
  <c r="F58" i="95"/>
  <c r="F18" i="95"/>
  <c r="F27" i="95"/>
  <c r="F62" i="95"/>
  <c r="F41" i="95"/>
  <c r="F49" i="95"/>
  <c r="F38" i="95"/>
  <c r="F67" i="95"/>
  <c r="F37" i="95"/>
  <c r="F74" i="95"/>
  <c r="F64" i="95"/>
  <c r="F54" i="95"/>
  <c r="F44" i="95"/>
  <c r="F34" i="95"/>
  <c r="F24" i="95"/>
  <c r="F14" i="95"/>
  <c r="J70" i="95"/>
  <c r="J71" i="95" s="1"/>
  <c r="J54" i="95"/>
  <c r="J55" i="95" s="1"/>
  <c r="J30" i="95"/>
  <c r="J31" i="95" s="1"/>
  <c r="J42" i="95"/>
  <c r="J43" i="95" s="1"/>
  <c r="J16" i="95"/>
  <c r="J17" i="95" s="1"/>
  <c r="J62" i="95"/>
  <c r="J63" i="95" s="1"/>
  <c r="K57" i="95"/>
  <c r="F67" i="19"/>
  <c r="F57" i="19"/>
  <c r="F51" i="19"/>
  <c r="F41" i="19"/>
  <c r="F39" i="19"/>
  <c r="F47" i="19"/>
  <c r="F38" i="19"/>
  <c r="F33" i="19"/>
  <c r="F32" i="19"/>
  <c r="F63" i="19"/>
  <c r="F62" i="19"/>
  <c r="F28" i="19"/>
  <c r="F61" i="19"/>
  <c r="F27" i="19"/>
  <c r="F49" i="19"/>
  <c r="F22" i="19"/>
  <c r="F48" i="19"/>
  <c r="F21" i="19"/>
  <c r="F68" i="19"/>
  <c r="F42" i="19"/>
  <c r="F23" i="19"/>
  <c r="F53" i="19"/>
  <c r="F37" i="19"/>
  <c r="F19" i="19"/>
  <c r="F52" i="19"/>
  <c r="F18" i="19"/>
  <c r="F59" i="19"/>
  <c r="F31" i="19"/>
  <c r="F17" i="19"/>
  <c r="F58" i="19"/>
  <c r="F43" i="19"/>
  <c r="F29" i="19"/>
  <c r="F60" i="19"/>
  <c r="F50" i="19"/>
  <c r="F40" i="19"/>
  <c r="F30" i="19"/>
  <c r="F20" i="19"/>
  <c r="F66" i="19"/>
  <c r="F56" i="19"/>
  <c r="F46" i="19"/>
  <c r="F36" i="19"/>
  <c r="F26" i="19"/>
  <c r="F16" i="19"/>
  <c r="F65" i="19"/>
  <c r="F55" i="19"/>
  <c r="F45" i="19"/>
  <c r="F35" i="19"/>
  <c r="F25" i="19"/>
  <c r="F15" i="19"/>
  <c r="F64" i="19"/>
  <c r="F54" i="19"/>
  <c r="F44" i="19"/>
  <c r="F34" i="19"/>
  <c r="F24" i="19"/>
  <c r="F14" i="19"/>
  <c r="Y68" i="19"/>
  <c r="Z68" i="19"/>
  <c r="X48" i="19"/>
  <c r="P53" i="19"/>
  <c r="W52" i="19"/>
  <c r="AA66" i="19"/>
  <c r="O67" i="19"/>
  <c r="U53" i="19"/>
  <c r="V53" i="19"/>
  <c r="Z53" i="19"/>
  <c r="M58" i="19"/>
  <c r="X57" i="19"/>
  <c r="X20" i="19"/>
  <c r="M21" i="19"/>
  <c r="X21" i="19" s="1"/>
  <c r="O38" i="19"/>
  <c r="AA37" i="19"/>
  <c r="AA56" i="19"/>
  <c r="O57" i="19"/>
  <c r="Q15" i="19"/>
  <c r="Y14" i="19"/>
  <c r="S17" i="19"/>
  <c r="S18" i="19" s="1"/>
  <c r="S19" i="19" s="1"/>
  <c r="S20" i="19" s="1"/>
  <c r="S21" i="19" s="1"/>
  <c r="S22" i="19" s="1"/>
  <c r="S23" i="19" s="1"/>
  <c r="S24" i="19" s="1"/>
  <c r="S25" i="19" s="1"/>
  <c r="S26" i="19" s="1"/>
  <c r="S27" i="19" s="1"/>
  <c r="N17" i="19"/>
  <c r="J17" i="19"/>
  <c r="W39" i="19"/>
  <c r="P40" i="19"/>
  <c r="W40" i="19" s="1"/>
  <c r="M16" i="19"/>
  <c r="X15" i="19"/>
  <c r="M50" i="19"/>
  <c r="X49" i="19"/>
  <c r="Y53" i="19"/>
  <c r="Q57" i="19"/>
  <c r="Q58" i="19" s="1"/>
  <c r="Q59" i="19" s="1"/>
  <c r="Q60" i="19" s="1"/>
  <c r="Q61" i="19" s="1"/>
  <c r="Q62" i="19" s="1"/>
  <c r="N41" i="19"/>
  <c r="O45" i="19"/>
  <c r="AA44" i="19"/>
  <c r="AA15" i="19"/>
  <c r="O16" i="19"/>
  <c r="AA16" i="19" s="1"/>
  <c r="P22" i="19"/>
  <c r="W22" i="19" s="1"/>
  <c r="W21" i="19"/>
  <c r="X52" i="19"/>
  <c r="M53" i="19"/>
  <c r="Y67" i="19"/>
  <c r="X43" i="19"/>
  <c r="M44" i="19"/>
  <c r="O33" i="19"/>
  <c r="Q51" i="19"/>
  <c r="N59" i="19"/>
  <c r="W34" i="19"/>
  <c r="P35" i="19"/>
  <c r="P30" i="19"/>
  <c r="W29" i="19"/>
  <c r="O49" i="19"/>
  <c r="AA48" i="19"/>
  <c r="U47" i="19"/>
  <c r="Z47" i="19"/>
  <c r="V47" i="19"/>
  <c r="M29" i="19"/>
  <c r="X28" i="19"/>
  <c r="U52" i="19"/>
  <c r="V52" i="19"/>
  <c r="Y47" i="19"/>
  <c r="R51" i="19"/>
  <c r="X61" i="19"/>
  <c r="M62" i="19"/>
  <c r="X62" i="19" s="1"/>
  <c r="N63" i="19"/>
  <c r="Q43" i="19"/>
  <c r="S43" i="19"/>
  <c r="S44" i="19" s="1"/>
  <c r="S45" i="19" s="1"/>
  <c r="S46" i="19" s="1"/>
  <c r="S47" i="19" s="1"/>
  <c r="S48" i="19" s="1"/>
  <c r="S49" i="19" s="1"/>
  <c r="S50" i="19" s="1"/>
  <c r="S51" i="19" s="1"/>
  <c r="N43" i="19"/>
  <c r="X34" i="19"/>
  <c r="N22" i="19"/>
  <c r="N31" i="19"/>
  <c r="Q30" i="19"/>
  <c r="Y30" i="19" s="1"/>
  <c r="Q50" i="19"/>
  <c r="N50" i="19"/>
  <c r="N51" i="19" s="1"/>
  <c r="Q68" i="19"/>
  <c r="P16" i="19"/>
  <c r="Q49" i="19"/>
  <c r="Q29" i="19"/>
  <c r="N29" i="19"/>
  <c r="S29" i="19"/>
  <c r="R29" i="19"/>
  <c r="R30" i="19" s="1"/>
  <c r="J30" i="19"/>
  <c r="J31" i="19" s="1"/>
  <c r="S68" i="19"/>
  <c r="R68" i="19"/>
  <c r="U68" i="19" s="1"/>
  <c r="N48" i="19"/>
  <c r="U46" i="19"/>
  <c r="Y46" i="19"/>
  <c r="Z46" i="19"/>
  <c r="R48" i="19"/>
  <c r="R49" i="19" s="1"/>
  <c r="R50" i="19" s="1"/>
  <c r="P43" i="19"/>
  <c r="J29" i="19"/>
  <c r="Q67" i="19"/>
  <c r="V46" i="19"/>
  <c r="S30" i="19"/>
  <c r="S31" i="19" s="1"/>
  <c r="S32" i="19" s="1"/>
  <c r="S33" i="19" s="1"/>
  <c r="S34" i="19" s="1"/>
  <c r="S35" i="19" s="1"/>
  <c r="S36" i="19" s="1"/>
  <c r="S37" i="19" s="1"/>
  <c r="S38" i="19" s="1"/>
  <c r="S39" i="19" s="1"/>
  <c r="S40" i="19" s="1"/>
  <c r="S41" i="19" s="1"/>
  <c r="X67" i="19"/>
  <c r="M68" i="19"/>
  <c r="X68" i="19" s="1"/>
  <c r="O54" i="19"/>
  <c r="AA54" i="19" s="1"/>
  <c r="M37" i="19"/>
  <c r="N36" i="19"/>
  <c r="R16" i="19"/>
  <c r="N55" i="19"/>
  <c r="R55" i="19"/>
  <c r="R56" i="19" s="1"/>
  <c r="R57" i="19" s="1"/>
  <c r="R58" i="19" s="1"/>
  <c r="J55" i="19"/>
  <c r="J56" i="19" s="1"/>
  <c r="N35" i="19"/>
  <c r="R54" i="19"/>
  <c r="J54" i="19"/>
  <c r="S59" i="19"/>
  <c r="S60" i="19" s="1"/>
  <c r="S61" i="19" s="1"/>
  <c r="S62" i="19" s="1"/>
  <c r="S63" i="19" s="1"/>
  <c r="S64" i="19" s="1"/>
  <c r="S65" i="19" s="1"/>
  <c r="R15" i="19"/>
  <c r="AA17" i="22"/>
  <c r="K28" i="22"/>
  <c r="J28" i="22" s="1"/>
  <c r="AA18" i="22"/>
  <c r="AA23" i="22"/>
  <c r="AA27" i="22"/>
  <c r="K27" i="22"/>
  <c r="J27" i="22" s="1"/>
  <c r="AA25" i="22"/>
  <c r="AA29" i="22"/>
  <c r="Q18" i="22"/>
  <c r="S17" i="22"/>
  <c r="U2" i="22"/>
  <c r="R25" i="22"/>
  <c r="M17" i="22"/>
  <c r="L18" i="22"/>
  <c r="J18" i="95" l="1"/>
  <c r="J64" i="95"/>
  <c r="J56" i="95"/>
  <c r="J32" i="95"/>
  <c r="J44" i="95"/>
  <c r="J72" i="95"/>
  <c r="R59" i="19"/>
  <c r="R60" i="19" s="1"/>
  <c r="R61" i="19" s="1"/>
  <c r="R62" i="19" s="1"/>
  <c r="U58" i="19"/>
  <c r="V58" i="19"/>
  <c r="J57" i="19"/>
  <c r="J32" i="19"/>
  <c r="V51" i="19"/>
  <c r="Y51" i="19"/>
  <c r="Z51" i="19" s="1"/>
  <c r="U51" i="19"/>
  <c r="Y62" i="19"/>
  <c r="Q63" i="19"/>
  <c r="Q64" i="19" s="1"/>
  <c r="Q65" i="19" s="1"/>
  <c r="Q66" i="19" s="1"/>
  <c r="M30" i="19"/>
  <c r="X29" i="19"/>
  <c r="U55" i="19"/>
  <c r="V55" i="19"/>
  <c r="Y55" i="19"/>
  <c r="Z55" i="19" s="1"/>
  <c r="AA33" i="19"/>
  <c r="O34" i="19"/>
  <c r="AA34" i="19" s="1"/>
  <c r="U30" i="19"/>
  <c r="R31" i="19"/>
  <c r="R32" i="19" s="1"/>
  <c r="R33" i="19" s="1"/>
  <c r="R34" i="19" s="1"/>
  <c r="P31" i="19"/>
  <c r="W30" i="19"/>
  <c r="O39" i="19"/>
  <c r="AA39" i="19" s="1"/>
  <c r="AA38" i="19"/>
  <c r="V16" i="19"/>
  <c r="U16" i="19"/>
  <c r="AA57" i="19"/>
  <c r="O58" i="19"/>
  <c r="AA58" i="19" s="1"/>
  <c r="V68" i="19"/>
  <c r="N32" i="19"/>
  <c r="Z30" i="19"/>
  <c r="W16" i="19"/>
  <c r="P17" i="19"/>
  <c r="N42" i="19"/>
  <c r="O68" i="19"/>
  <c r="AA68" i="19" s="1"/>
  <c r="AA67" i="19"/>
  <c r="V48" i="19"/>
  <c r="N49" i="19"/>
  <c r="Y48" i="19"/>
  <c r="Z48" i="19" s="1"/>
  <c r="U48" i="19"/>
  <c r="O46" i="19"/>
  <c r="AA45" i="19"/>
  <c r="N18" i="19"/>
  <c r="X44" i="19"/>
  <c r="M45" i="19"/>
  <c r="W35" i="19"/>
  <c r="P36" i="19"/>
  <c r="W36" i="19" s="1"/>
  <c r="V29" i="19"/>
  <c r="Z29" i="19"/>
  <c r="U29" i="19"/>
  <c r="Y29" i="19"/>
  <c r="P44" i="19"/>
  <c r="W43" i="19"/>
  <c r="U15" i="19"/>
  <c r="V15" i="19"/>
  <c r="U54" i="19"/>
  <c r="V54" i="19"/>
  <c r="Z54" i="19"/>
  <c r="M51" i="19"/>
  <c r="X51" i="19" s="1"/>
  <c r="X50" i="19"/>
  <c r="Q16" i="19"/>
  <c r="Y15" i="19"/>
  <c r="R17" i="19"/>
  <c r="R18" i="19" s="1"/>
  <c r="R19" i="19" s="1"/>
  <c r="R20" i="19" s="1"/>
  <c r="O50" i="19"/>
  <c r="AA49" i="19"/>
  <c r="N56" i="19"/>
  <c r="N64" i="19"/>
  <c r="V30" i="19"/>
  <c r="V59" i="19"/>
  <c r="Z59" i="19"/>
  <c r="N60" i="19"/>
  <c r="Y59" i="19"/>
  <c r="Y58" i="19"/>
  <c r="Z58" i="19" s="1"/>
  <c r="P54" i="19"/>
  <c r="W53" i="19"/>
  <c r="V50" i="19"/>
  <c r="Y50" i="19"/>
  <c r="Z50" i="19" s="1"/>
  <c r="U50" i="19"/>
  <c r="J18" i="19"/>
  <c r="N44" i="19"/>
  <c r="Y43" i="19"/>
  <c r="Q31" i="19"/>
  <c r="Q32" i="19" s="1"/>
  <c r="Q33" i="19" s="1"/>
  <c r="Q34" i="19" s="1"/>
  <c r="N23" i="19"/>
  <c r="N37" i="19"/>
  <c r="X58" i="19"/>
  <c r="M59" i="19"/>
  <c r="X59" i="19" s="1"/>
  <c r="X53" i="19"/>
  <c r="M54" i="19"/>
  <c r="X37" i="19"/>
  <c r="M38" i="19"/>
  <c r="X38" i="19" s="1"/>
  <c r="M17" i="19"/>
  <c r="X17" i="19" s="1"/>
  <c r="X16" i="19"/>
  <c r="Q29" i="22"/>
  <c r="R18" i="22"/>
  <c r="S25" i="22"/>
  <c r="Y17" i="22"/>
  <c r="T17" i="22"/>
  <c r="M25" i="22"/>
  <c r="M18" i="22"/>
  <c r="L29" i="22"/>
  <c r="J45" i="95" l="1"/>
  <c r="J57" i="95"/>
  <c r="K56" i="95" s="1"/>
  <c r="I56" i="95" s="1"/>
  <c r="J19" i="95"/>
  <c r="J73" i="95"/>
  <c r="J33" i="95"/>
  <c r="J65" i="95"/>
  <c r="U34" i="19"/>
  <c r="V34" i="19"/>
  <c r="R35" i="19"/>
  <c r="J33" i="19"/>
  <c r="Y34" i="19"/>
  <c r="Z34" i="19" s="1"/>
  <c r="Q35" i="19"/>
  <c r="P45" i="19"/>
  <c r="W44" i="19"/>
  <c r="U44" i="19"/>
  <c r="Y44" i="19"/>
  <c r="V44" i="19"/>
  <c r="Z44" i="19"/>
  <c r="N45" i="19"/>
  <c r="M31" i="19"/>
  <c r="X31" i="19" s="1"/>
  <c r="X30" i="19"/>
  <c r="Y64" i="19"/>
  <c r="N65" i="19"/>
  <c r="Y63" i="19"/>
  <c r="U56" i="19"/>
  <c r="V56" i="19"/>
  <c r="Y56" i="19"/>
  <c r="Z56" i="19"/>
  <c r="N57" i="19"/>
  <c r="P18" i="19"/>
  <c r="W18" i="19" s="1"/>
  <c r="W17" i="19"/>
  <c r="O51" i="19"/>
  <c r="AA51" i="19" s="1"/>
  <c r="AA50" i="19"/>
  <c r="M46" i="19"/>
  <c r="X46" i="19" s="1"/>
  <c r="X45" i="19"/>
  <c r="P32" i="19"/>
  <c r="W32" i="19" s="1"/>
  <c r="W31" i="19"/>
  <c r="X54" i="19"/>
  <c r="M55" i="19"/>
  <c r="X55" i="19" s="1"/>
  <c r="U31" i="19"/>
  <c r="U17" i="19"/>
  <c r="Y31" i="19"/>
  <c r="Z31" i="19" s="1"/>
  <c r="Y16" i="19"/>
  <c r="Z16" i="19" s="1"/>
  <c r="Q17" i="19"/>
  <c r="Y32" i="19"/>
  <c r="V32" i="19"/>
  <c r="Z32" i="19"/>
  <c r="U32" i="19"/>
  <c r="N33" i="19"/>
  <c r="J58" i="19"/>
  <c r="W54" i="19"/>
  <c r="P55" i="19"/>
  <c r="U18" i="19"/>
  <c r="V18" i="19"/>
  <c r="N19" i="19"/>
  <c r="V31" i="19"/>
  <c r="V17" i="19"/>
  <c r="N24" i="19"/>
  <c r="U59" i="19"/>
  <c r="V49" i="19"/>
  <c r="U49" i="19"/>
  <c r="Y49" i="19"/>
  <c r="Z49" i="19" s="1"/>
  <c r="J19" i="19"/>
  <c r="R21" i="19"/>
  <c r="V20" i="19"/>
  <c r="U20" i="19"/>
  <c r="V60" i="19"/>
  <c r="U60" i="19"/>
  <c r="Y60" i="19"/>
  <c r="Z60" i="19" s="1"/>
  <c r="N61" i="19"/>
  <c r="AA46" i="19"/>
  <c r="O47" i="19"/>
  <c r="AA47" i="19" s="1"/>
  <c r="Z62" i="19"/>
  <c r="V62" i="19"/>
  <c r="R63" i="19"/>
  <c r="U62" i="19"/>
  <c r="Y25" i="22"/>
  <c r="Y18" i="22"/>
  <c r="Q19" i="22"/>
  <c r="S18" i="22"/>
  <c r="V17" i="22"/>
  <c r="AB17" i="22" s="1"/>
  <c r="P452" i="21"/>
  <c r="R29" i="22"/>
  <c r="T18" i="22"/>
  <c r="L19" i="22"/>
  <c r="J20" i="95" l="1"/>
  <c r="J66" i="95"/>
  <c r="J34" i="95"/>
  <c r="J74" i="95"/>
  <c r="K55" i="95"/>
  <c r="J46" i="95"/>
  <c r="Y57" i="19"/>
  <c r="U57" i="19"/>
  <c r="Z57" i="19"/>
  <c r="V57" i="19"/>
  <c r="W55" i="19"/>
  <c r="P56" i="19"/>
  <c r="W56" i="19" s="1"/>
  <c r="Q36" i="19"/>
  <c r="Y35" i="19"/>
  <c r="Y61" i="19"/>
  <c r="Z61" i="19"/>
  <c r="U61" i="19"/>
  <c r="V61" i="19"/>
  <c r="R36" i="19"/>
  <c r="V35" i="19"/>
  <c r="Z35" i="19"/>
  <c r="U35" i="19"/>
  <c r="U19" i="19"/>
  <c r="V19" i="19"/>
  <c r="J20" i="19"/>
  <c r="J59" i="19"/>
  <c r="P46" i="19"/>
  <c r="W45" i="19"/>
  <c r="J34" i="19"/>
  <c r="Q18" i="19"/>
  <c r="Y17" i="19"/>
  <c r="Z17" i="19" s="1"/>
  <c r="Y65" i="19"/>
  <c r="N66" i="19"/>
  <c r="R22" i="19"/>
  <c r="U21" i="19"/>
  <c r="V21" i="19"/>
  <c r="U45" i="19"/>
  <c r="Y45" i="19"/>
  <c r="Z45" i="19"/>
  <c r="V45" i="19"/>
  <c r="R64" i="19"/>
  <c r="V63" i="19"/>
  <c r="Z63" i="19"/>
  <c r="U63" i="19"/>
  <c r="Y33" i="19"/>
  <c r="V33" i="19"/>
  <c r="Z33" i="19"/>
  <c r="U33" i="19"/>
  <c r="Q30" i="22"/>
  <c r="S29" i="22"/>
  <c r="V18" i="22"/>
  <c r="X18" i="22" s="1"/>
  <c r="W19" i="22" s="1"/>
  <c r="R19" i="22"/>
  <c r="Q20" i="22" s="1"/>
  <c r="AC17" i="22"/>
  <c r="X17" i="22"/>
  <c r="L20" i="22"/>
  <c r="M19" i="22"/>
  <c r="M29" i="22"/>
  <c r="J67" i="95" l="1"/>
  <c r="J47" i="95"/>
  <c r="K74" i="95"/>
  <c r="K73" i="95"/>
  <c r="I55" i="95"/>
  <c r="K54" i="95"/>
  <c r="J35" i="95"/>
  <c r="J21" i="95"/>
  <c r="Q19" i="19"/>
  <c r="Y18" i="19"/>
  <c r="Z18" i="19" s="1"/>
  <c r="R23" i="19"/>
  <c r="V22" i="19"/>
  <c r="U22" i="19"/>
  <c r="Y66" i="19"/>
  <c r="J35" i="19"/>
  <c r="Q37" i="19"/>
  <c r="Y36" i="19"/>
  <c r="Z36" i="19" s="1"/>
  <c r="P47" i="19"/>
  <c r="W46" i="19"/>
  <c r="J21" i="19"/>
  <c r="R37" i="19"/>
  <c r="V36" i="19"/>
  <c r="U36" i="19"/>
  <c r="R65" i="19"/>
  <c r="V64" i="19"/>
  <c r="U64" i="19"/>
  <c r="Z64" i="19"/>
  <c r="J60" i="19"/>
  <c r="Y29" i="22"/>
  <c r="S19" i="22"/>
  <c r="AB18" i="22"/>
  <c r="AC18" i="22"/>
  <c r="R20" i="22"/>
  <c r="Q21" i="22" s="1"/>
  <c r="Y19" i="22"/>
  <c r="AO288" i="21"/>
  <c r="AN288" i="21"/>
  <c r="AP288" i="21"/>
  <c r="L30" i="22"/>
  <c r="T19" i="22"/>
  <c r="R30" i="22"/>
  <c r="L21" i="22"/>
  <c r="J36" i="95" l="1"/>
  <c r="I73" i="95"/>
  <c r="K72" i="95"/>
  <c r="I54" i="95"/>
  <c r="K53" i="95"/>
  <c r="J22" i="95"/>
  <c r="J48" i="95"/>
  <c r="J68" i="95"/>
  <c r="J22" i="19"/>
  <c r="P48" i="19"/>
  <c r="W48" i="19" s="1"/>
  <c r="W47" i="19"/>
  <c r="Q38" i="19"/>
  <c r="Y37" i="19"/>
  <c r="R24" i="19"/>
  <c r="U23" i="19"/>
  <c r="V23" i="19"/>
  <c r="J36" i="19"/>
  <c r="J61" i="19"/>
  <c r="R38" i="19"/>
  <c r="Z37" i="19"/>
  <c r="V37" i="19"/>
  <c r="U37" i="19"/>
  <c r="R66" i="19"/>
  <c r="U65" i="19"/>
  <c r="V65" i="19"/>
  <c r="Z65" i="19"/>
  <c r="Q20" i="19"/>
  <c r="Y19" i="19"/>
  <c r="Z19" i="19" s="1"/>
  <c r="S30" i="22"/>
  <c r="R21" i="22"/>
  <c r="Q22" i="22" s="1"/>
  <c r="V19" i="22"/>
  <c r="AC19" i="22" s="1"/>
  <c r="M30" i="22"/>
  <c r="L22" i="22"/>
  <c r="J23" i="95" l="1"/>
  <c r="I53" i="95"/>
  <c r="K52" i="95"/>
  <c r="J49" i="95"/>
  <c r="K67" i="95"/>
  <c r="K68" i="95"/>
  <c r="I68" i="95" s="1"/>
  <c r="I72" i="95"/>
  <c r="K71" i="95"/>
  <c r="J37" i="95"/>
  <c r="V38" i="19"/>
  <c r="U38" i="19"/>
  <c r="R39" i="19"/>
  <c r="J37" i="19"/>
  <c r="R67" i="19"/>
  <c r="U66" i="19"/>
  <c r="V66" i="19"/>
  <c r="Z66" i="19"/>
  <c r="J23" i="19"/>
  <c r="J62" i="19"/>
  <c r="R25" i="19"/>
  <c r="U24" i="19"/>
  <c r="V24" i="19"/>
  <c r="Y38" i="19"/>
  <c r="Z38" i="19" s="1"/>
  <c r="Q39" i="19"/>
  <c r="Y20" i="19"/>
  <c r="Z20" i="19" s="1"/>
  <c r="Q21" i="19"/>
  <c r="Y30" i="22"/>
  <c r="X19" i="22"/>
  <c r="AB19" i="22"/>
  <c r="K36" i="95" l="1"/>
  <c r="J38" i="95"/>
  <c r="I67" i="95"/>
  <c r="K66" i="95"/>
  <c r="I71" i="95"/>
  <c r="K70" i="95"/>
  <c r="J50" i="95"/>
  <c r="I52" i="95"/>
  <c r="H52" i="95"/>
  <c r="H53" i="95" s="1"/>
  <c r="H54" i="95" s="1"/>
  <c r="H55" i="95" s="1"/>
  <c r="H56" i="95" s="1"/>
  <c r="H57" i="95" s="1"/>
  <c r="K51" i="95"/>
  <c r="I51" i="95" s="1"/>
  <c r="J24" i="95"/>
  <c r="Y39" i="19"/>
  <c r="Q40" i="19"/>
  <c r="R26" i="19"/>
  <c r="V25" i="19"/>
  <c r="U25" i="19"/>
  <c r="J38" i="19"/>
  <c r="R40" i="19"/>
  <c r="V39" i="19"/>
  <c r="Z39" i="19"/>
  <c r="U39" i="19"/>
  <c r="J63" i="19"/>
  <c r="K61" i="19"/>
  <c r="J24" i="19"/>
  <c r="U67" i="19"/>
  <c r="Z67" i="19"/>
  <c r="V67" i="19"/>
  <c r="Q22" i="19"/>
  <c r="Y21" i="19"/>
  <c r="Z21" i="19" s="1"/>
  <c r="W20" i="22"/>
  <c r="J39" i="95" l="1"/>
  <c r="J25" i="95"/>
  <c r="K23" i="95"/>
  <c r="K49" i="95"/>
  <c r="K50" i="95"/>
  <c r="I50" i="95" s="1"/>
  <c r="I70" i="95"/>
  <c r="K69" i="95"/>
  <c r="I69" i="95" s="1"/>
  <c r="H70" i="95"/>
  <c r="H71" i="95" s="1"/>
  <c r="H72" i="95" s="1"/>
  <c r="H73" i="95" s="1"/>
  <c r="H74" i="95" s="1"/>
  <c r="I66" i="95"/>
  <c r="K65" i="95"/>
  <c r="I36" i="95"/>
  <c r="K35" i="95"/>
  <c r="I61" i="19"/>
  <c r="K60" i="19"/>
  <c r="R27" i="19"/>
  <c r="V26" i="19"/>
  <c r="U26" i="19"/>
  <c r="J64" i="19"/>
  <c r="U40" i="19"/>
  <c r="V40" i="19"/>
  <c r="R41" i="19"/>
  <c r="Q23" i="19"/>
  <c r="Y22" i="19"/>
  <c r="Z22" i="19" s="1"/>
  <c r="J25" i="19"/>
  <c r="K23" i="19"/>
  <c r="K37" i="19"/>
  <c r="J39" i="19"/>
  <c r="Y40" i="19"/>
  <c r="Z40" i="19" s="1"/>
  <c r="Q41" i="19"/>
  <c r="S20" i="22"/>
  <c r="M20" i="22"/>
  <c r="I35" i="95" l="1"/>
  <c r="K34" i="95"/>
  <c r="I65" i="95"/>
  <c r="K64" i="95"/>
  <c r="I49" i="95"/>
  <c r="K48" i="95"/>
  <c r="I23" i="95"/>
  <c r="K22" i="95"/>
  <c r="J26" i="95"/>
  <c r="K39" i="95"/>
  <c r="I39" i="95" s="1"/>
  <c r="J40" i="19"/>
  <c r="I23" i="19"/>
  <c r="K22" i="19"/>
  <c r="R42" i="19"/>
  <c r="U41" i="19"/>
  <c r="V41" i="19"/>
  <c r="J65" i="19"/>
  <c r="J26" i="19"/>
  <c r="U27" i="19"/>
  <c r="V27" i="19"/>
  <c r="Q42" i="19"/>
  <c r="Y42" i="19" s="1"/>
  <c r="Y41" i="19"/>
  <c r="Z41" i="19" s="1"/>
  <c r="I37" i="19"/>
  <c r="K36" i="19"/>
  <c r="Q24" i="19"/>
  <c r="Y23" i="19"/>
  <c r="Z23" i="19" s="1"/>
  <c r="I60" i="19"/>
  <c r="K59" i="19"/>
  <c r="Y20" i="22"/>
  <c r="T20" i="22"/>
  <c r="K26" i="95" l="1"/>
  <c r="I26" i="95" s="1"/>
  <c r="K25" i="95"/>
  <c r="K38" i="95"/>
  <c r="I22" i="95"/>
  <c r="K21" i="95"/>
  <c r="I48" i="95"/>
  <c r="K47" i="95"/>
  <c r="I64" i="95"/>
  <c r="K63" i="95"/>
  <c r="I34" i="95"/>
  <c r="K33" i="95"/>
  <c r="Q25" i="19"/>
  <c r="Y24" i="19"/>
  <c r="Z24" i="19" s="1"/>
  <c r="I36" i="19"/>
  <c r="K35" i="19"/>
  <c r="J66" i="19"/>
  <c r="R43" i="19"/>
  <c r="U42" i="19"/>
  <c r="V42" i="19"/>
  <c r="Z42" i="19"/>
  <c r="I59" i="19"/>
  <c r="K58" i="19"/>
  <c r="J27" i="19"/>
  <c r="I22" i="19"/>
  <c r="K21" i="19"/>
  <c r="J41" i="19"/>
  <c r="V20" i="22"/>
  <c r="AB20" i="22" s="1"/>
  <c r="I21" i="95" l="1"/>
  <c r="K20" i="95"/>
  <c r="I25" i="95"/>
  <c r="K24" i="95"/>
  <c r="I24" i="95" s="1"/>
  <c r="I33" i="95"/>
  <c r="K32" i="95"/>
  <c r="I63" i="95"/>
  <c r="K62" i="95"/>
  <c r="I47" i="95"/>
  <c r="K46" i="95"/>
  <c r="I38" i="95"/>
  <c r="K37" i="95"/>
  <c r="I37" i="95" s="1"/>
  <c r="J67" i="19"/>
  <c r="K27" i="19"/>
  <c r="I27" i="19" s="1"/>
  <c r="Z43" i="19"/>
  <c r="U43" i="19"/>
  <c r="V43" i="19"/>
  <c r="I35" i="19"/>
  <c r="K34" i="19"/>
  <c r="J42" i="19"/>
  <c r="I21" i="19"/>
  <c r="K20" i="19"/>
  <c r="I58" i="19"/>
  <c r="K57" i="19"/>
  <c r="Q26" i="19"/>
  <c r="Y25" i="19"/>
  <c r="Z25" i="19" s="1"/>
  <c r="X20" i="22"/>
  <c r="W21" i="22" s="1"/>
  <c r="AC20" i="22"/>
  <c r="M21" i="22"/>
  <c r="I46" i="95" l="1"/>
  <c r="K45" i="95"/>
  <c r="I62" i="95"/>
  <c r="K61" i="95"/>
  <c r="I32" i="95"/>
  <c r="K31" i="95"/>
  <c r="I20" i="95"/>
  <c r="K19" i="95"/>
  <c r="Q27" i="19"/>
  <c r="Y27" i="19" s="1"/>
  <c r="Z27" i="19" s="1"/>
  <c r="Y26" i="19"/>
  <c r="Z26" i="19" s="1"/>
  <c r="J43" i="19"/>
  <c r="I34" i="19"/>
  <c r="K33" i="19"/>
  <c r="J68" i="19"/>
  <c r="I57" i="19"/>
  <c r="K56" i="19"/>
  <c r="I20" i="19"/>
  <c r="K19" i="19"/>
  <c r="K26" i="19"/>
  <c r="Y21" i="22"/>
  <c r="S21" i="22"/>
  <c r="T21" i="22"/>
  <c r="I61" i="95" l="1"/>
  <c r="K60" i="95"/>
  <c r="I19" i="95"/>
  <c r="K18" i="95"/>
  <c r="I31" i="95"/>
  <c r="K30" i="95"/>
  <c r="I45" i="95"/>
  <c r="K44" i="95"/>
  <c r="K68" i="19"/>
  <c r="K67" i="19" s="1"/>
  <c r="I26" i="19"/>
  <c r="K25" i="19"/>
  <c r="I19" i="19"/>
  <c r="K18" i="19"/>
  <c r="I33" i="19"/>
  <c r="K32" i="19"/>
  <c r="J44" i="19"/>
  <c r="I56" i="19"/>
  <c r="K55" i="19"/>
  <c r="V21" i="22"/>
  <c r="I44" i="95" l="1"/>
  <c r="K43" i="95"/>
  <c r="I60" i="95"/>
  <c r="K59" i="95"/>
  <c r="I30" i="95"/>
  <c r="K29" i="95"/>
  <c r="I18" i="95"/>
  <c r="K17" i="95"/>
  <c r="I67" i="19"/>
  <c r="K66" i="19"/>
  <c r="I55" i="19"/>
  <c r="K54" i="19"/>
  <c r="I25" i="19"/>
  <c r="K24" i="19"/>
  <c r="J45" i="19"/>
  <c r="I32" i="19"/>
  <c r="K31" i="19"/>
  <c r="I18" i="19"/>
  <c r="K17" i="19"/>
  <c r="AC21" i="22"/>
  <c r="AB21" i="22"/>
  <c r="X21" i="22"/>
  <c r="W22" i="22" s="1"/>
  <c r="R22" i="22"/>
  <c r="I29" i="95" l="1"/>
  <c r="K28" i="95"/>
  <c r="I59" i="95"/>
  <c r="H59" i="95"/>
  <c r="H60" i="95" s="1"/>
  <c r="H61" i="95" s="1"/>
  <c r="H62" i="95" s="1"/>
  <c r="H63" i="95" s="1"/>
  <c r="H64" i="95" s="1"/>
  <c r="H65" i="95" s="1"/>
  <c r="H66" i="95" s="1"/>
  <c r="H67" i="95" s="1"/>
  <c r="H68" i="95" s="1"/>
  <c r="K58" i="95"/>
  <c r="I58" i="95" s="1"/>
  <c r="I43" i="95"/>
  <c r="K42" i="95"/>
  <c r="I17" i="95"/>
  <c r="K16" i="95"/>
  <c r="I17" i="19"/>
  <c r="K16" i="19"/>
  <c r="K44" i="19"/>
  <c r="J46" i="19"/>
  <c r="I31" i="19"/>
  <c r="K30" i="19"/>
  <c r="I24" i="19"/>
  <c r="I54" i="19"/>
  <c r="K53" i="19"/>
  <c r="I66" i="19"/>
  <c r="K65" i="19"/>
  <c r="Q23" i="22"/>
  <c r="S22" i="22"/>
  <c r="R23" i="22"/>
  <c r="M22" i="22"/>
  <c r="I16" i="95" l="1"/>
  <c r="K15" i="95"/>
  <c r="I42" i="95"/>
  <c r="K41" i="95"/>
  <c r="H28" i="95"/>
  <c r="H29" i="95" s="1"/>
  <c r="H30" i="95" s="1"/>
  <c r="H31" i="95" s="1"/>
  <c r="H32" i="95" s="1"/>
  <c r="H33" i="95" s="1"/>
  <c r="H34" i="95" s="1"/>
  <c r="H35" i="95" s="1"/>
  <c r="H36" i="95" s="1"/>
  <c r="H37" i="95" s="1"/>
  <c r="H38" i="95" s="1"/>
  <c r="H39" i="95" s="1"/>
  <c r="I28" i="95"/>
  <c r="K27" i="95"/>
  <c r="I27" i="95" s="1"/>
  <c r="I65" i="19"/>
  <c r="K64" i="19"/>
  <c r="I16" i="19"/>
  <c r="K15" i="19"/>
  <c r="I53" i="19"/>
  <c r="K52" i="19"/>
  <c r="I52" i="19" s="1"/>
  <c r="I30" i="19"/>
  <c r="K29" i="19"/>
  <c r="J47" i="19"/>
  <c r="I44" i="19"/>
  <c r="K43" i="19"/>
  <c r="Q24" i="22"/>
  <c r="S23" i="22"/>
  <c r="Y22" i="22"/>
  <c r="L23" i="22"/>
  <c r="M23" i="22"/>
  <c r="T22" i="22"/>
  <c r="R24" i="22"/>
  <c r="I41" i="95" l="1"/>
  <c r="K40" i="95"/>
  <c r="I40" i="95" s="1"/>
  <c r="H15" i="95"/>
  <c r="H16" i="95" s="1"/>
  <c r="H17" i="95" s="1"/>
  <c r="H18" i="95" s="1"/>
  <c r="H19" i="95" s="1"/>
  <c r="H20" i="95" s="1"/>
  <c r="H21" i="95" s="1"/>
  <c r="H22" i="95" s="1"/>
  <c r="H23" i="95" s="1"/>
  <c r="H24" i="95" s="1"/>
  <c r="H25" i="95" s="1"/>
  <c r="H26" i="95" s="1"/>
  <c r="I15" i="95"/>
  <c r="K14" i="95"/>
  <c r="I14" i="95" s="1"/>
  <c r="J48" i="19"/>
  <c r="H53" i="19"/>
  <c r="H54" i="19" s="1"/>
  <c r="H55" i="19" s="1"/>
  <c r="H56" i="19" s="1"/>
  <c r="H57" i="19" s="1"/>
  <c r="H58" i="19" s="1"/>
  <c r="H59" i="19" s="1"/>
  <c r="H60" i="19" s="1"/>
  <c r="H61" i="19" s="1"/>
  <c r="I15" i="19"/>
  <c r="K14" i="19"/>
  <c r="I14" i="19" s="1"/>
  <c r="H15" i="19"/>
  <c r="H16" i="19" s="1"/>
  <c r="H17" i="19" s="1"/>
  <c r="H18" i="19" s="1"/>
  <c r="H19" i="19" s="1"/>
  <c r="H20" i="19" s="1"/>
  <c r="H21" i="19" s="1"/>
  <c r="H22" i="19" s="1"/>
  <c r="H23" i="19" s="1"/>
  <c r="H24" i="19" s="1"/>
  <c r="H25" i="19" s="1"/>
  <c r="H26" i="19" s="1"/>
  <c r="H27" i="19" s="1"/>
  <c r="I64" i="19"/>
  <c r="K63" i="19"/>
  <c r="I43" i="19"/>
  <c r="K42" i="19"/>
  <c r="I29" i="19"/>
  <c r="K28" i="19"/>
  <c r="I28" i="19" s="1"/>
  <c r="Y23" i="22"/>
  <c r="Q26" i="22"/>
  <c r="S24" i="22"/>
  <c r="V22" i="22"/>
  <c r="X22" i="22" s="1"/>
  <c r="L24" i="22"/>
  <c r="M24" i="22"/>
  <c r="L26" i="22"/>
  <c r="T23" i="22"/>
  <c r="H41" i="95" l="1"/>
  <c r="H42" i="95" s="1"/>
  <c r="H43" i="95" s="1"/>
  <c r="H44" i="95" s="1"/>
  <c r="H45" i="95" s="1"/>
  <c r="H46" i="95" s="1"/>
  <c r="H47" i="95" s="1"/>
  <c r="H48" i="95" s="1"/>
  <c r="H49" i="95" s="1"/>
  <c r="H50" i="95" s="1"/>
  <c r="J49" i="19"/>
  <c r="H29" i="19"/>
  <c r="H30" i="19" s="1"/>
  <c r="H31" i="19" s="1"/>
  <c r="H32" i="19" s="1"/>
  <c r="H33" i="19" s="1"/>
  <c r="H34" i="19" s="1"/>
  <c r="H35" i="19" s="1"/>
  <c r="H36" i="19" s="1"/>
  <c r="H37" i="19" s="1"/>
  <c r="I42" i="19"/>
  <c r="K41" i="19"/>
  <c r="I63" i="19"/>
  <c r="K62" i="19"/>
  <c r="I62" i="19" s="1"/>
  <c r="V23" i="22"/>
  <c r="AB23" i="22" s="1"/>
  <c r="Y24" i="22"/>
  <c r="AB22" i="22"/>
  <c r="AC22" i="22"/>
  <c r="AU6" i="19"/>
  <c r="AR3" i="19"/>
  <c r="AJ4" i="19"/>
  <c r="AC7" i="19"/>
  <c r="AD6" i="19"/>
  <c r="AF5" i="19"/>
  <c r="AS7" i="19"/>
  <c r="BG3" i="19"/>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R26" i="22"/>
  <c r="T24" i="22"/>
  <c r="BG36" i="19" l="1"/>
  <c r="BG14" i="19"/>
  <c r="BG37" i="19"/>
  <c r="BG15" i="19"/>
  <c r="BG67" i="19"/>
  <c r="BG17" i="19"/>
  <c r="BG28" i="19"/>
  <c r="AD24" i="19"/>
  <c r="AD44" i="19"/>
  <c r="AD64" i="19"/>
  <c r="AD25" i="19"/>
  <c r="AD45" i="19"/>
  <c r="AD65" i="19"/>
  <c r="AD26" i="19"/>
  <c r="AD46" i="19"/>
  <c r="AD66" i="19"/>
  <c r="AD27" i="19"/>
  <c r="AD50" i="19"/>
  <c r="AD28" i="19"/>
  <c r="AD51" i="19"/>
  <c r="AD20" i="19"/>
  <c r="AD48" i="19"/>
  <c r="AD21" i="19"/>
  <c r="AD49" i="19"/>
  <c r="AD22" i="19"/>
  <c r="AD52" i="19"/>
  <c r="AD36" i="19"/>
  <c r="AD61" i="19"/>
  <c r="AD34" i="19"/>
  <c r="AD67" i="19"/>
  <c r="AD35" i="19"/>
  <c r="AD68" i="19"/>
  <c r="AD37" i="19"/>
  <c r="AD38" i="19"/>
  <c r="AD41" i="19"/>
  <c r="AD42" i="19"/>
  <c r="AD43" i="19"/>
  <c r="AD47" i="19"/>
  <c r="AD53" i="19"/>
  <c r="AD19" i="19"/>
  <c r="AD60" i="19"/>
  <c r="AD29" i="19"/>
  <c r="AD39" i="19"/>
  <c r="AD30" i="19"/>
  <c r="AD33" i="19"/>
  <c r="AD31" i="19"/>
  <c r="AD32" i="19"/>
  <c r="AD55" i="19"/>
  <c r="AD56" i="19"/>
  <c r="AD57" i="19"/>
  <c r="AD58" i="19"/>
  <c r="AD59" i="19"/>
  <c r="AD15" i="19"/>
  <c r="AD18" i="19"/>
  <c r="AD62" i="19"/>
  <c r="AD16" i="19"/>
  <c r="AD40" i="19"/>
  <c r="AD54" i="19"/>
  <c r="AD17" i="19"/>
  <c r="AD23" i="19"/>
  <c r="AD63" i="19"/>
  <c r="AD14" i="19"/>
  <c r="AR26" i="19"/>
  <c r="AR46" i="19"/>
  <c r="AR66" i="19"/>
  <c r="AR27" i="19"/>
  <c r="AR47" i="19"/>
  <c r="AR67" i="19"/>
  <c r="AR32" i="19"/>
  <c r="AR54" i="19"/>
  <c r="AR33" i="19"/>
  <c r="AR55" i="19"/>
  <c r="AR21" i="19"/>
  <c r="AR43" i="19"/>
  <c r="AR65" i="19"/>
  <c r="AR38" i="19"/>
  <c r="AR63" i="19"/>
  <c r="AR14" i="19"/>
  <c r="AR39" i="19"/>
  <c r="AR64" i="19"/>
  <c r="AR15" i="19"/>
  <c r="AR40" i="19"/>
  <c r="AR68" i="19"/>
  <c r="AR31" i="19"/>
  <c r="AR61" i="19"/>
  <c r="AR34" i="19"/>
  <c r="AR62" i="19"/>
  <c r="AR35" i="19"/>
  <c r="AR36" i="19"/>
  <c r="AR37" i="19"/>
  <c r="AR51" i="19"/>
  <c r="AR16" i="19"/>
  <c r="AR52" i="19"/>
  <c r="AR53" i="19"/>
  <c r="AR57" i="19"/>
  <c r="AR17" i="19"/>
  <c r="AR18" i="19"/>
  <c r="AR56" i="19"/>
  <c r="AR19" i="19"/>
  <c r="AR24" i="19"/>
  <c r="AR28" i="19"/>
  <c r="AR29" i="19"/>
  <c r="AR30" i="19"/>
  <c r="AR60" i="19"/>
  <c r="AR20" i="19"/>
  <c r="AR22" i="19"/>
  <c r="AR25" i="19"/>
  <c r="AR23" i="19"/>
  <c r="AR41" i="19"/>
  <c r="AR48" i="19"/>
  <c r="AR49" i="19"/>
  <c r="AR50" i="19"/>
  <c r="AR58" i="19"/>
  <c r="AR42" i="19"/>
  <c r="AR44" i="19"/>
  <c r="AR45" i="19"/>
  <c r="AR59" i="19"/>
  <c r="AX3" i="19"/>
  <c r="J50" i="19"/>
  <c r="AJ14" i="19"/>
  <c r="AJ34" i="19"/>
  <c r="AJ54" i="19"/>
  <c r="AJ15" i="19"/>
  <c r="AJ35" i="19"/>
  <c r="AJ55" i="19"/>
  <c r="AJ16" i="19"/>
  <c r="AJ36" i="19"/>
  <c r="AJ56" i="19"/>
  <c r="AJ25" i="19"/>
  <c r="AJ48" i="19"/>
  <c r="AJ26" i="19"/>
  <c r="AJ49" i="19"/>
  <c r="AJ31" i="19"/>
  <c r="AJ59" i="19"/>
  <c r="AJ32" i="19"/>
  <c r="AJ60" i="19"/>
  <c r="AJ20" i="19"/>
  <c r="AJ45" i="19"/>
  <c r="AJ18" i="19"/>
  <c r="AJ47" i="19"/>
  <c r="AJ19" i="19"/>
  <c r="AJ50" i="19"/>
  <c r="AJ21" i="19"/>
  <c r="AJ51" i="19"/>
  <c r="AJ22" i="19"/>
  <c r="AJ52" i="19"/>
  <c r="AJ27" i="19"/>
  <c r="AJ64" i="19"/>
  <c r="AJ28" i="19"/>
  <c r="AJ65" i="19"/>
  <c r="AJ67" i="19"/>
  <c r="AJ29" i="19"/>
  <c r="AJ66" i="19"/>
  <c r="AJ30" i="19"/>
  <c r="AJ33" i="19"/>
  <c r="AJ68" i="19"/>
  <c r="AJ43" i="19"/>
  <c r="AJ38" i="19"/>
  <c r="AJ39" i="19"/>
  <c r="AJ41" i="19"/>
  <c r="AJ40" i="19"/>
  <c r="AJ44" i="19"/>
  <c r="AJ42" i="19"/>
  <c r="AJ57" i="19"/>
  <c r="AJ58" i="19"/>
  <c r="AJ61" i="19"/>
  <c r="AJ62" i="19"/>
  <c r="AJ63" i="19"/>
  <c r="AJ53" i="19"/>
  <c r="AJ37" i="19"/>
  <c r="AJ24" i="19"/>
  <c r="AJ17" i="19"/>
  <c r="AJ23" i="19"/>
  <c r="AJ46" i="19"/>
  <c r="AU3" i="19"/>
  <c r="BA3" i="19"/>
  <c r="AF14" i="19"/>
  <c r="AF34" i="19"/>
  <c r="AF54" i="19"/>
  <c r="AF15" i="19"/>
  <c r="AF35" i="19"/>
  <c r="AF55" i="19"/>
  <c r="AF16" i="19"/>
  <c r="AF36" i="19"/>
  <c r="AF56" i="19"/>
  <c r="AF32" i="19"/>
  <c r="AF58" i="19"/>
  <c r="AF33" i="19"/>
  <c r="AF59" i="19"/>
  <c r="AF18" i="19"/>
  <c r="AF43" i="19"/>
  <c r="AF68" i="19"/>
  <c r="AF19" i="19"/>
  <c r="AF44" i="19"/>
  <c r="AF20" i="19"/>
  <c r="AF29" i="19"/>
  <c r="AF57" i="19"/>
  <c r="AF23" i="19"/>
  <c r="AF51" i="19"/>
  <c r="AF24" i="19"/>
  <c r="AF52" i="19"/>
  <c r="AF25" i="19"/>
  <c r="AF53" i="19"/>
  <c r="AF26" i="19"/>
  <c r="AF60" i="19"/>
  <c r="AF49" i="19"/>
  <c r="AF50" i="19"/>
  <c r="AF61" i="19"/>
  <c r="AF17" i="19"/>
  <c r="AF62" i="19"/>
  <c r="AF21" i="19"/>
  <c r="AF63" i="19"/>
  <c r="AF38" i="19"/>
  <c r="AF37" i="19"/>
  <c r="AF39" i="19"/>
  <c r="AF42" i="19"/>
  <c r="AF40" i="19"/>
  <c r="AF45" i="19"/>
  <c r="AF41" i="19"/>
  <c r="AF48" i="19"/>
  <c r="AF64" i="19"/>
  <c r="AF65" i="19"/>
  <c r="AF66" i="19"/>
  <c r="AF67" i="19"/>
  <c r="AF28" i="19"/>
  <c r="AF30" i="19"/>
  <c r="AF46" i="19"/>
  <c r="AF31" i="19"/>
  <c r="AF47" i="19"/>
  <c r="AF22" i="19"/>
  <c r="AF27" i="19"/>
  <c r="AK7" i="19"/>
  <c r="AC19" i="19"/>
  <c r="AC39" i="19"/>
  <c r="AC59" i="19"/>
  <c r="AC20" i="19"/>
  <c r="AC40" i="19"/>
  <c r="AC60" i="19"/>
  <c r="AC21" i="19"/>
  <c r="AC41" i="19"/>
  <c r="AC61" i="19"/>
  <c r="AC33" i="19"/>
  <c r="AC56" i="19"/>
  <c r="AC34" i="19"/>
  <c r="AC57" i="19"/>
  <c r="AC25" i="19"/>
  <c r="AC50" i="19"/>
  <c r="AC26" i="19"/>
  <c r="AC51" i="19"/>
  <c r="AC27" i="19"/>
  <c r="AC52" i="19"/>
  <c r="AC38" i="19"/>
  <c r="AC66" i="19"/>
  <c r="AC23" i="19"/>
  <c r="AC55" i="19"/>
  <c r="AC24" i="19"/>
  <c r="AC58" i="19"/>
  <c r="AC28" i="19"/>
  <c r="AC62" i="19"/>
  <c r="AC29" i="19"/>
  <c r="AC63" i="19"/>
  <c r="AC14" i="19"/>
  <c r="AC53" i="19"/>
  <c r="AC15" i="19"/>
  <c r="AC54" i="19"/>
  <c r="AC16" i="19"/>
  <c r="AC64" i="19"/>
  <c r="AC17" i="19"/>
  <c r="AC65" i="19"/>
  <c r="AC18" i="19"/>
  <c r="AC67" i="19"/>
  <c r="AC37" i="19"/>
  <c r="AC30" i="19"/>
  <c r="AC36" i="19"/>
  <c r="AC31" i="19"/>
  <c r="AC32" i="19"/>
  <c r="AC35" i="19"/>
  <c r="AC42" i="19"/>
  <c r="AC45" i="19"/>
  <c r="AC46" i="19"/>
  <c r="AC47" i="19"/>
  <c r="AC48" i="19"/>
  <c r="AC49" i="19"/>
  <c r="AC68" i="19"/>
  <c r="AC22" i="19"/>
  <c r="AC43" i="19"/>
  <c r="AC44" i="19"/>
  <c r="I41" i="19"/>
  <c r="K40" i="19"/>
  <c r="AS3" i="19"/>
  <c r="BC3" i="19"/>
  <c r="H62" i="19"/>
  <c r="H63" i="19" s="1"/>
  <c r="H64" i="19" s="1"/>
  <c r="H65" i="19" s="1"/>
  <c r="H66" i="19" s="1"/>
  <c r="H67" i="19" s="1"/>
  <c r="H68" i="19" s="1"/>
  <c r="S26" i="22"/>
  <c r="Q27" i="22"/>
  <c r="X23" i="22"/>
  <c r="AC23" i="22"/>
  <c r="V24" i="22"/>
  <c r="AB24" i="22" s="1"/>
  <c r="S46" i="21"/>
  <c r="T46" i="21" s="1"/>
  <c r="V46" i="21" s="1"/>
  <c r="AI46" i="21" s="1"/>
  <c r="V27" i="21"/>
  <c r="Q47" i="21"/>
  <c r="AF31" i="21"/>
  <c r="V13" i="21"/>
  <c r="BD3" i="19"/>
  <c r="AR8" i="19"/>
  <c r="AW3" i="19"/>
  <c r="BB3" i="19"/>
  <c r="BB6" i="19"/>
  <c r="AY7" i="19"/>
  <c r="AT3" i="19"/>
  <c r="AY3" i="19"/>
  <c r="BF3" i="19"/>
  <c r="BE7" i="19"/>
  <c r="BD4"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BE5" i="19"/>
  <c r="AM4" i="19"/>
  <c r="AQ4" i="19"/>
  <c r="BC4" i="19"/>
  <c r="BG4" i="19"/>
  <c r="BG38" i="19" s="1"/>
  <c r="BC7" i="19"/>
  <c r="AE6" i="19"/>
  <c r="AP6" i="19"/>
  <c r="AX6" i="19"/>
  <c r="BF6" i="19"/>
  <c r="AI5" i="19"/>
  <c r="AQ5" i="19"/>
  <c r="AY5" i="19"/>
  <c r="BF5" i="19"/>
  <c r="AN4" i="19"/>
  <c r="AZ4" i="19"/>
  <c r="AE7" i="19"/>
  <c r="AM7" i="19"/>
  <c r="AU7" i="19"/>
  <c r="BG7" i="19"/>
  <c r="AH6" i="19"/>
  <c r="AQ6" i="19"/>
  <c r="AY6" i="19"/>
  <c r="BG6" i="19"/>
  <c r="AN5" i="19"/>
  <c r="AV5" i="19"/>
  <c r="BD5" i="19"/>
  <c r="AK4" i="19"/>
  <c r="AO4" i="19"/>
  <c r="BA4" i="19"/>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L27" i="22"/>
  <c r="M26" i="22"/>
  <c r="AG19" i="19" l="1"/>
  <c r="AG39" i="19"/>
  <c r="AG59" i="19"/>
  <c r="AG20" i="19"/>
  <c r="AG40" i="19"/>
  <c r="AG60" i="19"/>
  <c r="AG21" i="19"/>
  <c r="AG41" i="19"/>
  <c r="AG61" i="19"/>
  <c r="AG26" i="19"/>
  <c r="AG49" i="19"/>
  <c r="AG27" i="19"/>
  <c r="AG50" i="19"/>
  <c r="AG38" i="19"/>
  <c r="AG66" i="19"/>
  <c r="AG14" i="19"/>
  <c r="AG42" i="19"/>
  <c r="AG67" i="19"/>
  <c r="AG29" i="19"/>
  <c r="AG54" i="19"/>
  <c r="AG30" i="19"/>
  <c r="AG58" i="19"/>
  <c r="AG31" i="19"/>
  <c r="AG62" i="19"/>
  <c r="AG32" i="19"/>
  <c r="AG63" i="19"/>
  <c r="AG33" i="19"/>
  <c r="AG64" i="19"/>
  <c r="AG36" i="19"/>
  <c r="AG37" i="19"/>
  <c r="AG43" i="19"/>
  <c r="AG44" i="19"/>
  <c r="AG45" i="19"/>
  <c r="AG17" i="19"/>
  <c r="AG55" i="19"/>
  <c r="AG28" i="19"/>
  <c r="AG48" i="19"/>
  <c r="AG34" i="19"/>
  <c r="AG47" i="19"/>
  <c r="AG35" i="19"/>
  <c r="AG46" i="19"/>
  <c r="AG53" i="19"/>
  <c r="AG56" i="19"/>
  <c r="AG57" i="19"/>
  <c r="AG65" i="19"/>
  <c r="AG68" i="19"/>
  <c r="AG16" i="19"/>
  <c r="AG15" i="19"/>
  <c r="AG22" i="19"/>
  <c r="AG18" i="19"/>
  <c r="AG24" i="19"/>
  <c r="AG23" i="19"/>
  <c r="AG25" i="19"/>
  <c r="AG51" i="19"/>
  <c r="AG52" i="19"/>
  <c r="BG32" i="19"/>
  <c r="BG56" i="19"/>
  <c r="BG64" i="19"/>
  <c r="BG58" i="19"/>
  <c r="BG62" i="19"/>
  <c r="BG35" i="19"/>
  <c r="BE30" i="19"/>
  <c r="BE50" i="19"/>
  <c r="BE31" i="19"/>
  <c r="BE51" i="19"/>
  <c r="BE22" i="19"/>
  <c r="BE44" i="19"/>
  <c r="BE66" i="19"/>
  <c r="BE27" i="19"/>
  <c r="BE52" i="19"/>
  <c r="BE28" i="19"/>
  <c r="BE53" i="19"/>
  <c r="BE29" i="19"/>
  <c r="BE54" i="19"/>
  <c r="BE32" i="19"/>
  <c r="BE55" i="19"/>
  <c r="BE33" i="19"/>
  <c r="BE56" i="19"/>
  <c r="BE36" i="19"/>
  <c r="BE64" i="19"/>
  <c r="BE37" i="19"/>
  <c r="BE65" i="19"/>
  <c r="BE39" i="19"/>
  <c r="BE67" i="19"/>
  <c r="BE68" i="19"/>
  <c r="BE40" i="19"/>
  <c r="BE38" i="19"/>
  <c r="BE16" i="19"/>
  <c r="BE45" i="19"/>
  <c r="BE18" i="19"/>
  <c r="BE47" i="19"/>
  <c r="BE19" i="19"/>
  <c r="BE48" i="19"/>
  <c r="BE24" i="19"/>
  <c r="BE25" i="19"/>
  <c r="BE34" i="19"/>
  <c r="BE42" i="19"/>
  <c r="BE57" i="19"/>
  <c r="BE17" i="19"/>
  <c r="BE46" i="19"/>
  <c r="BE20" i="19"/>
  <c r="BE26" i="19"/>
  <c r="BE41" i="19"/>
  <c r="BE35" i="19"/>
  <c r="BE43" i="19"/>
  <c r="BE49" i="19"/>
  <c r="BE63" i="19"/>
  <c r="BE58" i="19"/>
  <c r="BE62" i="19"/>
  <c r="BE21" i="19"/>
  <c r="BE59" i="19"/>
  <c r="BE60" i="19"/>
  <c r="BE14" i="19"/>
  <c r="BE61" i="19"/>
  <c r="BE15" i="19"/>
  <c r="BE23" i="19"/>
  <c r="BG48" i="19"/>
  <c r="BG53" i="19"/>
  <c r="BG57" i="19"/>
  <c r="BD25" i="19"/>
  <c r="BD45" i="19"/>
  <c r="BD65" i="19"/>
  <c r="BD26" i="19"/>
  <c r="BD46" i="19"/>
  <c r="BD66" i="19"/>
  <c r="BD33" i="19"/>
  <c r="BD55" i="19"/>
  <c r="BD35" i="19"/>
  <c r="BD36" i="19"/>
  <c r="BD59" i="19"/>
  <c r="BD37" i="19"/>
  <c r="BD60" i="19"/>
  <c r="BD62" i="19"/>
  <c r="BD14" i="19"/>
  <c r="BD38" i="19"/>
  <c r="BD61" i="19"/>
  <c r="BD15" i="19"/>
  <c r="BD39" i="19"/>
  <c r="BD16" i="19"/>
  <c r="BD40" i="19"/>
  <c r="BD63" i="19"/>
  <c r="BD24" i="19"/>
  <c r="BD56" i="19"/>
  <c r="BD27" i="19"/>
  <c r="BD57" i="19"/>
  <c r="BD67" i="19"/>
  <c r="BD58" i="19"/>
  <c r="BD30" i="19"/>
  <c r="BD28" i="19"/>
  <c r="BD64" i="19"/>
  <c r="BD29" i="19"/>
  <c r="BD41" i="19"/>
  <c r="BD43" i="19"/>
  <c r="BD44" i="19"/>
  <c r="BD23" i="19"/>
  <c r="BD31" i="19"/>
  <c r="BD34" i="19"/>
  <c r="BD50" i="19"/>
  <c r="BD20" i="19"/>
  <c r="BD21" i="19"/>
  <c r="BD42" i="19"/>
  <c r="BD47" i="19"/>
  <c r="BD32" i="19"/>
  <c r="BD49" i="19"/>
  <c r="BD52" i="19"/>
  <c r="BD48" i="19"/>
  <c r="BD51" i="19"/>
  <c r="BD53" i="19"/>
  <c r="BD17" i="19"/>
  <c r="BD18" i="19"/>
  <c r="BD54" i="19"/>
  <c r="BD68" i="19"/>
  <c r="BD19" i="19"/>
  <c r="BD22" i="19"/>
  <c r="BG47" i="19"/>
  <c r="BG52" i="19"/>
  <c r="BG34" i="19"/>
  <c r="I40" i="19"/>
  <c r="K39" i="19"/>
  <c r="BG16" i="19"/>
  <c r="AQ21" i="19"/>
  <c r="AQ41" i="19"/>
  <c r="AQ61" i="19"/>
  <c r="AQ22" i="19"/>
  <c r="AQ42" i="19"/>
  <c r="AQ62" i="19"/>
  <c r="AQ19" i="19"/>
  <c r="AQ43" i="19"/>
  <c r="AQ65" i="19"/>
  <c r="AQ20" i="19"/>
  <c r="AQ44" i="19"/>
  <c r="AQ66" i="19"/>
  <c r="AQ32" i="19"/>
  <c r="AQ54" i="19"/>
  <c r="AQ14" i="19"/>
  <c r="AQ39" i="19"/>
  <c r="AQ68" i="19"/>
  <c r="AQ15" i="19"/>
  <c r="AQ40" i="19"/>
  <c r="AQ16" i="19"/>
  <c r="AQ45" i="19"/>
  <c r="AQ27" i="19"/>
  <c r="AQ56" i="19"/>
  <c r="AQ28" i="19"/>
  <c r="AQ57" i="19"/>
  <c r="AQ29" i="19"/>
  <c r="AQ58" i="19"/>
  <c r="AQ30" i="19"/>
  <c r="AQ59" i="19"/>
  <c r="AQ31" i="19"/>
  <c r="AQ60" i="19"/>
  <c r="AQ24" i="19"/>
  <c r="AQ67" i="19"/>
  <c r="AQ25" i="19"/>
  <c r="AQ34" i="19"/>
  <c r="AQ26" i="19"/>
  <c r="AQ33" i="19"/>
  <c r="AQ38" i="19"/>
  <c r="AQ47" i="19"/>
  <c r="AQ48" i="19"/>
  <c r="AQ49" i="19"/>
  <c r="AQ50" i="19"/>
  <c r="AQ51" i="19"/>
  <c r="AQ53" i="19"/>
  <c r="AQ63" i="19"/>
  <c r="AQ64" i="19"/>
  <c r="AQ52" i="19"/>
  <c r="AQ55" i="19"/>
  <c r="AQ36" i="19"/>
  <c r="AQ37" i="19"/>
  <c r="AQ18" i="19"/>
  <c r="AQ17" i="19"/>
  <c r="AQ23" i="19"/>
  <c r="AQ35" i="19"/>
  <c r="AQ46" i="19"/>
  <c r="BG44" i="19"/>
  <c r="BG22" i="19"/>
  <c r="BG68" i="19"/>
  <c r="J51" i="19"/>
  <c r="BG65" i="19"/>
  <c r="BG51" i="19"/>
  <c r="BG46" i="19"/>
  <c r="AT16" i="19"/>
  <c r="AT36" i="19"/>
  <c r="AT56" i="19"/>
  <c r="AT17" i="19"/>
  <c r="AT37" i="19"/>
  <c r="AT32" i="19"/>
  <c r="AT54" i="19"/>
  <c r="AT33" i="19"/>
  <c r="AT55" i="19"/>
  <c r="AT23" i="19"/>
  <c r="AT45" i="19"/>
  <c r="AT66" i="19"/>
  <c r="AT31" i="19"/>
  <c r="AT59" i="19"/>
  <c r="AT34" i="19"/>
  <c r="AT60" i="19"/>
  <c r="AT35" i="19"/>
  <c r="AT61" i="19"/>
  <c r="AT15" i="19"/>
  <c r="AT46" i="19"/>
  <c r="AT18" i="19"/>
  <c r="AT47" i="19"/>
  <c r="AT19" i="19"/>
  <c r="AT48" i="19"/>
  <c r="AT20" i="19"/>
  <c r="AT49" i="19"/>
  <c r="AT21" i="19"/>
  <c r="AT50" i="19"/>
  <c r="AT25" i="19"/>
  <c r="AT64" i="19"/>
  <c r="AT26" i="19"/>
  <c r="AT65" i="19"/>
  <c r="AT28" i="19"/>
  <c r="AT29" i="19"/>
  <c r="AT27" i="19"/>
  <c r="AT67" i="19"/>
  <c r="AT68" i="19"/>
  <c r="AT40" i="19"/>
  <c r="AT42" i="19"/>
  <c r="AT43" i="19"/>
  <c r="AT44" i="19"/>
  <c r="AT30" i="19"/>
  <c r="AT38" i="19"/>
  <c r="AT53" i="19"/>
  <c r="AT22" i="19"/>
  <c r="AT41" i="19"/>
  <c r="AT58" i="19"/>
  <c r="AT63" i="19"/>
  <c r="AT39" i="19"/>
  <c r="AT51" i="19"/>
  <c r="AT52" i="19"/>
  <c r="AT14" i="19"/>
  <c r="AT57" i="19"/>
  <c r="AT62" i="19"/>
  <c r="AT24" i="19"/>
  <c r="BG55" i="19"/>
  <c r="BG61" i="19"/>
  <c r="AU20" i="19"/>
  <c r="AU40" i="19"/>
  <c r="AU60" i="19"/>
  <c r="AU21" i="19"/>
  <c r="AU41" i="19"/>
  <c r="AU61" i="19"/>
  <c r="AU31" i="19"/>
  <c r="AU51" i="19"/>
  <c r="AU27" i="19"/>
  <c r="AU50" i="19"/>
  <c r="AU28" i="19"/>
  <c r="AU52" i="19"/>
  <c r="AU29" i="19"/>
  <c r="AU53" i="19"/>
  <c r="AU18" i="19"/>
  <c r="AU46" i="19"/>
  <c r="AU23" i="19"/>
  <c r="AU19" i="19"/>
  <c r="AU47" i="19"/>
  <c r="AU22" i="19"/>
  <c r="AU48" i="19"/>
  <c r="AU49" i="19"/>
  <c r="AU24" i="19"/>
  <c r="AU54" i="19"/>
  <c r="AU43" i="19"/>
  <c r="AU44" i="19"/>
  <c r="AU56" i="19"/>
  <c r="AU14" i="19"/>
  <c r="AU45" i="19"/>
  <c r="AU55" i="19"/>
  <c r="AU25" i="19"/>
  <c r="AU62" i="19"/>
  <c r="AU30" i="19"/>
  <c r="AU64" i="19"/>
  <c r="AU32" i="19"/>
  <c r="AU65" i="19"/>
  <c r="AU33" i="19"/>
  <c r="AU66" i="19"/>
  <c r="AU39" i="19"/>
  <c r="AU42" i="19"/>
  <c r="AU58" i="19"/>
  <c r="AU63" i="19"/>
  <c r="AU68" i="19"/>
  <c r="AU57" i="19"/>
  <c r="AU59" i="19"/>
  <c r="AU35" i="19"/>
  <c r="AU67" i="19"/>
  <c r="AU36" i="19"/>
  <c r="AU15" i="19"/>
  <c r="AU16" i="19"/>
  <c r="AU17" i="19"/>
  <c r="AU26" i="19"/>
  <c r="AU37" i="19"/>
  <c r="AU34" i="19"/>
  <c r="AU38" i="19"/>
  <c r="BG41" i="19"/>
  <c r="AZ25" i="19"/>
  <c r="AZ45" i="19"/>
  <c r="AZ65" i="19"/>
  <c r="AZ26" i="19"/>
  <c r="AZ46" i="19"/>
  <c r="AZ66" i="19"/>
  <c r="AZ31" i="19"/>
  <c r="AZ53" i="19"/>
  <c r="AZ33" i="19"/>
  <c r="AZ55" i="19"/>
  <c r="AZ34" i="19"/>
  <c r="AZ58" i="19"/>
  <c r="AZ35" i="19"/>
  <c r="AZ59" i="19"/>
  <c r="AZ61" i="19"/>
  <c r="AZ36" i="19"/>
  <c r="AZ60" i="19"/>
  <c r="AZ37" i="19"/>
  <c r="AZ14" i="19"/>
  <c r="AZ38" i="19"/>
  <c r="AZ62" i="19"/>
  <c r="AZ17" i="19"/>
  <c r="AZ48" i="19"/>
  <c r="AZ18" i="19"/>
  <c r="AZ49" i="19"/>
  <c r="AZ19" i="19"/>
  <c r="AZ21" i="19"/>
  <c r="AZ50" i="19"/>
  <c r="AZ51" i="19"/>
  <c r="AZ52" i="19"/>
  <c r="AZ20" i="19"/>
  <c r="AZ27" i="19"/>
  <c r="AZ63" i="19"/>
  <c r="AZ29" i="19"/>
  <c r="AZ67" i="19"/>
  <c r="AZ30" i="19"/>
  <c r="AZ68" i="19"/>
  <c r="AZ32" i="19"/>
  <c r="AZ22" i="19"/>
  <c r="AZ28" i="19"/>
  <c r="AZ39" i="19"/>
  <c r="AZ47" i="19"/>
  <c r="AZ23" i="19"/>
  <c r="AZ24" i="19"/>
  <c r="AZ40" i="19"/>
  <c r="AZ15" i="19"/>
  <c r="AZ41" i="19"/>
  <c r="AZ42" i="19"/>
  <c r="AZ43" i="19"/>
  <c r="AZ44" i="19"/>
  <c r="AZ54" i="19"/>
  <c r="AZ56" i="19"/>
  <c r="AZ57" i="19"/>
  <c r="AZ64" i="19"/>
  <c r="AZ16" i="19"/>
  <c r="BG42" i="19"/>
  <c r="BG21" i="19"/>
  <c r="AV25" i="19"/>
  <c r="AV45" i="19"/>
  <c r="AV65" i="19"/>
  <c r="AV26" i="19"/>
  <c r="AV46" i="19"/>
  <c r="AV66" i="19"/>
  <c r="AV16" i="19"/>
  <c r="AV36" i="19"/>
  <c r="AV56" i="19"/>
  <c r="AV19" i="19"/>
  <c r="AV42" i="19"/>
  <c r="AV67" i="19"/>
  <c r="AV20" i="19"/>
  <c r="AV68" i="19"/>
  <c r="AV21" i="19"/>
  <c r="AV44" i="19"/>
  <c r="AV18" i="19"/>
  <c r="AV48" i="19"/>
  <c r="AV22" i="19"/>
  <c r="AV49" i="19"/>
  <c r="AV23" i="19"/>
  <c r="AV50" i="19"/>
  <c r="AV24" i="19"/>
  <c r="AV51" i="19"/>
  <c r="AV27" i="19"/>
  <c r="AV52" i="19"/>
  <c r="AV30" i="19"/>
  <c r="AV61" i="19"/>
  <c r="AV31" i="19"/>
  <c r="AV62" i="19"/>
  <c r="AV33" i="19"/>
  <c r="AV32" i="19"/>
  <c r="AV63" i="19"/>
  <c r="AV64" i="19"/>
  <c r="AV34" i="19"/>
  <c r="AV39" i="19"/>
  <c r="AV41" i="19"/>
  <c r="AV43" i="19"/>
  <c r="AV47" i="19"/>
  <c r="AV57" i="19"/>
  <c r="AV58" i="19"/>
  <c r="AV53" i="19"/>
  <c r="AV40" i="19"/>
  <c r="AV54" i="19"/>
  <c r="AV59" i="19"/>
  <c r="AV60" i="19"/>
  <c r="AV14" i="19"/>
  <c r="AV17" i="19"/>
  <c r="AV15" i="19"/>
  <c r="AV28" i="19"/>
  <c r="AV35" i="19"/>
  <c r="AV37" i="19"/>
  <c r="AV38" i="19"/>
  <c r="AV29" i="19"/>
  <c r="AV55" i="19"/>
  <c r="BG33" i="19"/>
  <c r="BG49" i="19"/>
  <c r="BG60" i="19"/>
  <c r="AK19" i="19"/>
  <c r="AK39" i="19"/>
  <c r="AK59" i="19"/>
  <c r="AK20" i="19"/>
  <c r="AK40" i="19"/>
  <c r="AK60" i="19"/>
  <c r="AK21" i="19"/>
  <c r="AK41" i="19"/>
  <c r="AK61" i="19"/>
  <c r="AK16" i="19"/>
  <c r="AK42" i="19"/>
  <c r="AK65" i="19"/>
  <c r="AK17" i="19"/>
  <c r="AK43" i="19"/>
  <c r="AK66" i="19"/>
  <c r="AK29" i="19"/>
  <c r="AK54" i="19"/>
  <c r="AK30" i="19"/>
  <c r="AK55" i="19"/>
  <c r="AK15" i="19"/>
  <c r="AK45" i="19"/>
  <c r="AK25" i="19"/>
  <c r="AK53" i="19"/>
  <c r="AK26" i="19"/>
  <c r="AK56" i="19"/>
  <c r="AK27" i="19"/>
  <c r="AK57" i="19"/>
  <c r="AK28" i="19"/>
  <c r="AK58" i="19"/>
  <c r="AK47" i="19"/>
  <c r="AK48" i="19"/>
  <c r="AK49" i="19"/>
  <c r="AK50" i="19"/>
  <c r="AK51" i="19"/>
  <c r="AK33" i="19"/>
  <c r="AK38" i="19"/>
  <c r="AK34" i="19"/>
  <c r="AK37" i="19"/>
  <c r="AK35" i="19"/>
  <c r="AK36" i="19"/>
  <c r="AK52" i="19"/>
  <c r="AK62" i="19"/>
  <c r="AK63" i="19"/>
  <c r="AK64" i="19"/>
  <c r="AK67" i="19"/>
  <c r="AK14" i="19"/>
  <c r="AK22" i="19"/>
  <c r="AK23" i="19"/>
  <c r="AK32" i="19"/>
  <c r="AK68" i="19"/>
  <c r="AK18" i="19"/>
  <c r="AK24" i="19"/>
  <c r="AK31" i="19"/>
  <c r="AK44" i="19"/>
  <c r="AK46" i="19"/>
  <c r="AE29" i="19"/>
  <c r="AE49" i="19"/>
  <c r="AE30" i="19"/>
  <c r="AE50" i="19"/>
  <c r="AE31" i="19"/>
  <c r="AE51" i="19"/>
  <c r="AE18" i="19"/>
  <c r="AE41" i="19"/>
  <c r="AE64" i="19"/>
  <c r="AE19" i="19"/>
  <c r="AE42" i="19"/>
  <c r="AE65" i="19"/>
  <c r="AE20" i="19"/>
  <c r="AE45" i="19"/>
  <c r="AE21" i="19"/>
  <c r="AE46" i="19"/>
  <c r="AE22" i="19"/>
  <c r="AE47" i="19"/>
  <c r="AE34" i="19"/>
  <c r="AE59" i="19"/>
  <c r="AE43" i="19"/>
  <c r="AE44" i="19"/>
  <c r="AE14" i="19"/>
  <c r="AE48" i="19"/>
  <c r="AE15" i="19"/>
  <c r="AE52" i="19"/>
  <c r="AE27" i="19"/>
  <c r="AE66" i="19"/>
  <c r="AE28" i="19"/>
  <c r="AE67" i="19"/>
  <c r="AE32" i="19"/>
  <c r="AE68" i="19"/>
  <c r="AE33" i="19"/>
  <c r="AE35" i="19"/>
  <c r="AE54" i="19"/>
  <c r="AE26" i="19"/>
  <c r="AE36" i="19"/>
  <c r="AE40" i="19"/>
  <c r="AE37" i="19"/>
  <c r="AE38" i="19"/>
  <c r="AE39" i="19"/>
  <c r="AE56" i="19"/>
  <c r="AE57" i="19"/>
  <c r="AE58" i="19"/>
  <c r="AE60" i="19"/>
  <c r="AE61" i="19"/>
  <c r="AE62" i="19"/>
  <c r="AE17" i="19"/>
  <c r="AE63" i="19"/>
  <c r="AE16" i="19"/>
  <c r="AE23" i="19"/>
  <c r="AE24" i="19"/>
  <c r="AE25" i="19"/>
  <c r="AE53" i="19"/>
  <c r="AE55" i="19"/>
  <c r="BG59" i="19"/>
  <c r="BG54" i="19"/>
  <c r="AX15" i="19"/>
  <c r="AX35" i="19"/>
  <c r="AX55" i="19"/>
  <c r="AX16" i="19"/>
  <c r="AX36" i="19"/>
  <c r="AX56" i="19"/>
  <c r="AX26" i="19"/>
  <c r="AX46" i="19"/>
  <c r="AX66" i="19"/>
  <c r="AX27" i="19"/>
  <c r="AX50" i="19"/>
  <c r="AX29" i="19"/>
  <c r="AX52" i="19"/>
  <c r="AX17" i="19"/>
  <c r="AX42" i="19"/>
  <c r="AX68" i="19"/>
  <c r="AX43" i="19"/>
  <c r="AX18" i="19"/>
  <c r="AX19" i="19"/>
  <c r="AX44" i="19"/>
  <c r="AX20" i="19"/>
  <c r="AX45" i="19"/>
  <c r="AX21" i="19"/>
  <c r="AX47" i="19"/>
  <c r="AX24" i="19"/>
  <c r="AX59" i="19"/>
  <c r="AX25" i="19"/>
  <c r="AX60" i="19"/>
  <c r="AX30" i="19"/>
  <c r="AX63" i="19"/>
  <c r="AX31" i="19"/>
  <c r="AX28" i="19"/>
  <c r="AX61" i="19"/>
  <c r="AX62" i="19"/>
  <c r="AX37" i="19"/>
  <c r="AX39" i="19"/>
  <c r="AX40" i="19"/>
  <c r="AX41" i="19"/>
  <c r="AX23" i="19"/>
  <c r="AX32" i="19"/>
  <c r="AX33" i="19"/>
  <c r="AX34" i="19"/>
  <c r="AX14" i="19"/>
  <c r="AX22" i="19"/>
  <c r="AX48" i="19"/>
  <c r="AX64" i="19"/>
  <c r="AX38" i="19"/>
  <c r="AX49" i="19"/>
  <c r="AX54" i="19"/>
  <c r="AX57" i="19"/>
  <c r="AX65" i="19"/>
  <c r="AX51" i="19"/>
  <c r="AX53" i="19"/>
  <c r="AX58" i="19"/>
  <c r="AX67" i="19"/>
  <c r="BG43" i="19"/>
  <c r="AN14" i="19"/>
  <c r="AN34" i="19"/>
  <c r="AN54" i="19"/>
  <c r="AN15" i="19"/>
  <c r="AN35" i="19"/>
  <c r="AN16" i="19"/>
  <c r="AN36" i="19"/>
  <c r="AN56" i="19"/>
  <c r="AN18" i="19"/>
  <c r="AN41" i="19"/>
  <c r="AN63" i="19"/>
  <c r="AN19" i="19"/>
  <c r="AN42" i="19"/>
  <c r="AN64" i="19"/>
  <c r="AN22" i="19"/>
  <c r="AN47" i="19"/>
  <c r="AN23" i="19"/>
  <c r="AN48" i="19"/>
  <c r="AN33" i="19"/>
  <c r="AN60" i="19"/>
  <c r="AN44" i="19"/>
  <c r="AN45" i="19"/>
  <c r="AN46" i="19"/>
  <c r="AN29" i="19"/>
  <c r="AN65" i="19"/>
  <c r="AN30" i="19"/>
  <c r="AN66" i="19"/>
  <c r="AN31" i="19"/>
  <c r="AN67" i="19"/>
  <c r="AN32" i="19"/>
  <c r="AN68" i="19"/>
  <c r="AN37" i="19"/>
  <c r="AN17" i="19"/>
  <c r="AN59" i="19"/>
  <c r="AN20" i="19"/>
  <c r="AN61" i="19"/>
  <c r="AN24" i="19"/>
  <c r="AN25" i="19"/>
  <c r="AN26" i="19"/>
  <c r="AN21" i="19"/>
  <c r="AN62" i="19"/>
  <c r="AN38" i="19"/>
  <c r="AN39" i="19"/>
  <c r="AN40" i="19"/>
  <c r="AN43" i="19"/>
  <c r="AN49" i="19"/>
  <c r="AN52" i="19"/>
  <c r="AN53" i="19"/>
  <c r="AN57" i="19"/>
  <c r="AN28" i="19"/>
  <c r="AN55" i="19"/>
  <c r="AN58" i="19"/>
  <c r="AN27" i="19"/>
  <c r="AN50" i="19"/>
  <c r="AN51" i="19"/>
  <c r="BG23" i="19"/>
  <c r="BG45" i="19"/>
  <c r="BG19" i="19"/>
  <c r="AI29" i="19"/>
  <c r="AI49" i="19"/>
  <c r="AI30" i="19"/>
  <c r="AI50" i="19"/>
  <c r="AI31" i="19"/>
  <c r="AI51" i="19"/>
  <c r="AI34" i="19"/>
  <c r="AI57" i="19"/>
  <c r="AI35" i="19"/>
  <c r="AI58" i="19"/>
  <c r="AI36" i="19"/>
  <c r="AI61" i="19"/>
  <c r="AI37" i="19"/>
  <c r="AI62" i="19"/>
  <c r="AI22" i="19"/>
  <c r="AI47" i="19"/>
  <c r="AI14" i="19"/>
  <c r="AI42" i="19"/>
  <c r="AI15" i="19"/>
  <c r="AI43" i="19"/>
  <c r="AI16" i="19"/>
  <c r="AI44" i="19"/>
  <c r="AI17" i="19"/>
  <c r="AI45" i="19"/>
  <c r="AI40" i="19"/>
  <c r="AI41" i="19"/>
  <c r="AI46" i="19"/>
  <c r="AI48" i="19"/>
  <c r="AI52" i="19"/>
  <c r="AI24" i="19"/>
  <c r="AI63" i="19"/>
  <c r="AI28" i="19"/>
  <c r="AI32" i="19"/>
  <c r="AI39" i="19"/>
  <c r="AI33" i="19"/>
  <c r="AI38" i="19"/>
  <c r="AI53" i="19"/>
  <c r="AI56" i="19"/>
  <c r="AI59" i="19"/>
  <c r="AI60" i="19"/>
  <c r="AI64" i="19"/>
  <c r="AI18" i="19"/>
  <c r="AI65" i="19"/>
  <c r="AI19" i="19"/>
  <c r="AI21" i="19"/>
  <c r="AI26" i="19"/>
  <c r="AI54" i="19"/>
  <c r="AI20" i="19"/>
  <c r="AI23" i="19"/>
  <c r="AI25" i="19"/>
  <c r="AI27" i="19"/>
  <c r="AI55" i="19"/>
  <c r="AI66" i="19"/>
  <c r="AI67" i="19"/>
  <c r="AI68" i="19"/>
  <c r="AP16" i="19"/>
  <c r="AP36" i="19"/>
  <c r="AP56" i="19"/>
  <c r="AP17" i="19"/>
  <c r="AP37" i="19"/>
  <c r="AP57" i="19"/>
  <c r="AP30" i="19"/>
  <c r="AP52" i="19"/>
  <c r="AP31" i="19"/>
  <c r="AP53" i="19"/>
  <c r="AP21" i="19"/>
  <c r="AP43" i="19"/>
  <c r="AP65" i="19"/>
  <c r="AP18" i="19"/>
  <c r="AP44" i="19"/>
  <c r="AP19" i="19"/>
  <c r="AP45" i="19"/>
  <c r="AP20" i="19"/>
  <c r="AP46" i="19"/>
  <c r="AP22" i="19"/>
  <c r="AP50" i="19"/>
  <c r="AP23" i="19"/>
  <c r="AP51" i="19"/>
  <c r="AP24" i="19"/>
  <c r="AP54" i="19"/>
  <c r="AP25" i="19"/>
  <c r="AP55" i="19"/>
  <c r="AP26" i="19"/>
  <c r="AP58" i="19"/>
  <c r="AP38" i="19"/>
  <c r="AP39" i="19"/>
  <c r="AP42" i="19"/>
  <c r="AP40" i="19"/>
  <c r="AP41" i="19"/>
  <c r="AP59" i="19"/>
  <c r="AP61" i="19"/>
  <c r="AP14" i="19"/>
  <c r="AP62" i="19"/>
  <c r="AP15" i="19"/>
  <c r="AP63" i="19"/>
  <c r="AP29" i="19"/>
  <c r="AP35" i="19"/>
  <c r="AP60" i="19"/>
  <c r="AP32" i="19"/>
  <c r="AP34" i="19"/>
  <c r="AP47" i="19"/>
  <c r="AP66" i="19"/>
  <c r="AP33" i="19"/>
  <c r="AP48" i="19"/>
  <c r="AP49" i="19"/>
  <c r="AP64" i="19"/>
  <c r="AP67" i="19"/>
  <c r="AP68" i="19"/>
  <c r="AP27" i="19"/>
  <c r="AP28" i="19"/>
  <c r="BG26" i="19"/>
  <c r="BG18" i="19"/>
  <c r="BG40" i="19"/>
  <c r="BB15" i="19"/>
  <c r="BB35" i="19"/>
  <c r="BB55" i="19"/>
  <c r="BB16" i="19"/>
  <c r="BB36" i="19"/>
  <c r="BB56" i="19"/>
  <c r="BB31" i="19"/>
  <c r="BB53" i="19"/>
  <c r="BB33" i="19"/>
  <c r="BB57" i="19"/>
  <c r="BB22" i="19"/>
  <c r="BB46" i="19"/>
  <c r="BB23" i="19"/>
  <c r="BB47" i="19"/>
  <c r="BB24" i="19"/>
  <c r="BB48" i="19"/>
  <c r="BB25" i="19"/>
  <c r="BB49" i="19"/>
  <c r="BB26" i="19"/>
  <c r="BB50" i="19"/>
  <c r="BB38" i="19"/>
  <c r="BB67" i="19"/>
  <c r="BB39" i="19"/>
  <c r="BB68" i="19"/>
  <c r="BB42" i="19"/>
  <c r="BB40" i="19"/>
  <c r="BB41" i="19"/>
  <c r="BB17" i="19"/>
  <c r="BB51" i="19"/>
  <c r="BB19" i="19"/>
  <c r="BB54" i="19"/>
  <c r="BB20" i="19"/>
  <c r="BB58" i="19"/>
  <c r="BB29" i="19"/>
  <c r="BB30" i="19"/>
  <c r="BB34" i="19"/>
  <c r="BB44" i="19"/>
  <c r="BB45" i="19"/>
  <c r="BB37" i="19"/>
  <c r="BB32" i="19"/>
  <c r="BB52" i="19"/>
  <c r="BB21" i="19"/>
  <c r="BB43" i="19"/>
  <c r="BB60" i="19"/>
  <c r="BB18" i="19"/>
  <c r="BB59" i="19"/>
  <c r="BB61" i="19"/>
  <c r="BB63" i="19"/>
  <c r="BB14" i="19"/>
  <c r="BB62" i="19"/>
  <c r="BB64" i="19"/>
  <c r="BB65" i="19"/>
  <c r="BB27" i="19"/>
  <c r="BB66" i="19"/>
  <c r="BB28" i="19"/>
  <c r="AW30" i="19"/>
  <c r="AW50" i="19"/>
  <c r="AW31" i="19"/>
  <c r="AW51" i="19"/>
  <c r="AW21" i="19"/>
  <c r="AW41" i="19"/>
  <c r="AW61" i="19"/>
  <c r="AW35" i="19"/>
  <c r="AW58" i="19"/>
  <c r="AW14" i="19"/>
  <c r="AW37" i="19"/>
  <c r="AW60" i="19"/>
  <c r="AW19" i="19"/>
  <c r="AW45" i="19"/>
  <c r="AW20" i="19"/>
  <c r="AW46" i="19"/>
  <c r="AW22" i="19"/>
  <c r="AW47" i="19"/>
  <c r="AW23" i="19"/>
  <c r="AW48" i="19"/>
  <c r="AW24" i="19"/>
  <c r="AW49" i="19"/>
  <c r="AW42" i="19"/>
  <c r="AW43" i="19"/>
  <c r="AW15" i="19"/>
  <c r="AW44" i="19"/>
  <c r="AW53" i="19"/>
  <c r="AW52" i="19"/>
  <c r="AW25" i="19"/>
  <c r="AW57" i="19"/>
  <c r="AW27" i="19"/>
  <c r="AW62" i="19"/>
  <c r="AW28" i="19"/>
  <c r="AW63" i="19"/>
  <c r="AW29" i="19"/>
  <c r="AW64" i="19"/>
  <c r="AW66" i="19"/>
  <c r="AW67" i="19"/>
  <c r="AW34" i="19"/>
  <c r="AW55" i="19"/>
  <c r="AW16" i="19"/>
  <c r="AW18" i="19"/>
  <c r="AW32" i="19"/>
  <c r="AW68" i="19"/>
  <c r="AW17" i="19"/>
  <c r="AW26" i="19"/>
  <c r="AW33" i="19"/>
  <c r="AW36" i="19"/>
  <c r="AW38" i="19"/>
  <c r="AW39" i="19"/>
  <c r="AW40" i="19"/>
  <c r="AW54" i="19"/>
  <c r="AW59" i="19"/>
  <c r="AW56" i="19"/>
  <c r="AW65" i="19"/>
  <c r="BG31" i="19"/>
  <c r="BG29" i="19"/>
  <c r="BG25" i="19"/>
  <c r="BF15" i="19"/>
  <c r="BF35" i="19"/>
  <c r="BF55" i="19"/>
  <c r="BF16" i="19"/>
  <c r="BF36" i="19"/>
  <c r="BF56" i="19"/>
  <c r="BF33" i="19"/>
  <c r="BF57" i="19"/>
  <c r="BF20" i="19"/>
  <c r="BF43" i="19"/>
  <c r="BF66" i="19"/>
  <c r="BF23" i="19"/>
  <c r="BF21" i="19"/>
  <c r="BF44" i="19"/>
  <c r="BF67" i="19"/>
  <c r="BF22" i="19"/>
  <c r="BF45" i="19"/>
  <c r="BF68" i="19"/>
  <c r="BF46" i="19"/>
  <c r="BF24" i="19"/>
  <c r="BF47" i="19"/>
  <c r="BF40" i="19"/>
  <c r="BF41" i="19"/>
  <c r="BF42" i="19"/>
  <c r="BF49" i="19"/>
  <c r="BF14" i="19"/>
  <c r="BF48" i="19"/>
  <c r="BF25" i="19"/>
  <c r="BF53" i="19"/>
  <c r="BF27" i="19"/>
  <c r="BF58" i="19"/>
  <c r="BF28" i="19"/>
  <c r="BF59" i="19"/>
  <c r="BF26" i="19"/>
  <c r="BF29" i="19"/>
  <c r="BF38" i="19"/>
  <c r="BF31" i="19"/>
  <c r="BF34" i="19"/>
  <c r="BF37" i="19"/>
  <c r="BF18" i="19"/>
  <c r="BF30" i="19"/>
  <c r="BF32" i="19"/>
  <c r="BF39" i="19"/>
  <c r="BF50" i="19"/>
  <c r="BF51" i="19"/>
  <c r="BF52" i="19"/>
  <c r="BF61" i="19"/>
  <c r="BF62" i="19"/>
  <c r="BF63" i="19"/>
  <c r="BF17" i="19"/>
  <c r="BF54" i="19"/>
  <c r="BF65" i="19"/>
  <c r="BF60" i="19"/>
  <c r="BF64" i="19"/>
  <c r="BF19" i="19"/>
  <c r="BG66" i="19"/>
  <c r="AH24" i="19"/>
  <c r="AH44" i="19"/>
  <c r="AH64" i="19"/>
  <c r="AH25" i="19"/>
  <c r="AH45" i="19"/>
  <c r="AH65" i="19"/>
  <c r="AH26" i="19"/>
  <c r="AH46" i="19"/>
  <c r="AH66" i="19"/>
  <c r="AH17" i="19"/>
  <c r="AH40" i="19"/>
  <c r="AH63" i="19"/>
  <c r="AH18" i="19"/>
  <c r="AH41" i="19"/>
  <c r="AH67" i="19"/>
  <c r="AH36" i="19"/>
  <c r="AH61" i="19"/>
  <c r="AH37" i="19"/>
  <c r="AH62" i="19"/>
  <c r="AH27" i="19"/>
  <c r="AH52" i="19"/>
  <c r="AH34" i="19"/>
  <c r="AH35" i="19"/>
  <c r="AH38" i="19"/>
  <c r="AH39" i="19"/>
  <c r="AH20" i="19"/>
  <c r="AH56" i="19"/>
  <c r="AH21" i="19"/>
  <c r="AH57" i="19"/>
  <c r="AH22" i="19"/>
  <c r="AH58" i="19"/>
  <c r="AH23" i="19"/>
  <c r="AH59" i="19"/>
  <c r="AH28" i="19"/>
  <c r="AH60" i="19"/>
  <c r="AH43" i="19"/>
  <c r="AH32" i="19"/>
  <c r="AH33" i="19"/>
  <c r="AH49" i="19"/>
  <c r="AH42" i="19"/>
  <c r="AH48" i="19"/>
  <c r="AH47" i="19"/>
  <c r="AH53" i="19"/>
  <c r="AH54" i="19"/>
  <c r="AH55" i="19"/>
  <c r="AH68" i="19"/>
  <c r="AH31" i="19"/>
  <c r="AH50" i="19"/>
  <c r="AH51" i="19"/>
  <c r="AH14" i="19"/>
  <c r="AH19" i="19"/>
  <c r="AH29" i="19"/>
  <c r="AH15" i="19"/>
  <c r="AH16" i="19"/>
  <c r="AH30" i="19"/>
  <c r="BG24" i="19"/>
  <c r="BA30" i="19"/>
  <c r="BA50" i="19"/>
  <c r="BA31" i="19"/>
  <c r="BA51" i="19"/>
  <c r="BA20" i="19"/>
  <c r="BA42" i="19"/>
  <c r="BA64" i="19"/>
  <c r="BA22" i="19"/>
  <c r="BA44" i="19"/>
  <c r="BA66" i="19"/>
  <c r="BA27" i="19"/>
  <c r="BA53" i="19"/>
  <c r="BA28" i="19"/>
  <c r="BA54" i="19"/>
  <c r="BA29" i="19"/>
  <c r="BA55" i="19"/>
  <c r="BA32" i="19"/>
  <c r="BA56" i="19"/>
  <c r="BA33" i="19"/>
  <c r="BA57" i="19"/>
  <c r="BA24" i="19"/>
  <c r="BA60" i="19"/>
  <c r="BA25" i="19"/>
  <c r="BA61" i="19"/>
  <c r="BA34" i="19"/>
  <c r="BA65" i="19"/>
  <c r="BA26" i="19"/>
  <c r="BA62" i="19"/>
  <c r="BA63" i="19"/>
  <c r="BA35" i="19"/>
  <c r="BA39" i="19"/>
  <c r="BA41" i="19"/>
  <c r="BA43" i="19"/>
  <c r="BA14" i="19"/>
  <c r="BA45" i="19"/>
  <c r="BA21" i="19"/>
  <c r="BA23" i="19"/>
  <c r="BA52" i="19"/>
  <c r="BA37" i="19"/>
  <c r="BA40" i="19"/>
  <c r="BA46" i="19"/>
  <c r="BA47" i="19"/>
  <c r="BA48" i="19"/>
  <c r="BA36" i="19"/>
  <c r="BA38" i="19"/>
  <c r="BA18" i="19"/>
  <c r="BA49" i="19"/>
  <c r="BA58" i="19"/>
  <c r="BA68" i="19"/>
  <c r="BA59" i="19"/>
  <c r="BA67" i="19"/>
  <c r="BA16" i="19"/>
  <c r="BA17" i="19"/>
  <c r="BA15" i="19"/>
  <c r="BA19" i="19"/>
  <c r="BG27" i="19"/>
  <c r="BG50" i="19"/>
  <c r="AL24" i="19"/>
  <c r="AL44" i="19"/>
  <c r="AL64" i="19"/>
  <c r="AL25" i="19"/>
  <c r="AL45" i="19"/>
  <c r="AL65" i="19"/>
  <c r="AL26" i="19"/>
  <c r="AL46" i="19"/>
  <c r="AL66" i="19"/>
  <c r="AL33" i="19"/>
  <c r="AL56" i="19"/>
  <c r="AL34" i="19"/>
  <c r="AL57" i="19"/>
  <c r="AL27" i="19"/>
  <c r="AL52" i="19"/>
  <c r="AL28" i="19"/>
  <c r="AL53" i="19"/>
  <c r="AL15" i="19"/>
  <c r="AL40" i="19"/>
  <c r="AL68" i="19"/>
  <c r="AL31" i="19"/>
  <c r="AL61" i="19"/>
  <c r="AL32" i="19"/>
  <c r="AL62" i="19"/>
  <c r="AL35" i="19"/>
  <c r="AL63" i="19"/>
  <c r="AL36" i="19"/>
  <c r="AL29" i="19"/>
  <c r="AL30" i="19"/>
  <c r="AL37" i="19"/>
  <c r="AL38" i="19"/>
  <c r="AL39" i="19"/>
  <c r="AL21" i="19"/>
  <c r="AL22" i="19"/>
  <c r="AL42" i="19"/>
  <c r="AL43" i="19"/>
  <c r="AL23" i="19"/>
  <c r="AL41" i="19"/>
  <c r="AL49" i="19"/>
  <c r="AL50" i="19"/>
  <c r="AL51" i="19"/>
  <c r="AL54" i="19"/>
  <c r="AL55" i="19"/>
  <c r="AL59" i="19"/>
  <c r="AL60" i="19"/>
  <c r="AL47" i="19"/>
  <c r="AL67" i="19"/>
  <c r="AL48" i="19"/>
  <c r="AL14" i="19"/>
  <c r="AL17" i="19"/>
  <c r="AL19" i="19"/>
  <c r="AL16" i="19"/>
  <c r="AL18" i="19"/>
  <c r="AL20" i="19"/>
  <c r="AL58" i="19"/>
  <c r="BC20" i="19"/>
  <c r="BC40" i="19"/>
  <c r="BC60" i="19"/>
  <c r="BC21" i="19"/>
  <c r="BC41" i="19"/>
  <c r="BC61" i="19"/>
  <c r="BC22" i="19"/>
  <c r="BC44" i="19"/>
  <c r="BC66" i="19"/>
  <c r="BC24" i="19"/>
  <c r="BC46" i="19"/>
  <c r="BC68" i="19"/>
  <c r="BC15" i="19"/>
  <c r="BC39" i="19"/>
  <c r="BC65" i="19"/>
  <c r="BC45" i="19"/>
  <c r="BC16" i="19"/>
  <c r="BC42" i="19"/>
  <c r="BC67" i="19"/>
  <c r="BC17" i="19"/>
  <c r="BC43" i="19"/>
  <c r="BC18" i="19"/>
  <c r="BC19" i="19"/>
  <c r="BC47" i="19"/>
  <c r="BC50" i="19"/>
  <c r="BC51" i="19"/>
  <c r="BC52" i="19"/>
  <c r="BC53" i="19"/>
  <c r="BC23" i="19"/>
  <c r="BC25" i="19"/>
  <c r="BC14" i="19"/>
  <c r="BC54" i="19"/>
  <c r="BC29" i="19"/>
  <c r="BC58" i="19"/>
  <c r="BC31" i="19"/>
  <c r="BC62" i="19"/>
  <c r="BC32" i="19"/>
  <c r="BC63" i="19"/>
  <c r="BC30" i="19"/>
  <c r="BC33" i="19"/>
  <c r="BC37" i="19"/>
  <c r="BC35" i="19"/>
  <c r="BC49" i="19"/>
  <c r="BC56" i="19"/>
  <c r="BC34" i="19"/>
  <c r="BC36" i="19"/>
  <c r="BC38" i="19"/>
  <c r="BC48" i="19"/>
  <c r="BC26" i="19"/>
  <c r="BC55" i="19"/>
  <c r="BC57" i="19"/>
  <c r="BC59" i="19"/>
  <c r="BC64" i="19"/>
  <c r="BC27" i="19"/>
  <c r="BC28" i="19"/>
  <c r="BG39" i="19"/>
  <c r="BG63" i="19"/>
  <c r="BG20" i="19"/>
  <c r="AO19" i="19"/>
  <c r="AO39" i="19"/>
  <c r="AO21" i="19"/>
  <c r="AO30" i="19"/>
  <c r="AO51" i="19"/>
  <c r="AO31" i="19"/>
  <c r="AO52" i="19"/>
  <c r="AO16" i="19"/>
  <c r="AO41" i="19"/>
  <c r="AO63" i="19"/>
  <c r="AO17" i="19"/>
  <c r="AO42" i="19"/>
  <c r="AO64" i="19"/>
  <c r="AO29" i="19"/>
  <c r="AO54" i="19"/>
  <c r="AO18" i="19"/>
  <c r="AO46" i="19"/>
  <c r="AO20" i="19"/>
  <c r="AO47" i="19"/>
  <c r="AO22" i="19"/>
  <c r="AO48" i="19"/>
  <c r="AO43" i="19"/>
  <c r="AO44" i="19"/>
  <c r="AO45" i="19"/>
  <c r="AO49" i="19"/>
  <c r="AO14" i="19"/>
  <c r="AO50" i="19"/>
  <c r="AO56" i="19"/>
  <c r="AO57" i="19"/>
  <c r="AO61" i="19"/>
  <c r="AO60" i="19"/>
  <c r="AO58" i="19"/>
  <c r="AO15" i="19"/>
  <c r="AO23" i="19"/>
  <c r="AO59" i="19"/>
  <c r="AO27" i="19"/>
  <c r="AO66" i="19"/>
  <c r="AO28" i="19"/>
  <c r="AO32" i="19"/>
  <c r="AO68" i="19"/>
  <c r="AO33" i="19"/>
  <c r="AO34" i="19"/>
  <c r="AO25" i="19"/>
  <c r="AO35" i="19"/>
  <c r="AO26" i="19"/>
  <c r="AO24" i="19"/>
  <c r="AO65" i="19"/>
  <c r="AO36" i="19"/>
  <c r="AO37" i="19"/>
  <c r="AO38" i="19"/>
  <c r="AO40" i="19"/>
  <c r="AO53" i="19"/>
  <c r="AO55" i="19"/>
  <c r="AO62" i="19"/>
  <c r="AO67" i="19"/>
  <c r="AY20" i="19"/>
  <c r="AY40" i="19"/>
  <c r="AY60" i="19"/>
  <c r="AY21" i="19"/>
  <c r="AY41" i="19"/>
  <c r="AY61" i="19"/>
  <c r="AY18" i="19"/>
  <c r="AY42" i="19"/>
  <c r="AY64" i="19"/>
  <c r="AY22" i="19"/>
  <c r="AY44" i="19"/>
  <c r="AY66" i="19"/>
  <c r="AY37" i="19"/>
  <c r="AY63" i="19"/>
  <c r="AY68" i="19"/>
  <c r="AY14" i="19"/>
  <c r="AY38" i="19"/>
  <c r="AY65" i="19"/>
  <c r="AY15" i="19"/>
  <c r="AY39" i="19"/>
  <c r="AY67" i="19"/>
  <c r="AY16" i="19"/>
  <c r="AY43" i="19"/>
  <c r="AY17" i="19"/>
  <c r="AY45" i="19"/>
  <c r="AY34" i="19"/>
  <c r="AY35" i="19"/>
  <c r="AY46" i="19"/>
  <c r="AY47" i="19"/>
  <c r="AY36" i="19"/>
  <c r="AY19" i="19"/>
  <c r="AY51" i="19"/>
  <c r="AY24" i="19"/>
  <c r="AY53" i="19"/>
  <c r="AY25" i="19"/>
  <c r="AY54" i="19"/>
  <c r="AY55" i="19"/>
  <c r="AY23" i="19"/>
  <c r="AY26" i="19"/>
  <c r="AY28" i="19"/>
  <c r="AY30" i="19"/>
  <c r="AY49" i="19"/>
  <c r="AY27" i="19"/>
  <c r="AY31" i="19"/>
  <c r="AY32" i="19"/>
  <c r="AY33" i="19"/>
  <c r="AY29" i="19"/>
  <c r="AY62" i="19"/>
  <c r="AY48" i="19"/>
  <c r="AY50" i="19"/>
  <c r="AY58" i="19"/>
  <c r="AY59" i="19"/>
  <c r="AY52" i="19"/>
  <c r="AY56" i="19"/>
  <c r="AY57" i="19"/>
  <c r="AS31" i="19"/>
  <c r="AS51" i="19"/>
  <c r="AS32" i="19"/>
  <c r="AS52" i="19"/>
  <c r="AS21" i="19"/>
  <c r="AS43" i="19"/>
  <c r="AS65" i="19"/>
  <c r="AS22" i="19"/>
  <c r="AS44" i="19"/>
  <c r="AS66" i="19"/>
  <c r="AS34" i="19"/>
  <c r="AS56" i="19"/>
  <c r="AS36" i="19"/>
  <c r="AS61" i="19"/>
  <c r="AS37" i="19"/>
  <c r="AS62" i="19"/>
  <c r="AS38" i="19"/>
  <c r="AS63" i="19"/>
  <c r="AS40" i="19"/>
  <c r="AS41" i="19"/>
  <c r="AS14" i="19"/>
  <c r="AS42" i="19"/>
  <c r="AS15" i="19"/>
  <c r="AS45" i="19"/>
  <c r="AS16" i="19"/>
  <c r="AS46" i="19"/>
  <c r="AS33" i="19"/>
  <c r="AS35" i="19"/>
  <c r="AS39" i="19"/>
  <c r="AS48" i="19"/>
  <c r="AS47" i="19"/>
  <c r="AS17" i="19"/>
  <c r="AS54" i="19"/>
  <c r="AS19" i="19"/>
  <c r="AS57" i="19"/>
  <c r="AS20" i="19"/>
  <c r="AS58" i="19"/>
  <c r="AS23" i="19"/>
  <c r="AS59" i="19"/>
  <c r="AS18" i="19"/>
  <c r="AS50" i="19"/>
  <c r="AS26" i="19"/>
  <c r="AS27" i="19"/>
  <c r="AS24" i="19"/>
  <c r="AS28" i="19"/>
  <c r="AS29" i="19"/>
  <c r="AS25" i="19"/>
  <c r="AS30" i="19"/>
  <c r="AS49" i="19"/>
  <c r="AS53" i="19"/>
  <c r="AS64" i="19"/>
  <c r="AS67" i="19"/>
  <c r="AS55" i="19"/>
  <c r="AS60" i="19"/>
  <c r="AS68" i="19"/>
  <c r="BG30" i="19"/>
  <c r="AS8" i="19"/>
  <c r="Y26" i="22"/>
  <c r="X24" i="22"/>
  <c r="AC24" i="22"/>
  <c r="Q53" i="21"/>
  <c r="R53" i="21" s="1"/>
  <c r="Q54" i="21"/>
  <c r="R54" i="21" s="1"/>
  <c r="S54" i="21" s="1"/>
  <c r="T54" i="21" s="1"/>
  <c r="S53" i="21"/>
  <c r="T53" i="21" s="1"/>
  <c r="AD47" i="21"/>
  <c r="AD46" i="21"/>
  <c r="AC46" i="21"/>
  <c r="AB52" i="21"/>
  <c r="AC52" i="21" s="1"/>
  <c r="V52" i="21"/>
  <c r="W47" i="21"/>
  <c r="X47" i="21" s="1"/>
  <c r="W48" i="21" s="1"/>
  <c r="AH46" i="21"/>
  <c r="AQ68" i="21"/>
  <c r="AQ69" i="21" s="1"/>
  <c r="R69" i="21"/>
  <c r="Y69" i="21"/>
  <c r="W69" i="21" s="1"/>
  <c r="R27" i="22"/>
  <c r="T26" i="22"/>
  <c r="M68" i="21" a="1"/>
  <c r="Q28" i="22" l="1"/>
  <c r="S27" i="22"/>
  <c r="K51" i="19"/>
  <c r="I51" i="19" s="1"/>
  <c r="K50" i="19"/>
  <c r="I39" i="19"/>
  <c r="K38" i="19"/>
  <c r="V26" i="22"/>
  <c r="X26" i="22" s="1"/>
  <c r="M68" i="21"/>
  <c r="R48" i="21"/>
  <c r="AI52" i="21"/>
  <c r="X52" i="21"/>
  <c r="AH52" i="21" s="1"/>
  <c r="V53" i="21"/>
  <c r="AB53" i="21"/>
  <c r="AC53" i="21" s="1"/>
  <c r="AE46" i="21"/>
  <c r="AE47" i="21"/>
  <c r="AB54" i="21"/>
  <c r="AC54" i="21" s="1"/>
  <c r="V54" i="21"/>
  <c r="M27" i="22"/>
  <c r="L28" i="22"/>
  <c r="R28" i="22"/>
  <c r="Y27" i="22" l="1"/>
  <c r="I38" i="19"/>
  <c r="H38" i="19"/>
  <c r="H39" i="19" s="1"/>
  <c r="H40" i="19" s="1"/>
  <c r="H41" i="19" s="1"/>
  <c r="H42" i="19" s="1"/>
  <c r="H43" i="19" s="1"/>
  <c r="H44" i="19" s="1"/>
  <c r="I50" i="19"/>
  <c r="K49" i="19"/>
  <c r="AB26" i="22"/>
  <c r="AC26" i="22"/>
  <c r="Q31" i="22"/>
  <c r="S28" i="22"/>
  <c r="AI54" i="21"/>
  <c r="X54" i="21"/>
  <c r="AH54" i="21" s="1"/>
  <c r="Q49" i="21"/>
  <c r="R49" i="21" s="1"/>
  <c r="S48" i="21"/>
  <c r="AI53" i="21"/>
  <c r="X53" i="21"/>
  <c r="AH53" i="21" s="1"/>
  <c r="Q71" i="21"/>
  <c r="R71" i="21"/>
  <c r="Y71" i="21"/>
  <c r="L70" i="21" a="1"/>
  <c r="M28" i="22"/>
  <c r="M70" i="21" a="1"/>
  <c r="T27" i="22"/>
  <c r="V27" i="22" l="1"/>
  <c r="AC27" i="22" s="1"/>
  <c r="I49" i="19"/>
  <c r="K48" i="19"/>
  <c r="Y28" i="22"/>
  <c r="L70" i="21"/>
  <c r="M70" i="21"/>
  <c r="T48" i="21"/>
  <c r="V48" i="21" s="1"/>
  <c r="AB48" i="21"/>
  <c r="Q56" i="21"/>
  <c r="R56" i="21" s="1"/>
  <c r="S49" i="21"/>
  <c r="S71" i="21"/>
  <c r="T71" i="21" s="1"/>
  <c r="L31" i="22"/>
  <c r="T28" i="22"/>
  <c r="X27" i="22" l="1"/>
  <c r="AB27" i="22"/>
  <c r="I48" i="19"/>
  <c r="K47" i="19"/>
  <c r="V28" i="22"/>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72" i="21" a="1"/>
  <c r="L68" i="21" a="1"/>
  <c r="I47" i="19" l="1"/>
  <c r="K46" i="19"/>
  <c r="AB28" i="22"/>
  <c r="AC28" i="22"/>
  <c r="X28" i="22"/>
  <c r="S75" i="21"/>
  <c r="AA75" i="21" s="1"/>
  <c r="Y80" i="21"/>
  <c r="W75" i="21"/>
  <c r="L72" i="21"/>
  <c r="L68" i="21"/>
  <c r="T75" i="21"/>
  <c r="V75" i="21" s="1"/>
  <c r="AI75" i="21" s="1"/>
  <c r="AI49" i="21"/>
  <c r="X49" i="21"/>
  <c r="AH49" i="21" s="1"/>
  <c r="S69" i="21"/>
  <c r="AC49" i="21"/>
  <c r="AE49" i="21" s="1"/>
  <c r="AD49" i="21"/>
  <c r="T56" i="21"/>
  <c r="V56" i="21" s="1"/>
  <c r="AB56" i="21"/>
  <c r="I46" i="19" l="1"/>
  <c r="K45"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I45" i="19" l="1"/>
  <c r="H45" i="19"/>
  <c r="H46" i="19" s="1"/>
  <c r="H47" i="19" s="1"/>
  <c r="H48" i="19" s="1"/>
  <c r="H49" i="19" s="1"/>
  <c r="H50" i="19" s="1"/>
  <c r="H51" i="19" s="1"/>
  <c r="Z96" i="21"/>
  <c r="L90" i="21"/>
  <c r="AH75" i="21"/>
  <c r="W80" i="21"/>
  <c r="AE56" i="21"/>
  <c r="AB57" i="21"/>
  <c r="AI69" i="21"/>
  <c r="X69" i="21"/>
  <c r="AB69" i="21"/>
  <c r="AD69" i="21" s="1"/>
  <c r="AC69" i="21"/>
  <c r="AH69" i="21" l="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L360" i="21" a="1"/>
  <c r="M72" i="21" a="1"/>
  <c r="Z17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R283" i="21" l="1"/>
  <c r="S283" i="21" s="1"/>
  <c r="T283" i="21" s="1"/>
  <c r="V283" i="21" s="1"/>
  <c r="Z192" i="21"/>
  <c r="AK282" i="21"/>
  <c r="AD282" i="21" s="1"/>
  <c r="X282" i="21"/>
  <c r="AJ282" i="21" s="1"/>
  <c r="T196" i="21"/>
  <c r="V196" i="21" s="1"/>
  <c r="Y196"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Q285" i="21" l="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Z172" i="21" l="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AK379" i="21" l="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M412" i="21" a="1"/>
  <c r="L412" i="21" a="1"/>
  <c r="AC380" i="21" l="1"/>
  <c r="X412" i="21"/>
  <c r="AD412" i="21" s="1"/>
  <c r="S412" i="2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O459" i="21" l="1"/>
  <c r="P459" i="21"/>
  <c r="Q459" i="21"/>
  <c r="AF459" i="21"/>
  <c r="AN459" i="21"/>
  <c r="AA459" i="21" s="1"/>
  <c r="W459" i="21" s="1"/>
  <c r="L459" i="21" a="1"/>
  <c r="L459" i="21" l="1"/>
  <c r="R459" i="21"/>
  <c r="M459" i="21" a="1"/>
  <c r="M459" i="21" l="1"/>
  <c r="S459" i="21"/>
  <c r="T459" i="21" s="1"/>
  <c r="V459" i="21" s="1"/>
  <c r="O460" i="21"/>
  <c r="P460" i="21"/>
  <c r="Q460" i="21"/>
  <c r="AF460" i="21"/>
  <c r="AN460" i="21"/>
  <c r="AA460" i="21" s="1"/>
  <c r="W460" i="21" s="1"/>
  <c r="L460" i="21" a="1"/>
  <c r="L460" i="21" l="1"/>
  <c r="R460" i="21"/>
  <c r="AE459" i="21"/>
  <c r="X459" i="21"/>
  <c r="AD459" i="21" s="1"/>
  <c r="M460" i="21" a="1"/>
  <c r="M460" i="21" l="1"/>
  <c r="S460" i="21"/>
  <c r="T460" i="21" s="1"/>
  <c r="V460" i="21" s="1"/>
  <c r="O461" i="21"/>
  <c r="P461" i="21"/>
  <c r="Q461" i="21"/>
  <c r="AF461" i="21"/>
  <c r="AN461" i="21"/>
  <c r="AA461" i="21" s="1"/>
  <c r="W461" i="21" s="1"/>
  <c r="L461" i="21" a="1"/>
  <c r="L461" i="21" l="1"/>
  <c r="AE460" i="21"/>
  <c r="X460" i="21"/>
  <c r="AD460" i="21" s="1"/>
  <c r="M461" i="21" a="1"/>
  <c r="M461" i="21" l="1"/>
  <c r="S461" i="21"/>
  <c r="T461" i="21" s="1"/>
  <c r="V461" i="21" s="1"/>
  <c r="O462" i="21"/>
  <c r="P462" i="21"/>
  <c r="Q462" i="21"/>
  <c r="AF462" i="21"/>
  <c r="AN462" i="21"/>
  <c r="AA462" i="21" s="1"/>
  <c r="W462" i="21" s="1"/>
  <c r="L462" i="21" a="1"/>
  <c r="L462" i="21" l="1"/>
  <c r="R462" i="21"/>
  <c r="AE461" i="21"/>
  <c r="X461" i="21"/>
  <c r="AD461" i="21" s="1"/>
  <c r="M462" i="21" a="1"/>
  <c r="M462" i="21" l="1"/>
  <c r="S462" i="21"/>
  <c r="T462" i="21" s="1"/>
  <c r="V462" i="21" s="1"/>
  <c r="O463" i="21"/>
  <c r="P463" i="21"/>
  <c r="Q463" i="21"/>
  <c r="R463" i="21"/>
  <c r="AF463" i="21"/>
  <c r="AN463" i="21"/>
  <c r="AA463" i="21" s="1"/>
  <c r="W463" i="21" s="1"/>
  <c r="L463" i="21" a="1"/>
  <c r="M463" i="21" a="1"/>
  <c r="S463" i="21" l="1"/>
  <c r="T463" i="21" s="1"/>
  <c r="V463" i="21" s="1"/>
  <c r="AE463" i="21" s="1"/>
  <c r="L463" i="21"/>
  <c r="M463" i="21"/>
  <c r="AE462" i="21"/>
  <c r="X462" i="21"/>
  <c r="AD462" i="21" s="1"/>
  <c r="X463" i="21" l="1"/>
  <c r="AD463" i="21" s="1"/>
  <c r="O464" i="21"/>
  <c r="P464" i="21"/>
  <c r="AD465" i="21"/>
  <c r="AE465" i="21"/>
  <c r="O466" i="21" l="1"/>
  <c r="P466" i="21"/>
  <c r="Q466" i="21"/>
  <c r="T466" i="21"/>
  <c r="V466" i="21" s="1"/>
  <c r="AE466" i="21" s="1"/>
  <c r="W466" i="21"/>
  <c r="AB466" i="21" s="1"/>
  <c r="AF466" i="21"/>
  <c r="AN466" i="21"/>
  <c r="AA466" i="21" s="1"/>
  <c r="Z466" i="21" s="1"/>
  <c r="L466" i="21" a="1"/>
  <c r="Y466" i="21" l="1"/>
  <c r="W464" i="21" s="1"/>
  <c r="L466" i="21"/>
  <c r="X466" i="21"/>
  <c r="AD466" i="21" s="1"/>
  <c r="R466" i="21"/>
  <c r="M466" i="21" a="1"/>
  <c r="M466" i="21" l="1"/>
  <c r="S466" i="21"/>
  <c r="O467" i="21"/>
  <c r="P467" i="21"/>
  <c r="Q467" i="21"/>
  <c r="W467" i="21"/>
  <c r="L467" i="21" a="1"/>
  <c r="L467" i="21" l="1"/>
  <c r="R467" i="21"/>
  <c r="M467" i="21" a="1"/>
  <c r="M467" i="21" l="1"/>
  <c r="S467" i="21"/>
  <c r="T467" i="21" s="1"/>
  <c r="V467" i="21" s="1"/>
  <c r="O468" i="21"/>
  <c r="P468" i="21"/>
  <c r="Q468" i="21"/>
  <c r="R468" i="21"/>
  <c r="AF468" i="21"/>
  <c r="AN468" i="21"/>
  <c r="AA468" i="21" s="1"/>
  <c r="W468" i="21" s="1"/>
  <c r="M468" i="21" a="1"/>
  <c r="L468" i="21" a="1"/>
  <c r="S468" i="21" l="1"/>
  <c r="T468" i="21" s="1"/>
  <c r="V468" i="21" s="1"/>
  <c r="AE468" i="21" s="1"/>
  <c r="L468" i="21"/>
  <c r="M468" i="21"/>
  <c r="AE467" i="21"/>
  <c r="X467" i="21"/>
  <c r="AD467" i="21" s="1"/>
  <c r="X468" i="21" l="1"/>
  <c r="AD468" i="21" s="1"/>
  <c r="Q469" i="21"/>
  <c r="W469" i="21"/>
  <c r="R469" i="21" s="1"/>
  <c r="L469" i="21" a="1"/>
  <c r="M469" i="21" a="1"/>
  <c r="M469" i="21" l="1"/>
  <c r="L469" i="21"/>
  <c r="S469" i="21"/>
  <c r="T469" i="21" s="1"/>
  <c r="V469" i="21" s="1"/>
  <c r="X469" i="21" s="1"/>
  <c r="O470" i="21" l="1"/>
  <c r="P470" i="21"/>
  <c r="Q470" i="21"/>
  <c r="R470" i="21"/>
  <c r="AF470" i="21"/>
  <c r="AN470" i="21"/>
  <c r="AA470" i="21" s="1"/>
  <c r="W470" i="21" s="1"/>
  <c r="M470" i="21" a="1"/>
  <c r="L470" i="21" a="1"/>
  <c r="S470" i="21" l="1"/>
  <c r="T470" i="21" s="1"/>
  <c r="V470" i="21" s="1"/>
  <c r="AE470" i="21" s="1"/>
  <c r="M470" i="21"/>
  <c r="L470" i="21"/>
  <c r="X470" i="21" l="1"/>
  <c r="AD470" i="21" s="1"/>
  <c r="Q472" i="21"/>
  <c r="L472" i="21" a="1"/>
  <c r="W472" i="21" l="1"/>
  <c r="R472" i="21" s="1"/>
  <c r="L472" i="21"/>
  <c r="M472" i="21" a="1"/>
  <c r="M472" i="21" l="1"/>
  <c r="S472" i="21"/>
  <c r="T472" i="21" s="1"/>
  <c r="V472" i="21" s="1"/>
  <c r="X472" i="21" s="1"/>
  <c r="O473" i="21"/>
  <c r="P473" i="21"/>
  <c r="Q473" i="21"/>
  <c r="AF473" i="21"/>
  <c r="AN473" i="21"/>
  <c r="AA473" i="21" s="1"/>
  <c r="W473" i="21" s="1"/>
  <c r="L473" i="21" a="1"/>
  <c r="L473" i="21" l="1"/>
  <c r="R473" i="21"/>
  <c r="M473" i="21" a="1"/>
  <c r="M473" i="21" l="1"/>
  <c r="S473" i="21"/>
  <c r="T473" i="21" s="1"/>
  <c r="V473" i="21" s="1"/>
  <c r="O474" i="21"/>
  <c r="P474" i="21"/>
  <c r="Q474" i="21"/>
  <c r="AF474" i="21"/>
  <c r="AN474" i="21"/>
  <c r="AA474" i="21" s="1"/>
  <c r="W474" i="21" s="1"/>
  <c r="L474" i="21" a="1"/>
  <c r="L474" i="21" l="1"/>
  <c r="R474" i="21"/>
  <c r="AE473" i="21"/>
  <c r="X473" i="21"/>
  <c r="AD473" i="21" s="1"/>
  <c r="M474" i="21" a="1"/>
  <c r="M474" i="21" l="1"/>
  <c r="S474" i="21"/>
  <c r="T474" i="21" s="1"/>
  <c r="V474" i="21" s="1"/>
  <c r="O475" i="21"/>
  <c r="P475" i="21"/>
  <c r="Q475" i="21"/>
  <c r="AF475" i="21"/>
  <c r="AN475" i="21"/>
  <c r="AA475" i="21" s="1"/>
  <c r="W475" i="21" s="1"/>
  <c r="L475" i="21" a="1"/>
  <c r="R475" i="21" l="1"/>
  <c r="L475" i="21"/>
  <c r="S475" i="21"/>
  <c r="T475" i="21" s="1"/>
  <c r="V475" i="21" s="1"/>
  <c r="AE475" i="21" s="1"/>
  <c r="AE474" i="21"/>
  <c r="X474" i="21"/>
  <c r="AD474" i="21" s="1"/>
  <c r="M475" i="21" a="1"/>
  <c r="M475" i="21" l="1"/>
  <c r="X475" i="21"/>
  <c r="AD475" i="21" s="1"/>
  <c r="O476" i="21"/>
  <c r="P476" i="21"/>
  <c r="Q476" i="21"/>
  <c r="AF476" i="21"/>
  <c r="AN476" i="21"/>
  <c r="AA476" i="21" s="1"/>
  <c r="W476" i="21" s="1"/>
  <c r="L476" i="21" a="1"/>
  <c r="L476" i="21" l="1"/>
  <c r="R476" i="21"/>
  <c r="M476" i="21" a="1"/>
  <c r="M476" i="21" l="1"/>
  <c r="S476" i="21"/>
  <c r="T476" i="21" s="1"/>
  <c r="V476" i="21" s="1"/>
  <c r="O477" i="21"/>
  <c r="P477" i="21"/>
  <c r="Q477" i="21"/>
  <c r="AF477" i="21"/>
  <c r="AN477" i="21"/>
  <c r="AA477" i="21" s="1"/>
  <c r="W477" i="21" s="1"/>
  <c r="L477" i="21" a="1"/>
  <c r="L477" i="21" l="1"/>
  <c r="R477" i="21"/>
  <c r="AE476" i="21"/>
  <c r="X476" i="21"/>
  <c r="AD476" i="21" s="1"/>
  <c r="M477" i="21" a="1"/>
  <c r="M477" i="21" l="1"/>
  <c r="S477" i="21"/>
  <c r="T477" i="21" s="1"/>
  <c r="V477" i="21" s="1"/>
  <c r="O478" i="21"/>
  <c r="P478" i="21"/>
  <c r="Q478" i="21"/>
  <c r="AF478" i="21"/>
  <c r="AN478" i="21"/>
  <c r="AA478" i="21" s="1"/>
  <c r="W478" i="21" s="1"/>
  <c r="L478" i="21" a="1"/>
  <c r="L478" i="21" l="1"/>
  <c r="R478" i="21"/>
  <c r="AE477" i="21"/>
  <c r="X477" i="21"/>
  <c r="AD477" i="21" s="1"/>
  <c r="M478" i="21" a="1"/>
  <c r="M478" i="21" l="1"/>
  <c r="S478" i="21"/>
  <c r="T478" i="21" s="1"/>
  <c r="V478" i="21" s="1"/>
  <c r="O479" i="21"/>
  <c r="P479" i="21"/>
  <c r="Q479" i="21"/>
  <c r="AF479" i="21"/>
  <c r="AN479" i="21"/>
  <c r="AA479" i="21" s="1"/>
  <c r="W479" i="21" s="1"/>
  <c r="O480" i="21"/>
  <c r="P480" i="21"/>
  <c r="Q480" i="21"/>
  <c r="AF480" i="21"/>
  <c r="AN480" i="21"/>
  <c r="AA480" i="21" s="1"/>
  <c r="W480" i="21" s="1"/>
  <c r="O482" i="21"/>
  <c r="P482" i="21"/>
  <c r="AF482" i="21"/>
  <c r="AN482" i="21"/>
  <c r="AA482" i="21" s="1"/>
  <c r="L479" i="21" a="1"/>
  <c r="L479" i="21" l="1"/>
  <c r="R479" i="21"/>
  <c r="Z482" i="21"/>
  <c r="W482" i="21"/>
  <c r="AE478" i="21"/>
  <c r="X478" i="21"/>
  <c r="AD478" i="21" s="1"/>
  <c r="M479" i="21" a="1"/>
  <c r="M483" i="21" a="1"/>
  <c r="M479" i="21" l="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V488" i="21" l="1"/>
  <c r="V481" i="21" s="1"/>
  <c r="U490" i="21"/>
  <c r="V490" i="21" s="1"/>
  <c r="L464" i="21"/>
  <c r="X488" i="21"/>
  <c r="X487" i="21"/>
  <c r="Y487" i="21" s="1"/>
  <c r="Z487" i="21" s="1"/>
  <c r="X482" i="21"/>
  <c r="AD482" i="21" s="1"/>
  <c r="AE479" i="21"/>
  <c r="X479" i="21"/>
  <c r="AD479" i="21" s="1"/>
  <c r="AE480" i="21"/>
  <c r="Z480" i="21" s="1"/>
  <c r="X480" i="21"/>
  <c r="R464" i="21"/>
  <c r="M464" i="21" a="1"/>
  <c r="W489" i="21" l="1"/>
  <c r="M464" i="21"/>
  <c r="S464" i="21"/>
  <c r="T464" i="21" s="1"/>
  <c r="V464" i="21" s="1"/>
  <c r="X464" i="21" s="1"/>
  <c r="AD480" i="21"/>
  <c r="W481" i="21"/>
  <c r="X481" i="21" s="1"/>
  <c r="R480" i="21"/>
  <c r="Q488" i="21"/>
  <c r="W490" i="21" l="1"/>
  <c r="X490" i="21" s="1"/>
  <c r="X489" i="21"/>
  <c r="Q481" i="21"/>
  <c r="S488" i="21"/>
  <c r="Y488" i="21" s="1"/>
  <c r="Z488" i="21" s="1"/>
  <c r="C15" i="17"/>
  <c r="C14" i="17"/>
  <c r="C13" i="17"/>
  <c r="C12" i="17"/>
  <c r="C11" i="17"/>
  <c r="C10" i="17"/>
  <c r="C9" i="17"/>
  <c r="C8" i="17"/>
  <c r="R481" i="21" l="1"/>
  <c r="Q489" i="21"/>
  <c r="Z1" i="19"/>
  <c r="Z3" i="19"/>
  <c r="Q482" i="21" l="1"/>
  <c r="S489" i="21"/>
  <c r="Y489" i="21" s="1"/>
  <c r="Z489" i="21" s="1"/>
  <c r="R482" i="21" l="1"/>
  <c r="Q490" i="21"/>
  <c r="Z2" i="19"/>
  <c r="S490" i="21" l="1"/>
  <c r="Y490" i="21" s="1"/>
  <c r="Z490" i="21" s="1"/>
  <c r="F3" i="17"/>
  <c r="BB8" i="19" l="1"/>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AM31" i="19" l="1"/>
  <c r="AM16" i="19"/>
  <c r="AM35" i="19"/>
  <c r="AM22" i="19"/>
  <c r="AM19" i="19"/>
  <c r="AM60" i="19"/>
  <c r="AM65" i="19"/>
  <c r="AM15" i="19"/>
  <c r="AM51" i="19"/>
  <c r="AM54" i="19"/>
  <c r="AM21" i="19"/>
  <c r="AM52" i="19"/>
  <c r="AM23" i="19"/>
  <c r="AM53" i="19"/>
  <c r="AM61" i="19"/>
  <c r="AM38" i="19"/>
  <c r="AM14" i="19"/>
  <c r="AM50" i="19"/>
  <c r="AM24" i="19"/>
  <c r="AM17" i="19"/>
  <c r="AM36" i="19"/>
  <c r="AM48" i="19"/>
  <c r="AM58" i="19"/>
  <c r="AM57" i="19"/>
  <c r="AM64" i="19"/>
  <c r="AM28" i="19"/>
  <c r="AM30" i="19"/>
  <c r="AM46" i="19"/>
  <c r="AM47" i="19"/>
  <c r="AM55" i="19"/>
  <c r="AM20" i="19"/>
  <c r="AM62" i="19"/>
  <c r="AM34" i="19"/>
  <c r="AM25" i="19"/>
  <c r="AM18" i="19"/>
  <c r="AM59" i="19"/>
  <c r="AM56" i="19"/>
  <c r="AM26" i="19"/>
  <c r="AM27" i="19"/>
  <c r="AM63" i="19"/>
  <c r="AM32" i="19"/>
  <c r="AM29" i="19"/>
  <c r="AM40" i="19"/>
  <c r="AM44" i="19"/>
  <c r="AM37" i="19"/>
  <c r="AM33" i="19"/>
  <c r="AM66" i="19"/>
  <c r="AM41" i="19"/>
  <c r="AM39" i="19"/>
  <c r="AM42" i="19"/>
  <c r="AM67" i="19"/>
  <c r="AM43" i="19"/>
  <c r="AM49" i="19"/>
  <c r="AM68" i="19"/>
  <c r="AM45" i="19"/>
  <c r="BA8" i="19"/>
  <c r="BA12" i="19" s="1"/>
  <c r="BE8" i="19"/>
  <c r="BE12" i="19" s="1"/>
  <c r="AT8" i="19"/>
  <c r="AT12" i="19" s="1"/>
  <c r="AW8" i="19"/>
  <c r="AW12" i="19" s="1"/>
  <c r="AG8" i="19"/>
  <c r="AG12" i="19" s="1"/>
  <c r="AL8" i="19"/>
  <c r="AL12" i="19" s="1"/>
  <c r="AK8" i="19"/>
  <c r="AK12" i="19" s="1"/>
  <c r="AF8" i="19"/>
  <c r="AF12" i="19" s="1"/>
  <c r="BC8" i="19"/>
  <c r="BC12" i="19" s="1"/>
  <c r="AS12" i="19"/>
  <c r="AM8" i="19"/>
  <c r="AM12" i="19" s="1"/>
  <c r="AU8" i="19"/>
  <c r="AU12" i="19" s="1"/>
  <c r="F4" i="17" a="1"/>
  <c r="F4" i="17" l="1"/>
  <c r="G208" i="6" l="1"/>
  <c r="C208" i="6"/>
  <c r="G201" i="6"/>
  <c r="G202" i="6" s="1"/>
  <c r="C200" i="6"/>
  <c r="C201" i="6" s="1"/>
  <c r="D164" i="6"/>
  <c r="F153" i="6"/>
  <c r="F142" i="6"/>
  <c r="D140" i="6"/>
  <c r="F132" i="6"/>
  <c r="F131" i="6"/>
  <c r="F123" i="6"/>
  <c r="D123" i="6"/>
  <c r="F115" i="6"/>
  <c r="D107" i="6"/>
  <c r="D87" i="6"/>
  <c r="F78" i="6"/>
  <c r="F68" i="6"/>
  <c r="D68" i="6"/>
  <c r="G68" i="6" s="1"/>
  <c r="I68" i="6" s="1"/>
  <c r="F62" i="6"/>
  <c r="D53" i="6"/>
  <c r="F52" i="6"/>
  <c r="F51" i="6"/>
  <c r="I21" i="6"/>
  <c r="F151" i="6" s="1"/>
  <c r="I20" i="6"/>
  <c r="I19" i="6"/>
  <c r="I18" i="6"/>
  <c r="I17" i="6"/>
  <c r="I16" i="6"/>
  <c r="M15" i="6"/>
  <c r="F28" i="6" s="1"/>
  <c r="I15" i="6"/>
  <c r="N14" i="6"/>
  <c r="M14" i="6"/>
  <c r="F50" i="6" s="1"/>
  <c r="I14" i="6"/>
  <c r="N13" i="6"/>
  <c r="M13" i="6" s="1"/>
  <c r="F59" i="6" s="1"/>
  <c r="I13" i="6"/>
  <c r="N12" i="6"/>
  <c r="M12" i="6"/>
  <c r="I12" i="6"/>
  <c r="N11" i="6"/>
  <c r="M11" i="6"/>
  <c r="F77" i="6" s="1"/>
  <c r="J11" i="6"/>
  <c r="I11" i="6"/>
  <c r="N10" i="6"/>
  <c r="M10" i="6" s="1"/>
  <c r="F86" i="6" s="1"/>
  <c r="I10" i="6"/>
  <c r="M9" i="6"/>
  <c r="F105" i="6" s="1"/>
  <c r="I9" i="6"/>
  <c r="F27" i="6" s="1"/>
  <c r="M8" i="6"/>
  <c r="F104" i="6" s="1"/>
  <c r="I8" i="6"/>
  <c r="E8" i="6"/>
  <c r="D31" i="6" s="1"/>
  <c r="G31" i="6" s="1"/>
  <c r="I31" i="6" s="1"/>
  <c r="M7" i="6"/>
  <c r="F113" i="6" s="1"/>
  <c r="I7" i="6"/>
  <c r="E7" i="6"/>
  <c r="M6" i="6"/>
  <c r="F122" i="6" s="1"/>
  <c r="I6" i="6"/>
  <c r="E6" i="6"/>
  <c r="D51" i="6" s="1"/>
  <c r="G51" i="6" s="1"/>
  <c r="I51" i="6" s="1"/>
  <c r="M5" i="6"/>
  <c r="I5" i="6"/>
  <c r="E5" i="6"/>
  <c r="M4" i="6"/>
  <c r="F44" i="6" s="1"/>
  <c r="I4" i="6"/>
  <c r="E4" i="6"/>
  <c r="E3" i="6"/>
  <c r="D27" i="6"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D62" i="6" l="1"/>
  <c r="G62" i="6" s="1"/>
  <c r="I62" i="6" s="1"/>
  <c r="G123" i="6"/>
  <c r="I123" i="6" s="1"/>
  <c r="D134" i="6"/>
  <c r="F70" i="6"/>
  <c r="F140" i="6"/>
  <c r="G140" i="6" s="1"/>
  <c r="I140" i="6" s="1"/>
  <c r="D80" i="6"/>
  <c r="F41" i="6"/>
  <c r="D44" i="6"/>
  <c r="G44" i="6" s="1"/>
  <c r="I44" i="6" s="1"/>
  <c r="D98" i="6"/>
  <c r="D143" i="6"/>
  <c r="D155" i="6"/>
  <c r="G155" i="6" s="1"/>
  <c r="I155" i="6" s="1"/>
  <c r="F42" i="6"/>
  <c r="F43" i="6"/>
  <c r="D103" i="6"/>
  <c r="G103" i="6" s="1"/>
  <c r="I103" i="6" s="1"/>
  <c r="F152" i="6"/>
  <c r="F87" i="6"/>
  <c r="G87" i="6" s="1"/>
  <c r="I87" i="6" s="1"/>
  <c r="F96" i="6"/>
  <c r="F49" i="6"/>
  <c r="AC60" i="2"/>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D124" i="6"/>
  <c r="D70" i="6"/>
  <c r="D97" i="6"/>
  <c r="D30" i="6"/>
  <c r="G30" i="6" s="1"/>
  <c r="I30" i="6" s="1"/>
  <c r="Z123" i="2"/>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G53" i="6" s="1"/>
  <c r="I53" i="6" s="1"/>
  <c r="F80" i="6"/>
  <c r="G80" i="6" s="1"/>
  <c r="I80" i="6" s="1"/>
  <c r="F97" i="6"/>
  <c r="F134" i="6"/>
  <c r="G134" i="6" s="1"/>
  <c r="I134" i="6"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D86" i="6"/>
  <c r="G86" i="6" s="1"/>
  <c r="I86" i="6" s="1"/>
  <c r="D59" i="6"/>
  <c r="G59" i="6" s="1"/>
  <c r="I59" i="6" s="1"/>
  <c r="D131" i="6"/>
  <c r="G131" i="6" s="1"/>
  <c r="I131" i="6" s="1"/>
  <c r="D28" i="6"/>
  <c r="G28" i="6" s="1"/>
  <c r="I28" i="6" s="1"/>
  <c r="D67" i="6"/>
  <c r="D139" i="6"/>
  <c r="D40" i="6"/>
  <c r="G40" i="6" s="1"/>
  <c r="I40" i="6" s="1"/>
  <c r="D112" i="6"/>
  <c r="D85" i="6"/>
  <c r="D151" i="6"/>
  <c r="G151" i="6" s="1"/>
  <c r="I151" i="6" s="1"/>
  <c r="D121" i="6"/>
  <c r="D76" i="6"/>
  <c r="D49" i="6"/>
  <c r="G49" i="6" s="1"/>
  <c r="I49" i="6" s="1"/>
  <c r="D130" i="6"/>
  <c r="G130" i="6" s="1"/>
  <c r="I130" i="6" s="1"/>
  <c r="D94" i="6"/>
  <c r="G94" i="6" s="1"/>
  <c r="I94" i="6" s="1"/>
  <c r="D58" i="6"/>
  <c r="G98" i="6"/>
  <c r="I98" i="6" s="1"/>
  <c r="D141" i="6"/>
  <c r="D29" i="6"/>
  <c r="D132" i="6"/>
  <c r="G132" i="6" s="1"/>
  <c r="I132" i="6" s="1"/>
  <c r="D69" i="6"/>
  <c r="D105" i="6"/>
  <c r="G105" i="6" s="1"/>
  <c r="I105" i="6" s="1"/>
  <c r="D78" i="6"/>
  <c r="G78" i="6" s="1"/>
  <c r="I78" i="6" s="1"/>
  <c r="D114" i="6"/>
  <c r="D60" i="6"/>
  <c r="D153" i="6"/>
  <c r="G153" i="6" s="1"/>
  <c r="I153" i="6" s="1"/>
  <c r="D96" i="6"/>
  <c r="D42" i="6"/>
  <c r="G107" i="6"/>
  <c r="I107" i="6" s="1"/>
  <c r="G143" i="6"/>
  <c r="I143" i="6" s="1"/>
  <c r="F69" i="6"/>
  <c r="F141" i="6"/>
  <c r="F95" i="6"/>
  <c r="F60" i="6"/>
  <c r="F114" i="6"/>
  <c r="F29" i="6"/>
  <c r="D89" i="6"/>
  <c r="D125" i="6"/>
  <c r="D71" i="6"/>
  <c r="D116" i="6"/>
  <c r="G70" i="6" l="1"/>
  <c r="I70" i="6" s="1"/>
  <c r="G96" i="6"/>
  <c r="I96" i="6" s="1"/>
  <c r="G97" i="6"/>
  <c r="I97" i="6" s="1"/>
  <c r="G152" i="6"/>
  <c r="I152" i="6" s="1"/>
  <c r="G71" i="6"/>
  <c r="I71" i="6" s="1"/>
  <c r="G124" i="6"/>
  <c r="I124" i="6" s="1"/>
  <c r="G42" i="6"/>
  <c r="I42" i="6" s="1"/>
  <c r="I45" i="6" s="1"/>
  <c r="G69" i="6"/>
  <c r="I69" i="6" s="1"/>
  <c r="G141" i="6"/>
  <c r="I141" i="6" s="1"/>
  <c r="G43" i="6"/>
  <c r="I43" i="6" s="1"/>
  <c r="AI153" i="2"/>
  <c r="AB153" i="2" s="1"/>
  <c r="AB154" i="2" s="1"/>
  <c r="X153" i="2"/>
  <c r="G139" i="6"/>
  <c r="I139" i="6" s="1"/>
  <c r="I144" i="6" s="1"/>
  <c r="G29" i="6"/>
  <c r="I29" i="6" s="1"/>
  <c r="G67" i="6"/>
  <c r="I67" i="6" s="1"/>
  <c r="I72" i="6" s="1"/>
  <c r="S37" i="2"/>
  <c r="T37" i="2" s="1"/>
  <c r="Q38" i="2"/>
  <c r="R38" i="2" s="1"/>
  <c r="I32" i="6"/>
  <c r="C181" i="6" s="1"/>
  <c r="D181" i="6" s="1"/>
  <c r="W208" i="2"/>
  <c r="X208" i="2" s="1"/>
  <c r="AH207" i="2"/>
  <c r="G58" i="6"/>
  <c r="I58" i="6" s="1"/>
  <c r="I54" i="6"/>
  <c r="G88" i="6"/>
  <c r="I88" i="6" s="1"/>
  <c r="AH31" i="2"/>
  <c r="W32" i="2"/>
  <c r="X32" i="2" s="1"/>
  <c r="W33" i="2" s="1"/>
  <c r="W87" i="2"/>
  <c r="AH85" i="2"/>
  <c r="G76" i="6"/>
  <c r="I76" i="6" s="1"/>
  <c r="G116" i="6"/>
  <c r="I116" i="6" s="1"/>
  <c r="G60" i="6"/>
  <c r="I60" i="6" s="1"/>
  <c r="G121" i="6"/>
  <c r="I121" i="6" s="1"/>
  <c r="I126" i="6" s="1"/>
  <c r="Q158" i="2"/>
  <c r="G106" i="6"/>
  <c r="I106" i="6" s="1"/>
  <c r="I108" i="6" s="1"/>
  <c r="AD31" i="2"/>
  <c r="AC31" i="2"/>
  <c r="AD32" i="2"/>
  <c r="G61" i="6"/>
  <c r="I61" i="6" s="1"/>
  <c r="G114" i="6"/>
  <c r="I114" i="6" s="1"/>
  <c r="I156" i="6"/>
  <c r="K151" i="6" s="1"/>
  <c r="G133" i="6"/>
  <c r="I133" i="6" s="1"/>
  <c r="I135" i="6" s="1"/>
  <c r="X178" i="2"/>
  <c r="AH178" i="2" s="1"/>
  <c r="AI178" i="2"/>
  <c r="W65" i="2"/>
  <c r="AH60" i="2"/>
  <c r="G125" i="6"/>
  <c r="I125" i="6" s="1"/>
  <c r="G85" i="6"/>
  <c r="I85" i="6" s="1"/>
  <c r="S179" i="2"/>
  <c r="T179" i="2" s="1"/>
  <c r="V179" i="2" s="1"/>
  <c r="Q180" i="2"/>
  <c r="R180" i="2" s="1"/>
  <c r="G89" i="6"/>
  <c r="I89" i="6" s="1"/>
  <c r="G112" i="6"/>
  <c r="I112" i="6" s="1"/>
  <c r="I117" i="6" s="1"/>
  <c r="G95" i="6"/>
  <c r="I95" i="6" s="1"/>
  <c r="I99" i="6" s="1"/>
  <c r="G79" i="6"/>
  <c r="I79" i="6" s="1"/>
  <c r="X204" i="2"/>
  <c r="AH204" i="2" s="1"/>
  <c r="C166" i="6" l="1"/>
  <c r="D166" i="6" s="1"/>
  <c r="J135" i="6"/>
  <c r="K135" i="6" s="1"/>
  <c r="C170" i="6"/>
  <c r="D170" i="6" s="1"/>
  <c r="K94" i="6"/>
  <c r="J99" i="6"/>
  <c r="K99" i="6" s="1"/>
  <c r="C176" i="6"/>
  <c r="K40" i="6"/>
  <c r="J45" i="6"/>
  <c r="K45" i="6" s="1"/>
  <c r="C173" i="6"/>
  <c r="H195" i="6" s="1"/>
  <c r="H201" i="6" s="1"/>
  <c r="K67" i="6"/>
  <c r="J72" i="6"/>
  <c r="K72" i="6" s="1"/>
  <c r="C168" i="6"/>
  <c r="D168" i="6" s="1"/>
  <c r="K112" i="6"/>
  <c r="J117" i="6"/>
  <c r="K117" i="6" s="1"/>
  <c r="C169" i="6"/>
  <c r="D169" i="6" s="1"/>
  <c r="K103" i="6"/>
  <c r="J108" i="6"/>
  <c r="K108" i="6" s="1"/>
  <c r="C167" i="6"/>
  <c r="D167" i="6" s="1"/>
  <c r="K121" i="6"/>
  <c r="J126" i="6"/>
  <c r="K126" i="6" s="1"/>
  <c r="C165" i="6"/>
  <c r="D165" i="6" s="1"/>
  <c r="K139" i="6"/>
  <c r="J144" i="6"/>
  <c r="K144" i="6" s="1"/>
  <c r="C175" i="6"/>
  <c r="K49" i="6"/>
  <c r="J54" i="6"/>
  <c r="K54" i="6" s="1"/>
  <c r="AC87" i="2"/>
  <c r="AD87" i="2" s="1"/>
  <c r="AD93" i="2" s="1"/>
  <c r="R87" i="2"/>
  <c r="H193" i="6"/>
  <c r="D193" i="6"/>
  <c r="D199" i="6" s="1"/>
  <c r="D175" i="6"/>
  <c r="AH208" i="2"/>
  <c r="W209" i="2"/>
  <c r="I63" i="6"/>
  <c r="R33" i="2"/>
  <c r="R65" i="2"/>
  <c r="S65" i="2" s="1"/>
  <c r="AE31" i="2"/>
  <c r="AE32" i="2"/>
  <c r="I90" i="6"/>
  <c r="W154" i="2"/>
  <c r="X154" i="2" s="1"/>
  <c r="AH153" i="2"/>
  <c r="AI179" i="2"/>
  <c r="X179" i="2"/>
  <c r="AH179" i="2" s="1"/>
  <c r="S38" i="2"/>
  <c r="T38" i="2" s="1"/>
  <c r="Q39" i="2"/>
  <c r="R39" i="2" s="1"/>
  <c r="S180" i="2"/>
  <c r="T180" i="2" s="1"/>
  <c r="V180" i="2" s="1"/>
  <c r="Q181" i="2"/>
  <c r="S181" i="2" s="1"/>
  <c r="T181" i="2" s="1"/>
  <c r="V181" i="2" s="1"/>
  <c r="I81" i="6"/>
  <c r="V37" i="2"/>
  <c r="AB37" i="2"/>
  <c r="AC37" i="2" s="1"/>
  <c r="S158" i="2"/>
  <c r="T158" i="2" s="1"/>
  <c r="V158" i="2" s="1"/>
  <c r="AI158" i="2" s="1"/>
  <c r="Q182" i="2"/>
  <c r="S5" i="22" l="1"/>
  <c r="S9" i="22" s="1"/>
  <c r="S5" i="21"/>
  <c r="C172" i="6"/>
  <c r="D172" i="6" s="1"/>
  <c r="K76" i="6"/>
  <c r="J81" i="6"/>
  <c r="K81" i="6" s="1"/>
  <c r="C171" i="6"/>
  <c r="D171" i="6" s="1"/>
  <c r="K85" i="6"/>
  <c r="J90" i="6"/>
  <c r="K90" i="6" s="1"/>
  <c r="S2" i="22"/>
  <c r="X4" i="21"/>
  <c r="S2" i="21"/>
  <c r="C174" i="6"/>
  <c r="K58" i="6"/>
  <c r="J63" i="6"/>
  <c r="K63" i="6" s="1"/>
  <c r="D176" i="6"/>
  <c r="H192" i="6"/>
  <c r="D192" i="6"/>
  <c r="S3" i="22"/>
  <c r="S7" i="22" s="1"/>
  <c r="S3" i="21"/>
  <c r="D195" i="6"/>
  <c r="H208" i="6" s="1"/>
  <c r="D173" i="6"/>
  <c r="Q56" i="2"/>
  <c r="S56" i="2" s="1"/>
  <c r="T56" i="2" s="1"/>
  <c r="S39" i="2"/>
  <c r="T39" i="2" s="1"/>
  <c r="W156" i="2"/>
  <c r="AH154" i="2"/>
  <c r="V38" i="2"/>
  <c r="AB38" i="2"/>
  <c r="AC38" i="2" s="1"/>
  <c r="Q88" i="2"/>
  <c r="R88" i="2" s="1"/>
  <c r="S87" i="2"/>
  <c r="T87" i="2" s="1"/>
  <c r="V87" i="2" s="1"/>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T30" i="22"/>
  <c r="T25" i="22"/>
  <c r="V25" i="22" l="1"/>
  <c r="V30" i="22"/>
  <c r="D208" i="6"/>
  <c r="S6" i="22"/>
  <c r="T2" i="21"/>
  <c r="T361" i="21"/>
  <c r="V361" i="21" s="1"/>
  <c r="S4" i="22"/>
  <c r="S8" i="22" s="1"/>
  <c r="S4" i="21"/>
  <c r="R303" i="21" s="1"/>
  <c r="AB33" i="2"/>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T29" i="22"/>
  <c r="V29" i="22" l="1"/>
  <c r="S303" i="21"/>
  <c r="T303" i="21" s="1"/>
  <c r="V303" i="21" s="1"/>
  <c r="Q328" i="21"/>
  <c r="R328" i="21" s="1"/>
  <c r="AK361" i="21"/>
  <c r="AB361" i="21"/>
  <c r="AB30" i="22"/>
  <c r="AC30" i="22"/>
  <c r="X30" i="22"/>
  <c r="W31" i="22" s="1"/>
  <c r="AC25" i="22"/>
  <c r="X25" i="22"/>
  <c r="AB25" i="22"/>
  <c r="AI88" i="2"/>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M327" i="21" a="1"/>
  <c r="R31" i="22"/>
  <c r="M31" i="22"/>
  <c r="Y31" i="22" l="1"/>
  <c r="S31" i="22"/>
  <c r="M327" i="21"/>
  <c r="AK303" i="21"/>
  <c r="AC303" i="21" s="1"/>
  <c r="AC305" i="21" s="1"/>
  <c r="X303" i="21"/>
  <c r="AJ303" i="21" s="1"/>
  <c r="Q329" i="21"/>
  <c r="R329" i="21" s="1"/>
  <c r="S328" i="21"/>
  <c r="T328" i="21" s="1"/>
  <c r="V328" i="21" s="1"/>
  <c r="X29" i="22"/>
  <c r="AB29" i="22"/>
  <c r="AC29" i="22"/>
  <c r="AD34" i="2"/>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T31" i="22"/>
  <c r="V31" i="22" l="1"/>
  <c r="Q330" i="21"/>
  <c r="R330" i="21" s="1"/>
  <c r="S329" i="21"/>
  <c r="T329" i="21" s="1"/>
  <c r="V329" i="21" s="1"/>
  <c r="AK328" i="21"/>
  <c r="AC328" i="21" s="1"/>
  <c r="X328" i="21"/>
  <c r="AJ328" i="21" s="1"/>
  <c r="AI182" i="2"/>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K329" i="21" l="1"/>
  <c r="AC329" i="21" s="1"/>
  <c r="X329" i="21"/>
  <c r="AJ329" i="21" s="1"/>
  <c r="S330" i="21"/>
  <c r="T330" i="21" s="1"/>
  <c r="V330" i="21" s="1"/>
  <c r="Q331" i="21"/>
  <c r="S331" i="21" s="1"/>
  <c r="T331" i="21" s="1"/>
  <c r="V331" i="21" s="1"/>
  <c r="AC31" i="22"/>
  <c r="AC16" i="22" s="1"/>
  <c r="AB31" i="22"/>
  <c r="AB16" i="22" s="1"/>
  <c r="X31" i="22"/>
  <c r="AH54" i="2"/>
  <c r="W56" i="2"/>
  <c r="X56" i="2" s="1"/>
  <c r="AB186" i="2"/>
  <c r="AB189" i="2" s="1"/>
  <c r="W159" i="2"/>
  <c r="AH158" i="2"/>
  <c r="Q94" i="2"/>
  <c r="R94" i="2" s="1"/>
  <c r="S94" i="2" s="1"/>
  <c r="T94" i="2" s="1"/>
  <c r="V94" i="2" s="1"/>
  <c r="Q135" i="2"/>
  <c r="S92" i="2"/>
  <c r="T92" i="2" s="1"/>
  <c r="V92" i="2" s="1"/>
  <c r="AI91" i="2"/>
  <c r="X91" i="2"/>
  <c r="AH91" i="2" s="1"/>
  <c r="AD54" i="2"/>
  <c r="AB66" i="2"/>
  <c r="AB42" i="2"/>
  <c r="AE41" i="2"/>
  <c r="AK331" i="21" l="1"/>
  <c r="X331" i="21"/>
  <c r="AK330" i="21"/>
  <c r="AC330" i="21" s="1"/>
  <c r="X330" i="21"/>
  <c r="AJ330" i="21" s="1"/>
  <c r="AI94" i="2"/>
  <c r="X94" i="2"/>
  <c r="AH94" i="2" s="1"/>
  <c r="AI92" i="2"/>
  <c r="X92" i="2"/>
  <c r="AH92" i="2" s="1"/>
  <c r="W58" i="2"/>
  <c r="AH56" i="2"/>
  <c r="W332" i="21" l="1"/>
  <c r="R332" i="21" s="1"/>
  <c r="AJ331" i="21"/>
  <c r="AC331" i="21"/>
  <c r="R58" i="2"/>
  <c r="S332" i="21" l="1"/>
  <c r="T332" i="21" s="1"/>
  <c r="V332" i="21" s="1"/>
  <c r="X332" i="21" s="1"/>
  <c r="Q333" i="21"/>
  <c r="R333" i="21" s="1"/>
  <c r="S58" i="2"/>
  <c r="T58" i="2" s="1"/>
  <c r="Q74" i="2"/>
  <c r="S74" i="2" s="1"/>
  <c r="T74" i="2" s="1"/>
  <c r="V74" i="2" s="1"/>
  <c r="Q334" i="21" l="1"/>
  <c r="R334" i="21" s="1"/>
  <c r="S333" i="21"/>
  <c r="T333" i="21" s="1"/>
  <c r="V333" i="21" s="1"/>
  <c r="AB58" i="2"/>
  <c r="AC58" i="2" s="1"/>
  <c r="V58" i="2"/>
  <c r="AI74" i="2"/>
  <c r="AC74" i="2"/>
  <c r="X74" i="2"/>
  <c r="X333" i="21" l="1"/>
  <c r="AJ333" i="21" s="1"/>
  <c r="AK333" i="21"/>
  <c r="AC333" i="21" s="1"/>
  <c r="Q335" i="21"/>
  <c r="S335" i="21" s="1"/>
  <c r="T335" i="21" s="1"/>
  <c r="V335" i="21" s="1"/>
  <c r="S334" i="21"/>
  <c r="T334" i="21" s="1"/>
  <c r="V334" i="21" s="1"/>
  <c r="AI58" i="2"/>
  <c r="X58" i="2"/>
  <c r="AH58" i="2" s="1"/>
  <c r="AH74" i="2"/>
  <c r="W76" i="2"/>
  <c r="AE74" i="2"/>
  <c r="AD74" i="2"/>
  <c r="AK334" i="21" l="1"/>
  <c r="AC334" i="21" s="1"/>
  <c r="X334" i="21"/>
  <c r="AJ334" i="21" s="1"/>
  <c r="AK335" i="21"/>
  <c r="AC335" i="21" s="1"/>
  <c r="X335" i="21"/>
  <c r="R76" i="2"/>
  <c r="W346" i="21" l="1"/>
  <c r="AJ335" i="21"/>
  <c r="Q77" i="2"/>
  <c r="R77" i="2" s="1"/>
  <c r="S76" i="2"/>
  <c r="T76" i="2" s="1"/>
  <c r="V76" i="2" s="1"/>
  <c r="R346" i="21" l="1"/>
  <c r="AB346" i="21"/>
  <c r="S77" i="2"/>
  <c r="T77" i="2" s="1"/>
  <c r="V77" i="2" s="1"/>
  <c r="Q78" i="2"/>
  <c r="R78" i="2" s="1"/>
  <c r="AI76" i="2"/>
  <c r="AC76" i="2"/>
  <c r="X76" i="2"/>
  <c r="AH76" i="2" s="1"/>
  <c r="S346" i="21" l="1"/>
  <c r="T346" i="21" s="1"/>
  <c r="V346" i="21" s="1"/>
  <c r="Q347" i="21"/>
  <c r="R347" i="21" s="1"/>
  <c r="AC77" i="2"/>
  <c r="AI77" i="2"/>
  <c r="X77" i="2"/>
  <c r="AH77" i="2" s="1"/>
  <c r="AE76" i="2"/>
  <c r="AD76" i="2"/>
  <c r="Q79" i="2"/>
  <c r="R79" i="2" s="1"/>
  <c r="S78" i="2"/>
  <c r="T78" i="2" s="1"/>
  <c r="V78" i="2" s="1"/>
  <c r="Q348" i="21" l="1"/>
  <c r="S348" i="21" s="1"/>
  <c r="T348" i="21" s="1"/>
  <c r="V348" i="21" s="1"/>
  <c r="S347" i="21"/>
  <c r="T347" i="21" s="1"/>
  <c r="V347" i="21" s="1"/>
  <c r="AK346" i="21"/>
  <c r="AC346" i="21" s="1"/>
  <c r="X346" i="21"/>
  <c r="AJ346" i="21" s="1"/>
  <c r="S79" i="2"/>
  <c r="T79" i="2" s="1"/>
  <c r="V79" i="2" s="1"/>
  <c r="Q80" i="2"/>
  <c r="R80" i="2" s="1"/>
  <c r="AI78" i="2"/>
  <c r="AC78" i="2"/>
  <c r="X78" i="2"/>
  <c r="AH78" i="2" s="1"/>
  <c r="AE77" i="2"/>
  <c r="AD77" i="2"/>
  <c r="AK347" i="21" l="1"/>
  <c r="AC347" i="21" s="1"/>
  <c r="X347" i="21"/>
  <c r="AJ347" i="21" s="1"/>
  <c r="AK348" i="21"/>
  <c r="AC348" i="21" s="1"/>
  <c r="AC361" i="21" s="1"/>
  <c r="AB348" i="21"/>
  <c r="X348" i="21"/>
  <c r="AC79" i="2"/>
  <c r="AI79" i="2"/>
  <c r="X79" i="2"/>
  <c r="AH79" i="2" s="1"/>
  <c r="AD78" i="2"/>
  <c r="AE78" i="2"/>
  <c r="S80" i="2"/>
  <c r="T80" i="2" s="1"/>
  <c r="V80" i="2" s="1"/>
  <c r="Q81" i="2"/>
  <c r="R81" i="2" s="1"/>
  <c r="AJ348" i="21" l="1"/>
  <c r="W361" i="21"/>
  <c r="X361" i="21" s="1"/>
  <c r="AI80" i="2"/>
  <c r="AC80" i="2"/>
  <c r="X80" i="2"/>
  <c r="AH80" i="2" s="1"/>
  <c r="S81" i="2"/>
  <c r="T81" i="2" s="1"/>
  <c r="V81" i="2" s="1"/>
  <c r="Q114" i="2"/>
  <c r="S114" i="2" s="1"/>
  <c r="T114" i="2" s="1"/>
  <c r="AD79" i="2"/>
  <c r="AE79" i="2"/>
  <c r="AJ361" i="21" l="1"/>
  <c r="W366" i="21"/>
  <c r="AI81" i="2"/>
  <c r="AC81" i="2"/>
  <c r="X81" i="2"/>
  <c r="AH81" i="2" s="1"/>
  <c r="AE80" i="2"/>
  <c r="AD80" i="2"/>
  <c r="V114" i="2"/>
  <c r="AC114" i="2"/>
  <c r="R366" i="21" l="1"/>
  <c r="AI114" i="2"/>
  <c r="X114" i="2"/>
  <c r="AD81" i="2"/>
  <c r="AD82" i="2" s="1"/>
  <c r="AE81" i="2"/>
  <c r="AE114" i="2"/>
  <c r="AD114" i="2"/>
  <c r="Q367" i="21" l="1"/>
  <c r="R367" i="21" s="1"/>
  <c r="S366" i="21"/>
  <c r="T366" i="21" s="1"/>
  <c r="V366" i="21" s="1"/>
  <c r="AH114" i="2"/>
  <c r="W121" i="2"/>
  <c r="AK366" i="21" l="1"/>
  <c r="AC366" i="21" s="1"/>
  <c r="AB366" i="21"/>
  <c r="X366" i="21"/>
  <c r="AJ366" i="21" s="1"/>
  <c r="S367" i="21"/>
  <c r="T367" i="21" s="1"/>
  <c r="V367" i="21" s="1"/>
  <c r="Q368" i="21"/>
  <c r="R368" i="21" s="1"/>
  <c r="AC121" i="2"/>
  <c r="R121" i="2"/>
  <c r="S368" i="21" l="1"/>
  <c r="T368" i="21" s="1"/>
  <c r="V368" i="21" s="1"/>
  <c r="Q369" i="21"/>
  <c r="R369" i="21" s="1"/>
  <c r="X367" i="21"/>
  <c r="AJ367" i="21" s="1"/>
  <c r="AK367" i="21"/>
  <c r="AC367" i="21" s="1"/>
  <c r="AE121" i="2"/>
  <c r="AD121" i="2"/>
  <c r="Q122" i="2"/>
  <c r="S121" i="2"/>
  <c r="T121" i="2" s="1"/>
  <c r="V121" i="2" s="1"/>
  <c r="Q370" i="21" l="1"/>
  <c r="R370" i="21" s="1"/>
  <c r="S369" i="21"/>
  <c r="T369" i="21" s="1"/>
  <c r="V369" i="21" s="1"/>
  <c r="AK368" i="21"/>
  <c r="AC368" i="21" s="1"/>
  <c r="X368" i="21"/>
  <c r="AJ368" i="21" s="1"/>
  <c r="AI122" i="2"/>
  <c r="X121" i="2"/>
  <c r="M371" i="21" a="1"/>
  <c r="M371" i="21" l="1"/>
  <c r="AK369" i="21"/>
  <c r="AC369" i="21" s="1"/>
  <c r="X369" i="21"/>
  <c r="AJ369" i="21" s="1"/>
  <c r="S370" i="21"/>
  <c r="T370" i="21" s="1"/>
  <c r="V370" i="21" s="1"/>
  <c r="Q381" i="21"/>
  <c r="R381" i="21" s="1"/>
  <c r="W122" i="2"/>
  <c r="AH122" i="2"/>
  <c r="Q382" i="21" l="1"/>
  <c r="R382" i="21" s="1"/>
  <c r="S381" i="21"/>
  <c r="T381" i="21" s="1"/>
  <c r="V381" i="21" s="1"/>
  <c r="AK370" i="21"/>
  <c r="AC370" i="21" s="1"/>
  <c r="X370" i="21"/>
  <c r="AJ370" i="21" s="1"/>
  <c r="R122" i="2"/>
  <c r="M383" i="21" a="1"/>
  <c r="M383" i="21" l="1"/>
  <c r="AK381" i="21"/>
  <c r="AC381" i="21" s="1"/>
  <c r="X381" i="21"/>
  <c r="AJ381" i="21" s="1"/>
  <c r="S382" i="21"/>
  <c r="T382" i="21" s="1"/>
  <c r="V382" i="21" s="1"/>
  <c r="Q385" i="21"/>
  <c r="R385" i="21" s="1"/>
  <c r="Q123" i="2"/>
  <c r="R123" i="2" s="1"/>
  <c r="S122" i="2"/>
  <c r="T122" i="2" s="1"/>
  <c r="M386" i="21" a="1"/>
  <c r="M386" i="21" l="1"/>
  <c r="S385" i="21"/>
  <c r="T385" i="21" s="1"/>
  <c r="V385" i="21" s="1"/>
  <c r="X385" i="21" s="1"/>
  <c r="Q420" i="21"/>
  <c r="AK382" i="21"/>
  <c r="AC382" i="21" s="1"/>
  <c r="AC385" i="21" s="1"/>
  <c r="AD385" i="21" s="1"/>
  <c r="X382" i="21"/>
  <c r="AJ382" i="21" s="1"/>
  <c r="AC122" i="2"/>
  <c r="V122" i="2"/>
  <c r="Q124" i="2"/>
  <c r="R124" i="2" s="1"/>
  <c r="S123" i="2"/>
  <c r="T123" i="2" s="1"/>
  <c r="L420" i="21" a="1"/>
  <c r="L420" i="21" l="1"/>
  <c r="R420" i="21"/>
  <c r="S124" i="2"/>
  <c r="T124" i="2" s="1"/>
  <c r="Q125" i="2"/>
  <c r="R125" i="2" s="1"/>
  <c r="AE122" i="2"/>
  <c r="AD122" i="2"/>
  <c r="AC123" i="2"/>
  <c r="V123" i="2"/>
  <c r="AI123" i="2"/>
  <c r="X122" i="2"/>
  <c r="AH123" i="2" s="1"/>
  <c r="M420" i="21" a="1"/>
  <c r="M420" i="21" l="1"/>
  <c r="S420" i="21"/>
  <c r="T420" i="21" s="1"/>
  <c r="V420" i="21" s="1"/>
  <c r="Q421" i="21"/>
  <c r="AI124" i="2"/>
  <c r="X123" i="2"/>
  <c r="AH124" i="2" s="1"/>
  <c r="AE123" i="2"/>
  <c r="AD123" i="2"/>
  <c r="Q126" i="2"/>
  <c r="R126" i="2" s="1"/>
  <c r="S125" i="2"/>
  <c r="T125" i="2" s="1"/>
  <c r="V124" i="2"/>
  <c r="AC124" i="2"/>
  <c r="L421" i="21" a="1"/>
  <c r="L421" i="21" l="1"/>
  <c r="R421" i="21"/>
  <c r="AE420" i="21"/>
  <c r="AC420" i="21" s="1"/>
  <c r="X420" i="21"/>
  <c r="AD420" i="21" s="1"/>
  <c r="AE124" i="2"/>
  <c r="AD124" i="2"/>
  <c r="AI125" i="2"/>
  <c r="X124" i="2"/>
  <c r="AH125" i="2" s="1"/>
  <c r="S126" i="2"/>
  <c r="T126" i="2" s="1"/>
  <c r="Q127" i="2"/>
  <c r="R127" i="2" s="1"/>
  <c r="AC125" i="2"/>
  <c r="V125" i="2"/>
  <c r="X125" i="2" s="1"/>
  <c r="M421" i="21" a="1"/>
  <c r="M421" i="21" l="1"/>
  <c r="S421" i="21"/>
  <c r="T421" i="21" s="1"/>
  <c r="V421" i="21" s="1"/>
  <c r="Q422" i="21"/>
  <c r="AE125" i="2"/>
  <c r="AD125" i="2"/>
  <c r="S127" i="2"/>
  <c r="T127" i="2" s="1"/>
  <c r="Q128" i="2"/>
  <c r="R128" i="2" s="1"/>
  <c r="AC126" i="2"/>
  <c r="V126" i="2"/>
  <c r="L422" i="21" a="1"/>
  <c r="L422" i="21" l="1"/>
  <c r="R422" i="21"/>
  <c r="AE421" i="21"/>
  <c r="AC421" i="21" s="1"/>
  <c r="X421" i="21"/>
  <c r="AD421" i="21" s="1"/>
  <c r="AE126" i="2"/>
  <c r="AD126" i="2"/>
  <c r="AI126" i="2"/>
  <c r="X126" i="2"/>
  <c r="AH126" i="2" s="1"/>
  <c r="Q130" i="2"/>
  <c r="S130" i="2" s="1"/>
  <c r="T130" i="2" s="1"/>
  <c r="S128" i="2"/>
  <c r="T128" i="2" s="1"/>
  <c r="AC127" i="2"/>
  <c r="V127" i="2"/>
  <c r="M422" i="21" a="1"/>
  <c r="M422" i="21" l="1"/>
  <c r="S422" i="21"/>
  <c r="T422" i="21" s="1"/>
  <c r="V422" i="21" s="1"/>
  <c r="Q423" i="21"/>
  <c r="V130" i="2"/>
  <c r="AC130" i="2"/>
  <c r="AD130" i="2" s="1"/>
  <c r="AE127" i="2"/>
  <c r="AD127" i="2"/>
  <c r="X127" i="2"/>
  <c r="AH127" i="2" s="1"/>
  <c r="AI127" i="2"/>
  <c r="V128" i="2"/>
  <c r="AC128" i="2"/>
  <c r="AD128" i="2" s="1"/>
  <c r="AD119" i="2" s="1"/>
  <c r="L423" i="21" a="1"/>
  <c r="L423" i="21" l="1"/>
  <c r="R423" i="21"/>
  <c r="AE422" i="21"/>
  <c r="AC422" i="21" s="1"/>
  <c r="X422" i="21"/>
  <c r="AD422" i="21" s="1"/>
  <c r="AI128" i="2"/>
  <c r="X128" i="2"/>
  <c r="AH128" i="2" s="1"/>
  <c r="AI130" i="2"/>
  <c r="X130" i="2"/>
  <c r="M423" i="21" a="1"/>
  <c r="M423" i="21" l="1"/>
  <c r="S423" i="21"/>
  <c r="T423" i="21" s="1"/>
  <c r="V423" i="21" s="1"/>
  <c r="Q424" i="21"/>
  <c r="AH130" i="2"/>
  <c r="W132" i="2"/>
  <c r="L424" i="21" a="1"/>
  <c r="L424" i="21" l="1"/>
  <c r="R424" i="21"/>
  <c r="AE423" i="21"/>
  <c r="AC423" i="21" s="1"/>
  <c r="X423" i="21"/>
  <c r="AD423" i="21" s="1"/>
  <c r="R132" i="2"/>
  <c r="M424" i="21" a="1"/>
  <c r="M424" i="21" l="1"/>
  <c r="S424" i="21"/>
  <c r="T424" i="21" s="1"/>
  <c r="V424" i="21" s="1"/>
  <c r="Q425" i="21"/>
  <c r="Q133" i="2"/>
  <c r="R133" i="2" s="1"/>
  <c r="S132" i="2"/>
  <c r="T132" i="2" s="1"/>
  <c r="L425" i="21" a="1"/>
  <c r="L425" i="21" l="1"/>
  <c r="R425" i="21"/>
  <c r="AE424" i="21"/>
  <c r="AC424" i="21" s="1"/>
  <c r="X424" i="21"/>
  <c r="AD424" i="21" s="1"/>
  <c r="AC132" i="2"/>
  <c r="AD132" i="2" s="1"/>
  <c r="V132" i="2"/>
  <c r="S133" i="2"/>
  <c r="T133" i="2" s="1"/>
  <c r="Q134" i="2"/>
  <c r="S134" i="2" s="1"/>
  <c r="T134" i="2" s="1"/>
  <c r="M425" i="21" a="1"/>
  <c r="M425" i="21" l="1"/>
  <c r="Q433" i="21"/>
  <c r="S425" i="21"/>
  <c r="T425" i="21" s="1"/>
  <c r="V425" i="21" s="1"/>
  <c r="AC134" i="2"/>
  <c r="AD134" i="2" s="1"/>
  <c r="V134" i="2"/>
  <c r="AI132" i="2"/>
  <c r="X132" i="2"/>
  <c r="AH132" i="2" s="1"/>
  <c r="AC133" i="2"/>
  <c r="AD133" i="2" s="1"/>
  <c r="V133" i="2"/>
  <c r="L433" i="21" a="1"/>
  <c r="L433" i="21" l="1"/>
  <c r="R433" i="21"/>
  <c r="AE425" i="21"/>
  <c r="AC425" i="21" s="1"/>
  <c r="X425" i="21"/>
  <c r="AD425" i="21" s="1"/>
  <c r="AI133" i="2"/>
  <c r="X133" i="2"/>
  <c r="AH133" i="2" s="1"/>
  <c r="AI134" i="2"/>
  <c r="AA134" i="2" s="1"/>
  <c r="Z134" i="2" s="1"/>
  <c r="Z142" i="2" s="1"/>
  <c r="AA142" i="2" s="1"/>
  <c r="X134" i="2"/>
  <c r="M433" i="21" a="1"/>
  <c r="M433" i="21" l="1"/>
  <c r="S433" i="21"/>
  <c r="T433" i="21" s="1"/>
  <c r="V433" i="21" s="1"/>
  <c r="Q434" i="21"/>
  <c r="W135" i="2"/>
  <c r="AH134" i="2"/>
  <c r="L434" i="21" a="1"/>
  <c r="L434" i="21" l="1"/>
  <c r="R434" i="21"/>
  <c r="X433" i="21"/>
  <c r="AD433" i="21" s="1"/>
  <c r="AE433" i="21"/>
  <c r="AC433" i="21" s="1"/>
  <c r="Z135" i="2"/>
  <c r="Z136" i="2" s="1"/>
  <c r="Z137" i="2" s="1"/>
  <c r="Z138" i="2" s="1"/>
  <c r="Z139" i="2" s="1"/>
  <c r="Z140" i="2" s="1"/>
  <c r="Z141" i="2" s="1"/>
  <c r="R135" i="2"/>
  <c r="M434" i="21" a="1"/>
  <c r="M434" i="21" l="1"/>
  <c r="S434" i="21"/>
  <c r="T434" i="21" s="1"/>
  <c r="V434" i="21" s="1"/>
  <c r="Q436" i="21"/>
  <c r="Q136" i="2"/>
  <c r="R136" i="2" s="1"/>
  <c r="S135" i="2"/>
  <c r="T135" i="2" s="1"/>
  <c r="L436" i="21" a="1"/>
  <c r="L436" i="21" l="1"/>
  <c r="R436" i="21"/>
  <c r="AE434" i="21"/>
  <c r="AC434" i="21" s="1"/>
  <c r="X434" i="21"/>
  <c r="AD434" i="21" s="1"/>
  <c r="AC135" i="2"/>
  <c r="AD135" i="2" s="1"/>
  <c r="V135" i="2"/>
  <c r="Q137" i="2"/>
  <c r="R137" i="2" s="1"/>
  <c r="S136" i="2"/>
  <c r="T136" i="2" s="1"/>
  <c r="M436" i="21" a="1"/>
  <c r="M436" i="21" l="1"/>
  <c r="S436" i="21"/>
  <c r="T436" i="21" s="1"/>
  <c r="V436" i="21" s="1"/>
  <c r="Q452" i="21"/>
  <c r="S137" i="2"/>
  <c r="T137" i="2" s="1"/>
  <c r="Q138" i="2"/>
  <c r="R138" i="2" s="1"/>
  <c r="AI135" i="2"/>
  <c r="X135" i="2"/>
  <c r="AH135" i="2" s="1"/>
  <c r="AC136" i="2"/>
  <c r="AD136" i="2" s="1"/>
  <c r="V136" i="2"/>
  <c r="L452" i="21" a="1"/>
  <c r="L452" i="21" l="1"/>
  <c r="R452" i="21"/>
  <c r="AE436" i="21"/>
  <c r="AC436" i="21" s="1"/>
  <c r="X436" i="21"/>
  <c r="AD436" i="21" s="1"/>
  <c r="AI136" i="2"/>
  <c r="X136" i="2"/>
  <c r="AH136" i="2" s="1"/>
  <c r="S138" i="2"/>
  <c r="T138" i="2" s="1"/>
  <c r="Q139" i="2"/>
  <c r="R139" i="2" s="1"/>
  <c r="V137" i="2"/>
  <c r="AC137" i="2"/>
  <c r="AD137" i="2" s="1"/>
  <c r="M452" i="21" a="1"/>
  <c r="M452" i="21" l="1"/>
  <c r="S452" i="21"/>
  <c r="T452" i="21" s="1"/>
  <c r="V452" i="21" s="1"/>
  <c r="Q458" i="21"/>
  <c r="AI137" i="2"/>
  <c r="X137" i="2"/>
  <c r="AH137" i="2" s="1"/>
  <c r="Q140" i="2"/>
  <c r="R140" i="2" s="1"/>
  <c r="S139" i="2"/>
  <c r="T139" i="2" s="1"/>
  <c r="AC138" i="2"/>
  <c r="AD138" i="2" s="1"/>
  <c r="V138" i="2"/>
  <c r="L458" i="21" a="1"/>
  <c r="L458" i="21" l="1"/>
  <c r="R458" i="21"/>
  <c r="X452" i="21"/>
  <c r="AD452" i="21" s="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AI138" i="2"/>
  <c r="X138" i="2"/>
  <c r="AH138" i="2" s="1"/>
  <c r="AC139" i="2"/>
  <c r="AD139" i="2" s="1"/>
  <c r="V139" i="2"/>
  <c r="S140" i="2"/>
  <c r="T140" i="2" s="1"/>
  <c r="Q141" i="2"/>
  <c r="R141" i="2" s="1"/>
  <c r="M458" i="21" a="1"/>
  <c r="M458" i="21" l="1"/>
  <c r="AC477" i="21"/>
  <c r="AC479" i="21" s="1"/>
  <c r="AC480" i="21" s="1"/>
  <c r="AC482" i="21" s="1"/>
  <c r="AC478" i="21"/>
  <c r="S458" i="21"/>
  <c r="T458" i="21" s="1"/>
  <c r="V458" i="21" s="1"/>
  <c r="Q483" i="21"/>
  <c r="AI139" i="2"/>
  <c r="X139" i="2"/>
  <c r="AH139" i="2" s="1"/>
  <c r="Q144" i="2"/>
  <c r="R144" i="2" s="1"/>
  <c r="S141" i="2"/>
  <c r="T141" i="2" s="1"/>
  <c r="V140" i="2"/>
  <c r="AC140" i="2"/>
  <c r="AD140" i="2" s="1"/>
  <c r="L483" i="21" a="1"/>
  <c r="L483" i="21" l="1"/>
  <c r="S483" i="21"/>
  <c r="T483" i="21" s="1"/>
  <c r="V483" i="21" s="1"/>
  <c r="X458" i="21"/>
  <c r="AD458" i="21" s="1"/>
  <c r="AE458" i="21"/>
  <c r="AC458" i="21" s="1"/>
  <c r="X140" i="2"/>
  <c r="AH140" i="2" s="1"/>
  <c r="AI140" i="2"/>
  <c r="AC141" i="2"/>
  <c r="AD141" i="2" s="1"/>
  <c r="V141" i="2"/>
  <c r="S144" i="2"/>
  <c r="T144" i="2" s="1"/>
  <c r="V144" i="2" s="1"/>
  <c r="Q145" i="2"/>
  <c r="R145" i="2" s="1"/>
  <c r="AE483" i="21" l="1"/>
  <c r="AC483" i="21" s="1"/>
  <c r="X483" i="21"/>
  <c r="AD483" i="21" s="1"/>
  <c r="S145" i="2"/>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 xml:space="preserve">0.282361111111111:byte/s_x000D_
2.25888888888889:bit/s_x000D_
AS27:Rate_Cell_x000D_
R17:caller_x000D_
</t>
        </r>
      </text>
    </comment>
    <comment ref="T17" authorId="0" shapeId="0" xr:uid="{B0AF6F5E-69F5-4F4B-97BB-86DFA5FC7FE5}">
      <text>
        <r>
          <rPr>
            <b/>
            <sz val="9"/>
            <color indexed="81"/>
            <rFont val="Tahoma"/>
            <family val="2"/>
          </rPr>
          <t xml:space="preserve">0.282361111111111:byte/s_x000D_
2.25888888888889:bit/s_x000D_
AS27:Rate_Cell_x000D_
T17:caller_x000D_
</t>
        </r>
      </text>
    </comment>
    <comment ref="T18" authorId="0" shapeId="0" xr:uid="{48F10CA4-6A23-47BE-A28C-B58B9A1FE951}">
      <text>
        <r>
          <rPr>
            <b/>
            <sz val="9"/>
            <color indexed="81"/>
            <rFont val="Tahoma"/>
            <family val="2"/>
          </rPr>
          <t xml:space="preserve">0.414652777777778:byte/s_x000D_
3.31722222222222:bit/s_x000D_
AE27:Rate_Cell_x000D_
T18:caller_x000D_
</t>
        </r>
      </text>
    </comment>
    <comment ref="T19" authorId="0" shapeId="0" xr:uid="{00A0E73F-E12B-4711-8614-DB6E38DC22A6}">
      <text>
        <r>
          <rPr>
            <b/>
            <sz val="9"/>
            <color indexed="81"/>
            <rFont val="Tahoma"/>
            <family val="2"/>
          </rPr>
          <t xml:space="preserve">0.414652777777778:byte/s_x000D_
3.31722222222222:bit/s_x000D_
AE27:Rate_Cell_x000D_
T19:caller_x000D_
</t>
        </r>
      </text>
    </comment>
    <comment ref="T20" authorId="0" shapeId="0" xr:uid="{AAAAB343-690A-41FB-974F-0514F391652B}">
      <text>
        <r>
          <rPr>
            <b/>
            <sz val="9"/>
            <color indexed="81"/>
            <rFont val="Tahoma"/>
            <family val="2"/>
          </rPr>
          <t xml:space="preserve">0.414652777777778:byte/s_x000D_
3.31722222222222:bit/s_x000D_
AE27:Rate_Cell_x000D_
T20:caller_x000D_
</t>
        </r>
      </text>
    </comment>
    <comment ref="T21" authorId="0" shapeId="0" xr:uid="{4ADBAF29-BA74-49FD-A14B-442FA8B88D49}">
      <text>
        <r>
          <rPr>
            <b/>
            <sz val="9"/>
            <color indexed="81"/>
            <rFont val="Tahoma"/>
            <family val="2"/>
          </rPr>
          <t xml:space="preserve">0.414652777777778:byte/s_x000D_
3.31722222222222:bit/s_x000D_
AE27:Rate_Cell_x000D_
T21:caller_x000D_
</t>
        </r>
      </text>
    </comment>
    <comment ref="R22" authorId="0" shapeId="0" xr:uid="{E3F89DFF-1105-42F7-85BA-FE57639DDEC6}">
      <text>
        <r>
          <rPr>
            <b/>
            <sz val="9"/>
            <color indexed="81"/>
            <rFont val="Tahoma"/>
            <family val="2"/>
          </rPr>
          <t xml:space="preserve">0.414652777777778:byte/s_x000D_
3.31722222222222:bit/s_x000D_
AE27:Rate_Cell_x000D_
R22:caller_x000D_
</t>
        </r>
      </text>
    </comment>
    <comment ref="T22" authorId="0" shapeId="0" xr:uid="{EF593A3A-A567-443E-B18D-9399E4543131}">
      <text>
        <r>
          <rPr>
            <b/>
            <sz val="9"/>
            <color indexed="81"/>
            <rFont val="Tahoma"/>
            <family val="2"/>
          </rPr>
          <t xml:space="preserve">0.414652777777778:byte/s_x000D_
3.31722222222222:bit/s_x000D_
AE27:Rate_Cell_x000D_
T22:caller_x000D_
</t>
        </r>
      </text>
    </comment>
    <comment ref="R23" authorId="0" shapeId="0" xr:uid="{21339E73-FC30-4F1D-8084-E68BD8403B08}">
      <text>
        <r>
          <rPr>
            <b/>
            <sz val="9"/>
            <color indexed="81"/>
            <rFont val="Tahoma"/>
            <family val="2"/>
          </rPr>
          <t xml:space="preserve">2.19284722222222:byte/s_x000D_
17.5427777777778:bit/s_x000D_
AH27:Rate_Cell_x000D_
R23:caller_x000D_
</t>
        </r>
      </text>
    </comment>
    <comment ref="T23" authorId="0" shapeId="0" xr:uid="{6735172D-9D51-4592-91DB-E2F6C3C1433E}">
      <text>
        <r>
          <rPr>
            <b/>
            <sz val="9"/>
            <color indexed="81"/>
            <rFont val="Tahoma"/>
            <family val="2"/>
          </rPr>
          <t xml:space="preserve">2.19284722222222:byte/s_x000D_
17.5427777777778:bit/s_x000D_
AH27:Rate_Cell_x000D_
T23:caller_x000D_
</t>
        </r>
      </text>
    </comment>
    <comment ref="R24" authorId="0" shapeId="0" xr:uid="{ADA75B8D-A3F1-4D6E-9B6C-3EA0A66223BA}">
      <text>
        <r>
          <rPr>
            <b/>
            <sz val="9"/>
            <color indexed="81"/>
            <rFont val="Tahoma"/>
            <family val="2"/>
          </rPr>
          <t xml:space="preserve">1.84722222222222:byte/s_x000D_
14.7777777777778:bit/s_x000D_
AN27:Rate_Cell_x000D_
R24:caller_x000D_
</t>
        </r>
      </text>
    </comment>
    <comment ref="T24" authorId="0" shapeId="0" xr:uid="{CF6C65B2-5148-4ED6-9DB5-AD21E36BD7C9}">
      <text>
        <r>
          <rPr>
            <b/>
            <sz val="9"/>
            <color indexed="81"/>
            <rFont val="Tahoma"/>
            <family val="2"/>
          </rPr>
          <t xml:space="preserve">1.84722222222222:byte/s_x000D_
14.7777777777778:bit/s_x000D_
AN27:Rate_Cell_x000D_
T24:caller_x000D_
</t>
        </r>
      </text>
    </comment>
    <comment ref="R26" authorId="0" shapeId="0" xr:uid="{BD522B2C-9323-4C22-B7DF-11987F3DA905}">
      <text>
        <r>
          <rPr>
            <b/>
            <sz val="9"/>
            <color indexed="81"/>
            <rFont val="Tahoma"/>
            <family val="2"/>
          </rPr>
          <t xml:space="preserve">0.627986111111111:byte/s_x000D_
5.02388888888889:bit/s_x000D_
AU27:Rate_Cell_x000D_
R26:caller_x000D_
</t>
        </r>
      </text>
    </comment>
    <comment ref="T26" authorId="0" shapeId="0" xr:uid="{56983D25-7346-4E34-A79C-2BF07C170F52}">
      <text>
        <r>
          <rPr>
            <b/>
            <sz val="9"/>
            <color indexed="81"/>
            <rFont val="Tahoma"/>
            <family val="2"/>
          </rPr>
          <t xml:space="preserve">0.627986111111111:byte/s_x000D_
5.02388888888889:bit/s_x000D_
AU27:Rate_Cell_x000D_
T26:caller_x000D_
</t>
        </r>
      </text>
    </comment>
    <comment ref="R27" authorId="0" shapeId="0" xr:uid="{6C2EB7C1-DEBF-4DEF-A6AD-87EEA81DFE1B}">
      <text>
        <r>
          <rPr>
            <b/>
            <sz val="9"/>
            <color indexed="81"/>
            <rFont val="Tahoma"/>
            <family val="2"/>
          </rPr>
          <t xml:space="preserve">2.261875:byte/s_x000D_
18.095:bit/s_x000D_
AI27:Rate_Cell_x000D_
R27:caller_x000D_
</t>
        </r>
      </text>
    </comment>
    <comment ref="T27" authorId="0" shapeId="0" xr:uid="{C0CF6DA7-E8A8-495F-A8E1-C1DB95649C85}">
      <text>
        <r>
          <rPr>
            <b/>
            <sz val="9"/>
            <color indexed="81"/>
            <rFont val="Tahoma"/>
            <family val="2"/>
          </rPr>
          <t xml:space="preserve">2.261875:byte/s_x000D_
18.095:bit/s_x000D_
AI27:Rate_Cell_x000D_
T27:caller_x000D_
</t>
        </r>
      </text>
    </comment>
    <comment ref="R28" authorId="0" shapeId="0" xr:uid="{5586D3F9-F13F-4107-ADF0-394EEE9F52B0}">
      <text>
        <r>
          <rPr>
            <b/>
            <sz val="9"/>
            <color indexed="81"/>
            <rFont val="Tahoma"/>
            <family val="2"/>
          </rPr>
          <t xml:space="preserve">2.19284722222222:byte/s_x000D_
17.5427777777778:bit/s_x000D_
AP27:Rate_Cell_x000D_
R28:caller_x000D_
</t>
        </r>
      </text>
    </comment>
    <comment ref="T28" authorId="0" shapeId="0" xr:uid="{B7A6C7C6-A64D-4878-BCBB-971456D0DC35}">
      <text>
        <r>
          <rPr>
            <b/>
            <sz val="9"/>
            <color indexed="81"/>
            <rFont val="Tahoma"/>
            <family val="2"/>
          </rPr>
          <t xml:space="preserve">2.19284722222222:byte/s_x000D_
17.5427777777778:bit/s_x000D_
AP27:Rate_Cell_x000D_
T28:caller_x000D_
</t>
        </r>
      </text>
    </comment>
    <comment ref="R31" authorId="0" shapeId="0" xr:uid="{B5BBAE50-88D9-4F5A-96A3-5572EE702272}">
      <text>
        <r>
          <rPr>
            <sz val="9"/>
            <color indexed="81"/>
            <rFont val="Tahoma"/>
            <family val="2"/>
          </rPr>
          <t xml:space="preserve">2.47520833333333:byte/s_x000D_
19.8016666666667:bit/s_x000D_
BG27:Rate_Cell_x000D_
R31:caller_x000D_
</t>
        </r>
      </text>
    </comment>
    <comment ref="T31" authorId="0" shapeId="0" xr:uid="{982C27C7-2112-40D3-8077-FD8D741186EE}">
      <text>
        <r>
          <rPr>
            <sz val="9"/>
            <color indexed="81"/>
            <rFont val="Tahoma"/>
            <family val="2"/>
          </rPr>
          <t xml:space="preserve">2.47520833333333:byte/s_x000D_
19.8016666666667:bit/s_x000D_
BG27:Rate_Cell_x000D_
T31:caller_x000D_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PEPSSI" description="Connection to the 'fnTransformSingleFilePEPSSI' query in the workbook." type="5" refreshedVersion="0" background="1" saveData="1">
    <dbPr connection="Provider=Microsoft.Mashup.OleDb.1;Data Source=$Workbook$;Location=fnTransformSingleFilePEPSSI;Extended Properties=&quot;&quot;" command="SELECT * FROM [fnTransformSingleFilePEPSSI]"/>
  </connection>
  <connection id="4" xr16:uid="{994911E7-6CDD-433A-9C4B-1E8D87B18EDC}" keepAlive="1" name="Query - fnTransformSingleFileSwap" description="Connection to the 'fnTransformSingleFileSwap' query in the workbook." type="5" refreshedVersion="0" background="1">
    <dbPr connection="Provider=Microsoft.Mashup.OleDb.1;Data Source=$Workbook$;Location=fnTransformSingleFileSwap;Extended Properties=&quot;&quot;" command="SELECT * FROM [fnTransformSingleFileSwap]"/>
  </connection>
  <connection id="5"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6"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7"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 id="8" xr16:uid="{5BE173E5-83E8-44DA-874C-A334BDDD36A0}" keepAlive="1" name="Query - SWAP Commanding" description="Connection to the 'SWAP Commanding' query in the workbook." type="5" refreshedVersion="8" background="1" saveData="1">
    <dbPr connection="Provider=Microsoft.Mashup.OleDb.1;Data Source=$Workbook$;Location=&quot;SWAP Commanding&quot;;Extended Properties=&quot;&quot;" command="SELECT * FROM [SWAP Commanding]"/>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<sst xmlns="http://schemas.openxmlformats.org/spreadsheetml/2006/main" count="9892" uniqueCount="5909">
  <si>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</si>
  <si>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</si>
  <si>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</si>
  <si>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</si>
  <si>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</si>
  <si>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</si>
  <si>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</si>
  <si>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</si>
  <si>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</si>
  <si>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</si>
  <si>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</si>
  <si>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</si>
  <si>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</si>
  <si>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</si>
  <si>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</si>
  <si>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</si>
  <si>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</si>
  <si>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</si>
  <si>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</si>
  <si>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</si>
  <si>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</si>
  <si>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</si>
  <si>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</si>
  <si>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</si>
  <si>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</si>
  <si>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</si>
  <si>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</si>
  <si>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</si>
  <si>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</si>
  <si>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</si>
  <si>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</si>
  <si>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</si>
  <si>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</si>
  <si>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</si>
  <si>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</si>
  <si>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</si>
  <si>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</si>
  <si>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</si>
  <si>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</si>
  <si>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</si>
  <si>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</si>
  <si>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</si>
  <si>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</si>
  <si>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</si>
  <si>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</si>
  <si>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</si>
  <si>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</si>
  <si>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</si>
  <si>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</si>
  <si>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</si>
  <si>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</si>
  <si>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</si>
  <si>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</si>
  <si>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</si>
  <si>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</si>
  <si>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</si>
  <si>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</si>
  <si>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</si>
  <si>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</si>
  <si>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</si>
  <si>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</si>
  <si>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</si>
  <si>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</si>
  <si>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</si>
  <si>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</si>
  <si>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</si>
  <si>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</si>
  <si>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</si>
  <si>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</si>
  <si>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</si>
  <si>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</si>
  <si>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</si>
  <si>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</si>
  <si>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</si>
  <si>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</si>
  <si>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</si>
  <si>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</si>
  <si>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</si>
  <si>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</si>
  <si>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</si>
  <si>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</si>
  <si>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</si>
  <si>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</si>
  <si>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</si>
  <si>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</si>
  <si>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</si>
  <si>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</si>
  <si>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</si>
  <si>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</si>
  <si>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</si>
  <si>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</si>
  <si>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</si>
  <si>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</si>
  <si>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</si>
  <si>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</si>
  <si>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</si>
  <si>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</si>
  <si>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</si>
  <si>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</si>
  <si>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</si>
  <si>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</si>
  <si>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</si>
  <si>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</si>
  <si>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</si>
  <si>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</si>
  <si>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</si>
  <si>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</si>
  <si>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</si>
  <si>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</si>
  <si>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</si>
  <si>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</si>
  <si>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</si>
  <si>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</si>
  <si>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</si>
  <si>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</si>
  <si>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</si>
  <si>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</si>
  <si>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</si>
  <si>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</si>
  <si>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</si>
  <si>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</si>
  <si>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</si>
  <si>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</si>
  <si>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</si>
  <si>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</si>
  <si>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</si>
  <si>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</si>
  <si>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</si>
  <si>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</si>
  <si>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</si>
  <si>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</si>
  <si>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</si>
  <si>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</si>
  <si>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</si>
  <si>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</si>
  <si>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</si>
  <si>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</si>
  <si>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</si>
  <si>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</si>
  <si>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</si>
  <si>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</si>
  <si>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</si>
  <si>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</si>
  <si>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</si>
  <si>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</si>
  <si>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</si>
  <si>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</si>
  <si>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</si>
  <si>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</si>
  <si>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</si>
  <si>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</si>
  <si>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</si>
  <si>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</si>
  <si>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</si>
  <si>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</si>
  <si>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</si>
  <si>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</si>
  <si>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</si>
  <si>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</si>
  <si>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</si>
  <si>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</si>
  <si>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</si>
  <si>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</si>
  <si>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</si>
  <si>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</si>
  <si>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</si>
  <si>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</si>
  <si>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</si>
  <si>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</si>
  <si>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</si>
  <si>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</si>
  <si>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</si>
  <si>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</si>
  <si>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</si>
  <si>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</si>
  <si>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</si>
  <si>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</si>
  <si>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</si>
  <si>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</si>
  <si>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</si>
  <si>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</si>
  <si>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</si>
  <si>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</si>
  <si>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</si>
  <si>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</si>
  <si>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</si>
  <si>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</si>
  <si>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</si>
  <si>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</si>
  <si>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</si>
  <si>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</si>
  <si>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</si>
  <si>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</si>
  <si>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</si>
  <si>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</si>
  <si>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</si>
  <si>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</si>
  <si>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</si>
  <si>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</si>
  <si>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</si>
  <si>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</si>
  <si>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</si>
  <si>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</si>
  <si>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</si>
  <si>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</si>
  <si>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</si>
  <si>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</si>
  <si>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</si>
  <si>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</si>
  <si>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</si>
  <si>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</si>
  <si>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</si>
  <si>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</si>
  <si>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</si>
  <si>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</si>
  <si>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</si>
  <si>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</si>
  <si>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</si>
  <si>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</si>
  <si>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</si>
  <si>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</si>
  <si>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</si>
  <si>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</si>
  <si>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</si>
  <si>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</si>
  <si>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</si>
  <si>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</si>
  <si>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</si>
  <si>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</si>
  <si>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</si>
  <si>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</si>
  <si>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</si>
  <si>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</si>
  <si>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</si>
  <si>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</si>
  <si>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</si>
  <si>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</si>
  <si>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</si>
  <si>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</si>
  <si>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</si>
  <si>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</si>
  <si>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</si>
  <si>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</si>
  <si>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</si>
  <si>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</si>
  <si>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</si>
  <si>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</si>
  <si>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</si>
  <si>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</si>
  <si>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</si>
  <si>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</si>
  <si>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</si>
  <si>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</si>
  <si>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</si>
  <si>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</si>
  <si>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</si>
  <si>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</si>
  <si>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</si>
  <si>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</si>
  <si>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</si>
  <si>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</si>
  <si>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</si>
  <si>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</si>
  <si>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</si>
  <si>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</si>
  <si>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</si>
  <si>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</si>
  <si>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</si>
  <si>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</si>
  <si>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</si>
  <si>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</si>
  <si>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</si>
  <si>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</si>
  <si>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</si>
  <si>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</si>
  <si>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</si>
  <si>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</si>
  <si>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</si>
  <si>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</si>
  <si>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</si>
  <si>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</si>
  <si>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</si>
  <si>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</si>
  <si>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</si>
  <si>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</si>
  <si>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</si>
  <si>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</si>
  <si>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</si>
  <si>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</si>
  <si>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</si>
  <si>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</si>
  <si>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</si>
  <si>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</si>
  <si>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</si>
  <si>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</si>
  <si>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</si>
  <si>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</si>
  <si>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</si>
  <si>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</si>
  <si>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</si>
  <si>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</si>
  <si>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</si>
  <si>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</si>
  <si>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</si>
  <si>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</si>
  <si>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</si>
  <si>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</si>
  <si>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</si>
  <si>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</si>
  <si>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</si>
  <si>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</si>
  <si>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</si>
  <si>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</si>
  <si>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</si>
  <si>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</si>
  <si>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</si>
  <si>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</si>
  <si>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</si>
  <si>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</si>
  <si>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</si>
  <si>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</si>
  <si>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</si>
  <si>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</si>
  <si>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</si>
  <si>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</si>
  <si>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</si>
  <si>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</si>
  <si>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</si>
  <si>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</si>
  <si>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</si>
  <si>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</si>
  <si>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</si>
  <si>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</si>
  <si>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</si>
  <si>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</si>
  <si>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</si>
  <si>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</si>
  <si>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</si>
  <si>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</si>
  <si>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</si>
  <si>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</si>
  <si>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</si>
  <si>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</si>
  <si>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</si>
  <si>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</si>
  <si>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</si>
  <si>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</si>
  <si>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</si>
  <si>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</si>
  <si>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</si>
  <si>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</si>
  <si>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</si>
  <si>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</si>
  <si>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</si>
  <si>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</si>
  <si>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</si>
  <si>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</si>
  <si>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</si>
  <si>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</si>
  <si>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</si>
  <si>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</si>
  <si>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</si>
  <si>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</si>
  <si>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</si>
  <si>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</si>
  <si>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</si>
  <si>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</si>
  <si>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</si>
  <si>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</si>
  <si>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</si>
  <si>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</si>
  <si>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</si>
  <si>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</si>
  <si>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</si>
  <si>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</si>
  <si>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</si>
  <si>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</si>
  <si>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</si>
  <si>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</si>
  <si>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</si>
  <si>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</si>
  <si>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</si>
  <si>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</si>
  <si>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</si>
  <si>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</si>
  <si>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</si>
  <si>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</si>
  <si>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</si>
  <si>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</si>
  <si>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</si>
  <si>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</si>
  <si>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</si>
  <si>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</si>
  <si>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</si>
  <si>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</si>
  <si>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</si>
  <si>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</si>
  <si>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</si>
  <si>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</si>
  <si>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</si>
  <si>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</si>
  <si>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</si>
  <si>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</si>
  <si>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</si>
  <si>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</si>
  <si>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</si>
  <si>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</si>
  <si>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</si>
  <si>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</si>
  <si>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</si>
  <si>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</si>
  <si>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</si>
  <si>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</si>
  <si>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</si>
  <si>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</si>
  <si>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</si>
  <si>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</si>
  <si>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</si>
  <si>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</si>
  <si>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</si>
  <si>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</si>
  <si>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</si>
  <si>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</si>
  <si>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</si>
  <si>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</si>
  <si>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</si>
  <si>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</si>
  <si>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</si>
  <si>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</si>
  <si>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</si>
  <si>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</si>
  <si>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</si>
  <si>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</si>
  <si>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</si>
  <si>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</si>
  <si>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</si>
  <si>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</si>
  <si>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</si>
  <si>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</si>
  <si>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</si>
  <si>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</si>
  <si>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</si>
  <si>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</si>
  <si>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</si>
  <si>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</si>
  <si>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</si>
  <si>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</si>
  <si>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</si>
  <si>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</si>
  <si>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</si>
  <si>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</si>
  <si>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</si>
  <si>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</si>
  <si>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</si>
  <si>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</si>
  <si>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</si>
  <si>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</si>
  <si>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</si>
  <si>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</si>
  <si>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</si>
  <si>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</si>
  <si>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</si>
  <si>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</si>
  <si>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</si>
  <si>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</si>
  <si>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</si>
  <si>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</si>
  <si>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</si>
  <si>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</si>
  <si>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</si>
  <si>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</si>
  <si>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</si>
  <si>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</si>
  <si>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</si>
  <si>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</si>
  <si>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</si>
  <si>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</si>
  <si>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</si>
  <si>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</si>
  <si>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</si>
  <si>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</si>
  <si>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</si>
  <si>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</si>
  <si>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</si>
  <si>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</si>
  <si>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</si>
  <si>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</si>
  <si>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</si>
  <si>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</si>
  <si>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</si>
  <si>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</si>
  <si>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</si>
  <si>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</si>
  <si>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</si>
  <si>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</si>
  <si>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</si>
  <si>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</si>
  <si>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</si>
  <si>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</si>
  <si>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</si>
  <si>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</si>
  <si>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</si>
  <si>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</si>
  <si>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</si>
  <si>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</si>
  <si>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</si>
  <si>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</si>
  <si>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</si>
  <si>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</si>
  <si>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</si>
  <si>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</si>
  <si>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</si>
  <si>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</si>
  <si>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</si>
  <si>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</si>
  <si>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</si>
  <si>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</si>
  <si>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</si>
  <si>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</si>
  <si>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</si>
  <si>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</si>
  <si>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</si>
  <si>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</si>
  <si>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</si>
  <si>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</si>
  <si>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</si>
  <si>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</si>
  <si>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</si>
  <si>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</si>
  <si>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</si>
  <si>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</si>
  <si>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</si>
  <si>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</si>
  <si>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</si>
  <si>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</si>
  <si>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</si>
  <si>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</si>
  <si>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</si>
  <si>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</si>
  <si>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</si>
  <si>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</si>
  <si>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</si>
  <si>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</si>
  <si>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</si>
  <si>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</si>
  <si>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</si>
  <si>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</si>
  <si>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</si>
  <si>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</si>
  <si>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</si>
  <si>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</si>
  <si>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</si>
  <si>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</si>
  <si>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</si>
  <si>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</si>
  <si>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</si>
  <si>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</si>
  <si>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</si>
  <si>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</si>
  <si>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</si>
  <si>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</si>
  <si>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</si>
  <si>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</si>
  <si>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</si>
  <si>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</si>
  <si>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</si>
  <si>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</si>
  <si>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</si>
  <si>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</si>
  <si>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</si>
  <si>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</si>
  <si>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</si>
  <si>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</si>
  <si>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</si>
  <si>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</si>
  <si>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</si>
  <si>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</si>
  <si>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</si>
  <si>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</si>
  <si>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</si>
  <si>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</si>
  <si>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</si>
  <si>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</si>
  <si>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</si>
  <si>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</si>
  <si>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</si>
  <si>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</si>
  <si>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</si>
  <si>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</si>
  <si>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</si>
  <si>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</si>
  <si>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</si>
  <si>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</si>
  <si>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</si>
  <si>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</si>
  <si>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</si>
  <si>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</si>
  <si>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</si>
  <si>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</si>
  <si>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</si>
  <si>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</si>
  <si>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</si>
  <si>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</si>
  <si>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</si>
  <si>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</si>
  <si>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</si>
  <si>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</si>
  <si>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</si>
  <si>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</si>
  <si>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</si>
  <si>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</si>
  <si>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</si>
  <si>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</si>
  <si>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</si>
  <si>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</si>
  <si>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</si>
  <si>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</si>
  <si>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</si>
  <si>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</si>
  <si>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</si>
  <si>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</si>
  <si>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</si>
  <si>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</si>
  <si>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</si>
  <si>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</si>
  <si>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</si>
  <si>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</si>
  <si>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</si>
  <si>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</si>
  <si>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</si>
  <si>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</si>
  <si>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</si>
  <si>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</si>
  <si>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</si>
  <si>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</si>
  <si>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</si>
  <si>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</si>
  <si>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</si>
  <si>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</si>
  <si>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</si>
  <si>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</si>
  <si>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</si>
  <si>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</si>
  <si>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</si>
  <si>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</si>
  <si>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</si>
  <si>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</si>
  <si>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</si>
  <si>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</si>
  <si>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</si>
  <si>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</si>
  <si>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</si>
  <si>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</si>
  <si>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</si>
  <si>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</si>
  <si>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</si>
  <si>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</si>
  <si>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</si>
  <si>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</si>
  <si>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</si>
  <si>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</si>
  <si>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</si>
  <si>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</si>
  <si>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</si>
  <si>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</si>
  <si>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</si>
  <si>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</si>
  <si>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</si>
  <si>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</si>
  <si>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</si>
  <si>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</si>
  <si>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</si>
  <si>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</si>
  <si>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</si>
  <si>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</si>
  <si>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</si>
  <si>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</si>
  <si>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</si>
  <si>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</si>
  <si>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</si>
  <si>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</si>
  <si>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</si>
  <si>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</si>
  <si>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</si>
  <si>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</si>
  <si>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</si>
  <si>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</si>
  <si>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</si>
  <si>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</si>
  <si>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</si>
  <si>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</si>
  <si>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</si>
  <si>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</si>
  <si>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</si>
  <si>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</si>
  <si>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</si>
  <si>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</si>
  <si>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</si>
  <si>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</si>
  <si>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</si>
  <si>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</si>
  <si>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</si>
  <si>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</si>
  <si>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</si>
  <si>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</si>
  <si>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</si>
  <si>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</si>
  <si>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</si>
  <si>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</si>
  <si>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</si>
  <si>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</si>
  <si>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</si>
  <si>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</si>
  <si>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</si>
  <si>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</si>
  <si>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</si>
  <si>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</si>
  <si>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</si>
  <si>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</si>
  <si>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</si>
  <si>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</si>
  <si>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</si>
  <si>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</si>
  <si>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</si>
  <si>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</si>
  <si>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</si>
  <si>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</si>
  <si>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</si>
  <si>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</si>
  <si>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</si>
  <si>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</si>
  <si>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</si>
  <si>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</si>
  <si>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</si>
  <si>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</si>
  <si>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</si>
  <si>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</si>
  <si>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</si>
  <si>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</si>
  <si>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</si>
  <si>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</si>
  <si>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</si>
  <si>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</si>
  <si>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</si>
  <si>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</si>
  <si>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</si>
  <si>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</si>
  <si>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</si>
  <si>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</si>
  <si>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</si>
  <si>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</si>
  <si>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</si>
  <si>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</si>
  <si>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</si>
  <si>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</si>
  <si>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</si>
  <si>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</si>
  <si>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</si>
  <si>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</si>
  <si>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</si>
  <si>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</si>
  <si>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</si>
  <si>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</si>
  <si>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</si>
  <si>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</si>
  <si>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</si>
  <si>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</si>
  <si>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</si>
  <si>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</si>
  <si>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</si>
  <si>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</si>
  <si>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</si>
  <si>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</si>
  <si>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</si>
  <si>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</si>
  <si>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</si>
  <si>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</si>
  <si>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</si>
  <si>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</si>
  <si>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</si>
  <si>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</si>
  <si>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</si>
  <si>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</si>
  <si>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</si>
  <si>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</si>
  <si>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</si>
  <si>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</si>
  <si>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</si>
  <si>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</si>
  <si>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</si>
  <si>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</si>
  <si>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</si>
  <si>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</si>
  <si>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</si>
  <si>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</si>
  <si>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</si>
  <si>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</si>
  <si>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</si>
  <si>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</si>
  <si>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</si>
  <si>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</si>
  <si>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</si>
  <si>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</si>
  <si>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</si>
  <si>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</si>
  <si>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</si>
  <si>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</si>
  <si>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</si>
  <si>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</si>
  <si>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</si>
  <si>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</si>
  <si>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</si>
  <si>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</si>
  <si>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</si>
  <si>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</si>
  <si>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</si>
  <si>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</si>
  <si>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</si>
  <si>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</si>
  <si>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</si>
  <si>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</si>
  <si>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</si>
  <si>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</si>
  <si>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</si>
  <si>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</si>
  <si>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</si>
  <si>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</si>
  <si>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</si>
  <si>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</si>
  <si>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</si>
  <si>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</si>
  <si>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</si>
  <si>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</si>
  <si>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</si>
  <si>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</si>
  <si>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</si>
  <si>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</si>
  <si>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</si>
  <si>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</si>
  <si>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</si>
  <si>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</si>
  <si>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</si>
  <si>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</si>
  <si>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</si>
  <si>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</si>
  <si>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</si>
  <si>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</si>
  <si>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</si>
  <si>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</si>
  <si>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</si>
  <si>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</si>
  <si>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</si>
  <si>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</si>
  <si>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</si>
  <si>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</si>
  <si>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</si>
  <si>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</si>
  <si>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</si>
  <si>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</si>
  <si>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</si>
  <si>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</si>
  <si>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</si>
  <si>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</si>
  <si>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</si>
  <si>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</si>
  <si>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</si>
  <si>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</si>
  <si>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</si>
  <si>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</si>
  <si>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</si>
  <si>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</si>
  <si>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</si>
  <si>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</si>
  <si>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</si>
  <si>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</si>
  <si>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</si>
  <si>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</si>
  <si>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</si>
  <si>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</si>
  <si>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</si>
  <si>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</si>
  <si>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</si>
  <si>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</si>
  <si>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</si>
  <si>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</si>
  <si>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</si>
  <si>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</si>
  <si>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</si>
  <si>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</si>
  <si>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</si>
  <si>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</si>
  <si>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</si>
  <si>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</si>
  <si>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</si>
  <si>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</si>
  <si>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</si>
  <si>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</si>
  <si>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</si>
  <si>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</si>
  <si>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</si>
  <si>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</si>
  <si>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</si>
  <si>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</si>
  <si>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</si>
  <si>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</si>
  <si>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</si>
  <si>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</si>
  <si>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</si>
  <si>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</si>
  <si>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</si>
  <si>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</si>
  <si>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</si>
  <si>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</si>
  <si>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</si>
  <si>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</si>
  <si>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</si>
  <si>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</si>
  <si>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</si>
  <si>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</si>
  <si>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</si>
  <si>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</si>
  <si>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</si>
  <si>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</si>
  <si>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</si>
  <si>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</si>
  <si>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</si>
  <si>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</si>
  <si>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</si>
  <si>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</si>
  <si>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</si>
  <si>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</si>
  <si>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</si>
  <si>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</si>
  <si>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</si>
  <si>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</si>
  <si>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</si>
  <si>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</si>
  <si>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</si>
  <si>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</si>
  <si>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</si>
  <si>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</si>
  <si>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</si>
  <si>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</si>
  <si>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</si>
  <si>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</si>
  <si>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</si>
  <si>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</si>
  <si>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</si>
  <si>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</si>
  <si>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</si>
  <si>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</si>
  <si>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</si>
  <si>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</si>
  <si>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</si>
  <si>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</si>
  <si>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</si>
  <si>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</si>
  <si>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</si>
  <si>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</si>
  <si>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</si>
  <si>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</si>
  <si>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</si>
  <si>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</si>
  <si>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</si>
  <si>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</si>
  <si>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</si>
  <si>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</si>
  <si>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</si>
  <si>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</si>
  <si>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</si>
  <si>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</si>
  <si>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</si>
  <si>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</si>
  <si>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</si>
  <si>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</si>
  <si>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</si>
  <si>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</si>
  <si>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</si>
  <si>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</si>
  <si>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</si>
  <si>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</si>
  <si>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</si>
  <si>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</si>
  <si>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</si>
  <si>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</si>
  <si>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</si>
  <si>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</si>
  <si>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</si>
  <si>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</si>
  <si>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</si>
  <si>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</si>
  <si>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</si>
  <si>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</si>
  <si>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</si>
  <si>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</si>
  <si>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</si>
  <si>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</si>
  <si>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</si>
  <si>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</si>
  <si>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</si>
  <si>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</si>
  <si>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</si>
  <si>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</si>
  <si>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</si>
  <si>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</si>
  <si>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</si>
  <si>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</si>
  <si>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</si>
  <si>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</si>
  <si>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</si>
  <si>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</si>
  <si>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</si>
  <si>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</si>
  <si>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</si>
  <si>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</si>
  <si>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</si>
  <si>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</si>
  <si>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</si>
  <si>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</si>
  <si>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</si>
  <si>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</si>
  <si>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</si>
  <si>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</si>
  <si>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</si>
  <si>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</si>
  <si>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</si>
  <si>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</si>
  <si>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</si>
  <si>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</si>
  <si>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</si>
  <si>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</si>
  <si>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</si>
  <si>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</si>
  <si>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</si>
  <si>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</si>
  <si>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</si>
  <si>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</si>
  <si>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</si>
  <si>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</si>
  <si>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</si>
  <si>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</si>
  <si>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</si>
  <si>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</si>
  <si>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</si>
  <si>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</si>
  <si>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</si>
  <si>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</si>
  <si>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</si>
  <si>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</si>
  <si>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</si>
  <si>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</si>
  <si>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</si>
  <si>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</si>
  <si>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</si>
  <si>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</si>
  <si>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</si>
  <si>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</si>
  <si>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</si>
  <si>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</si>
  <si>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</si>
  <si>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</si>
  <si>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</si>
  <si>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</si>
  <si>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</si>
  <si>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</si>
  <si>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</si>
  <si>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</si>
  <si>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</si>
  <si>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</si>
  <si>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</si>
  <si>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</si>
  <si>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</si>
  <si>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</si>
  <si>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</si>
  <si>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</si>
  <si>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</si>
  <si>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</si>
  <si>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</si>
  <si>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</si>
  <si>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</si>
  <si>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</si>
  <si>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</si>
  <si>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</si>
  <si>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</si>
  <si>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</si>
  <si>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</si>
  <si>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</si>
  <si>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</si>
  <si>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</si>
  <si>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</si>
  <si>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</si>
  <si>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</si>
  <si>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</si>
  <si>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</si>
  <si>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</si>
  <si>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</si>
  <si>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</si>
  <si>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</si>
  <si>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</si>
  <si>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</si>
  <si>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</si>
  <si>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</si>
  <si>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</si>
  <si>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</si>
  <si>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</si>
  <si>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</si>
  <si>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</si>
  <si>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</si>
  <si>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</si>
  <si>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</si>
  <si>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</si>
  <si>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</si>
  <si>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</si>
  <si>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</si>
  <si>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</si>
  <si>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</si>
  <si>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</si>
  <si>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</si>
  <si>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</si>
  <si>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</si>
  <si>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</si>
  <si>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</si>
  <si>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</si>
  <si>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</si>
  <si>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</si>
  <si>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</si>
  <si>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</si>
  <si>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</si>
  <si>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</si>
  <si>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</si>
  <si>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</si>
  <si>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</si>
  <si>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</si>
  <si>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</si>
  <si>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</si>
  <si>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</si>
  <si>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</si>
  <si>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</si>
  <si>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</si>
  <si>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</si>
  <si>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</si>
  <si>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</si>
  <si>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</si>
  <si>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</si>
  <si>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</si>
  <si>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</si>
  <si>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</si>
  <si>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</si>
  <si>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</si>
  <si>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</si>
  <si>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</si>
  <si>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</si>
  <si>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</si>
  <si>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</si>
  <si>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</si>
  <si>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</si>
  <si>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</si>
  <si>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</si>
  <si>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</si>
  <si>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</si>
  <si>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</si>
  <si>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</si>
  <si>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</si>
  <si>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</si>
  <si>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</si>
  <si>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</si>
  <si>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</si>
  <si>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</si>
  <si>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</si>
  <si>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</si>
  <si>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</si>
  <si>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</si>
  <si>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</si>
  <si>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</si>
  <si>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</si>
  <si>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</si>
  <si>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</si>
  <si>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</si>
  <si>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</si>
  <si>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</si>
  <si>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</si>
  <si>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</si>
  <si>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</si>
  <si>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</si>
  <si>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</si>
  <si>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</si>
  <si>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</si>
  <si>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</si>
  <si>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</si>
  <si>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</si>
  <si>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</si>
  <si>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</si>
  <si>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</si>
  <si>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</si>
  <si>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</si>
  <si>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</si>
  <si>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</si>
  <si>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</si>
  <si>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</si>
  <si>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</si>
  <si>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</si>
  <si>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</si>
  <si>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</si>
  <si>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</si>
  <si>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</si>
  <si>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</si>
  <si>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</si>
  <si>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</si>
  <si>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</si>
  <si>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</si>
  <si>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</si>
  <si>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</si>
  <si>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</si>
  <si>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</si>
  <si>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</si>
  <si>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</si>
  <si>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</si>
  <si>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</si>
  <si>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</si>
  <si>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</si>
  <si>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</si>
  <si>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</si>
  <si>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</si>
  <si>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</si>
  <si>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</si>
  <si>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</si>
  <si>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</si>
  <si>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</si>
  <si>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</si>
  <si>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</si>
  <si>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</si>
  <si>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</si>
  <si>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</si>
  <si>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</si>
  <si>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</si>
  <si>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</si>
  <si>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</si>
  <si>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</si>
  <si>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</si>
  <si>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</si>
  <si>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</si>
  <si>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</si>
  <si>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</si>
  <si>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</si>
  <si>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</si>
  <si>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</si>
  <si>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</si>
  <si>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</si>
  <si>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</si>
  <si>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</si>
  <si>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</si>
  <si>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</si>
  <si>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</si>
  <si>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</si>
  <si>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</si>
  <si>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</si>
  <si>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</si>
  <si>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</si>
  <si>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</si>
  <si>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</si>
  <si>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</si>
  <si>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</si>
  <si>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</si>
  <si>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</si>
  <si>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</si>
  <si>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</si>
  <si>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</si>
  <si>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</si>
  <si>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</si>
  <si>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</si>
  <si>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</si>
  <si>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</si>
  <si>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</si>
  <si>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</si>
  <si>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</si>
  <si>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</si>
  <si>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</si>
  <si>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</si>
  <si>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</si>
  <si>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</si>
  <si>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</si>
  <si>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</si>
  <si>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</si>
  <si>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</si>
  <si>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</si>
  <si>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</si>
  <si>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</si>
  <si>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</si>
  <si>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</si>
  <si>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</si>
  <si>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</si>
  <si>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</si>
  <si>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</si>
  <si>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</si>
  <si>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</si>
  <si>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</si>
  <si>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</si>
  <si>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</si>
  <si>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</si>
  <si>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</si>
  <si>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</si>
  <si>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</si>
  <si>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</si>
  <si>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</si>
  <si>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</si>
  <si>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</si>
  <si>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</si>
  <si>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</si>
  <si>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</si>
  <si>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</si>
  <si>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</si>
  <si>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</si>
  <si>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</si>
  <si>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</si>
  <si>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</si>
  <si>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</si>
  <si>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</si>
  <si>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</si>
  <si>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</si>
  <si>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</si>
  <si>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</si>
  <si>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</si>
  <si>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</si>
  <si>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</si>
  <si>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</si>
  <si>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</si>
  <si>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</si>
  <si>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</si>
  <si>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</si>
  <si>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</si>
  <si>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</si>
  <si>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</si>
  <si>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</si>
  <si>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</si>
  <si>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</si>
  <si>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</si>
  <si>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</si>
  <si>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</si>
  <si>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</si>
  <si>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</si>
  <si>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</si>
  <si>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</si>
  <si>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</si>
  <si>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</si>
  <si>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</si>
  <si>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</si>
  <si>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</si>
  <si>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</si>
  <si>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</si>
  <si>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</si>
  <si>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</si>
  <si>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</si>
  <si>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</si>
  <si>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</si>
  <si>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</si>
  <si>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</si>
  <si>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</si>
  <si>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</si>
  <si>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</si>
  <si>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</si>
  <si>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</si>
  <si>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</si>
  <si>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</si>
  <si>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</si>
  <si>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</si>
  <si>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</si>
  <si>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</si>
  <si>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</si>
  <si>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</si>
  <si>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</si>
  <si>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</si>
  <si>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</si>
  <si>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</si>
  <si>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</si>
  <si>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</si>
  <si>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</si>
  <si>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</si>
  <si>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</si>
  <si>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</si>
  <si>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</si>
  <si>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</si>
  <si>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</si>
  <si>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</si>
  <si>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</si>
  <si>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</si>
  <si>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</si>
  <si>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</si>
  <si>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</si>
  <si>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</si>
  <si>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</si>
  <si>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</si>
  <si>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</si>
  <si>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</si>
  <si>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</si>
  <si>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</si>
  <si>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</si>
  <si>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</si>
  <si>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</si>
  <si>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</si>
  <si>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</si>
  <si>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</si>
  <si>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</si>
  <si>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</si>
  <si>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</si>
  <si>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</si>
  <si>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</si>
  <si>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</si>
  <si>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</si>
  <si>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</si>
  <si>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</si>
  <si>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</si>
  <si>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</si>
  <si>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</si>
  <si>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</si>
  <si>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</si>
  <si>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</si>
  <si>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</si>
  <si>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</si>
  <si>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</si>
  <si>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</si>
  <si>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</si>
  <si>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</si>
  <si>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</si>
  <si>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</si>
  <si>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</si>
  <si>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</si>
  <si>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</si>
  <si>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</si>
  <si>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</si>
  <si>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</si>
  <si>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</si>
  <si>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</si>
  <si>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</si>
  <si>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</si>
  <si>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</si>
  <si>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</si>
  <si>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</si>
  <si>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</si>
  <si>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</si>
  <si>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</si>
  <si>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</si>
  <si>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</si>
  <si>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</si>
  <si>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</si>
  <si>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</si>
  <si>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</si>
  <si>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</si>
  <si>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</si>
  <si>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</si>
  <si>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</si>
  <si>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</si>
  <si>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</si>
  <si>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</si>
  <si>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</si>
  <si>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</si>
  <si>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</si>
  <si>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</si>
  <si>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</si>
  <si>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</si>
  <si>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</si>
  <si>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</si>
  <si>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</si>
  <si>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</si>
  <si>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</si>
  <si>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</si>
  <si>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</si>
  <si>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</si>
  <si>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</si>
  <si>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</si>
  <si>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</si>
  <si>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</si>
  <si>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</si>
  <si>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</si>
  <si>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</si>
  <si>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</si>
  <si>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</si>
  <si>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</si>
  <si>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</si>
  <si>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</si>
  <si>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</si>
  <si>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</si>
  <si>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</si>
  <si>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</si>
  <si>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</si>
  <si>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</si>
  <si>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</si>
  <si>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</si>
  <si>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</si>
  <si>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</si>
  <si>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</si>
  <si>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</si>
  <si>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</si>
  <si>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</si>
  <si>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</si>
  <si>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</si>
  <si>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</si>
  <si>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</si>
  <si>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</si>
  <si>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</si>
  <si>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</si>
  <si>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</si>
  <si>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</si>
  <si>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</si>
  <si>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</si>
  <si>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</si>
  <si>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</si>
  <si>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</si>
  <si>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</si>
  <si>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</si>
  <si>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</si>
  <si>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</si>
  <si>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</si>
  <si>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</si>
  <si>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</si>
  <si>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</si>
  <si>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</si>
  <si>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</si>
  <si>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</si>
  <si>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</si>
  <si>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</si>
  <si>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</si>
  <si>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</si>
  <si>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</si>
  <si>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</si>
  <si>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</si>
  <si>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</si>
  <si>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</si>
  <si>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</si>
  <si>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</si>
  <si>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</si>
  <si>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</si>
  <si>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</si>
  <si>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</si>
  <si>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</si>
  <si>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</si>
  <si>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</si>
  <si>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</si>
  <si>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</si>
  <si>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</si>
  <si>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</si>
  <si>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</si>
  <si>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</si>
  <si>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</si>
  <si>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</si>
  <si>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</si>
  <si>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</si>
  <si>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</si>
  <si>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</si>
  <si>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</si>
  <si>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</si>
  <si>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</si>
  <si>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</si>
  <si>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</si>
  <si>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</si>
  <si>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</si>
  <si>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</si>
  <si>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</si>
  <si>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</si>
  <si>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</si>
  <si>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</si>
  <si>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</si>
  <si>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</si>
  <si>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</si>
  <si>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</si>
  <si>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</si>
  <si>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</si>
  <si>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</si>
  <si>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</si>
  <si>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</si>
  <si>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</si>
  <si>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</si>
  <si>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</si>
  <si>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</si>
  <si>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</si>
  <si>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</si>
  <si>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</si>
  <si>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</si>
  <si>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</si>
  <si>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</si>
  <si>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</si>
  <si>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</si>
  <si>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</si>
  <si>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</si>
  <si>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</si>
  <si>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</si>
  <si>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</si>
  <si>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</si>
  <si>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</si>
  <si>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</si>
  <si>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</si>
  <si>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</si>
  <si>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</si>
  <si>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</si>
  <si>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</si>
  <si>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</si>
  <si>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</si>
  <si>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</si>
  <si>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</si>
  <si>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</si>
  <si>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</si>
  <si>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</si>
  <si>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</si>
  <si>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</si>
  <si>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</si>
  <si>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</si>
  <si>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</si>
  <si>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</si>
  <si>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</si>
  <si>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</si>
  <si>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</si>
  <si>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</si>
  <si>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</si>
  <si>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</si>
  <si>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</si>
  <si>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</si>
  <si>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</si>
  <si>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</si>
  <si>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</si>
  <si>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</si>
  <si>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</si>
  <si>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</si>
  <si>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</si>
  <si>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</si>
  <si>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</si>
  <si>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</si>
  <si>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</si>
  <si>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</si>
  <si>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</si>
  <si>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</si>
  <si>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</si>
  <si>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</si>
  <si>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</si>
  <si>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</si>
  <si>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</si>
  <si>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</si>
  <si>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</si>
  <si>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</si>
  <si>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</si>
  <si>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</si>
  <si>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</si>
  <si>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</si>
  <si>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</si>
  <si>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</si>
  <si>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</si>
  <si>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</si>
  <si>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</si>
  <si>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</si>
  <si>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</si>
  <si>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</si>
  <si>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</si>
  <si>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</si>
  <si>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</si>
  <si>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</si>
  <si>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</si>
  <si>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</si>
  <si>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</si>
  <si>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</si>
  <si>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</si>
  <si>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</si>
  <si>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</si>
  <si>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</si>
  <si>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</si>
  <si>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</si>
  <si>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</si>
  <si>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</si>
  <si>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</si>
  <si>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</si>
  <si>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</si>
  <si>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</si>
  <si>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</si>
  <si>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</si>
  <si>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</si>
  <si>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</si>
  <si>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</si>
  <si>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</si>
  <si>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</si>
  <si>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</si>
  <si>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</si>
  <si>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</si>
  <si>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</si>
  <si>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</si>
  <si>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</si>
  <si>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</si>
  <si>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</si>
  <si>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</si>
  <si>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</si>
  <si>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</si>
  <si>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</si>
  <si>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</si>
  <si>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</si>
  <si>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</si>
  <si>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</si>
  <si>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</si>
  <si>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</si>
  <si>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</si>
  <si>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</si>
  <si>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</si>
  <si>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</si>
  <si>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</si>
  <si>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</si>
  <si>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</si>
  <si>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</si>
  <si>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</si>
  <si>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</si>
  <si>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</si>
  <si>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</si>
  <si>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</si>
  <si>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</si>
  <si>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</si>
  <si>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</si>
  <si>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</si>
  <si>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</si>
  <si>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</si>
  <si>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</si>
  <si>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</si>
  <si>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</si>
  <si>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</si>
  <si>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</si>
  <si>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</si>
  <si>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</si>
  <si>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</si>
  <si>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</si>
  <si>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</si>
  <si>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</si>
  <si>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</si>
  <si>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</si>
  <si>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</si>
  <si>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</si>
  <si>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</si>
  <si>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</si>
  <si>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</si>
  <si>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</si>
  <si>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</si>
  <si>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</si>
  <si>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</si>
  <si>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</si>
  <si>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</si>
  <si>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</si>
  <si>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</si>
  <si>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</si>
  <si>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</si>
  <si>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</si>
  <si>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</si>
  <si>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</si>
  <si>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</si>
  <si>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</si>
  <si>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</si>
  <si>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</si>
  <si>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</si>
  <si>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</si>
  <si>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</si>
  <si>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</si>
  <si>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</si>
  <si>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</si>
  <si>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</si>
  <si>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</si>
  <si>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</si>
  <si>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</si>
  <si>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</si>
  <si>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</si>
  <si>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</si>
  <si>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</si>
  <si>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</si>
  <si>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</si>
  <si>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</si>
  <si>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</si>
  <si>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</si>
  <si>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</si>
  <si>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</si>
  <si>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</si>
  <si>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</si>
  <si>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</si>
  <si>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</si>
  <si>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</si>
  <si>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</si>
  <si>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</si>
  <si>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</si>
  <si>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</si>
  <si>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</si>
  <si>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</si>
  <si>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</si>
  <si>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</si>
  <si>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</si>
  <si>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</si>
  <si>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</si>
  <si>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</si>
  <si>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</si>
  <si>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</si>
  <si>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</si>
  <si>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</si>
  <si>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</si>
  <si>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</si>
  <si>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</si>
  <si>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</si>
  <si>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</si>
  <si>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</si>
  <si>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</si>
  <si>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</si>
  <si>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</si>
  <si>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</si>
  <si>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</si>
  <si>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</si>
  <si>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</si>
  <si>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</si>
  <si>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</si>
  <si>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</si>
  <si>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</si>
  <si>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</si>
  <si>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</si>
  <si>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</si>
  <si>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</si>
  <si>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</si>
  <si>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</si>
  <si>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</si>
  <si>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</si>
  <si>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</si>
  <si>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</si>
  <si>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</si>
  <si>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</si>
  <si>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</si>
  <si>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</si>
  <si>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</si>
  <si>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</si>
  <si>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</si>
  <si>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</si>
  <si>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</si>
  <si>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</si>
  <si>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</si>
  <si>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</si>
  <si>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</si>
  <si>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</si>
  <si>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</si>
  <si>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</si>
  <si>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</si>
  <si>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</si>
  <si>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</si>
  <si>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</si>
  <si>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</si>
  <si>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</si>
  <si>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</si>
  <si>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</si>
  <si>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</si>
  <si>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</si>
  <si>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</si>
  <si>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</si>
  <si>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</si>
  <si>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</si>
  <si>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</si>
  <si>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</si>
  <si>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</si>
  <si>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</si>
  <si>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</si>
  <si>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</si>
  <si>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</si>
  <si>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</si>
  <si>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</si>
  <si>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</si>
  <si>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</si>
  <si>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</si>
  <si>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</si>
  <si>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</si>
  <si>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</si>
  <si>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</si>
  <si>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</si>
  <si>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</si>
  <si>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</si>
  <si>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</si>
  <si>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</si>
  <si>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</si>
  <si>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</si>
  <si>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</si>
  <si>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</si>
  <si>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</si>
  <si>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</si>
  <si>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</si>
  <si>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</si>
  <si>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</si>
  <si>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</si>
  <si>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</si>
  <si>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</si>
  <si>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</si>
  <si>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</si>
  <si>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</si>
  <si>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</si>
  <si>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</si>
  <si>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</si>
  <si>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</si>
  <si>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</si>
  <si>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</si>
  <si>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</si>
  <si>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</si>
  <si>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</si>
  <si>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</si>
  <si>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</si>
  <si>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</si>
  <si>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</si>
  <si>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</si>
  <si>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</si>
  <si>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</si>
  <si>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</si>
  <si>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</si>
  <si>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</si>
  <si>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</si>
  <si>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</si>
  <si>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</si>
  <si>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</si>
  <si>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</si>
  <si>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</si>
  <si>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</si>
  <si>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</si>
  <si>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</si>
  <si>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</si>
  <si>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</si>
  <si>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</si>
  <si>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</si>
  <si>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</si>
  <si>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</si>
  <si>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</si>
  <si>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</si>
  <si>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</si>
  <si>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</si>
  <si>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</si>
  <si>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</si>
  <si>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</si>
  <si>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</si>
  <si>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</si>
  <si>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</si>
  <si>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</si>
  <si>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</si>
  <si>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</si>
  <si>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</si>
  <si>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</si>
  <si>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</si>
  <si>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</si>
  <si>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</si>
  <si>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</si>
  <si>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</si>
  <si>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</si>
  <si>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</si>
  <si>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</si>
  <si>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</si>
  <si>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</si>
  <si>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</si>
  <si>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</si>
  <si>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</si>
  <si>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</si>
  <si>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</si>
  <si>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</si>
  <si>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</si>
  <si>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</si>
  <si>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</si>
  <si>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</si>
  <si>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</si>
  <si>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</si>
  <si>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</si>
  <si>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</si>
  <si>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</si>
  <si>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</si>
  <si>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</si>
  <si>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</si>
  <si>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</si>
  <si>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</si>
  <si>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</si>
  <si>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</si>
  <si>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</si>
  <si>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</si>
  <si>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</si>
  <si>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</si>
  <si>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</si>
  <si>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</si>
  <si>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</si>
  <si>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</si>
  <si>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</si>
  <si>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</si>
  <si>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</si>
  <si>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</si>
  <si>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</si>
  <si>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</si>
  <si>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</si>
  <si>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</si>
  <si>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</si>
  <si>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</si>
  <si>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</si>
  <si>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</si>
  <si>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</si>
  <si>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</si>
  <si>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</si>
  <si>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</si>
  <si>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</si>
  <si>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</si>
  <si>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</si>
  <si>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</si>
  <si>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</si>
  <si>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</si>
  <si>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</si>
  <si>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</si>
  <si>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</si>
  <si>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</si>
  <si>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</si>
  <si>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</si>
  <si>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</si>
  <si>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</si>
  <si>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</si>
  <si>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</si>
  <si>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</si>
  <si>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</si>
  <si>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</si>
  <si>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</si>
  <si>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</si>
  <si>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</si>
  <si>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</si>
  <si>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</si>
  <si>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</si>
  <si>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</si>
  <si>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</si>
  <si>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</si>
  <si>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</si>
  <si>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</si>
  <si>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</si>
  <si>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</si>
  <si>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</si>
  <si>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</si>
  <si>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</si>
  <si>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</si>
  <si>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</si>
  <si>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</si>
  <si>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</si>
  <si>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</si>
  <si>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</si>
  <si>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</si>
  <si>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</si>
  <si>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</si>
  <si>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</si>
  <si>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</si>
  <si>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</si>
  <si>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</si>
  <si>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</si>
  <si>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</si>
  <si>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</si>
  <si>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</si>
  <si>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</si>
  <si>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</si>
  <si>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</si>
  <si>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</si>
  <si>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</si>
  <si>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</si>
  <si>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</si>
  <si>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</si>
  <si>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</si>
  <si>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</si>
  <si>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</si>
  <si>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</si>
  <si>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</si>
  <si>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</si>
  <si>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</si>
  <si>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</si>
  <si>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</si>
  <si>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</si>
  <si>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</si>
  <si>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</si>
  <si>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</si>
  <si>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</si>
  <si>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</si>
  <si>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</si>
  <si>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</si>
  <si>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</si>
  <si>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</si>
  <si>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</si>
  <si>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</si>
  <si>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</si>
  <si>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</si>
  <si>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</si>
  <si>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</si>
  <si>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</si>
  <si>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</si>
  <si>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</si>
  <si>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</si>
  <si>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</si>
  <si>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</si>
  <si>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</si>
  <si>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</si>
  <si>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</si>
  <si>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</si>
  <si>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</si>
  <si>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</si>
  <si>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</si>
  <si>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</si>
  <si>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</si>
  <si>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</si>
  <si>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</si>
  <si>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</si>
  <si>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</si>
  <si>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</si>
  <si>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</si>
  <si>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</si>
  <si>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</si>
  <si>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</si>
  <si>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</si>
  <si>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</si>
  <si>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</si>
  <si>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</si>
  <si>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</si>
  <si>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</si>
  <si>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</si>
  <si>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</si>
  <si>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</si>
  <si>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</si>
  <si>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</si>
  <si>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</si>
  <si>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</si>
  <si>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</si>
  <si>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</si>
  <si>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</si>
  <si>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</si>
  <si>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</si>
  <si>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</si>
  <si>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</si>
  <si>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</si>
  <si>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</si>
  <si>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</si>
  <si>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</si>
  <si>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</si>
  <si>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</si>
  <si>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</si>
  <si>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</si>
  <si>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</si>
  <si>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</si>
  <si>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</si>
  <si>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</si>
  <si>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</si>
  <si>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</si>
  <si>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</si>
  <si>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</si>
  <si>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</si>
  <si>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</si>
  <si>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</si>
  <si>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</si>
  <si>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</si>
  <si>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</si>
  <si>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</si>
  <si>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</si>
  <si>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</si>
  <si>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</si>
  <si>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</si>
  <si>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</si>
  <si>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</si>
  <si>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</si>
  <si>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</si>
  <si>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</si>
  <si>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</si>
  <si>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</si>
  <si>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</si>
  <si>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</si>
  <si>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</si>
  <si>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</si>
  <si>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</si>
  <si>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</si>
  <si>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</si>
  <si>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</si>
  <si>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</si>
  <si>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</si>
  <si>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</si>
  <si>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</si>
  <si>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</si>
  <si>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</si>
  <si>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</si>
  <si>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</si>
  <si>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</si>
  <si>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</si>
  <si>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</si>
  <si>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</si>
  <si>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</si>
  <si>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</si>
  <si>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</si>
  <si>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</si>
  <si>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</si>
  <si>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</si>
  <si>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</si>
  <si>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</si>
  <si>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</si>
  <si>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</si>
  <si>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</si>
  <si>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</si>
  <si>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</si>
  <si>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</si>
  <si>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</si>
  <si>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</si>
  <si>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</si>
  <si>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</si>
  <si>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</si>
  <si>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</si>
  <si>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</si>
  <si>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</si>
  <si>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</si>
  <si>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</si>
  <si>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</si>
  <si>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</si>
  <si>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</si>
  <si>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</si>
  <si>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</si>
  <si>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</si>
  <si>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</si>
  <si>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</si>
  <si>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</si>
  <si>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</si>
  <si>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</si>
  <si>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</si>
  <si>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</si>
  <si>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</si>
  <si>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</si>
  <si>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</si>
  <si>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</si>
  <si>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</si>
  <si>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</si>
  <si>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</si>
  <si>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</si>
  <si>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</si>
  <si>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</si>
  <si>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</si>
  <si>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</si>
  <si>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</si>
  <si>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</si>
  <si>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</si>
  <si>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</si>
  <si>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</si>
  <si>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</si>
  <si>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</si>
  <si>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</si>
  <si>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</si>
  <si>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</si>
  <si>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</si>
  <si>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</si>
  <si>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</si>
  <si>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</si>
  <si>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</si>
  <si>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</si>
  <si>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</si>
  <si>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</si>
  <si>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</si>
  <si>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</si>
  <si>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</si>
  <si>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</si>
  <si>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</si>
  <si>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</si>
  <si>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</si>
  <si>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</si>
  <si>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</si>
  <si>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</si>
  <si>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</si>
  <si>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</si>
  <si>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</si>
  <si>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</si>
  <si>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</si>
  <si>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</si>
  <si>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</si>
  <si>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</si>
  <si>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</si>
  <si>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</si>
  <si>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</si>
  <si>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</si>
  <si>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</si>
  <si>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</si>
  <si>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</si>
  <si>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</si>
  <si>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</si>
  <si>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</si>
  <si>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</si>
  <si>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</si>
  <si>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</si>
  <si>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</si>
  <si>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</si>
  <si>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</si>
  <si>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</si>
  <si>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</si>
  <si>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</si>
  <si>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</si>
  <si>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</si>
  <si>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</si>
  <si>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</si>
  <si>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</si>
  <si>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</si>
  <si>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</si>
  <si>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</si>
  <si>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</si>
  <si>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</si>
  <si>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</si>
  <si>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</si>
  <si>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</si>
  <si>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</si>
  <si>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</si>
  <si>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</si>
  <si>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</si>
  <si>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</si>
  <si>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</si>
  <si>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</si>
  <si>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</si>
  <si>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</si>
  <si>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</si>
  <si>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</si>
  <si>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</si>
  <si>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</si>
  <si>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</si>
  <si>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</si>
  <si>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</si>
  <si>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</si>
  <si>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</si>
  <si>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</si>
  <si>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</si>
  <si>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</si>
  <si>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</si>
  <si>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</si>
  <si>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</si>
  <si>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</si>
  <si>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</si>
  <si>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</si>
  <si>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</si>
  <si>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</si>
  <si>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</si>
  <si>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</si>
  <si>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</si>
  <si>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</si>
  <si>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</si>
  <si>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</si>
  <si>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</si>
  <si>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</si>
  <si>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</si>
  <si>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</si>
  <si>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</si>
  <si>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</si>
  <si>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</si>
  <si>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</si>
  <si>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</si>
  <si>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</si>
  <si>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</si>
  <si>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</si>
  <si>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</si>
  <si>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</si>
  <si>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</si>
  <si>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</si>
  <si>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</si>
  <si>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</si>
  <si>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</si>
  <si>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</si>
  <si>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</si>
  <si>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</si>
  <si>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</si>
  <si>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</si>
  <si>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</si>
  <si>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</si>
  <si>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</si>
  <si>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</si>
  <si>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</si>
  <si>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</si>
  <si>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</si>
  <si>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</si>
  <si>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</si>
  <si>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</si>
  <si>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</si>
  <si>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</si>
  <si>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</si>
  <si>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</si>
  <si>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</si>
  <si>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</si>
  <si>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</si>
  <si>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</si>
  <si>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</si>
  <si>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</si>
  <si>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</si>
  <si>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</si>
  <si>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</si>
  <si>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</si>
  <si>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</si>
  <si>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</si>
  <si>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</si>
  <si>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</si>
  <si>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</si>
  <si>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</si>
  <si>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</si>
  <si>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</si>
  <si>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</si>
  <si>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</si>
  <si>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</si>
  <si>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</si>
  <si>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</si>
  <si>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</si>
  <si>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</si>
  <si>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</si>
  <si>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</si>
  <si>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</si>
  <si>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</si>
  <si>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</si>
  <si>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</si>
  <si>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</si>
  <si>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</si>
  <si>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</si>
  <si>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</si>
  <si>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</si>
  <si>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</si>
  <si>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</si>
  <si>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</si>
  <si>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</si>
  <si>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</si>
  <si>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</si>
  <si>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</si>
  <si>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</si>
  <si>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</si>
  <si>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</si>
  <si>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</si>
  <si>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</si>
  <si>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</si>
  <si>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</si>
  <si>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</si>
  <si>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</si>
  <si>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</si>
  <si>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</si>
  <si>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</si>
  <si>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</si>
  <si>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</si>
  <si>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</si>
  <si>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</si>
  <si>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</si>
  <si>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</si>
  <si>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</si>
  <si>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</si>
  <si>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</si>
  <si>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</si>
  <si>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</si>
  <si>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</si>
  <si>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</si>
  <si>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</si>
  <si>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</si>
  <si>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</si>
  <si>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</si>
  <si>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</si>
  <si>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</si>
  <si>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</si>
  <si>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</si>
  <si>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</si>
  <si>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</si>
  <si>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</si>
  <si>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</si>
  <si>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</si>
  <si>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</si>
  <si>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</si>
  <si>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</si>
  <si>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</si>
  <si>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</si>
  <si>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</si>
  <si>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</si>
  <si>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</si>
  <si>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</si>
  <si>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</si>
  <si>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</si>
  <si>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</si>
  <si>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</si>
  <si>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</si>
  <si>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</si>
  <si>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</si>
  <si>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</si>
  <si>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</si>
  <si>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</si>
  <si>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</si>
  <si>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</si>
  <si>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</si>
  <si>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</si>
  <si>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</si>
  <si>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</si>
  <si>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</si>
  <si>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</si>
  <si>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</si>
  <si>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</si>
  <si>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</si>
  <si>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</si>
  <si>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</si>
  <si>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</si>
  <si>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</si>
  <si>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</si>
  <si>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</si>
  <si>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</si>
  <si>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</si>
  <si>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</si>
  <si>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</si>
  <si>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</si>
  <si>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</si>
  <si>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</si>
  <si>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</si>
  <si>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</si>
  <si>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</si>
  <si>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</si>
  <si>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</si>
  <si>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</si>
  <si>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</si>
  <si>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</si>
  <si>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</si>
  <si>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</si>
  <si>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</si>
  <si>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</si>
  <si>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</si>
  <si>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</si>
  <si>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</si>
  <si>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</si>
  <si>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</si>
  <si>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</si>
  <si>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</si>
  <si>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</si>
  <si>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</si>
  <si>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</si>
  <si>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</si>
  <si>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</si>
  <si>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</si>
  <si>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</si>
  <si>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</si>
  <si>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</si>
  <si>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</si>
  <si>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</si>
  <si>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</si>
  <si>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</si>
  <si>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</si>
  <si>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</si>
  <si>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</si>
  <si>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</si>
  <si>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</si>
  <si>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</si>
  <si>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</si>
  <si>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</si>
  <si>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</si>
  <si>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</si>
  <si>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</si>
  <si>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</si>
  <si>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</si>
  <si>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</si>
  <si>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</si>
  <si>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</si>
  <si>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</si>
  <si>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</si>
  <si>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</si>
  <si>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</si>
  <si>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</si>
  <si>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</si>
  <si>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</si>
  <si>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</si>
  <si>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</si>
  <si>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</si>
  <si>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</si>
  <si>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</si>
  <si>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</si>
  <si>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</si>
  <si>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</si>
  <si>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</si>
  <si>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</si>
  <si>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</si>
  <si>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</si>
  <si>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</si>
  <si>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</si>
  <si>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</si>
  <si>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</si>
  <si>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</si>
  <si>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</si>
  <si>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</si>
  <si>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</si>
  <si>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</si>
  <si>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</si>
  <si>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</si>
  <si>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</si>
  <si>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</si>
  <si>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</si>
  <si>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</si>
  <si>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</si>
  <si>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</si>
  <si>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</si>
  <si>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</si>
  <si>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</si>
  <si>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</si>
  <si>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</si>
  <si>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</si>
  <si>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</si>
  <si>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</si>
  <si>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</si>
  <si>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</si>
  <si>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</si>
  <si>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</si>
  <si>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</si>
  <si>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</si>
  <si>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</si>
  <si>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</si>
  <si>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</si>
  <si>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</si>
  <si>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</si>
  <si>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</si>
  <si>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</si>
  <si>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</si>
  <si>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</si>
  <si>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</si>
  <si>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</si>
  <si>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</si>
  <si>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</si>
  <si>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</si>
  <si>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</si>
  <si>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</si>
  <si>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</si>
  <si>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</si>
  <si>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</si>
  <si>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</si>
  <si>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</si>
  <si>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</si>
  <si>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</si>
  <si>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</si>
  <si>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</si>
  <si>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</si>
  <si>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</si>
  <si>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</si>
  <si>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</si>
  <si>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</si>
  <si>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</si>
  <si>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</si>
  <si>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</si>
  <si>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</si>
  <si>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</si>
  <si>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</si>
  <si>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</si>
  <si>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</si>
  <si>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</si>
  <si>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</si>
  <si>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</si>
  <si>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</si>
  <si>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</si>
  <si>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</si>
  <si>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</si>
  <si>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</si>
  <si>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</si>
  <si>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</si>
  <si>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</si>
  <si>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</si>
  <si>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</si>
  <si>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</si>
  <si>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</si>
  <si>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</si>
  <si>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</si>
  <si>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</si>
  <si>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</si>
  <si>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</si>
  <si>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</si>
  <si>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</si>
  <si>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</si>
  <si>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</si>
  <si>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</si>
  <si>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</si>
  <si>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</si>
  <si>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</si>
  <si>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</si>
  <si>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</si>
  <si>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</si>
  <si>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</si>
  <si>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</si>
  <si>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</si>
  <si>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</si>
  <si>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</si>
  <si>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</si>
  <si>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</si>
  <si>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</si>
  <si>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</si>
  <si>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</si>
  <si>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</si>
  <si>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</si>
  <si>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</si>
  <si>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</si>
  <si>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</si>
  <si>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</si>
  <si>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</si>
  <si>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</si>
  <si>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</si>
  <si>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</si>
  <si>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</si>
  <si>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</si>
  <si>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</si>
  <si>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</si>
  <si>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</si>
  <si>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</si>
  <si>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</si>
  <si>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</si>
  <si>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</si>
  <si>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</si>
  <si>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</si>
  <si>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</si>
  <si>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</si>
  <si>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</si>
  <si>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</si>
  <si>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</si>
  <si>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</si>
  <si>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</si>
  <si>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</si>
  <si>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</si>
  <si>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</si>
  <si>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</si>
  <si>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</si>
  <si>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</si>
  <si>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</si>
  <si>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</si>
  <si>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</si>
  <si>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</si>
  <si>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</si>
  <si>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</si>
  <si>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</si>
  <si>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</si>
  <si>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</si>
  <si>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</si>
  <si>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</si>
  <si>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</si>
  <si>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</si>
  <si>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</si>
  <si>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</si>
  <si>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</si>
  <si>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</si>
  <si>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</si>
  <si>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</si>
  <si>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</si>
  <si>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</si>
  <si>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</si>
  <si>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</si>
  <si>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</si>
  <si>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</si>
  <si>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</si>
  <si>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</si>
  <si>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</si>
  <si>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</si>
  <si>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</si>
  <si>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</si>
  <si>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</si>
  <si>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</si>
  <si>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</si>
  <si>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</si>
  <si>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</si>
  <si>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</si>
  <si>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</si>
  <si>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</si>
  <si>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</si>
  <si>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</si>
  <si>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</si>
  <si>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</si>
  <si>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</si>
  <si>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</si>
  <si>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</si>
  <si>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</si>
  <si>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</si>
  <si>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</si>
  <si>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</si>
  <si>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</si>
  <si>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</si>
  <si>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</si>
  <si>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</si>
  <si>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</si>
  <si>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</si>
  <si>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</si>
  <si>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</si>
  <si>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</si>
  <si>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</si>
  <si>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</si>
  <si>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</si>
  <si>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</si>
  <si>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</si>
  <si>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</si>
  <si>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</si>
  <si>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</si>
  <si>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</si>
  <si>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</si>
  <si>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</si>
  <si>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</si>
  <si>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</si>
  <si>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</si>
  <si>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</si>
  <si>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</si>
  <si>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</si>
  <si>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</si>
  <si>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</si>
  <si>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</si>
  <si>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</si>
  <si>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</si>
  <si>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</si>
  <si>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</si>
  <si>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</si>
  <si>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</si>
  <si>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</si>
  <si>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</si>
  <si>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</si>
  <si>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</si>
  <si>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</si>
  <si>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</si>
  <si>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</si>
  <si>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</si>
  <si>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</si>
  <si>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</si>
  <si>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</si>
  <si>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</si>
  <si>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</si>
  <si>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</si>
  <si>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</si>
  <si>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</si>
  <si>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</si>
  <si>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</si>
  <si>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</si>
  <si>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</si>
  <si>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</si>
  <si>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</si>
  <si>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</si>
  <si>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</si>
  <si>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</si>
  <si>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</si>
  <si>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</si>
  <si>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</si>
  <si>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</si>
  <si>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</si>
  <si>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</si>
  <si>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</si>
  <si>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</si>
  <si>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</si>
  <si>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</si>
  <si>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</si>
  <si>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</si>
  <si>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</si>
  <si>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</si>
  <si>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</si>
  <si>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</si>
  <si>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</si>
  <si>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</si>
  <si>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</si>
  <si>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</si>
  <si>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</si>
  <si>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</si>
  <si>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</si>
  <si>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</si>
  <si>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</si>
  <si>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</si>
  <si>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</si>
  <si>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</si>
  <si>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</si>
  <si>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</si>
  <si>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</si>
  <si>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</si>
  <si>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</si>
  <si>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</si>
  <si>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</si>
  <si>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</si>
  <si>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</si>
  <si>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</si>
  <si>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</si>
  <si>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</si>
  <si>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</si>
  <si>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</si>
  <si>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</si>
  <si>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</si>
  <si>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</si>
  <si>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</si>
  <si>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</si>
  <si>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</si>
  <si>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</si>
  <si>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</si>
  <si>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</si>
  <si>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</si>
  <si>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</si>
  <si>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</si>
  <si>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</si>
  <si>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</si>
  <si>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</si>
  <si>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</si>
  <si>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</si>
  <si>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</si>
  <si>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</si>
  <si>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</si>
  <si>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</si>
  <si>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</si>
  <si>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</si>
  <si>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</si>
  <si>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</si>
  <si>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</si>
  <si>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</si>
  <si>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</si>
  <si>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</si>
  <si>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</si>
  <si>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</si>
  <si>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</si>
  <si>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</si>
  <si>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</si>
  <si>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</si>
  <si>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</si>
  <si>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</si>
  <si>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</si>
  <si>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</si>
  <si>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</si>
  <si>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</si>
  <si>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</si>
  <si>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</si>
  <si>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</si>
  <si>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</si>
  <si>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</si>
  <si>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</si>
  <si>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</si>
  <si>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</si>
  <si>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</si>
  <si>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</si>
  <si>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</si>
  <si>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</si>
  <si>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</si>
  <si>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</si>
  <si>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</si>
  <si>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</si>
  <si>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</si>
  <si>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</si>
  <si>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</si>
  <si>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</si>
  <si>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</si>
  <si>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</si>
  <si>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</si>
  <si>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</si>
  <si>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</si>
  <si>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</si>
  <si>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</si>
  <si>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</si>
  <si>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</si>
  <si>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</si>
  <si>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</si>
  <si>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</si>
  <si>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</si>
  <si>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</si>
  <si>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</si>
  <si>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</si>
  <si>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</si>
  <si>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</si>
  <si>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</si>
  <si>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</si>
  <si>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</si>
  <si>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</si>
  <si>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</si>
  <si>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</si>
  <si>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</si>
  <si>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</si>
  <si>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</si>
  <si>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</si>
  <si>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</si>
  <si>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</si>
  <si>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</si>
  <si>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</si>
  <si>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</si>
  <si>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</si>
  <si>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</si>
  <si>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</si>
  <si>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</si>
  <si>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</si>
  <si>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</si>
  <si>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</si>
  <si>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</si>
  <si>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</si>
  <si>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</si>
  <si>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</si>
  <si>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</si>
  <si>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</si>
  <si>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</si>
  <si>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</si>
  <si>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</si>
  <si>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</si>
  <si>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</si>
  <si>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</si>
  <si>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</si>
  <si>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</si>
  <si>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</si>
  <si>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</si>
  <si>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</si>
  <si>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</si>
  <si>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</si>
  <si>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</si>
  <si>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</si>
  <si>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</si>
  <si>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</si>
  <si>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</si>
  <si>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</si>
  <si>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</si>
  <si>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</si>
  <si>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</si>
  <si>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</si>
  <si>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</si>
  <si>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</si>
  <si>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</si>
  <si>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</si>
  <si>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</si>
  <si>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</si>
  <si>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</si>
  <si>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</si>
  <si>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</si>
  <si>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</si>
  <si>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</si>
  <si>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</si>
  <si>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</si>
  <si>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</si>
  <si>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</si>
  <si>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</si>
  <si>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</si>
  <si>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</si>
  <si>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</si>
  <si>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</si>
  <si>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</si>
  <si>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</si>
  <si>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</si>
  <si>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</si>
  <si>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</si>
  <si>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</si>
  <si>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</si>
  <si>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</si>
  <si>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</si>
  <si>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</si>
  <si>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</si>
  <si>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</si>
  <si>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</si>
  <si>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</si>
  <si>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</si>
  <si>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</si>
  <si>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</si>
  <si>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</si>
  <si>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</si>
  <si>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</si>
  <si>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</si>
  <si>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</si>
  <si>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</si>
  <si>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</si>
  <si>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</si>
  <si>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</si>
  <si>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</si>
  <si>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</si>
  <si>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</si>
  <si>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</si>
  <si>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</si>
  <si>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</si>
  <si>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</si>
  <si>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</si>
  <si>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</si>
  <si>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</si>
  <si>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</si>
  <si>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</si>
  <si>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</si>
  <si>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</si>
  <si>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</si>
  <si>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</si>
  <si>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</si>
  <si>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</si>
  <si>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</si>
  <si>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</si>
  <si>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</si>
  <si>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</si>
  <si>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</si>
  <si>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</si>
  <si>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</si>
  <si>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</si>
  <si>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</si>
  <si>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</si>
  <si>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</si>
  <si>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</si>
  <si>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</si>
  <si>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</si>
  <si>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</si>
  <si>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</si>
  <si>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</si>
  <si>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</si>
  <si>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</si>
  <si>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</si>
  <si>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</si>
  <si>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</si>
  <si>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</si>
  <si>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</si>
  <si>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</si>
  <si>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</si>
  <si>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</si>
  <si>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</si>
  <si>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</si>
  <si>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</si>
  <si>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</si>
  <si>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</si>
  <si>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</si>
  <si>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</si>
  <si>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</si>
  <si>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</si>
  <si>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</si>
  <si>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</si>
  <si>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</si>
  <si>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</si>
  <si>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</si>
  <si>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</si>
  <si>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</si>
  <si>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</si>
  <si>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</si>
  <si>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</si>
  <si>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</si>
  <si>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</si>
  <si>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</si>
  <si>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</si>
  <si>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</si>
  <si>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</si>
  <si>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</si>
  <si>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</si>
  <si>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</si>
  <si>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</si>
  <si>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</si>
  <si>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</si>
  <si>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</si>
  <si>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</si>
  <si>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</si>
  <si>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</si>
  <si>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</si>
  <si>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</si>
  <si>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</si>
  <si>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</si>
  <si>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</si>
  <si>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</si>
  <si>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</si>
  <si>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</si>
  <si>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</si>
  <si>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</si>
  <si>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</si>
  <si>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</si>
  <si>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</si>
  <si>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</si>
  <si>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</si>
  <si>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</si>
  <si>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</si>
  <si>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</si>
  <si>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</si>
  <si>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</si>
  <si>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</si>
  <si>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</si>
  <si>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</si>
  <si>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</si>
  <si>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</si>
  <si>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</si>
  <si>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</si>
  <si>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</si>
  <si>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</si>
  <si>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</si>
  <si>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</si>
  <si>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</si>
  <si>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</si>
  <si>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</si>
  <si>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</si>
  <si>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</si>
  <si>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</si>
  <si>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</si>
  <si>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</si>
  <si>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</si>
  <si>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</si>
  <si>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</si>
  <si>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</si>
  <si>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</si>
  <si>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</si>
  <si>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</si>
  <si>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</si>
  <si>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</si>
  <si>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</si>
  <si>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</si>
  <si>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</si>
  <si>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</si>
  <si>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</si>
  <si>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</si>
  <si>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</si>
  <si>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</si>
  <si>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</si>
  <si>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</si>
  <si>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</si>
  <si>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</si>
  <si>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</si>
  <si>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</si>
  <si>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</si>
  <si>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</si>
  <si>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</si>
  <si>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</si>
  <si>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</si>
  <si>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</si>
  <si>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</si>
  <si>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</si>
  <si>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</si>
  <si>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</si>
  <si>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</si>
  <si>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</si>
  <si>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</si>
  <si>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</si>
  <si>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</si>
  <si>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</si>
  <si>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</si>
  <si>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</si>
  <si>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</si>
  <si>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</si>
  <si>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</si>
  <si>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</si>
  <si>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</si>
  <si>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</si>
  <si>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</si>
  <si>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</si>
  <si>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</si>
  <si>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</si>
  <si>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</si>
  <si>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</si>
  <si>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</si>
  <si>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</si>
  <si>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</si>
  <si>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</si>
  <si>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</si>
  <si>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</si>
  <si>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</si>
  <si>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</si>
  <si>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</si>
  <si>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</si>
  <si>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</si>
  <si>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</si>
  <si>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</si>
  <si>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</si>
  <si>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</si>
  <si>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</si>
  <si>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</si>
  <si>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</si>
  <si>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</si>
  <si>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</si>
  <si>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</si>
  <si>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</si>
  <si>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</si>
  <si>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</si>
  <si>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</si>
  <si>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</si>
  <si>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</si>
  <si>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</si>
  <si>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</si>
  <si>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</si>
  <si>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</si>
  <si>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</si>
  <si>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</si>
  <si>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</si>
  <si>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</si>
  <si>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</si>
  <si>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</si>
  <si>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</si>
  <si>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</si>
  <si>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</si>
  <si>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</si>
  <si>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</si>
  <si>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</si>
  <si>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</si>
  <si>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</si>
  <si>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</si>
  <si>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</si>
  <si>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</si>
  <si>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</si>
  <si>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</si>
  <si>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</si>
  <si>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</si>
  <si>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</si>
  <si>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</si>
  <si>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</si>
  <si>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</si>
  <si>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</si>
  <si>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</si>
  <si>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</si>
  <si>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</si>
  <si>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</si>
  <si>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</si>
  <si>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</si>
  <si>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</si>
  <si>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</si>
  <si>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</si>
  <si>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</si>
  <si>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</si>
  <si>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</si>
  <si>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</si>
  <si>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</si>
  <si>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</si>
  <si>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</si>
  <si>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</si>
  <si>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</si>
  <si>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</si>
  <si>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</si>
  <si>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</si>
  <si>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</si>
  <si>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</si>
  <si>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</si>
  <si>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</si>
  <si>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</si>
  <si>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</si>
  <si>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</si>
  <si>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</si>
  <si>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</si>
  <si>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</si>
  <si>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</si>
  <si>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</si>
  <si>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</si>
  <si>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</si>
  <si>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</si>
  <si>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</si>
  <si>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</si>
  <si>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</si>
  <si>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</si>
  <si>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</si>
  <si>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</si>
  <si>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</si>
  <si>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</si>
  <si>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</si>
  <si>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</si>
  <si>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</si>
  <si>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</si>
  <si>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</si>
  <si>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</si>
  <si>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</si>
  <si>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</si>
  <si>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</si>
  <si>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</si>
  <si>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</si>
  <si>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</si>
  <si>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</si>
  <si>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</si>
  <si>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</si>
  <si>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</si>
  <si>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</si>
  <si>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</si>
  <si>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</si>
  <si>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</si>
  <si>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</si>
  <si>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</si>
  <si>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</si>
  <si>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</si>
  <si>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</si>
  <si>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</si>
  <si>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</si>
  <si>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</si>
  <si>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</si>
  <si>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</si>
  <si>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</si>
  <si>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</si>
  <si>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</si>
  <si>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</si>
  <si>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</si>
  <si>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</si>
  <si>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</si>
  <si>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</si>
  <si>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</si>
  <si>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</si>
  <si>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</si>
  <si>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</si>
  <si>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</si>
  <si>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</si>
  <si>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</si>
  <si>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</si>
  <si>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</si>
  <si>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</si>
  <si>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</si>
  <si>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</si>
  <si>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</si>
  <si>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</si>
  <si>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</si>
  <si>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</si>
  <si>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</si>
  <si>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</si>
  <si>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</si>
  <si>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</si>
  <si>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</si>
  <si>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</si>
  <si>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</si>
  <si>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</si>
  <si>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</si>
  <si>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</si>
  <si>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</si>
  <si>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</si>
  <si>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</si>
  <si>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</si>
  <si>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</si>
  <si>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</si>
  <si>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</si>
  <si>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</si>
  <si>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</si>
  <si>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</si>
  <si>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</si>
  <si>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</si>
  <si>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</si>
  <si>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</si>
  <si>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</si>
  <si>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</si>
  <si>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</si>
  <si>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</si>
  <si>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</si>
  <si>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</si>
  <si>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</si>
  <si>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</si>
  <si>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</si>
  <si>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</si>
  <si>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</si>
  <si>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</si>
  <si>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</si>
  <si>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</si>
  <si>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</si>
  <si>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</si>
  <si>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</si>
  <si>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</si>
  <si>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</si>
  <si>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</si>
  <si>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</si>
  <si>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</si>
  <si>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</si>
  <si>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</si>
  <si>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</si>
  <si>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</si>
  <si>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</si>
  <si>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</si>
  <si>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</si>
  <si>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</si>
  <si>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</si>
  <si>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</si>
  <si>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</si>
  <si>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</si>
  <si>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</si>
  <si>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</si>
  <si>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</si>
  <si>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</si>
  <si>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</si>
  <si>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</si>
  <si>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</si>
  <si>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</si>
  <si>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</si>
  <si>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</si>
  <si>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</si>
  <si>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</si>
  <si>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</si>
  <si>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</si>
  <si>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</si>
  <si>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</si>
  <si>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</si>
  <si>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</si>
  <si>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</si>
  <si>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</si>
  <si>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</si>
  <si>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</si>
  <si>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</si>
  <si>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</si>
  <si>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</si>
  <si>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</si>
  <si>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</si>
  <si>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</si>
  <si>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</si>
  <si>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</si>
  <si>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</si>
  <si>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</si>
  <si>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</si>
  <si>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</si>
  <si>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</si>
  <si>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</si>
  <si>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</si>
  <si>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</si>
  <si>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</si>
  <si>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</si>
  <si>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</si>
  <si>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</si>
  <si>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</si>
  <si>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</si>
  <si>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</si>
  <si>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</si>
  <si>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</si>
  <si>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</si>
  <si>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</si>
  <si>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</si>
  <si>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</si>
  <si>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</si>
  <si>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</si>
  <si>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</si>
  <si>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</si>
  <si>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</si>
  <si>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</si>
  <si>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</si>
  <si>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</si>
  <si>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</si>
  <si>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</si>
  <si>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</si>
  <si>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</si>
  <si>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</si>
  <si>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</si>
  <si>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</si>
  <si>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</si>
  <si>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</si>
  <si>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</si>
  <si>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</si>
  <si>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</si>
  <si>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</si>
  <si>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</si>
  <si>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</si>
  <si>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</si>
  <si>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</si>
  <si>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</si>
  <si>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</si>
  <si>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</si>
  <si>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</si>
  <si>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</si>
  <si>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</si>
  <si>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</si>
  <si>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</si>
  <si>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</si>
  <si>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</si>
  <si>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</si>
  <si>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</si>
  <si>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</si>
  <si>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</si>
  <si>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</si>
  <si>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</si>
  <si>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</si>
  <si>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</si>
  <si>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</si>
  <si>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</si>
  <si>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</si>
  <si>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</si>
  <si>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</si>
  <si>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</si>
  <si>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</si>
  <si>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</si>
  <si>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</si>
  <si>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</si>
  <si>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</si>
  <si>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</si>
  <si>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</si>
  <si>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</si>
  <si>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</si>
  <si>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</si>
  <si>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</si>
  <si>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</si>
  <si>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</si>
  <si>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</si>
  <si>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</si>
  <si>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</si>
  <si>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</si>
  <si>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</si>
  <si>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</si>
  <si>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</si>
  <si>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</si>
  <si>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</si>
  <si>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</si>
  <si>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</si>
  <si>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</si>
  <si>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</si>
  <si>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</si>
  <si>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</si>
  <si>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</si>
  <si>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</si>
  <si>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</si>
  <si>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</si>
  <si>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</si>
  <si>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</si>
  <si>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</si>
  <si>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</si>
  <si>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</si>
  <si>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</si>
  <si>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</si>
  <si>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</si>
  <si>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</si>
  <si>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</si>
  <si>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</si>
  <si>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</si>
  <si>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</si>
  <si>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</si>
  <si>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</si>
  <si>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</si>
  <si>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</si>
  <si>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</si>
  <si>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</si>
  <si>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</si>
  <si>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</si>
  <si>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</si>
  <si>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</si>
  <si>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</si>
  <si>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</si>
  <si>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</si>
  <si>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</si>
  <si>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</si>
  <si>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</si>
  <si>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</si>
  <si>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</si>
  <si>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</si>
  <si>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</si>
  <si>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</si>
  <si>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</si>
  <si>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</si>
  <si>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</si>
  <si>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</si>
  <si>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</si>
  <si>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</si>
  <si>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</si>
  <si>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</si>
  <si>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</si>
  <si>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</si>
  <si>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</si>
  <si>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</si>
  <si>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</si>
  <si>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</si>
  <si>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</si>
  <si>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</si>
  <si>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</si>
  <si>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</si>
  <si>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</si>
  <si>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</si>
  <si>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</si>
  <si>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</si>
  <si>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</si>
  <si>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</si>
  <si>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</si>
  <si>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</si>
  <si>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</si>
  <si>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</si>
  <si>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</si>
  <si>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</si>
  <si>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</si>
  <si>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</si>
  <si>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</si>
  <si>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</si>
  <si>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</si>
  <si>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</si>
  <si>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</si>
  <si>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</si>
  <si>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</si>
  <si>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</si>
  <si>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</si>
  <si>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</si>
  <si>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</si>
  <si>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</si>
  <si>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</si>
  <si>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</si>
  <si>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</si>
  <si>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</si>
  <si>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</si>
  <si>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</si>
  <si>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</si>
  <si>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</si>
  <si>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</si>
  <si>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</si>
  <si>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</si>
  <si>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</si>
  <si>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</si>
  <si>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</si>
  <si>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</si>
  <si>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</si>
  <si>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</si>
  <si>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</si>
  <si>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</si>
  <si>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</si>
  <si>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</si>
  <si>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</si>
  <si>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</si>
  <si>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</si>
  <si>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</si>
  <si>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</si>
  <si>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</si>
  <si>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</si>
  <si>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</si>
  <si>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</si>
  <si>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</si>
  <si>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</si>
  <si>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</si>
  <si>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</si>
  <si>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</si>
  <si>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</si>
  <si>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</si>
  <si>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</si>
  <si>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</si>
  <si>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</si>
  <si>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</si>
  <si>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</si>
  <si>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</si>
  <si>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</si>
  <si>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</si>
  <si>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</si>
  <si>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</si>
  <si>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</si>
  <si>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</si>
  <si>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</si>
  <si>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</si>
  <si>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</si>
  <si>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</si>
  <si>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</si>
  <si>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</si>
  <si>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</si>
  <si>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</si>
  <si>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</si>
  <si>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</si>
  <si>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</si>
  <si>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</si>
  <si>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</si>
  <si>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</si>
  <si>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</si>
  <si>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</si>
  <si>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</si>
  <si>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</si>
  <si>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</si>
  <si>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</si>
  <si>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</si>
  <si>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</si>
  <si>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</si>
  <si>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</si>
  <si>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</si>
  <si>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</si>
  <si>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</si>
  <si>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</si>
  <si>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</si>
  <si>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</si>
  <si>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</si>
  <si>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</si>
  <si>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</si>
  <si>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</si>
  <si>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</si>
  <si>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</si>
  <si>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</si>
  <si>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</si>
  <si>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</si>
  <si>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</si>
  <si>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</si>
  <si>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</si>
  <si>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</si>
  <si>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</si>
  <si>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</si>
  <si>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</si>
  <si>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</si>
  <si>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</si>
  <si>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</si>
  <si>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</si>
  <si>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</si>
  <si>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</si>
  <si>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</si>
  <si>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</si>
  <si>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</si>
  <si>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</si>
  <si>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</si>
  <si>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</si>
  <si>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</si>
  <si>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</si>
  <si>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</si>
  <si>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</si>
  <si>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</si>
  <si>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</si>
  <si>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</si>
  <si>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</si>
  <si>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</si>
  <si>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</si>
  <si>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</si>
  <si>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</si>
  <si>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</si>
  <si>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</si>
  <si>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</si>
  <si>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</si>
  <si>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</si>
  <si>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</si>
  <si>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</si>
  <si>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</si>
  <si>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</si>
  <si>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</si>
  <si>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</si>
  <si>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</si>
  <si>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</si>
  <si>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</si>
  <si>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</si>
  <si>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</si>
  <si>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</si>
  <si>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</si>
  <si>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</si>
  <si>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</si>
  <si>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</si>
  <si>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</si>
  <si>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</si>
  <si>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</si>
  <si>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</si>
  <si>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</si>
  <si>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</si>
  <si>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</si>
  <si>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</si>
  <si>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</si>
  <si>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</si>
  <si>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</si>
  <si>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</si>
  <si>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</si>
  <si>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</si>
  <si>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</si>
  <si>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</si>
  <si>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</si>
  <si>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</si>
  <si>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</si>
  <si>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</si>
  <si>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</si>
  <si>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</si>
  <si>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</si>
  <si>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</si>
  <si>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</si>
  <si>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</si>
  <si>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</si>
  <si>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</si>
  <si>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</si>
  <si>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</si>
  <si>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</si>
  <si>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</si>
  <si>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</si>
  <si>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</si>
  <si>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</si>
  <si>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</si>
  <si>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</si>
  <si>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</si>
  <si>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</si>
  <si>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</si>
  <si>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</si>
  <si>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</si>
  <si>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</si>
  <si>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</si>
  <si>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</si>
  <si>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</si>
  <si>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</si>
  <si>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</si>
  <si>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</si>
  <si>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</si>
  <si>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</si>
  <si>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</si>
  <si>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</si>
  <si>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</si>
  <si>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</si>
  <si>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</si>
  <si>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</si>
  <si>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</si>
  <si>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</si>
  <si>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</si>
  <si>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</si>
  <si>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</si>
  <si>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</si>
  <si>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</si>
  <si>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</si>
  <si>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</si>
  <si>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</si>
  <si>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</si>
  <si>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</si>
  <si>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</si>
  <si>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</si>
  <si>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</si>
  <si>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</si>
  <si>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</si>
  <si>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</si>
  <si>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</si>
  <si>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</si>
  <si>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</si>
  <si>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</si>
  <si>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</si>
  <si>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</si>
  <si>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</si>
  <si>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</si>
  <si>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</si>
  <si>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</si>
  <si>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</si>
  <si>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</si>
  <si>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</si>
  <si>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</si>
  <si>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</si>
  <si>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</si>
  <si>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</si>
  <si>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</si>
  <si>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</si>
  <si>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</si>
  <si>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</si>
  <si>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</si>
  <si>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</si>
  <si>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</si>
  <si>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</si>
  <si>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</si>
  <si>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</si>
  <si>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</si>
  <si>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</si>
  <si>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</si>
  <si>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</si>
  <si>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</si>
  <si>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</si>
  <si>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</si>
  <si>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</si>
  <si>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</si>
  <si>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</si>
  <si>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</si>
  <si>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</si>
  <si>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</si>
  <si>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</si>
  <si>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</si>
  <si>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</si>
  <si>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</si>
  <si>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</si>
  <si>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</si>
  <si>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</si>
  <si>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</si>
  <si>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</si>
  <si>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</si>
  <si>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</si>
  <si>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</si>
  <si>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</si>
  <si>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</si>
  <si>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</si>
  <si>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</si>
  <si>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</si>
  <si>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</si>
  <si>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</si>
  <si>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</si>
  <si>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</si>
  <si>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</si>
  <si>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</si>
  <si>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</si>
  <si>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</si>
  <si>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</si>
  <si>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</si>
  <si>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</si>
  <si>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</si>
  <si>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</si>
  <si>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</si>
  <si>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</si>
  <si>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</si>
  <si>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</si>
  <si>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</si>
  <si>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</si>
  <si>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</si>
  <si>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</si>
  <si>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</si>
  <si>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</si>
  <si>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</si>
  <si>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</si>
  <si>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</si>
  <si>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</si>
  <si>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</si>
  <si>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</si>
  <si>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</si>
  <si>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</si>
  <si>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</si>
  <si>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</si>
  <si>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</si>
  <si>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</si>
  <si>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</si>
  <si>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</si>
  <si>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</si>
  <si>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</si>
  <si>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</si>
  <si>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</si>
  <si>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</si>
  <si>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</si>
  <si>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</si>
  <si>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</si>
  <si>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</si>
  <si>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</si>
  <si>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</si>
  <si>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</si>
  <si>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</si>
  <si>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</si>
  <si>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</si>
  <si>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</si>
  <si>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</si>
  <si>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</si>
  <si>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</si>
  <si>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</si>
  <si>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</si>
  <si>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</si>
  <si>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</si>
  <si>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</si>
  <si>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</si>
  <si>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</si>
  <si>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</si>
  <si>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</si>
  <si>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</si>
  <si>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</si>
  <si>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</si>
  <si>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</si>
  <si>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</si>
  <si>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</si>
  <si>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</si>
  <si>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</si>
  <si>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</si>
  <si>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</si>
  <si>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</si>
  <si>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</si>
  <si>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</si>
  <si>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</si>
  <si>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</si>
  <si>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</si>
  <si>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</si>
  <si>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</si>
  <si>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</si>
  <si>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</si>
  <si>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</si>
  <si>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</si>
  <si>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</si>
  <si>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</si>
  <si>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</si>
  <si>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</si>
  <si>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</si>
  <si>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</si>
  <si>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</si>
  <si>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</si>
  <si>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</si>
  <si>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</si>
  <si>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</si>
  <si>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</si>
  <si>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</si>
  <si>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</si>
  <si>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</si>
  <si>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</si>
  <si>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</si>
  <si>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</si>
  <si>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</si>
  <si>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</si>
  <si>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</si>
  <si>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</si>
  <si>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</si>
  <si>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</si>
  <si>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</si>
  <si>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</si>
  <si>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</si>
  <si>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</si>
  <si>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</si>
  <si>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</si>
  <si>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</si>
  <si>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</si>
  <si>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</si>
  <si>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</si>
  <si>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</si>
  <si>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</si>
  <si>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</si>
  <si>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</si>
  <si>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</si>
  <si>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</si>
  <si>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</si>
  <si>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</si>
  <si>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</si>
  <si>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</si>
  <si>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</si>
  <si>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</si>
  <si>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</si>
  <si>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</si>
  <si>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</si>
  <si>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</si>
  <si>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</si>
  <si>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</si>
  <si>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</si>
  <si>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</si>
  <si>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</si>
  <si>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</si>
  <si>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</si>
  <si>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</si>
  <si>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</si>
  <si>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</si>
  <si>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</si>
  <si>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</si>
  <si>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</si>
  <si>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</si>
  <si>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</si>
  <si>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</si>
  <si>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</si>
  <si>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</si>
  <si>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</si>
  <si>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</si>
  <si>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</si>
  <si>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</si>
  <si>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</si>
  <si>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</si>
  <si>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</si>
  <si>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</si>
  <si>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</si>
  <si>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</si>
  <si>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</si>
  <si>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</si>
  <si>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</si>
  <si>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</si>
  <si>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</si>
  <si>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</si>
  <si>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</si>
  <si>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</si>
  <si>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</si>
  <si>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</si>
  <si>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</si>
  <si>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</si>
  <si>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</si>
  <si>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</si>
  <si>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</si>
  <si>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</si>
  <si>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</si>
  <si>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</si>
  <si>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</si>
  <si>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</si>
  <si>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</si>
  <si>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</si>
  <si>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</si>
  <si>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</si>
  <si>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</si>
  <si>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</si>
  <si>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</si>
  <si>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</si>
  <si>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</si>
  <si>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</si>
  <si>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</si>
  <si>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</si>
  <si>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</si>
  <si>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</si>
  <si>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</si>
  <si>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</si>
  <si>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</si>
  <si>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</si>
  <si>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</si>
  <si>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</si>
  <si>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</si>
  <si>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</si>
  <si>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</si>
  <si>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</si>
  <si>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</si>
  <si>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</si>
  <si>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</si>
  <si>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</si>
  <si>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</si>
  <si>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</si>
  <si>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</si>
  <si>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</si>
  <si>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</si>
  <si>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</si>
  <si>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</si>
  <si>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</si>
  <si>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</si>
  <si>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</si>
  <si>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</si>
  <si>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</si>
  <si>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</si>
  <si>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</si>
  <si>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</si>
  <si>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</si>
  <si>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</si>
  <si>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</si>
  <si>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</si>
  <si>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</si>
  <si>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</si>
  <si>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</si>
  <si>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</si>
  <si>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</si>
  <si>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</si>
  <si>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</si>
  <si>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</si>
  <si>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</si>
  <si>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</si>
  <si>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</si>
  <si>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</si>
  <si>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</si>
  <si>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</si>
  <si>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</si>
  <si>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</si>
  <si>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</si>
  <si>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</si>
  <si>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</si>
  <si>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</si>
  <si>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</si>
  <si>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</si>
  <si>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</si>
  <si>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</si>
  <si>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</si>
  <si>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</si>
  <si>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</si>
  <si>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</si>
  <si>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</si>
  <si>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</si>
  <si>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</si>
  <si>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</si>
  <si>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</si>
  <si>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</si>
  <si>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</si>
  <si>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</si>
  <si>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</si>
  <si>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</si>
  <si>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</si>
  <si>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</si>
  <si>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</si>
  <si>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</si>
  <si>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</si>
  <si>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</si>
  <si>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</si>
  <si>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</si>
  <si>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</si>
  <si>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</si>
  <si>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</si>
  <si>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</si>
  <si>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</si>
  <si>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</si>
  <si>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</si>
  <si>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</si>
  <si>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</si>
  <si>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</si>
  <si>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</si>
  <si>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</si>
  <si>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</si>
  <si>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</si>
  <si>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</si>
  <si>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</si>
  <si>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</si>
  <si>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</si>
  <si>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</si>
  <si>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</si>
  <si>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</si>
  <si>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</si>
  <si>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</si>
  <si>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</si>
  <si>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</si>
  <si>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</si>
  <si>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</si>
  <si>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</si>
  <si>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</si>
  <si>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</si>
  <si>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</si>
  <si>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</si>
  <si>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</si>
  <si>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</si>
  <si>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</si>
  <si>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</si>
  <si>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</si>
  <si>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</si>
  <si>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</si>
  <si>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</si>
  <si>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</si>
  <si>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</si>
  <si>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</si>
  <si>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</si>
  <si>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</si>
  <si>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</si>
  <si>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</si>
  <si>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</si>
  <si>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</si>
  <si>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</si>
  <si>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</si>
  <si>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</si>
  <si>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</si>
  <si>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</si>
  <si>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</si>
  <si>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</si>
  <si>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</si>
  <si>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</si>
  <si>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</si>
  <si>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</si>
  <si>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</si>
  <si>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</si>
  <si>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</si>
  <si>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</si>
  <si>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</si>
  <si>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</si>
  <si>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</si>
  <si>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</si>
  <si>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</si>
  <si>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</si>
  <si>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</si>
  <si>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</si>
  <si>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</si>
  <si>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</si>
  <si>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</si>
  <si>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</si>
  <si>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</si>
  <si>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</si>
  <si>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</si>
  <si>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</si>
  <si>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</si>
  <si>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</si>
  <si>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</si>
  <si>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</si>
  <si>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</si>
  <si>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</si>
  <si>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</si>
  <si>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</si>
  <si>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</si>
  <si>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</si>
  <si>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</si>
  <si>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</si>
  <si>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</si>
  <si>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</si>
  <si>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</si>
  <si>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</si>
  <si>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</si>
  <si>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</si>
  <si>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</si>
  <si>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</si>
  <si>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</si>
  <si>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</si>
  <si>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</si>
  <si>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</si>
  <si>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</si>
  <si>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</si>
  <si>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</si>
  <si>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</si>
  <si>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</si>
  <si>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</si>
  <si>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</si>
  <si>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</si>
  <si>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</si>
  <si>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</si>
  <si>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</si>
  <si>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</si>
  <si>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</si>
  <si>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</si>
  <si>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</si>
  <si>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</si>
  <si>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</si>
  <si>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</si>
  <si>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</si>
  <si>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</si>
  <si>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</si>
  <si>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</si>
  <si>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</si>
  <si>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</si>
  <si>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</si>
  <si>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</si>
  <si>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</si>
  <si>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</si>
  <si>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</si>
  <si>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</si>
  <si>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</si>
  <si>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</si>
  <si>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</si>
  <si>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</si>
  <si>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</si>
  <si>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</si>
  <si>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</si>
  <si>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</si>
  <si>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</si>
  <si>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</si>
  <si>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</si>
  <si>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</si>
  <si>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</si>
  <si>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</si>
  <si>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</si>
  <si>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</si>
  <si>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</si>
  <si>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</si>
  <si>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</si>
  <si>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</si>
  <si>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</si>
  <si>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</si>
  <si>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</si>
  <si>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</si>
  <si>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</si>
  <si>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</si>
  <si>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</si>
  <si>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</si>
  <si>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</si>
  <si>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</si>
  <si>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</si>
  <si>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</si>
  <si>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</si>
  <si>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</si>
  <si>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</si>
  <si>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</si>
  <si>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</si>
  <si>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</si>
  <si>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</si>
  <si>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</si>
  <si>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</si>
  <si>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</si>
  <si>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</si>
  <si>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</si>
  <si>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</si>
  <si>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</si>
  <si>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</si>
  <si>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</si>
  <si>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</si>
  <si>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</si>
  <si>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</si>
  <si>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</si>
  <si>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</si>
  <si>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</si>
  <si>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</si>
  <si>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</si>
  <si>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</si>
  <si>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</si>
  <si>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</si>
  <si>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</si>
  <si>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</si>
  <si>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</si>
  <si>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</si>
  <si>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</si>
  <si>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</si>
  <si>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</si>
  <si>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</si>
  <si>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</si>
  <si>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</si>
  <si>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</si>
  <si>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</si>
  <si>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</si>
  <si>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</si>
  <si>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</si>
  <si>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</si>
  <si>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</si>
  <si>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</si>
  <si>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</si>
  <si>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</si>
  <si>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</si>
  <si>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</si>
  <si>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</si>
  <si>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</si>
  <si>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</si>
  <si>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</si>
  <si>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</si>
  <si>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</si>
  <si>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</si>
  <si>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</si>
  <si>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</si>
  <si>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</si>
  <si>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</si>
  <si>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</si>
  <si>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</si>
  <si>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</si>
  <si>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</si>
  <si>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</si>
  <si>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</si>
  <si>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</si>
  <si>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</si>
  <si>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</si>
  <si>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</si>
  <si>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</si>
  <si>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</si>
  <si>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</si>
  <si>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</si>
  <si>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</si>
  <si>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</si>
  <si>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</si>
  <si>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</si>
  <si>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</si>
  <si>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</si>
  <si>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</si>
  <si>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</si>
  <si>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</si>
  <si>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</si>
  <si>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</si>
  <si>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</si>
  <si>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</si>
  <si>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</si>
  <si>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</si>
  <si>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</si>
  <si>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</si>
  <si>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</si>
  <si>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</si>
  <si>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</si>
  <si>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</si>
  <si>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</si>
  <si>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</si>
  <si>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</si>
  <si>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</si>
  <si>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</si>
  <si>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</si>
  <si>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</si>
  <si>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</si>
  <si>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</si>
  <si>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</si>
  <si>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</si>
  <si>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</si>
  <si>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</si>
  <si>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</si>
  <si>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</si>
  <si>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</si>
  <si>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</si>
  <si>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</si>
  <si>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</si>
  <si>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</si>
  <si>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</si>
  <si>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</si>
  <si>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</si>
  <si>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</si>
  <si>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</si>
  <si>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</si>
  <si>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</si>
  <si>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</si>
  <si>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</si>
  <si>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</si>
  <si>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</si>
  <si>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</si>
  <si>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</si>
  <si>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</si>
  <si>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</si>
  <si>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</si>
  <si>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</si>
  <si>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</si>
  <si>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</si>
  <si>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</si>
  <si>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</si>
  <si>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</si>
  <si>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</si>
  <si>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</si>
  <si>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</si>
  <si>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</si>
  <si>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</si>
  <si>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</si>
  <si>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</si>
  <si>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</si>
  <si>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</si>
  <si>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</si>
  <si>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</si>
  <si>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</si>
  <si>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</si>
  <si>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</si>
  <si>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</si>
  <si>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</si>
  <si>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</si>
  <si>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</si>
  <si>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</si>
  <si>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</si>
  <si>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</si>
  <si>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</si>
  <si>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</si>
  <si>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</si>
  <si>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</si>
  <si>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</si>
  <si>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</si>
  <si>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</si>
  <si>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</si>
  <si>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</si>
  <si>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</si>
  <si>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</si>
  <si>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</si>
  <si>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</si>
  <si>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</si>
  <si>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</si>
  <si>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</si>
  <si>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</si>
  <si>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</si>
  <si>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</si>
  <si>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</si>
  <si>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</si>
  <si>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</si>
  <si>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</si>
  <si>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</si>
  <si>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</si>
  <si>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</si>
  <si>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</si>
  <si>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</si>
  <si>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</si>
  <si>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</si>
  <si>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</si>
  <si>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</si>
  <si>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</si>
  <si>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</si>
  <si>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</si>
  <si>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</si>
  <si>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</si>
  <si>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</si>
  <si>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</si>
  <si>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</si>
  <si>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</si>
  <si>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</si>
  <si>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</si>
  <si>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</si>
  <si>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</si>
  <si>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</si>
  <si>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</si>
  <si>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</si>
  <si>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</si>
  <si>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</si>
  <si>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</si>
  <si>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</si>
  <si>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</si>
  <si>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</si>
  <si>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</si>
  <si>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</si>
  <si>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</si>
  <si>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</si>
  <si>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</si>
  <si>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</si>
  <si>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</si>
  <si>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</si>
  <si>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</si>
  <si>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</si>
  <si>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</si>
  <si>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</si>
  <si>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</si>
  <si>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</si>
  <si>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</si>
  <si>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</si>
  <si>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</si>
  <si>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</si>
  <si>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</si>
  <si>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</si>
  <si>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</si>
  <si>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</si>
  <si>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</si>
  <si>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</si>
  <si>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</si>
  <si>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</si>
  <si>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</si>
  <si>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</si>
  <si>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</si>
  <si>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</si>
  <si>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</si>
  <si>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</si>
  <si>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</si>
  <si>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</si>
  <si>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</si>
  <si>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</si>
  <si>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</si>
  <si>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</si>
  <si>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</si>
  <si>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</si>
  <si>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</si>
  <si>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</si>
  <si>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</si>
  <si>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</si>
  <si>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</si>
  <si>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</si>
  <si>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</si>
  <si>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</si>
  <si>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</si>
  <si>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</si>
  <si>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</si>
  <si>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</si>
  <si>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</si>
  <si>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</si>
  <si>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</si>
  <si>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</si>
  <si>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</si>
  <si>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</si>
  <si>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</si>
  <si>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</si>
  <si>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</si>
  <si>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</si>
  <si>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</si>
  <si>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</si>
  <si>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</si>
  <si>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</si>
  <si>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</si>
  <si>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</si>
  <si>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</si>
  <si>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</si>
  <si>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</si>
  <si>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</si>
  <si>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</si>
  <si>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</si>
  <si>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</si>
  <si>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</si>
  <si>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</si>
  <si>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</si>
  <si>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</si>
  <si>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</si>
  <si>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</si>
  <si>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</si>
  <si>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</si>
  <si>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</si>
  <si>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</si>
  <si>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</si>
  <si>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</si>
  <si>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</si>
  <si>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</si>
  <si>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</si>
  <si>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</si>
  <si>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</si>
  <si>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</si>
  <si>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</si>
  <si>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</si>
  <si>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</si>
  <si>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</si>
  <si>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</si>
  <si>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</si>
  <si>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</si>
  <si>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</si>
  <si>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</si>
  <si>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</si>
  <si>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</si>
  <si>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</si>
  <si>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</si>
  <si>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</si>
  <si>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</si>
  <si>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</si>
  <si>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</si>
  <si>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</si>
  <si>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</si>
  <si>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</si>
  <si>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</si>
  <si>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</si>
  <si>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</si>
  <si>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</si>
  <si>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</si>
  <si>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</si>
  <si>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</si>
  <si>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</si>
  <si>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</si>
  <si>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</si>
  <si>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</si>
  <si>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</si>
  <si>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</si>
  <si>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</si>
  <si>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</si>
  <si>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</si>
  <si>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</si>
  <si>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</si>
  <si>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</si>
  <si>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</si>
  <si>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</si>
  <si>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</si>
  <si>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</si>
  <si>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</si>
  <si>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</si>
  <si>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</si>
  <si>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</si>
  <si>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</si>
  <si>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</si>
  <si>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</si>
  <si>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</si>
  <si>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</si>
  <si>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</si>
  <si>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</si>
  <si>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</si>
  <si>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</si>
  <si>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</si>
  <si>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</si>
  <si>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</si>
  <si>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</si>
  <si>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</si>
  <si>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</si>
  <si>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</si>
  <si>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</si>
  <si>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</si>
  <si>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</si>
  <si>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</si>
  <si>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</si>
  <si>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</si>
  <si>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</si>
  <si>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</si>
  <si>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</si>
  <si>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</si>
  <si>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</si>
  <si>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</si>
  <si>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</si>
  <si>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</si>
  <si>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</si>
  <si>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</si>
  <si>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</si>
  <si>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</si>
  <si>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</si>
  <si>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</si>
  <si>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</si>
  <si>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</si>
  <si>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</si>
  <si>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</si>
  <si>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</si>
  <si>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</si>
  <si>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</si>
  <si>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</si>
  <si>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</si>
  <si>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</si>
  <si>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</si>
  <si>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</si>
  <si>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</si>
  <si>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</si>
  <si>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</si>
  <si>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</si>
  <si>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</si>
  <si>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</si>
  <si>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</si>
  <si>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</si>
  <si>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</si>
  <si>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</si>
  <si>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</si>
  <si>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</si>
  <si>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</si>
  <si>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</si>
  <si>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</si>
  <si>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</si>
  <si>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</si>
  <si>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</si>
  <si>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</si>
  <si>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</si>
  <si>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</si>
  <si>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</si>
  <si>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</si>
  <si>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</si>
  <si>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</si>
  <si>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</si>
  <si>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</si>
  <si>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</si>
  <si>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</si>
  <si>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</si>
  <si>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</si>
  <si>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</si>
  <si>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</si>
  <si>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</si>
  <si>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</si>
  <si>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</si>
  <si>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</si>
  <si>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</si>
  <si>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</si>
  <si>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</si>
  <si>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</si>
  <si>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</si>
  <si>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</si>
  <si>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</si>
  <si>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</si>
  <si>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</si>
  <si>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</si>
  <si>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</si>
  <si>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</si>
  <si>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</si>
  <si>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</si>
  <si>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</si>
  <si>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</si>
  <si>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</si>
  <si>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</si>
  <si>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</si>
  <si>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</si>
  <si>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</si>
  <si>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</si>
  <si>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</si>
  <si>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</si>
  <si>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</si>
  <si>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</si>
  <si>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</si>
  <si>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</si>
  <si>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</si>
  <si>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</si>
  <si>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</si>
  <si>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</si>
  <si>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</si>
  <si>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</si>
  <si>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</si>
  <si>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</si>
  <si>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</si>
  <si>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</si>
  <si>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</si>
  <si>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</si>
  <si>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</si>
  <si>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</si>
  <si>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</si>
  <si>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</si>
  <si>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</si>
  <si>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</si>
  <si>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</si>
  <si>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</si>
  <si>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</si>
  <si>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</si>
  <si>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</si>
  <si>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</si>
  <si>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</si>
  <si>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</si>
  <si>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</si>
  <si>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</si>
  <si>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</si>
  <si>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</si>
  <si>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</si>
  <si>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</si>
  <si>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</si>
  <si>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</si>
  <si>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</si>
  <si>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</si>
  <si>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</si>
  <si>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</si>
  <si>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</si>
  <si>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</si>
  <si>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</si>
  <si>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</si>
  <si>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</si>
  <si>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</si>
  <si>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</si>
  <si>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</si>
  <si>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</si>
  <si>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</si>
  <si>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</si>
  <si>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</si>
  <si>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</si>
  <si>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</si>
  <si>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</si>
  <si>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</si>
  <si>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</si>
  <si>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</si>
  <si>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</si>
  <si>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</si>
  <si>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</si>
  <si>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</si>
  <si>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</si>
  <si>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</si>
  <si>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</si>
  <si>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</si>
  <si>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</si>
  <si>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</si>
  <si>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</si>
  <si>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</si>
  <si>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</si>
  <si>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</si>
  <si>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</si>
  <si>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</si>
  <si>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</si>
  <si>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</si>
  <si>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</si>
  <si>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</si>
  <si>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</si>
  <si>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</si>
  <si>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</si>
  <si>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</si>
  <si>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</si>
  <si>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</si>
  <si>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</si>
  <si>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</si>
  <si>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</si>
  <si>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</si>
  <si>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</si>
  <si>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</si>
  <si>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</si>
  <si>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</si>
  <si>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</si>
  <si>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</si>
  <si>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</si>
  <si>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</si>
  <si>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</si>
  <si>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</si>
  <si>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</si>
  <si>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</si>
  <si>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</si>
  <si>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</si>
  <si>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</si>
  <si>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</si>
  <si>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</si>
  <si>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</si>
  <si>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</si>
  <si>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</si>
  <si>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</si>
  <si>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</si>
  <si>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</si>
  <si>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</si>
  <si>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</si>
  <si>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</si>
  <si>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</si>
  <si>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</si>
  <si>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</si>
  <si>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</si>
  <si>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</si>
  <si>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</si>
  <si>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</si>
  <si>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</si>
  <si>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</si>
  <si>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</si>
  <si>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</si>
  <si>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</si>
  <si>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</si>
  <si>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</si>
  <si>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</si>
  <si>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</si>
  <si>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</si>
  <si>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</si>
  <si>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</si>
  <si>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</si>
  <si>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</si>
  <si>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</si>
  <si>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</si>
  <si>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</si>
  <si>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</si>
  <si>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</si>
  <si>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</si>
  <si>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</si>
  <si>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</si>
  <si>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</si>
  <si>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</si>
  <si>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</si>
  <si>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</si>
  <si>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</si>
  <si>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</si>
  <si>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</si>
  <si>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</si>
  <si>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</si>
  <si>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</si>
  <si>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</si>
  <si>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</si>
  <si>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</si>
  <si>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</si>
  <si>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</si>
  <si>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</si>
  <si>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</si>
  <si>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</si>
  <si>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</si>
  <si>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</si>
  <si>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</si>
  <si>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</si>
  <si>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</si>
  <si>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</si>
  <si>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</si>
  <si>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</si>
  <si>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</si>
  <si>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</si>
  <si>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</si>
  <si>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</si>
  <si>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</si>
  <si>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</si>
  <si>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</si>
  <si>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</si>
  <si>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</si>
  <si>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</si>
  <si>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</si>
  <si>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</si>
  <si>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</si>
  <si>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</si>
  <si>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</si>
  <si>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</si>
  <si>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</si>
  <si>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</si>
  <si>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</si>
  <si>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</si>
  <si>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</si>
  <si>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</si>
  <si>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</si>
  <si>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</si>
  <si>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</si>
  <si>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</si>
  <si>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</si>
  <si>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</si>
  <si>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</si>
  <si>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</si>
  <si>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</si>
  <si>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</si>
  <si>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</si>
  <si>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</si>
  <si>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</si>
  <si>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</si>
  <si>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</si>
  <si>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</si>
  <si>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</si>
  <si>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</si>
  <si>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</si>
  <si>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</si>
  <si>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</si>
  <si>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</si>
  <si>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</si>
  <si>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</si>
  <si>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</si>
  <si>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</si>
  <si>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</si>
  <si>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</si>
  <si>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</si>
  <si>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</si>
  <si>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</si>
  <si>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</si>
  <si>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</si>
  <si>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</si>
  <si>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</si>
  <si>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</si>
  <si>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</si>
  <si>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</si>
  <si>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</si>
  <si>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</si>
  <si>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</si>
  <si>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</si>
  <si>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</si>
  <si>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</si>
  <si>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</si>
  <si>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</si>
  <si>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</si>
  <si>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</si>
  <si>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</si>
  <si>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</si>
  <si>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</si>
  <si>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</si>
  <si>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</si>
  <si>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</si>
  <si>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</si>
  <si>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</si>
  <si>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</si>
  <si>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</si>
  <si>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</si>
  <si>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</si>
  <si>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</si>
  <si>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</si>
  <si>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</si>
  <si>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</si>
  <si>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</si>
  <si>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</si>
  <si>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</si>
  <si>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</si>
  <si>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</si>
  <si>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</si>
  <si>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</si>
  <si>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</si>
  <si>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</si>
  <si>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</si>
  <si>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</si>
  <si>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</si>
  <si>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</si>
  <si>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</si>
  <si>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</si>
  <si>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</si>
  <si>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</si>
  <si>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</si>
  <si>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</si>
  <si>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</si>
  <si>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</si>
  <si>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</si>
  <si>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</si>
  <si>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</si>
  <si>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</si>
  <si>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</si>
  <si>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</si>
  <si>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</si>
  <si>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</si>
  <si>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</si>
  <si>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</si>
  <si>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</si>
  <si>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</si>
  <si>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</si>
  <si>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</si>
  <si>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</si>
  <si>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</si>
  <si>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</si>
  <si>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</si>
  <si>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</si>
  <si>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</si>
  <si>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</si>
  <si>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</si>
  <si>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</si>
  <si>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</si>
  <si>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</si>
  <si>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</si>
  <si>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</si>
  <si>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</si>
  <si>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</si>
  <si>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</si>
  <si>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</si>
  <si>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</si>
  <si>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</si>
  <si>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</si>
  <si>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</si>
  <si>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</si>
  <si>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</si>
  <si>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</si>
  <si>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</si>
  <si>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</si>
  <si>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</si>
  <si>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</si>
  <si>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</si>
  <si>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</si>
  <si>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</si>
  <si>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</si>
  <si>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</si>
  <si>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</si>
  <si>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</si>
  <si>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</si>
  <si>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</si>
  <si>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</si>
  <si>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</si>
  <si>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</si>
  <si>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</si>
  <si>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</si>
  <si>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</si>
  <si>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</si>
  <si>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</si>
  <si>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</si>
  <si>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</si>
  <si>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</si>
  <si>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</si>
  <si>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</si>
  <si>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</si>
  <si>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</si>
  <si>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</si>
  <si>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</si>
  <si>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</si>
  <si>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</si>
  <si>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</si>
  <si>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</si>
  <si>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</si>
  <si>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</si>
  <si>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</si>
  <si>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</si>
  <si>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</si>
  <si>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</si>
  <si>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</si>
  <si>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</si>
  <si>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</si>
  <si>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</si>
  <si>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</si>
  <si>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</si>
  <si>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</si>
  <si>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</si>
  <si>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</si>
  <si>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</si>
  <si>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</si>
  <si>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</si>
  <si>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</si>
  <si>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</si>
  <si>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</si>
  <si>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</si>
  <si>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</si>
  <si>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</si>
  <si>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</si>
  <si>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</si>
  <si>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</si>
  <si>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</si>
  <si>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</si>
  <si>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</si>
  <si>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</si>
  <si>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</si>
  <si>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</si>
  <si>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</si>
  <si>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</si>
  <si>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</si>
  <si>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</si>
  <si>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</si>
  <si>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</si>
  <si>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</si>
  <si>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</si>
  <si>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</si>
  <si>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</si>
  <si>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</si>
  <si>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</si>
  <si>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</si>
  <si>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</si>
  <si>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</si>
  <si>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</si>
  <si>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</si>
  <si>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</si>
  <si>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</si>
  <si>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</si>
  <si>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</si>
  <si>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</si>
  <si>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</si>
  <si>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</si>
  <si>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</si>
  <si>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</si>
  <si>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</si>
  <si>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</si>
  <si>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</si>
  <si>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</si>
  <si>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</si>
  <si>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</si>
  <si>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</si>
  <si>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</si>
  <si>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</si>
  <si>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</si>
  <si>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</si>
  <si>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</si>
  <si>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</si>
  <si>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</si>
  <si>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</si>
  <si>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</si>
  <si>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</si>
  <si>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</si>
  <si>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</si>
  <si>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</si>
  <si>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</si>
  <si>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</si>
  <si>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</si>
  <si>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</si>
  <si>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</si>
  <si>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</si>
  <si>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</si>
  <si>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</si>
  <si>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</si>
  <si>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</si>
  <si>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</si>
  <si>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</si>
  <si>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</si>
  <si>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</si>
  <si>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</si>
  <si>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</si>
  <si>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</si>
  <si>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</si>
  <si>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</si>
  <si>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</si>
  <si>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</si>
  <si>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</si>
  <si>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</si>
  <si>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</si>
  <si>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</si>
  <si>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</si>
  <si>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</si>
  <si>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</si>
  <si>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</si>
  <si>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</si>
  <si>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</si>
  <si>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</si>
  <si>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</si>
  <si>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</si>
  <si>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</si>
  <si>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</si>
  <si>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</si>
  <si>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</si>
  <si>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</si>
  <si>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</si>
  <si>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</si>
  <si>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</si>
  <si>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</si>
  <si>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</si>
  <si>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</si>
  <si>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</si>
  <si>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</si>
  <si>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</si>
  <si>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</si>
  <si>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</si>
  <si>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</si>
  <si>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</si>
  <si>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</si>
  <si>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</si>
  <si>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</si>
  <si>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</si>
  <si>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</si>
  <si>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</si>
  <si>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</si>
  <si>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</si>
  <si>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</si>
  <si>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</si>
  <si>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</si>
  <si>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</si>
  <si>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</si>
  <si>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</si>
  <si>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</si>
  <si>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</si>
  <si>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</si>
  <si>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</si>
  <si>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</si>
  <si>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</si>
  <si>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</si>
  <si>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</si>
  <si>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</si>
  <si>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</si>
  <si>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</si>
  <si>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</si>
  <si>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</si>
  <si>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</si>
  <si>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</si>
  <si>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</si>
  <si>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</si>
  <si>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</si>
  <si>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</si>
  <si>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</si>
  <si>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</si>
  <si>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</si>
  <si>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</si>
  <si>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</si>
  <si>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</si>
  <si>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</si>
  <si>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</si>
  <si>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</si>
  <si>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</si>
  <si>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</si>
  <si>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</si>
  <si>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</si>
  <si>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</si>
  <si>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</si>
  <si>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</si>
  <si>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</si>
  <si>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</si>
  <si>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</si>
  <si>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</si>
  <si>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</si>
  <si>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</si>
  <si>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</si>
  <si>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</si>
  <si>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</si>
  <si>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</si>
  <si>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</si>
  <si>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</si>
  <si>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</si>
  <si>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</si>
  <si>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</si>
  <si>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</si>
  <si>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</si>
  <si>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</si>
  <si>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</si>
  <si>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</si>
  <si>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</si>
  <si>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</si>
  <si>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</si>
  <si>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</si>
  <si>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</si>
  <si>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</si>
  <si>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</si>
  <si>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</si>
  <si>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</si>
  <si>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</si>
  <si>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</si>
  <si>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</si>
  <si>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</si>
  <si>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</si>
  <si>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</si>
  <si>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</si>
  <si>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</si>
  <si>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</si>
  <si>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</si>
  <si>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</si>
  <si>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</si>
  <si>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</si>
  <si>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</si>
  <si>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</si>
  <si>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</si>
  <si>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</si>
  <si>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</si>
  <si>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</si>
  <si>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</si>
  <si>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</si>
  <si>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</si>
  <si>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</si>
  <si>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</si>
  <si>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</si>
  <si>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</si>
  <si>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</si>
  <si>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</si>
  <si>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</si>
  <si>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</si>
  <si>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</si>
  <si>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</si>
  <si>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</si>
  <si>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</si>
  <si>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</si>
  <si>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</si>
  <si>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</si>
  <si>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</si>
  <si>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</si>
  <si>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</si>
  <si>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</si>
  <si>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</si>
  <si>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</si>
  <si>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</si>
  <si>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</si>
  <si>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</si>
  <si>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</si>
  <si>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</si>
  <si>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</si>
  <si>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</si>
  <si>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</si>
  <si>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</si>
  <si>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</si>
  <si>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</si>
  <si>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</si>
  <si>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</si>
  <si>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</si>
  <si>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</si>
  <si>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</si>
  <si>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</si>
  <si>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</si>
  <si>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</si>
  <si>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</si>
  <si>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</si>
  <si>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</si>
  <si>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</si>
  <si>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</si>
  <si>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</si>
  <si>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</si>
  <si>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</si>
  <si>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</si>
  <si>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</si>
  <si>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</si>
  <si>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</si>
  <si>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</si>
  <si>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</si>
  <si>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</si>
  <si>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</si>
  <si>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</si>
  <si>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</si>
  <si>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</si>
  <si>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</si>
  <si>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</si>
  <si>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</si>
  <si>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</si>
  <si>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</si>
  <si>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</si>
  <si>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</si>
  <si>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</si>
  <si>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</si>
  <si>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</si>
  <si>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</si>
  <si>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</si>
  <si>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</si>
  <si>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</si>
  <si>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</si>
  <si>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</si>
  <si>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</si>
  <si>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</si>
  <si>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</si>
  <si>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</si>
  <si>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</si>
  <si>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</si>
  <si>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</si>
  <si>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</si>
  <si>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</si>
  <si>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</si>
  <si>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</si>
  <si>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</si>
  <si>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</si>
  <si>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</si>
  <si>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</si>
  <si>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</si>
  <si>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</si>
  <si>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</si>
  <si>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</si>
  <si>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</si>
  <si>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</si>
  <si>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</si>
  <si>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</si>
  <si>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</si>
  <si>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</si>
  <si>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</si>
  <si>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</si>
  <si>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</si>
  <si>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</si>
  <si>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</si>
  <si>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</si>
  <si>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</si>
  <si>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</si>
  <si>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</si>
  <si>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</si>
  <si>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</si>
  <si>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</si>
  <si>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</si>
  <si>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</si>
  <si>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</si>
  <si>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</si>
  <si>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</si>
  <si>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</si>
  <si>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</si>
  <si>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</si>
  <si>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</si>
  <si>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</si>
  <si>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</si>
  <si>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</si>
  <si>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</si>
  <si>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</si>
  <si>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</si>
  <si>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</si>
  <si>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</si>
  <si>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</si>
  <si>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</si>
  <si>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</si>
  <si>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</si>
  <si>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</si>
  <si>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</si>
  <si>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</si>
  <si>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</si>
  <si>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</si>
  <si>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</si>
  <si>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</si>
  <si>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</si>
  <si>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</si>
  <si>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</si>
  <si>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</si>
  <si>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</si>
  <si>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</si>
  <si>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</si>
  <si>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</si>
  <si>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</si>
  <si>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</si>
  <si>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</si>
  <si>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</si>
  <si>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</si>
  <si>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</si>
  <si>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</si>
  <si>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</si>
  <si>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</si>
  <si>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</si>
  <si>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</si>
  <si>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</si>
  <si>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</si>
  <si>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</si>
  <si>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</si>
  <si>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</si>
  <si>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</si>
  <si>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</si>
  <si>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</si>
  <si>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</si>
  <si>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</si>
  <si>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</si>
  <si>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</si>
  <si>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</si>
  <si>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</si>
  <si>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</si>
  <si>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</si>
  <si>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</si>
  <si>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</si>
  <si>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</si>
  <si>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</si>
  <si>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</si>
  <si>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</si>
  <si>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</si>
  <si>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</si>
  <si>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</si>
  <si>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</si>
  <si>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</si>
  <si>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</si>
  <si>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</si>
  <si>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</si>
  <si>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</si>
  <si>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</si>
  <si>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</si>
  <si>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</si>
  <si>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</si>
  <si>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</si>
  <si>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</si>
  <si>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</si>
  <si>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</si>
  <si>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</si>
  <si>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</si>
  <si>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</si>
  <si>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</si>
  <si>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</si>
  <si>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</si>
  <si>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</si>
  <si>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</si>
  <si>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</si>
  <si>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</si>
  <si>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</si>
  <si>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</si>
  <si>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</si>
  <si>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</si>
  <si>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</si>
  <si>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</si>
  <si>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</si>
  <si>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</si>
  <si>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</si>
  <si>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</si>
  <si>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</si>
  <si>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</si>
  <si>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</si>
  <si>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</si>
  <si>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</si>
  <si>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</si>
  <si>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</si>
  <si>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</si>
  <si>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</si>
  <si>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</si>
  <si>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</si>
  <si>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</si>
  <si>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</si>
  <si>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</si>
  <si>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</si>
  <si>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</si>
  <si>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</si>
  <si>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</si>
  <si>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</si>
  <si>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</si>
  <si>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</si>
  <si>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</si>
  <si>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</si>
  <si>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</si>
  <si>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</si>
  <si>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</si>
  <si>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</si>
  <si>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</si>
  <si>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</si>
  <si>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</si>
  <si>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</si>
  <si>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</si>
  <si>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</si>
  <si>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</si>
  <si>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</si>
  <si>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</si>
  <si>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</si>
  <si>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</si>
  <si>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</si>
  <si>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</si>
  <si>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</si>
  <si>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</si>
  <si>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</si>
  <si>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</si>
  <si>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</si>
  <si>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</si>
  <si>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</si>
  <si>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</si>
  <si>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</si>
  <si>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</si>
  <si>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</si>
  <si>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</si>
  <si>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</si>
  <si>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</si>
  <si>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</si>
  <si>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</si>
  <si>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</si>
  <si>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</si>
  <si>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</si>
  <si>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</si>
  <si>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</si>
  <si>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</si>
  <si>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</si>
  <si>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</si>
  <si>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</si>
  <si>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</si>
  <si>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</si>
  <si>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</si>
  <si>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</si>
  <si>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</si>
  <si>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</si>
  <si>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</si>
  <si>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</si>
  <si>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</si>
  <si>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</si>
  <si>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</si>
  <si>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</si>
  <si>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</si>
  <si>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</si>
  <si>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</si>
  <si>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</si>
  <si>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</si>
  <si>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</si>
  <si>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</si>
  <si>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</si>
  <si>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</si>
  <si>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</si>
  <si>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</si>
  <si>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</si>
  <si>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</si>
  <si>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</si>
  <si>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</si>
  <si>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</si>
  <si>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</si>
  <si>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</si>
  <si>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</si>
  <si>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</si>
  <si>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</si>
  <si>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</si>
  <si>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</si>
  <si>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</si>
  <si>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</si>
  <si>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</si>
  <si>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</si>
  <si>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</si>
  <si>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</si>
  <si>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</si>
  <si>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</si>
  <si>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</si>
  <si>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</si>
  <si>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</si>
  <si>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</si>
  <si>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</si>
  <si>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</si>
  <si>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</si>
  <si>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</si>
  <si>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</si>
  <si>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</si>
  <si>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</si>
  <si>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</si>
  <si>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</si>
  <si>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</si>
  <si>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</si>
  <si>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</si>
  <si>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</si>
  <si>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</si>
  <si>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</si>
  <si>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</si>
  <si>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</si>
  <si>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</si>
  <si>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</si>
  <si>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</si>
  <si>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</si>
  <si>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</si>
  <si>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</si>
  <si>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</si>
  <si>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</si>
  <si>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</si>
  <si>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</si>
  <si>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</si>
  <si>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</si>
  <si>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</si>
  <si>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</si>
  <si>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</si>
  <si>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</si>
  <si>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</si>
  <si>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</si>
  <si>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</si>
  <si>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</si>
  <si>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</si>
  <si>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</si>
  <si>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</si>
  <si>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</si>
  <si>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</si>
  <si>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</si>
  <si>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</si>
  <si>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</si>
  <si>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</si>
  <si>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</si>
  <si>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</si>
  <si>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</si>
  <si>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</si>
  <si>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</si>
  <si>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</si>
  <si>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</si>
  <si>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</si>
  <si>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</si>
  <si>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</si>
  <si>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</si>
  <si>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</si>
  <si>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</si>
  <si>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</si>
  <si>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</si>
  <si>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</si>
  <si>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</si>
  <si>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</si>
  <si>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</si>
  <si>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</si>
  <si>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</si>
  <si>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</si>
  <si>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</si>
  <si>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</si>
  <si>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</si>
  <si>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</si>
  <si>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</si>
  <si>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</si>
  <si>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</si>
  <si>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</si>
  <si>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</si>
  <si>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</si>
  <si>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</si>
  <si>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</si>
  <si>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</si>
  <si>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</si>
  <si>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</si>
  <si>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</si>
  <si>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</si>
  <si>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</si>
  <si>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</si>
  <si>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</si>
  <si>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</si>
  <si>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</si>
  <si>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</si>
  <si>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</si>
  <si>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</si>
  <si>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</si>
  <si>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</si>
  <si>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</si>
  <si>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</si>
  <si>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</si>
  <si>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</si>
  <si>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</si>
  <si>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</si>
  <si>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</si>
  <si>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</si>
  <si>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</si>
  <si>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</si>
  <si>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</si>
  <si>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</si>
  <si>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</si>
  <si>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</si>
  <si>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</si>
  <si>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</si>
  <si>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</si>
  <si>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</si>
  <si>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</si>
  <si>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</si>
  <si>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</si>
  <si>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</si>
  <si>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</si>
  <si>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</si>
  <si>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</si>
  <si>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</si>
  <si>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</si>
  <si>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</si>
  <si>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</si>
  <si>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</si>
  <si>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</si>
  <si>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</si>
  <si>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</si>
  <si>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</si>
  <si>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</si>
  <si>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</si>
  <si>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</si>
  <si>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</si>
  <si>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</si>
  <si>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</si>
  <si>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</si>
  <si>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</si>
  <si>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</si>
  <si>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</si>
  <si>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</si>
  <si>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</si>
  <si>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</si>
  <si>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</si>
  <si>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</si>
  <si>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</si>
  <si>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</si>
  <si>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</si>
  <si>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</si>
  <si>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</si>
  <si>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</si>
  <si>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</si>
  <si>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</si>
  <si>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</si>
  <si>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</si>
  <si>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</si>
  <si>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</si>
  <si>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</si>
  <si>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</si>
  <si>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</si>
  <si>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</si>
  <si>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</si>
  <si>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</si>
  <si>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</si>
  <si>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</si>
  <si>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</si>
  <si>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</si>
  <si>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</si>
  <si>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</si>
  <si>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</si>
  <si>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</si>
  <si>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</si>
  <si>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</si>
  <si>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</si>
  <si>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</si>
  <si>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</si>
  <si>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</si>
  <si>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</si>
  <si>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</si>
  <si>
    <t>Include IF($A="&lt;cell range&gt;",…) prefix to conditional formatting</t>
  </si>
  <si>
    <t>037 - Misc updates, including recommendation from 2026-09-15 zoom with Ann and Nicole</t>
  </si>
  <si>
    <t>Add formula and conditional formatting to column AA to copy DLDV Mbits</t>
  </si>
  <si>
    <t>TRK
Mbit</t>
  </si>
  <si>
    <t>SWAP_LVPS_POWER</t>
  </si>
  <si>
    <t/>
  </si>
  <si>
    <t>SWAP_SYS_MODE</t>
  </si>
  <si>
    <t>MODE</t>
  </si>
  <si>
    <t>HVENG</t>
  </si>
  <si>
    <t>SWAP_TLM_HK_RATE</t>
  </si>
  <si>
    <t>HVSCI</t>
  </si>
  <si>
    <t>SWAP_TLM_RT_RATE</t>
  </si>
  <si>
    <t>RT</t>
  </si>
  <si>
    <t>SWAP_TLM_SM_RATE</t>
  </si>
  <si>
    <t>SM</t>
  </si>
  <si>
    <t>SWAP_TLM_HX_RATE</t>
  </si>
  <si>
    <t>HX</t>
  </si>
  <si>
    <t>Map SWAP Rate IDs to Period/Frequence</t>
  </si>
  <si>
    <t>Map Rate IDs to Per-packet Bit-rates</t>
  </si>
  <si>
    <t>RateCmd</t>
  </si>
  <si>
    <t>Period</t>
  </si>
  <si>
    <t>Frequency (Hz)</t>
  </si>
  <si>
    <t>Histogram (Sum)</t>
  </si>
  <si>
    <t>Per-Packet sizing and Generation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</si>
</sst>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
      <patternFill patternType="solid">
        <fgColor rgb="FFE6E905"/>
        <bgColor indexed="64"/>
      </patternFill>
    </fill>
  </fills>
  <borders count="5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87">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0" fontId="11" fillId="74" borderId="0" xfId="0" applyFont="1" applyFill="1" applyAlignment="1">
      <alignment horizontal="center" wrapText="1"/>
    </xf>
    <xf numFmtId="0" fontId="11" fillId="0" borderId="0" xfId="0" applyFont="1" applyAlignment="1">
      <alignment horizontal="center"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xf numFmtId="0" fontId="11" fillId="0" borderId="21" xfId="1" applyFont="1" applyBorder="1" applyAlignment="1">
      <alignment horizontal="centerContinuous"/>
    </xf>
    <xf numFmtId="0" fontId="11" fillId="0" borderId="23" xfId="1" applyFont="1" applyBorder="1" applyAlignment="1">
      <alignment horizontal="centerContinuous"/>
    </xf>
    <xf numFmtId="0" fontId="11" fillId="0" borderId="57" xfId="1" applyFont="1" applyBorder="1" applyAlignment="1">
      <alignment horizontal="centerContinuous"/>
    </xf>
    <xf numFmtId="0" fontId="10" fillId="0" borderId="0" xfId="1"/>
    <xf numFmtId="0" fontId="11" fillId="7" borderId="19" xfId="1" applyFont="1" applyFill="1" applyBorder="1" applyAlignment="1">
      <alignment horizontal="center" wrapText="1"/>
    </xf>
    <xf numFmtId="0" fontId="11" fillId="7" borderId="18" xfId="1" applyFont="1" applyFill="1" applyBorder="1" applyAlignment="1">
      <alignment horizontal="center"/>
    </xf>
    <xf numFmtId="0" fontId="10" fillId="7" borderId="7" xfId="1" applyFill="1" applyBorder="1" applyAlignment="1">
      <alignment horizontal="center"/>
    </xf>
    <xf numFmtId="0" fontId="0" fillId="0" borderId="21" xfId="0" applyBorder="1" applyAlignment="1">
      <alignment textRotation="90"/>
    </xf>
    <xf numFmtId="0" fontId="0" fillId="0" borderId="23" xfId="0" applyBorder="1" applyAlignment="1">
      <alignment textRotation="90"/>
    </xf>
    <xf numFmtId="0" fontId="0" fillId="0" borderId="57" xfId="0" applyBorder="1" applyAlignment="1">
      <alignment textRotation="90"/>
    </xf>
    <xf numFmtId="0" fontId="10" fillId="0" borderId="57" xfId="1" applyBorder="1"/>
    <xf numFmtId="0" fontId="10" fillId="0" borderId="21" xfId="1" applyBorder="1"/>
    <xf numFmtId="0" fontId="10" fillId="0" borderId="9" xfId="1" applyBorder="1"/>
    <xf numFmtId="0" fontId="0" fillId="0" borderId="16" xfId="0" applyBorder="1"/>
    <xf numFmtId="169" fontId="0" fillId="0" borderId="24" xfId="0" applyNumberFormat="1" applyBorder="1"/>
    <xf numFmtId="169" fontId="0" fillId="0" borderId="17" xfId="0" applyNumberFormat="1" applyBorder="1"/>
    <xf numFmtId="0" fontId="0" fillId="0" borderId="20" xfId="0" applyBorder="1"/>
    <xf numFmtId="169" fontId="0" fillId="0" borderId="35" xfId="0" applyNumberFormat="1" applyBorder="1"/>
    <xf numFmtId="0" fontId="10" fillId="0" borderId="17" xfId="1" applyBorder="1"/>
    <xf numFmtId="0" fontId="10" fillId="0" borderId="16" xfId="1" applyBorder="1"/>
    <xf numFmtId="0" fontId="0" fillId="0" borderId="18" xfId="0" applyBorder="1"/>
    <xf numFmtId="169" fontId="0" fillId="0" borderId="1" xfId="0" applyNumberFormat="1" applyBorder="1"/>
    <xf numFmtId="169" fontId="0" fillId="0" borderId="19" xfId="0" applyNumberFormat="1" applyBorder="1"/>
    <xf numFmtId="0" fontId="11" fillId="7" borderId="19" xfId="1" applyFont="1" applyFill="1" applyBorder="1" applyAlignment="1">
      <alignment horizontal="center"/>
    </xf>
    <xf numFmtId="0" fontId="11" fillId="7" borderId="7" xfId="1" applyFont="1" applyFill="1" applyBorder="1" applyAlignment="1">
      <alignment horizontal="center"/>
    </xf>
    <xf numFmtId="0" fontId="10" fillId="0" borderId="2" xfId="1" applyBorder="1"/>
    <xf numFmtId="0" fontId="10" fillId="0" borderId="21" xfId="1" applyBorder="1" applyAlignment="1">
      <alignment horizontal="right"/>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30">
    <dxf>
      <numFmt numFmtId="169" formatCode="0.000"/>
      <border diagonalUp="0" diagonalDown="0">
        <left/>
        <right style="thin">
          <color auto="1"/>
        </right>
        <top/>
        <bottom/>
        <vertical/>
        <horizontal/>
      </border>
    </dxf>
    <dxf>
      <font>
        <color theme="0" tint="-4.9989318521683403E-2"/>
      </font>
      <fill>
        <patternFill patternType="lightUp">
          <fgColor theme="0" tint="-0.14996795556505021"/>
        </patternFill>
      </fil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border>
        <bottom style="thin">
          <color auto="1"/>
        </bottom>
        <vertical/>
        <horizontal/>
      </border>
    </dxf>
    <dxf>
      <border>
        <bottom style="thin">
          <color auto="1"/>
        </bottom>
        <vertical/>
        <horizontal/>
      </border>
    </dxf>
    <dxf>
      <border>
        <top style="thin">
          <color auto="1"/>
        </top>
        <vertical/>
        <horizontal/>
      </border>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69" formatCode="0.000"/>
    </dxf>
    <dxf>
      <numFmt numFmtId="169" formatCode="0.000"/>
    </dxf>
    <dxf>
      <numFmt numFmtId="169" formatCode="0.000"/>
    </dxf>
    <dxf>
      <numFmt numFmtId="169" formatCode="0.000"/>
    </dxf>
    <dxf>
      <numFmt numFmtId="169" formatCode="0.000"/>
    </dxf>
    <dxf>
      <border diagonalUp="0" diagonalDown="0">
        <left style="thin">
          <color auto="1"/>
        </left>
        <right/>
        <top/>
        <bottom/>
        <vertical/>
        <horizontal/>
      </border>
    </dxf>
    <dxf>
      <border>
        <bottom style="thin">
          <color auto="1"/>
        </bottom>
      </border>
    </dxf>
    <dxf>
      <alignment horizontal="general" vertical="bottom" textRotation="90" wrapText="0" indent="0" justifyLastLine="0" shrinkToFit="0" readingOrder="0"/>
      <border diagonalUp="0" diagonalDown="0" outline="0">
        <left/>
        <right/>
        <top/>
        <bottom/>
      </border>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alibri"/>
        <family val="2"/>
        <scheme val="none"/>
      </font>
      <fill>
        <patternFill patternType="solid">
          <fgColor rgb="FFDDDDDD"/>
          <bgColor theme="0" tint="-0.14999847407452621"/>
        </patternFill>
      </fill>
      <alignment horizontal="center" vertical="bottom" textRotation="0" wrapText="0"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vertical/>
        <horizontal/>
      </border>
    </dxf>
    <dxf>
      <border diagonalUp="0" diagonalDown="0">
        <left style="thin">
          <color auto="1"/>
        </left>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numFmt numFmtId="164" formatCode="0.0"/>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6E905"/>
      <color rgb="FFBDD7EE"/>
      <color rgb="FFFFF2CC"/>
      <color rgb="FFFF0000"/>
      <color rgb="FFB4C7DC"/>
      <color rgb="FFC00000"/>
      <color rgb="FFCCFFCC"/>
      <color rgb="FFFFBF00"/>
      <color rgb="FFFFFFFF"/>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3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3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3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3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3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3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4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5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6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7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8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9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A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B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C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D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202</xdr:row>
      <xdr:rowOff>113850</xdr:rowOff>
    </xdr:from>
    <xdr:to>
      <xdr:col>19</xdr:col>
      <xdr:colOff>381135</xdr:colOff>
      <xdr:row>207</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202</xdr:row>
      <xdr:rowOff>133290</xdr:rowOff>
    </xdr:from>
    <xdr:to>
      <xdr:col>17</xdr:col>
      <xdr:colOff>133410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202</xdr:row>
      <xdr:rowOff>133290</xdr:rowOff>
    </xdr:from>
    <xdr:to>
      <xdr:col>17</xdr:col>
      <xdr:colOff>274890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202</xdr:row>
      <xdr:rowOff>87210</xdr:rowOff>
    </xdr:from>
    <xdr:to>
      <xdr:col>17</xdr:col>
      <xdr:colOff>286770</xdr:colOff>
      <xdr:row>202</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202</xdr:row>
      <xdr:rowOff>120690</xdr:rowOff>
    </xdr:from>
    <xdr:to>
      <xdr:col>17</xdr:col>
      <xdr:colOff>286410</xdr:colOff>
      <xdr:row>202</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205</xdr:row>
      <xdr:rowOff>85425</xdr:rowOff>
    </xdr:from>
    <xdr:to>
      <xdr:col>18</xdr:col>
      <xdr:colOff>183615</xdr:colOff>
      <xdr:row>207</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205</xdr:row>
      <xdr:rowOff>42818</xdr:rowOff>
    </xdr:from>
    <xdr:to>
      <xdr:col>14</xdr:col>
      <xdr:colOff>386213</xdr:colOff>
      <xdr:row>205</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205</xdr:row>
      <xdr:rowOff>33098</xdr:rowOff>
    </xdr:from>
    <xdr:to>
      <xdr:col>14</xdr:col>
      <xdr:colOff>438053</xdr:colOff>
      <xdr:row>205</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18</xdr:col>
      <xdr:colOff>276225</xdr:colOff>
      <xdr:row>1</xdr:row>
      <xdr:rowOff>19050</xdr:rowOff>
    </xdr:from>
    <xdr:to>
      <xdr:col>18</xdr:col>
      <xdr:colOff>466725</xdr:colOff>
      <xdr:row>22</xdr:row>
      <xdr:rowOff>57150</xdr:rowOff>
    </xdr:to>
    <xdr:sp macro="" textlink="">
      <xdr:nvSpPr>
        <xdr:cNvPr id="2" name="Right Brace 1">
          <a:extLst>
            <a:ext uri="{FF2B5EF4-FFF2-40B4-BE49-F238E27FC236}">
              <a16:creationId xmlns:a16="http://schemas.microsoft.com/office/drawing/2014/main" id="{F780876C-2269-49D1-B9A7-18FD6626FF9C}"/>
            </a:ext>
          </a:extLst>
        </xdr:cNvPr>
        <xdr:cNvSpPr/>
      </xdr:nvSpPr>
      <xdr:spPr>
        <a:xfrm>
          <a:off x="3648075" y="400050"/>
          <a:ext cx="190500" cy="49720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20</xdr:col>
      <xdr:colOff>9524</xdr:colOff>
      <xdr:row>23</xdr:row>
      <xdr:rowOff>47625</xdr:rowOff>
    </xdr:from>
    <xdr:to>
      <xdr:col>20</xdr:col>
      <xdr:colOff>342899</xdr:colOff>
      <xdr:row>31</xdr:row>
      <xdr:rowOff>104775</xdr:rowOff>
    </xdr:to>
    <xdr:sp macro="" textlink="">
      <xdr:nvSpPr>
        <xdr:cNvPr id="3" name="Right Brace 2">
          <a:extLst>
            <a:ext uri="{FF2B5EF4-FFF2-40B4-BE49-F238E27FC236}">
              <a16:creationId xmlns:a16="http://schemas.microsoft.com/office/drawing/2014/main" id="{EE06CBC6-B12D-4D95-A600-5D397E83116E}"/>
            </a:ext>
          </a:extLst>
        </xdr:cNvPr>
        <xdr:cNvSpPr/>
      </xdr:nvSpPr>
      <xdr:spPr>
        <a:xfrm>
          <a:off x="4857749" y="5553075"/>
          <a:ext cx="333375" cy="15811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18</xdr:col>
      <xdr:colOff>466725</xdr:colOff>
      <xdr:row>9</xdr:row>
      <xdr:rowOff>47625</xdr:rowOff>
    </xdr:from>
    <xdr:to>
      <xdr:col>20</xdr:col>
      <xdr:colOff>685800</xdr:colOff>
      <xdr:row>9</xdr:row>
      <xdr:rowOff>47625</xdr:rowOff>
    </xdr:to>
    <xdr:cxnSp macro="">
      <xdr:nvCxnSpPr>
        <xdr:cNvPr id="4" name="Straight Arrow Connector 3">
          <a:extLst>
            <a:ext uri="{FF2B5EF4-FFF2-40B4-BE49-F238E27FC236}">
              <a16:creationId xmlns:a16="http://schemas.microsoft.com/office/drawing/2014/main" id="{AAB06988-9ABD-4681-98DE-F5A51BEFC95A}"/>
            </a:ext>
          </a:extLst>
        </xdr:cNvPr>
        <xdr:cNvCxnSpPr>
          <a:stCxn id="2" idx="1"/>
        </xdr:cNvCxnSpPr>
      </xdr:nvCxnSpPr>
      <xdr:spPr>
        <a:xfrm>
          <a:off x="3838575" y="2886075"/>
          <a:ext cx="169545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314325</xdr:colOff>
      <xdr:row>9</xdr:row>
      <xdr:rowOff>85725</xdr:rowOff>
    </xdr:from>
    <xdr:to>
      <xdr:col>20</xdr:col>
      <xdr:colOff>771525</xdr:colOff>
      <xdr:row>27</xdr:row>
      <xdr:rowOff>76200</xdr:rowOff>
    </xdr:to>
    <xdr:cxnSp macro="">
      <xdr:nvCxnSpPr>
        <xdr:cNvPr id="5" name="Straight Arrow Connector 4">
          <a:extLst>
            <a:ext uri="{FF2B5EF4-FFF2-40B4-BE49-F238E27FC236}">
              <a16:creationId xmlns:a16="http://schemas.microsoft.com/office/drawing/2014/main" id="{6CBD46EF-9196-454D-B080-191E28A65764}"/>
            </a:ext>
          </a:extLst>
        </xdr:cNvPr>
        <xdr:cNvCxnSpPr/>
      </xdr:nvCxnSpPr>
      <xdr:spPr>
        <a:xfrm flipV="1">
          <a:off x="5162550" y="2924175"/>
          <a:ext cx="457200" cy="34194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8" xr16:uid="{428D357A-6222-444F-8686-C96D9EAFF09B}" autoFormatId="16" applyNumberFormats="0" applyBorderFormats="0" applyFontFormats="0" applyPatternFormats="0" applyAlignmentFormats="0" applyWidthHeightFormats="0">
  <queryTableRefresh nextId="13" unboundColumnsRight="8">
    <queryTableFields count="12">
      <queryTableField id="1" name="CommandStr" tableColumnId="1"/>
      <queryTableField id="2" name="MET" tableColumnId="2"/>
      <queryTableField id="3" name="cmd" tableColumnId="3"/>
      <queryTableField id="4" name="arg"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26C84B-08E5-42D2-BD64-D312EA81A8B0}" name="SWAP_Commanding" displayName="SWAP_Commanding" ref="A13:L74" tableType="queryTable" totalsRowShown="0">
  <autoFilter ref="A13:L74" xr:uid="{5226C84B-08E5-42D2-BD64-D312EA81A8B0}"/>
  <tableColumns count="12">
    <tableColumn id="1" xr3:uid="{9216EC65-82C3-401B-8073-2EC34BA306FD}" uniqueName="1" name="CommandStr" queryTableFieldId="1"/>
    <tableColumn id="2" xr3:uid="{1D0D16B6-9A43-4634-B5D8-14DE32DF69A7}" uniqueName="2" name="MET" queryTableFieldId="2"/>
    <tableColumn id="3" xr3:uid="{D2C535B5-5EF3-4B55-9832-29BF5EA2C2BA}" uniqueName="3" name="cmd" queryTableFieldId="3"/>
    <tableColumn id="4" xr3:uid="{91BD512D-7EE9-479C-B630-C9CD23A9EDCB}" uniqueName="4" name="arg" queryTableFieldId="4" dataDxfId="70"/>
    <tableColumn id="5" xr3:uid="{838FF373-E22A-4B97-AB90-71BE455F066A}" uniqueName="5" name="a" queryTableFieldId="5" dataDxfId="69" dataCellStyle="Normal 5"/>
    <tableColumn id="6" xr3:uid="{3BD7F636-758A-49FD-A63B-E20778F630AE}" uniqueName="6" name="MET→UTC" queryTableFieldId="6" dataDxfId="67" dataCellStyle="Normal 5">
      <calculatedColumnFormula array="1">MID(met2utc(SWAP_Commanding[[#This Row],[MET]]),3,15)</calculatedColumnFormula>
    </tableColumn>
    <tableColumn id="7" xr3:uid="{84F96838-BDD6-437E-AE2B-CB59D209A51D}" uniqueName="7" name="cmd+arg" queryTableFieldId="7" dataCellStyle="Normal 5">
      <calculatedColumnFormula>_xlfn.TEXTJOIN("+",TRUE,$C14:$D14)</calculatedColumnFormula>
    </tableColumn>
    <tableColumn id="8" xr3:uid="{670B03E9-43CA-4C89-BAD4-BD00CDF0731E}" uniqueName="8" name="Segment_x000a_MET Start" queryTableFieldId="8" dataCellStyle="Normal 5">
      <calculatedColumnFormula>IF($C14="ON",$B14,IF(RIGHT($H13,9)="MET Start","",IF(AND($K14&lt;&gt;0,$K13=1),$B14,$H13)))</calculatedColumnFormula>
    </tableColumn>
    <tableColumn id="9" xr3:uid="{7A9F63DB-C855-4ADF-BBA8-E5E6F6AEEDC0}" uniqueName="9" name="Segment_x000a_MET End" queryTableFieldId="9" dataCellStyle="Normal 5">
      <calculatedColumnFormula>IF($C14="OFF",$B14,IF($B15="",$B14+31500000,IF($K14=1,$B15,I15)))</calculatedColumnFormula>
    </tableColumn>
    <tableColumn id="10" xr3:uid="{B3E233ED-0C9C-469C-B345-604586E4B9B9}" uniqueName="10" name="Offset_x000a_fr ON" queryTableFieldId="10" dataCellStyle="Normal 5">
      <calculatedColumnFormula>IF($G14="ON",0,IF(OR(J13="",LEFT(J13,6)="Offset"),"",J13+1))</calculatedColumnFormula>
    </tableColumn>
    <tableColumn id="11" xr3:uid="{10E8B5CC-2388-47CB-BAFE-C4549D990D3E}" uniqueName="11" name="Offset_x000a_to End" queryTableFieldId="11" dataCellStyle="Normal 5">
      <calculatedColumnFormula>IF($G14="OFF",0,IF(AND($J15&lt;&gt;0,$J14&lt;&gt;9,$G15&lt;&gt;"MAC+111",($B15-$B14)&lt;7200),K15+1,1))</calculatedColumnFormula>
    </tableColumn>
    <tableColumn id="12" xr3:uid="{064F123A-E27F-48AD-8DA2-9E910A1322F7}" uniqueName="12" name="b" queryTableFieldId="12" dataDxfId="68" dataCellStyle="Normal 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68" tableType="queryTable" totalsRowShown="0">
  <tableColumns count="59">
    <tableColumn id="3" xr3:uid="{2388C90F-2358-4631-83F5-0F5E6C4A0452}" uniqueName="3" name="CommandStr" queryTableFieldId="3" dataDxfId="129" dataCellStyle="Normal 5"/>
    <tableColumn id="4" xr3:uid="{E3799C3A-4B31-4D4E-8397-EE7909C117C2}" uniqueName="4" name="MET" queryTableFieldId="4" dataDxfId="128" dataCellStyle="Normal 5"/>
    <tableColumn id="5" xr3:uid="{DE120A99-B5F2-4B1A-A22E-A9BEEE9C55B0}" uniqueName="5" name="cmd" queryTableFieldId="5" dataDxfId="127" dataCellStyle="Normal 5"/>
    <tableColumn id="6" xr3:uid="{19AF7F27-0D9D-4BCE-A533-94878B619783}" uniqueName="6" name="arg" queryTableFieldId="6" dataDxfId="126" dataCellStyle="Normal 5"/>
    <tableColumn id="14" xr3:uid="{662EB3B0-32F5-402D-80A6-61D3564CADAD}" uniqueName="14" name="a" queryTableFieldId="14" dataDxfId="125" dataCellStyle="Normal 5"/>
    <tableColumn id="1" xr3:uid="{7CF75EA0-B63F-443B-B61A-2AE13C55F8DA}" uniqueName="1" name="MET→UTC" queryTableFieldId="68" dataDxfId="124" dataCellStyle="Normal 5">
      <calculatedColumnFormula array="1">MID(met2utc(PEPSSI_Commanding[[#This Row],[MET]]),3,15)</calculatedColumnFormula>
    </tableColumn>
    <tableColumn id="15" xr3:uid="{9C5328F3-FA02-47D1-83DC-B1DBCA9D89BA}" uniqueName="15" name="cmd+arg" queryTableFieldId="15" dataDxfId="123" dataCellStyle="Normal 5">
      <calculatedColumnFormula>_xlfn.TEXTJOIN("+",TRUE,$C14:$D14)</calculatedColumnFormula>
    </tableColumn>
    <tableColumn id="16" xr3:uid="{F4B97D7B-76B9-472C-BE55-DDF523C91B54}" uniqueName="16" name="Segment_x000a_MET Start" queryTableFieldId="16" dataDxfId="122" dataCellStyle="Normal 5">
      <calculatedColumnFormula>IF($C14="ON",$B14,IF(RIGHT($H13,9)="MET Start","",IF(AND($K14&lt;&gt;0,$K13=1),$B14,$H13)))</calculatedColumnFormula>
    </tableColumn>
    <tableColumn id="17" xr3:uid="{75D7A893-75C0-4A6D-8B25-0B595F60D7D7}" uniqueName="17" name="Segment_x000a_MET End" queryTableFieldId="17" dataDxfId="121" dataCellStyle="Normal 5">
      <calculatedColumnFormula>IF($C14="OFF",$B14,IF($B15="",$B14+31500000,IF($K14=1,$B15,I15)))</calculatedColumnFormula>
    </tableColumn>
    <tableColumn id="18" xr3:uid="{FE7FC58F-1F68-4601-9509-6833A5279466}" uniqueName="18" name="Offset_x000a_fr ON" queryTableFieldId="18" dataDxfId="120" dataCellStyle="Normal 5">
      <calculatedColumnFormula>IF($G14="ON",0,IF(OR(J13="",LEFT(J13,6)="Offset"),"",J13+1))</calculatedColumnFormula>
    </tableColumn>
    <tableColumn id="19" xr3:uid="{2E9987EA-D81C-4D54-957D-0506DB032AC5}" uniqueName="19" name="Offset_x000a_to End" queryTableFieldId="19" dataDxfId="119" dataCellStyle="Normal 5">
      <calculatedColumnFormula>IF($G14="OFF",0,IF(AND($J15&lt;&gt;0,$J14&lt;&gt;9,$G15&lt;&gt;"MAC+111",($B15-$B14)&lt;7200),K15+1,1))</calculatedColumnFormula>
    </tableColumn>
    <tableColumn id="20" xr3:uid="{462F98F8-6248-4D4E-8AD2-6EC7109B2E52}" uniqueName="20" name="b" queryTableFieldId="20" dataDxfId="118" dataCellStyle="Normal 5"/>
    <tableColumn id="21" xr3:uid="{0FBD6B38-B1E1-4E9C-81A5-CA14B2F9084A}" uniqueName="21" name="N1" queryTableFieldId="21" dataDxfId="117" dataCellStyle="Normal 5">
      <calculatedColumnFormula>IF($C14="ON","",IF($C14="N1",$D14,IF(M13="N1","",M13)))</calculatedColumnFormula>
    </tableColumn>
    <tableColumn id="22" xr3:uid="{A5045F8C-7AE0-4763-BBC4-A4CC8954069F}" uniqueName="22" name="N2" queryTableFieldId="22" dataDxfId="116" dataCellStyle="Normal 5">
      <calculatedColumnFormula>IF($C14="ON","",IF($C14="N2",$D14,IF($G14="MAC+103",3,IF($G14="MAC+104",2,IF(N13="N2","",N13)))))</calculatedColumnFormula>
    </tableColumn>
    <tableColumn id="23" xr3:uid="{9B014DB1-4E67-4325-A7FF-B51BB73C144C}" uniqueName="23" name="N3" queryTableFieldId="23" dataDxfId="115" dataCellStyle="Normal 5">
      <calculatedColumnFormula>IF($C14="ON","",IF($C14="N3",$D14,IF(O13="N3","",O13)))</calculatedColumnFormula>
    </tableColumn>
    <tableColumn id="24" xr3:uid="{5660ED6E-B39C-41E9-9202-1674D6671C41}" uniqueName="24" name="STAT" queryTableFieldId="24" dataDxfId="114" dataCellStyle="Normal 5">
      <calculatedColumnFormula>IF($C14="ON","",IF($C14="STAT",$D14,IF(P13="STAT","",P13)))</calculatedColumnFormula>
    </tableColumn>
    <tableColumn id="25" xr3:uid="{12FF0207-469E-4F94-A1F8-EBA478DE17D3}" uniqueName="25" name="N2 disabled" queryTableFieldId="25" dataDxfId="113"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112"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111" dataCellStyle="Normal 5">
      <calculatedColumnFormula>IF($C14="ON","",IF($G14="MAC+102","102",IF(RIGHT(S13,1)="?","",S13)))</calculatedColumnFormula>
    </tableColumn>
    <tableColumn id="28" xr3:uid="{EBBF58EA-A53F-4BBA-A5D0-7897A48C89F7}" uniqueName="28" name="c" queryTableFieldId="28" dataDxfId="110" dataCellStyle="Normal 5"/>
    <tableColumn id="29" xr3:uid="{3369BB1D-534B-4412-A3BF-FEC6F2C8BBA1}" uniqueName="29" name="TrgAssess_x000a_bit/s" queryTableFieldId="29" dataDxfId="109" dataCellStyle="Normal 5">
      <calculatedColumnFormula>IF(OR($N14="",$R14=""),0,U$1/64/$N14)</calculatedColumnFormula>
    </tableColumn>
    <tableColumn id="30" xr3:uid="{55B18AA0-1F9B-467A-B1E9-BA2EE8619FDC}" uniqueName="30" name="BRD_x000a_bit/s" queryTableFieldId="30" dataDxfId="108" dataCellStyle="Normal 5">
      <calculatedColumnFormula>IF(OR($N14="",$R14=""),0,V$1/64/$N14)</calculatedColumnFormula>
    </tableColumn>
    <tableColumn id="31" xr3:uid="{090EFE20-88EA-4674-BD37-BEF6B463F4DB}" uniqueName="31" name="STAT_x000a_bit/s" queryTableFieldId="31" dataDxfId="107" dataCellStyle="Normal 5">
      <calculatedColumnFormula>IF($P14="",0,W$1/$P14)</calculatedColumnFormula>
    </tableColumn>
    <tableColumn id="32" xr3:uid="{B18EAE2A-70E1-4898-A71B-5A3C36BF4EE0}" uniqueName="32" name="N1_x000a_bit/s" queryTableFieldId="32" dataDxfId="106" dataCellStyle="Normal 5">
      <calculatedColumnFormula>IF($M14="",0,X$1/$M14)</calculatedColumnFormula>
    </tableColumn>
    <tableColumn id="33" xr3:uid="{E4838A52-964A-4DE1-B5E0-0AE42E730F68}" uniqueName="33" name="N2_x000a_bit/s" queryTableFieldId="33" dataDxfId="105" dataCellStyle="Normal 5">
      <calculatedColumnFormula>IF(OR($N14="",$Q14&lt;&gt;""),0,Y$1/$N14)</calculatedColumnFormula>
    </tableColumn>
    <tableColumn id="34" xr3:uid="{FB6527D2-6F60-4531-AE7F-873F0C6AB8D6}" uniqueName="34" name="N2_x000a_bit/s2" queryTableFieldId="34" dataDxfId="104" dataCellStyle="Normal 5">
      <calculatedColumnFormula>IF($N14="",0,IF($R14="",1,R14/43200)*Y14)</calculatedColumnFormula>
    </tableColumn>
    <tableColumn id="35" xr3:uid="{9E653D53-4500-4832-A022-C911049DBBA5}" uniqueName="35" name="N3_x000a_bit/s" queryTableFieldId="35" dataDxfId="103" dataCellStyle="Normal 5">
      <calculatedColumnFormula>IF($O14="",0,AA$1/$O14)</calculatedColumnFormula>
    </tableColumn>
    <tableColumn id="36" xr3:uid="{8ED16EFB-45C9-4EDA-AF99-AA59788EFFC4}" uniqueName="36" name="d" queryTableFieldId="36" dataDxfId="102" dataCellStyle="Normal 5"/>
    <tableColumn id="37" xr3:uid="{84B53164-2455-4095-84F3-40F1C7BB6A8F}" uniqueName="37" name="DT1" queryTableFieldId="37" dataDxfId="101"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100"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99"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98"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97"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96"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95"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94"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93"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92"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91"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90"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89"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88"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87"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86"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85"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84"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83"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82"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81"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80"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79"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78"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77"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76"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75"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74"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73"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72"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71"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21D4CA-276F-4C77-ACB4-29A3A9B4494A}" name="SwpRatesTbl" displayName="SwpRatesTbl" ref="P3:R22" totalsRowShown="0" headerRowBorderDxfId="65" tableBorderDxfId="66" totalsRowBorderDxfId="64">
  <autoFilter ref="P3:R22" xr:uid="{A021D4CA-276F-4C77-ACB4-29A3A9B4494A}"/>
  <tableColumns count="3">
    <tableColumn id="1" xr3:uid="{E6FAAB05-9EE6-41FF-A0CE-14A54FD1F3F6}" name="RateCmd" dataDxfId="63" dataCellStyle="Normal 2"/>
    <tableColumn id="3" xr3:uid="{22059000-64BE-488B-BF43-AEB8FE2CC4F6}" name="Period" dataDxfId="62" dataCellStyle="Normal 2"/>
    <tableColumn id="2" xr3:uid="{716F4887-D789-41FB-B2EA-0651DD31CC90}" name="Frequency (Hz)" dataDxfId="61" dataCellStyle="Normal 2">
      <calculatedColumnFormula>1/SwpRatesTbl[[#This Row],[Period]]</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712484-F298-4E3D-9C4E-7776B31EC7F6}" name="SwpPktSizesTbl" displayName="SwpPktSizesTbl" ref="P25:T31" totalsRowShown="0" headerRowDxfId="60" headerRowBorderDxfId="58" tableBorderDxfId="59" totalsRowBorderDxfId="57" headerRowCellStyle="Normal 2" dataCellStyle="Normal 2">
  <autoFilter ref="P25:T31" xr:uid="{8B712484-F298-4E3D-9C4E-7776B31EC7F6}"/>
  <tableColumns count="5">
    <tableColumn id="1" xr3:uid="{9689761F-BB31-467F-B0FC-B7DBF406EA21}" name="Packet Names" dataDxfId="56" dataCellStyle="Normal 2"/>
    <tableColumn id="2" xr3:uid="{DF1D1371-17BD-4BF0-9743-898521AD6058}" name="APID" dataDxfId="55" dataCellStyle="Normal 2"/>
    <tableColumn id="3" xr3:uid="{6333F88F-0392-4C35-9280-B3F9E64EC857}" name="Size (bytes)" dataDxfId="54" dataCellStyle="Normal 2"/>
    <tableColumn id="4" xr3:uid="{EB7B92E9-12FB-4D3A-8294-728033F758AD}" name="Size (bits)" dataDxfId="53" dataCellStyle="Normal 2">
      <calculatedColumnFormula>R26*8</calculatedColumnFormula>
    </tableColumn>
    <tableColumn id="5" xr3:uid="{2C9131CC-E3FA-4DDE-B140-0A340917E5B8}" name="Number of Packets in Set" dataDxfId="52" dataCellStyle="Normal 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C8A442-12B8-4B4B-9D67-4F763B27CAD0}" name="SwpPktRatesTbl" displayName="SwpPktRatesTbl" ref="T3:Z22" totalsRowShown="0" headerRowDxfId="51" headerRowBorderDxfId="50">
  <tableColumns count="7">
    <tableColumn id="1" xr3:uid="{9E84DF2B-BC51-4704-AFBB-1995A04B8E39}" name="RateCmd" dataDxfId="49"/>
    <tableColumn id="2" xr3:uid="{DC400674-4A2C-4D8C-921D-7175E0605B6E}" name="Housekeeping" dataDxfId="48">
      <calculatedColumnFormula>_xlfn.LET(
  _xlpm.per, _xlfn.XLOOKUP($T4, SwpRatesTbl[RateCmd], SwpRatesTbl[Period]),
  _xlpm.bits, _xlfn.XLOOKUP(U$3, SwpPktSizesTbl[Packet Names], SwpPktSizesTbl[Size (bits)]),
  _xlpm.cnt, _xlfn.XLOOKUP(U$3, SwpPktSizesTbl[Packet Names], SwpPktSizesTbl[Number of Packets in Set]),
  IF(_xlpm.per=0, 0, _xlpm.bits*_xlpm.cnt/_xlpm.per)
)</calculatedColumnFormula>
    </tableColumn>
    <tableColumn id="3" xr3:uid="{C2583683-07D2-4C4D-B6BB-795EC50DF5B4}" name="Realtime Science" dataDxfId="47"/>
    <tableColumn id="4" xr3:uid="{01211CC8-6D65-4FDA-AA66-EBE774D86E40}" name="Summary" dataDxfId="46"/>
    <tableColumn id="5" xr3:uid="{2527355F-EE64-4C96-B5B0-CBBB25CFD808}" name="Histogram 0" dataDxfId="45"/>
    <tableColumn id="6" xr3:uid="{27CA2F94-B671-42A6-B6A6-407114A504FB}" name="Histogram 1" dataDxfId="44"/>
    <tableColumn id="7" xr3:uid="{DAA05FED-B851-4325-8C71-1782B52A88A3}" name="Histogram (Sum)" dataDxfId="0">
      <calculatedColumnFormula>SwpPktRatesTbl[[#This Row],[Histogram 1]]+SwpPktRatesTbl[[#This Row],[Histogram 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15.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0"/>
  <sheetViews>
    <sheetView topLeftCell="C34" zoomScaleNormal="100" workbookViewId="0">
      <pane ySplit="2955" topLeftCell="A403" activePane="bottomLeft"/>
      <selection activeCell="N38" sqref="N38"/>
      <selection pane="bottomLeft" activeCell="AA417" sqref="AA41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8"/>
      <c r="AG1" s="268"/>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69">
        <f>'SWAP Data Volumns'!K108</f>
        <v>0.5056665308181959</v>
      </c>
      <c r="T2">
        <f>S2*86400*8/1000000</f>
        <v>0.34951670610153701</v>
      </c>
      <c r="AF2" s="268"/>
      <c r="AG2" s="268"/>
      <c r="AH2" s="6" t="s">
        <v>5401</v>
      </c>
      <c r="AI2" s="3">
        <v>1</v>
      </c>
      <c r="AJ2" s="3">
        <v>1</v>
      </c>
      <c r="AK2" s="3">
        <v>1</v>
      </c>
      <c r="AL2" s="3">
        <v>64</v>
      </c>
      <c r="AM2" s="3">
        <v>1</v>
      </c>
      <c r="AN2" s="3">
        <v>64</v>
      </c>
    </row>
    <row r="3" spans="2:47" ht="15">
      <c r="N3">
        <v>159</v>
      </c>
      <c r="O3">
        <v>181</v>
      </c>
      <c r="P3">
        <f>O3-N3</f>
        <v>22</v>
      </c>
      <c r="Q3">
        <f>P3*X6</f>
        <v>56.201820631579039</v>
      </c>
      <c r="R3" s="6" t="s">
        <v>1196</v>
      </c>
      <c r="S3" s="269">
        <f>'SWAP Data Volumns'!K99</f>
        <v>0.80996710526315774</v>
      </c>
      <c r="V3">
        <f>4.513307/V10</f>
        <v>0.92947580888228509</v>
      </c>
      <c r="X3">
        <f>25/X6</f>
        <v>9.7861598400063663</v>
      </c>
      <c r="AF3" s="268"/>
      <c r="AG3" s="268"/>
      <c r="AI3" s="3" t="s">
        <v>1</v>
      </c>
      <c r="AJ3" s="3" t="s">
        <v>58</v>
      </c>
      <c r="AK3" s="3" t="s">
        <v>5284</v>
      </c>
      <c r="AL3" s="3" t="s">
        <v>5399</v>
      </c>
      <c r="AM3" s="3" t="s">
        <v>61</v>
      </c>
      <c r="AN3" s="3" t="s">
        <v>5400</v>
      </c>
    </row>
    <row r="4" spans="2:47" ht="15">
      <c r="N4">
        <v>181</v>
      </c>
      <c r="O4">
        <v>218</v>
      </c>
      <c r="P4">
        <f>O4-N4</f>
        <v>37</v>
      </c>
      <c r="Q4">
        <f>P4*S6</f>
        <v>35.574241999999998</v>
      </c>
      <c r="R4" s="6" t="s">
        <v>1068</v>
      </c>
      <c r="S4" s="269">
        <f>'SWAP Data Volumns'!K90</f>
        <v>1.4028285692679976</v>
      </c>
      <c r="W4" t="s">
        <v>1014</v>
      </c>
      <c r="X4" s="270">
        <f>'SWAP Data Volumns'!K108</f>
        <v>0.5056665308181959</v>
      </c>
      <c r="AF4" s="268"/>
      <c r="AG4" s="268"/>
      <c r="AH4" s="6" t="s">
        <v>5403</v>
      </c>
      <c r="AI4" s="3">
        <v>1988</v>
      </c>
      <c r="AJ4" s="3">
        <v>18176</v>
      </c>
      <c r="AK4" s="3">
        <v>512</v>
      </c>
      <c r="AL4" s="3">
        <v>2087</v>
      </c>
      <c r="AM4" s="3">
        <v>1266</v>
      </c>
      <c r="AN4" s="3">
        <v>526</v>
      </c>
    </row>
    <row r="5" spans="2:47" ht="15">
      <c r="L5">
        <f>66+90+23+164+28+5</f>
        <v>376</v>
      </c>
      <c r="Q5">
        <f>Q4+Q3+Q2</f>
        <v>123.50444063157904</v>
      </c>
      <c r="R5" s="6" t="s">
        <v>1165</v>
      </c>
      <c r="S5" s="269">
        <f>'SWAP Data Volumns'!K72</f>
        <v>3.6959320175438592</v>
      </c>
      <c r="AF5" s="268"/>
      <c r="AG5" s="268"/>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8"/>
      <c r="AG6" s="268"/>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0"/>
      <c r="AG7" s="268"/>
      <c r="AI7" s="3" t="s">
        <v>49</v>
      </c>
      <c r="AJ7" s="3" t="s">
        <v>50</v>
      </c>
      <c r="AK7" s="3" t="s">
        <v>51</v>
      </c>
      <c r="AL7" s="3" t="s">
        <v>52</v>
      </c>
      <c r="AM7" s="3" t="s">
        <v>53</v>
      </c>
      <c r="AN7" s="3" t="s">
        <v>54</v>
      </c>
      <c r="AT7" s="254" t="s">
        <v>5396</v>
      </c>
    </row>
    <row r="8" spans="2:47" ht="15.75" thickBot="1">
      <c r="L8">
        <f>299+46+23+41</f>
        <v>409</v>
      </c>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260" t="s">
        <v>63</v>
      </c>
      <c r="AG8" s="260"/>
      <c r="AI8" s="3" t="s">
        <v>1</v>
      </c>
      <c r="AJ8" s="3" t="s">
        <v>58</v>
      </c>
      <c r="AK8" s="3" t="s">
        <v>59</v>
      </c>
      <c r="AL8" s="3" t="s">
        <v>60</v>
      </c>
      <c r="AM8" s="3" t="s">
        <v>61</v>
      </c>
      <c r="AN8" s="3" t="s">
        <v>62</v>
      </c>
      <c r="AO8" s="264" t="s">
        <v>5393</v>
      </c>
      <c r="AP8" s="264" t="s">
        <v>5393</v>
      </c>
      <c r="AQ8" s="264" t="s">
        <v>5393</v>
      </c>
      <c r="AR8" s="264" t="s">
        <v>5393</v>
      </c>
      <c r="AS8" s="265" t="s">
        <v>5396</v>
      </c>
      <c r="AT8" s="258" t="s">
        <v>5397</v>
      </c>
      <c r="AU8" s="254"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4">
        <f>X6*1000000/(8*86400)</f>
        <v>3.6959320175438659</v>
      </c>
      <c r="Y9" s="38" t="s">
        <v>66</v>
      </c>
      <c r="Z9" s="3" t="s">
        <v>0</v>
      </c>
      <c r="AA9" s="3" t="s">
        <v>0</v>
      </c>
      <c r="AB9" s="3" t="s">
        <v>0</v>
      </c>
      <c r="AC9" s="3" t="s">
        <v>0</v>
      </c>
      <c r="AD9" s="3" t="s">
        <v>0</v>
      </c>
      <c r="AE9" s="3" t="s">
        <v>0</v>
      </c>
      <c r="AF9" s="260"/>
      <c r="AG9" s="262" t="s">
        <v>5405</v>
      </c>
      <c r="AH9" s="256" t="s">
        <v>66</v>
      </c>
      <c r="AI9" s="3" t="s">
        <v>0</v>
      </c>
      <c r="AJ9" s="3" t="s">
        <v>0</v>
      </c>
      <c r="AK9" s="3" t="s">
        <v>0</v>
      </c>
      <c r="AL9" s="3" t="s">
        <v>0</v>
      </c>
      <c r="AM9" s="3" t="s">
        <v>0</v>
      </c>
      <c r="AN9" s="3" t="s">
        <v>0</v>
      </c>
      <c r="AO9" s="266" t="s">
        <v>1</v>
      </c>
      <c r="AP9" s="266" t="s">
        <v>58</v>
      </c>
      <c r="AQ9" s="266" t="s">
        <v>5284</v>
      </c>
      <c r="AR9" s="266" t="s">
        <v>5394</v>
      </c>
      <c r="AS9" s="267" t="s">
        <v>5395</v>
      </c>
      <c r="AT9" s="259" t="s">
        <v>5398</v>
      </c>
      <c r="AU9" s="259" t="s">
        <v>5407</v>
      </c>
    </row>
    <row r="10" spans="2:47" ht="15.75" thickBot="1">
      <c r="N10" t="s">
        <v>67</v>
      </c>
      <c r="O10">
        <f>347+49-365</f>
        <v>31</v>
      </c>
      <c r="S10" s="6" t="s">
        <v>68</v>
      </c>
      <c r="T10" s="3" t="s">
        <v>69</v>
      </c>
      <c r="U10" s="23" t="s">
        <v>70</v>
      </c>
      <c r="V10" s="39">
        <f t="shared" ref="V10:V36" si="0">Y10/8</f>
        <v>4.8557552083333402</v>
      </c>
      <c r="W10" t="s">
        <v>71</v>
      </c>
      <c r="X10" s="3" t="s">
        <v>72</v>
      </c>
      <c r="Y10" s="38">
        <f t="shared" ref="Y10:Y36" si="1">SUM(Z10:AE10)</f>
        <v>38.846041666666721</v>
      </c>
      <c r="Z10">
        <v>16.566666666666698</v>
      </c>
      <c r="AA10">
        <v>2.5244444444444398</v>
      </c>
      <c r="AB10">
        <v>0.284444444444444</v>
      </c>
      <c r="AC10">
        <v>10.8697916666667</v>
      </c>
      <c r="AD10">
        <v>5.8611111111111098</v>
      </c>
      <c r="AE10">
        <v>2.7395833333333299</v>
      </c>
      <c r="AF10" s="260"/>
      <c r="AG10" s="263">
        <f>AH10-Y10</f>
        <v>0</v>
      </c>
      <c r="AH10" s="257">
        <f>SUM(AI10:AN10)</f>
        <v>38.846041666666672</v>
      </c>
      <c r="AI10" s="208">
        <f>1*(IF(TRIM($AU10)="13_3",AI$5,AI$1)/AI$2)/IF(OR(TRIM(AO10)="",AO10&lt;=0),1E+38,AO10)</f>
        <v>16.566666666666666</v>
      </c>
      <c r="AJ10" s="208">
        <f t="shared" ref="AJ10:AK13" si="2">1*(IF(TRIM($AU10)="13_3",AJ$5,AJ$1)/AJ$2)/IF(OR(TRIM(AP10)="",AP10&lt;=0),1E+38,AP10)</f>
        <v>2.5244444444444443</v>
      </c>
      <c r="AK10" s="208">
        <f t="shared" si="2"/>
        <v>0.28444444444444444</v>
      </c>
      <c r="AL10" s="208">
        <f>1*(IF(TRIM($AU10)="13_3",AL$5,AL$1)/AL$2)/IF(OR(TRIM($AR10)="",$AR10&lt;=0),1E+38,IF($AR10=103,3,IF($AR10=104,2,$AR10)))</f>
        <v>10.869791666666666</v>
      </c>
      <c r="AM10" s="208">
        <f>1*(IF(TRIM($AU10)="13_3",AM$5,AM$1)/AM$2)*(AT10/720)/IF(OR(TRIM($AR10)="",$AR10&lt;=0),1E+38,IF($AR10=103,3,IF($AR10=104,2,$AR10)))</f>
        <v>5.8611111111111107</v>
      </c>
      <c r="AN10" s="208">
        <f>1*(IF(TRIM($AU10)="13_3",AN$5,AN$1)/AN$2)/IF(OR(TRIM($AR10)="",$AR10&lt;=0),1E+38,IF($AR10=103,3,IF($AR10=104,2,$AR10)))</f>
        <v>2.7395833333333335</v>
      </c>
      <c r="AO10" s="271">
        <v>120</v>
      </c>
      <c r="AP10" s="271">
        <v>7200</v>
      </c>
      <c r="AQ10" s="271">
        <v>1800</v>
      </c>
      <c r="AR10" s="271">
        <v>103</v>
      </c>
      <c r="AS10" s="271">
        <v>106</v>
      </c>
      <c r="AT10" s="272">
        <f t="shared" ref="AT10:AT11" si="3">IF(OR(AS10="",AS10&lt;105,AS10&gt;109),720,(336+(AS10-107)*(110+(AS10-107)*(25+(AS10-107)*(10+(AS10-107)*(-1)))))/24)</f>
        <v>10</v>
      </c>
      <c r="AU10" s="254"/>
    </row>
    <row r="11" spans="2:47" ht="15.75" thickBot="1">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260">
        <f t="shared" ref="AF11:AF22" si="4">Y11*86400/1000000</f>
        <v>3.1195980000000052</v>
      </c>
      <c r="AG11" s="263">
        <f t="shared" ref="AG11:AG31" si="5">AH11-Y11</f>
        <v>-5.6843418860808015E-14</v>
      </c>
      <c r="AH11" s="257">
        <f t="shared" ref="AH11:AH31" si="6">SUM(AI11:AN11)</f>
        <v>36.106458333333336</v>
      </c>
      <c r="AI11" s="208">
        <f t="shared" ref="AI11:AI13" si="7">1*(IF(TRIM($AU11)="13_3",AI$5,AI$1)/AI$2)/IF(OR(TRIM(AO11)="",AO11&lt;=0),1E+38,AO11)</f>
        <v>16.566666666666666</v>
      </c>
      <c r="AJ11" s="208">
        <f t="shared" si="2"/>
        <v>2.5244444444444443</v>
      </c>
      <c r="AK11" s="208">
        <f t="shared" si="2"/>
        <v>0.28444444444444444</v>
      </c>
      <c r="AL11" s="208">
        <f t="shared" ref="AL11:AL13" si="8">1*(IF(TRIM($AU11)="13_3",AL$5,AL$1)/AL$2)/IF(OR(TRIM($AR11)="",$AR11&lt;=0),1E+38,IF($AR11=103,3,IF($AR11=104,2,$AR11)))</f>
        <v>10.869791666666666</v>
      </c>
      <c r="AM11" s="208">
        <f>1*(IF(TRIM($AU11)="13_3",AM$5,AM$1)/AM$2)*(AT11/720)/IF(OR(TRIM($AR11)="",$AR11&lt;=0),1E+38,IF($AR11=103,3,IF($AR11=104,2,$AR11)))</f>
        <v>5.8611111111111107</v>
      </c>
      <c r="AN11" s="208">
        <f>0*(IF(TRIM($AU11)="13_3",AN$5,AN$1)/AN$2)/IF(OR(TRIM($AR11)="",$AR11&lt;=0),1E+38,IF($AR11=103,3,IF($AR11=104,2,$AR11)))</f>
        <v>0</v>
      </c>
      <c r="AO11" s="273">
        <v>120</v>
      </c>
      <c r="AP11" s="273">
        <v>7200</v>
      </c>
      <c r="AQ11" s="273">
        <v>1800</v>
      </c>
      <c r="AR11" s="273">
        <v>103</v>
      </c>
      <c r="AS11" s="273">
        <v>106</v>
      </c>
      <c r="AT11" s="274">
        <f t="shared" si="3"/>
        <v>10</v>
      </c>
      <c r="AU11" s="258"/>
    </row>
    <row r="12" spans="2:47" ht="15.75" thickBot="1">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260">
        <f t="shared" si="4"/>
        <v>2.1360779999999986</v>
      </c>
      <c r="AG12" s="263">
        <f t="shared" si="5"/>
        <v>0</v>
      </c>
      <c r="AH12" s="257">
        <f t="shared" si="6"/>
        <v>24.723125</v>
      </c>
      <c r="AI12" s="208">
        <f t="shared" si="7"/>
        <v>11.044444444444444</v>
      </c>
      <c r="AJ12" s="208">
        <f t="shared" si="2"/>
        <v>2.5244444444444443</v>
      </c>
      <c r="AK12" s="208">
        <f t="shared" si="2"/>
        <v>0.28444444444444444</v>
      </c>
      <c r="AL12" s="208">
        <f t="shared" si="8"/>
        <v>10.869791666666666</v>
      </c>
      <c r="AM12" s="208">
        <f>0*(IF(TRIM($AU12)="13_3",AM$5,AM$1)/AM$2)*(AT12/720)/IF(OR(TRIM($AR12)="",$AR12&lt;=0),1E+38,IF($AR12=103,3,IF($AR12=104,2,$AR12)))</f>
        <v>0</v>
      </c>
      <c r="AN12" s="208">
        <f>0*(IF(TRIM($AU12)="13_3",AN$5,AN$1)/AN$2)/IF(OR(TRIM($AR12)="",$AR12&lt;=0),1E+38,IF($AR12=103,3,IF($AR12=104,2,$AR12)))</f>
        <v>0</v>
      </c>
      <c r="AO12" s="273">
        <v>180</v>
      </c>
      <c r="AP12" s="273">
        <v>7200</v>
      </c>
      <c r="AQ12" s="273">
        <v>1800</v>
      </c>
      <c r="AR12" s="273">
        <v>103</v>
      </c>
      <c r="AS12" s="273">
        <v>110</v>
      </c>
      <c r="AT12" s="274">
        <f>IF(OR(AS12="",AS12&lt;105,AS12&gt;109),720,(336+(AS12-107)*(110+(AS12-107)*(25+(AS12-107)*(10+(AS12-107)*(-1)))))/24)</f>
        <v>720</v>
      </c>
      <c r="AU12" s="258"/>
    </row>
    <row r="13" spans="2:47" ht="15.75" thickBot="1">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260">
        <f t="shared" si="4"/>
        <v>2.613198000000005</v>
      </c>
      <c r="AG13" s="263">
        <f t="shared" si="5"/>
        <v>-6.0396132539608516E-14</v>
      </c>
      <c r="AH13" s="257">
        <f t="shared" si="6"/>
        <v>30.245347222222222</v>
      </c>
      <c r="AI13" s="208">
        <f t="shared" si="7"/>
        <v>16.566666666666666</v>
      </c>
      <c r="AJ13" s="208">
        <f t="shared" si="2"/>
        <v>2.5244444444444443</v>
      </c>
      <c r="AK13" s="208">
        <f t="shared" si="2"/>
        <v>0.28444444444444444</v>
      </c>
      <c r="AL13" s="208">
        <f t="shared" si="8"/>
        <v>10.869791666666666</v>
      </c>
      <c r="AM13" s="208">
        <f t="shared" ref="AM13:AM16" si="9">0*(IF(TRIM($AU13)="13_3",AM$5,AM$1)/AM$2)*(AT13/720)/IF(OR(TRIM($AR13)="",$AR13&lt;=0),1E+38,IF($AR13=103,3,IF($AR13=104,2,$AR13)))</f>
        <v>0</v>
      </c>
      <c r="AN13" s="208">
        <f>0*(IF(TRIM($AU13)="13_3",AN$5,AN$1)/AN$2)/IF(OR(TRIM($AR13)="",$AR13&lt;=0),1E+38,IF($AR13=103,3,IF($AR13=104,2,$AR13)))</f>
        <v>0</v>
      </c>
      <c r="AO13" s="273">
        <v>120</v>
      </c>
      <c r="AP13" s="273">
        <v>7200</v>
      </c>
      <c r="AQ13" s="273">
        <v>1800</v>
      </c>
      <c r="AR13" s="273">
        <v>103</v>
      </c>
      <c r="AS13" s="273"/>
      <c r="AT13" s="274">
        <f t="shared" ref="AT13:AT31" si="10">IF(OR(AS13="",AS13&lt;105,AS13&gt;109),720,(336+(AS13-107)*(110+(AS13-107)*(25+(AS13-107)*(10+(AS13-107)*(-1)))))/24)</f>
        <v>720</v>
      </c>
      <c r="AU13" s="258"/>
    </row>
    <row r="14" spans="2:47" ht="15.75" thickBot="1">
      <c r="S14">
        <v>25159</v>
      </c>
      <c r="T14" t="s">
        <v>77</v>
      </c>
      <c r="U14" s="23" t="s">
        <v>70</v>
      </c>
      <c r="V14" s="39">
        <f t="shared" si="0"/>
        <v>0.34244791666666624</v>
      </c>
      <c r="W14" t="s">
        <v>81</v>
      </c>
      <c r="X14" s="3" t="s">
        <v>79</v>
      </c>
      <c r="Y14" s="38">
        <f t="shared" si="1"/>
        <v>2.7395833333333299</v>
      </c>
      <c r="AD14" s="3"/>
      <c r="AE14">
        <v>2.7395833333333299</v>
      </c>
      <c r="AF14" s="260">
        <f t="shared" si="4"/>
        <v>0.23669999999999972</v>
      </c>
      <c r="AG14" s="263">
        <f t="shared" si="5"/>
        <v>3.5527136788005009E-15</v>
      </c>
      <c r="AH14" s="257">
        <f t="shared" si="6"/>
        <v>2.7395833333333335</v>
      </c>
      <c r="AI14" s="208">
        <f>0*(IF(TRIM($AU14)="13_3",AI$5,AI$1)/AI$2)/IF(OR(TRIM(AO14)="",AO14&lt;=0),1E+38,AO14)</f>
        <v>0</v>
      </c>
      <c r="AJ14" s="208">
        <f>0*(IF(TRIM($AU14)="13_3",AJ$5,AJ$1)/AJ$2)/IF(OR(TRIM(AP14)="",AP14&lt;=0),1E+38,AP14)</f>
        <v>0</v>
      </c>
      <c r="AK14" s="208">
        <f>0*(IF(TRIM($AU14)="13_3",AK$5,AK$1)/AK$2)/IF(OR(TRIM(AQ14)="",AQ14&lt;=0),1E+38,AQ14)</f>
        <v>0</v>
      </c>
      <c r="AL14" s="208">
        <f>0*(IF(TRIM($AU14)="13_3",AL$5,AL$1)/AL$2)/IF(OR(TRIM($AR14)="",$AR14&lt;=0),1E+38,IF($AR14=103,3,IF($AR14=104,2,$AR14)))</f>
        <v>0</v>
      </c>
      <c r="AM14" s="208">
        <f t="shared" si="9"/>
        <v>0</v>
      </c>
      <c r="AN14" s="208">
        <f>1*(IF(TRIM($AU14)="13_3",AN$5,AN$1)/AN$2)/IF(OR(TRIM($AR14)="",$AR14&lt;=0),1E+38,IF($AR14=103,3,IF($AR14=104,2,$AR14)))</f>
        <v>2.7395833333333335</v>
      </c>
      <c r="AO14" s="273"/>
      <c r="AP14" s="273"/>
      <c r="AQ14" s="273"/>
      <c r="AR14" s="273">
        <v>103</v>
      </c>
      <c r="AS14" s="273"/>
      <c r="AT14" s="274">
        <f t="shared" si="10"/>
        <v>720</v>
      </c>
      <c r="AU14" s="258"/>
    </row>
    <row r="15" spans="2:47" ht="15.75" thickBot="1">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260">
        <f t="shared" si="4"/>
        <v>1.1969279999999958</v>
      </c>
      <c r="AG15" s="263">
        <f t="shared" si="5"/>
        <v>4.9737991503207013E-14</v>
      </c>
      <c r="AH15" s="257">
        <f t="shared" si="6"/>
        <v>13.853333333333333</v>
      </c>
      <c r="AI15" s="208">
        <f t="shared" ref="AI15:AK16" si="11">1*(IF(TRIM($AU15)="13_3",AI$5,AI$1)/AI$2)/IF(OR(TRIM(AO15)="",AO15&lt;=0),1E+38,AO15)</f>
        <v>11.044444444444444</v>
      </c>
      <c r="AJ15" s="208">
        <f t="shared" si="11"/>
        <v>2.5244444444444443</v>
      </c>
      <c r="AK15" s="208">
        <f t="shared" si="11"/>
        <v>0.28444444444444444</v>
      </c>
      <c r="AL15" s="208">
        <f t="shared" ref="AL15:AL17" si="12">0*(IF(TRIM($AU15)="13_3",AL$5,AL$1)/AL$2)/IF(OR(TRIM($AR15)="",$AR15&lt;=0),1E+38,IF($AR15=103,3,IF($AR15=104,2,$AR15)))</f>
        <v>0</v>
      </c>
      <c r="AM15" s="208">
        <f t="shared" si="9"/>
        <v>0</v>
      </c>
      <c r="AN15" s="208">
        <f t="shared" ref="AN15:AN16" si="13">0*(IF(TRIM($AU15)="13_3",AN$5,AN$1)/AN$2)/IF(OR(TRIM($AR15)="",$AR15&lt;=0),1E+38,IF($AR15=103,3,IF($AR15=104,2,$AR15)))</f>
        <v>0</v>
      </c>
      <c r="AO15" s="273">
        <v>180</v>
      </c>
      <c r="AP15" s="273">
        <v>7200</v>
      </c>
      <c r="AQ15" s="273">
        <v>1800</v>
      </c>
      <c r="AR15" s="273"/>
      <c r="AS15" s="273"/>
      <c r="AT15" s="274">
        <f t="shared" si="10"/>
        <v>720</v>
      </c>
      <c r="AU15" s="258"/>
    </row>
    <row r="16" spans="2:47" ht="15.75" thickBot="1">
      <c r="P16" s="40"/>
      <c r="Q16" s="40" t="s">
        <v>85</v>
      </c>
      <c r="R16" s="40"/>
      <c r="S16" s="41" t="s">
        <v>86</v>
      </c>
      <c r="T16" s="42" t="s">
        <v>83</v>
      </c>
      <c r="U16" s="23" t="s">
        <v>70</v>
      </c>
      <c r="V16" s="44">
        <f t="shared" si="0"/>
        <v>2.4219444444444478</v>
      </c>
      <c r="W16" s="40" t="s">
        <v>84</v>
      </c>
      <c r="X16" s="42" t="s">
        <v>72</v>
      </c>
      <c r="Y16" s="38">
        <f t="shared" si="1"/>
        <v>19.375555555555582</v>
      </c>
      <c r="Z16">
        <v>16.566666666666698</v>
      </c>
      <c r="AA16">
        <v>2.5244444444444398</v>
      </c>
      <c r="AB16">
        <v>0.284444444444444</v>
      </c>
      <c r="AF16" s="260">
        <f t="shared" si="4"/>
        <v>1.6740480000000024</v>
      </c>
      <c r="AG16" s="263">
        <f t="shared" si="5"/>
        <v>-2.8421709430404007E-14</v>
      </c>
      <c r="AH16" s="257">
        <f t="shared" si="6"/>
        <v>19.375555555555554</v>
      </c>
      <c r="AI16" s="208">
        <f t="shared" si="11"/>
        <v>16.566666666666666</v>
      </c>
      <c r="AJ16" s="208">
        <f t="shared" si="11"/>
        <v>2.5244444444444443</v>
      </c>
      <c r="AK16" s="208">
        <f t="shared" si="11"/>
        <v>0.28444444444444444</v>
      </c>
      <c r="AL16" s="208">
        <f t="shared" si="12"/>
        <v>0</v>
      </c>
      <c r="AM16" s="208">
        <f t="shared" si="9"/>
        <v>0</v>
      </c>
      <c r="AN16" s="208">
        <f t="shared" si="13"/>
        <v>0</v>
      </c>
      <c r="AO16" s="273">
        <v>120</v>
      </c>
      <c r="AP16" s="273">
        <v>7200</v>
      </c>
      <c r="AQ16" s="273">
        <v>1800</v>
      </c>
      <c r="AR16" s="273"/>
      <c r="AS16" s="273"/>
      <c r="AT16" s="274">
        <f t="shared" si="10"/>
        <v>720</v>
      </c>
      <c r="AU16" s="258"/>
    </row>
    <row r="17" spans="13:47" ht="15.75" thickBot="1">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260">
        <f t="shared" si="4"/>
        <v>1.4687159999999964</v>
      </c>
      <c r="AG17" s="263">
        <f t="shared" si="5"/>
        <v>4.2632564145606011E-14</v>
      </c>
      <c r="AH17" s="257">
        <f t="shared" si="6"/>
        <v>16.999027777777776</v>
      </c>
      <c r="AI17" s="208">
        <f>1*(IF(TRIM($AU17)="13_3",AI$5,AI$1)/AI$2)/IF(OR(TRIM(AO17)="",AO17&lt;=0),1E+38,AO17)</f>
        <v>11.044444444444444</v>
      </c>
      <c r="AJ17" s="208">
        <f>0*(IF(TRIM($AU17)="13_3",AJ$5,AJ$1)/AJ$2)/IF(OR(TRIM(AP17)="",AP17&lt;=0),1E+38,AP17)</f>
        <v>0</v>
      </c>
      <c r="AK17" s="208">
        <f>1*(IF(TRIM($AU17)="13_3",AK$5,AK$1)/AK$2)/IF(OR(TRIM(AQ17)="",AQ17&lt;=0),1E+38,AQ17)</f>
        <v>0.28444444444444444</v>
      </c>
      <c r="AL17" s="208">
        <f t="shared" si="12"/>
        <v>0</v>
      </c>
      <c r="AM17" s="208">
        <f>1*(IF(TRIM($AU17)="13_3",AM$5,AM$1)/AM$2)*(AT17/720)/IF(OR(TRIM($AR17)="",$AR17&lt;=0),1E+38,IF($AR17=103,3,IF($AR17=104,2,$AR17)))</f>
        <v>2.9305555555555554</v>
      </c>
      <c r="AN17" s="208">
        <f>1*(IF(TRIM($AU17)="13_3",AN$5,AN$1)/AN$2)/IF(OR(TRIM($AR17)="",$AR17&lt;=0),1E+38,IF($AR17=103,3,IF($AR17=104,2,$AR17)))</f>
        <v>2.7395833333333335</v>
      </c>
      <c r="AO17" s="273">
        <v>180</v>
      </c>
      <c r="AP17" s="273"/>
      <c r="AQ17" s="273">
        <v>1800</v>
      </c>
      <c r="AR17" s="273">
        <v>103</v>
      </c>
      <c r="AS17" s="273">
        <v>105</v>
      </c>
      <c r="AT17" s="274">
        <f t="shared" si="10"/>
        <v>5</v>
      </c>
      <c r="AU17" s="258"/>
    </row>
    <row r="18" spans="13:47" ht="15.75" thickBot="1">
      <c r="Q18" t="s">
        <v>90</v>
      </c>
      <c r="S18">
        <v>25181</v>
      </c>
      <c r="T18" s="6" t="s">
        <v>88</v>
      </c>
      <c r="U18" s="23" t="s">
        <v>70</v>
      </c>
      <c r="V18" s="39">
        <f t="shared" si="0"/>
        <v>1.6742795138888924</v>
      </c>
      <c r="W18" t="s">
        <v>91</v>
      </c>
      <c r="X18" s="3" t="s">
        <v>79</v>
      </c>
      <c r="Y18" s="38">
        <f t="shared" si="1"/>
        <v>13.394236111111139</v>
      </c>
      <c r="AA18">
        <v>2.5244444444444398</v>
      </c>
      <c r="AC18">
        <v>10.8697916666667</v>
      </c>
      <c r="AF18" s="260">
        <f t="shared" si="4"/>
        <v>1.1572620000000022</v>
      </c>
      <c r="AG18" s="263">
        <f t="shared" si="5"/>
        <v>-2.8421709430404007E-14</v>
      </c>
      <c r="AH18" s="257">
        <f t="shared" si="6"/>
        <v>13.394236111111111</v>
      </c>
      <c r="AI18" s="208">
        <f>0*(IF(TRIM($AU18)="13_3",AI$5,AI$1)/AI$2)/IF(OR(TRIM(AO18)="",AO18&lt;=0),1E+38,AO18)</f>
        <v>0</v>
      </c>
      <c r="AJ18" s="208">
        <f>1*(IF(TRIM($AU18)="13_3",AJ$5,AJ$1)/AJ$2)/IF(OR(TRIM(AP18)="",AP18&lt;=0),1E+38,AP18)</f>
        <v>2.5244444444444443</v>
      </c>
      <c r="AK18" s="208">
        <f>0*(IF(TRIM($AU18)="13_3",AK$5,AK$1)/AK$2)/IF(OR(TRIM(AQ18)="",AQ18&lt;=0),1E+38,AQ18)</f>
        <v>0</v>
      </c>
      <c r="AL18" s="208">
        <f>1*(IF(TRIM($AU18)="13_3",AL$5,AL$1)/AL$2)/IF(OR(TRIM($AR18)="",$AR18&lt;=0),1E+38,IF($AR18=103,3,IF($AR18=104,2,$AR18)))</f>
        <v>10.869791666666666</v>
      </c>
      <c r="AM18" s="208">
        <f>0*(IF(TRIM($AU18)="13_3",AM$5,AM$1)/AM$2)*(AT18/720)/IF(OR(TRIM($AR18)="",$AR18&lt;=0),1E+38,IF($AR18=103,3,IF($AR18=104,2,$AR18)))</f>
        <v>0</v>
      </c>
      <c r="AN18" s="208">
        <f>0*(IF(TRIM($AU18)="13_3",AN$5,AN$1)/AN$2)/IF(OR(TRIM($AR18)="",$AR18&lt;=0),1E+38,IF($AR18=103,3,IF($AR18=104,2,$AR18)))</f>
        <v>0</v>
      </c>
      <c r="AO18" s="273"/>
      <c r="AP18" s="273">
        <v>7200</v>
      </c>
      <c r="AQ18" s="273"/>
      <c r="AR18" s="273">
        <v>103</v>
      </c>
      <c r="AS18" s="273"/>
      <c r="AT18" s="274">
        <f t="shared" si="10"/>
        <v>720</v>
      </c>
      <c r="AU18" s="258"/>
    </row>
    <row r="19" spans="13:47" ht="15.75" thickBot="1">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260">
        <f t="shared" si="4"/>
        <v>2.6259779999999986</v>
      </c>
      <c r="AG19" s="263">
        <f t="shared" si="5"/>
        <v>0</v>
      </c>
      <c r="AH19" s="257">
        <f t="shared" si="6"/>
        <v>30.393263888888885</v>
      </c>
      <c r="AI19" s="208">
        <f t="shared" ref="AI19:AK19" si="14">1*(IF(TRIM($AU19)="13_3",AI$5,AI$1)/AI$2)/IF(OR(TRIM(AO19)="",AO19&lt;=0),1E+38,AO19)</f>
        <v>11.044444444444444</v>
      </c>
      <c r="AJ19" s="208">
        <f t="shared" si="14"/>
        <v>2.5244444444444443</v>
      </c>
      <c r="AK19" s="208">
        <f t="shared" si="14"/>
        <v>0.28444444444444444</v>
      </c>
      <c r="AL19" s="208">
        <f>1*(IF(TRIM($AU19)="13_3",AL$5,AL$1)/AL$2)/IF(OR(TRIM($AR19)="",$AR19&lt;=0),1E+38,IF($AR19=103,3,IF($AR19=104,2,$AR19)))</f>
        <v>10.869791666666666</v>
      </c>
      <c r="AM19" s="208">
        <f t="shared" ref="AM19:AM21" si="15">1*(IF(TRIM($AU19)="13_3",AM$5,AM$1)/AM$2)*(AT19/720)/IF(OR(TRIM($AR19)="",$AR19&lt;=0),1E+38,IF($AR19=103,3,IF($AR19=104,2,$AR19)))</f>
        <v>2.9305555555555554</v>
      </c>
      <c r="AN19" s="208">
        <f>1*(IF(TRIM($AU19)="13_3",AN$5,AN$1)/AN$2)/IF(OR(TRIM($AR19)="",$AR19&lt;=0),1E+38,IF($AR19=103,3,IF($AR19=104,2,$AR19)))</f>
        <v>2.7395833333333335</v>
      </c>
      <c r="AO19" s="273">
        <v>180</v>
      </c>
      <c r="AP19" s="273">
        <v>7200</v>
      </c>
      <c r="AQ19" s="273">
        <v>1800</v>
      </c>
      <c r="AR19" s="273">
        <v>103</v>
      </c>
      <c r="AS19" s="273">
        <v>105</v>
      </c>
      <c r="AT19" s="274">
        <f t="shared" si="10"/>
        <v>5</v>
      </c>
      <c r="AU19" s="258"/>
    </row>
    <row r="20" spans="13:47" ht="15.75" thickBot="1">
      <c r="S20">
        <v>25159</v>
      </c>
      <c r="T20" t="s">
        <v>77</v>
      </c>
      <c r="U20" s="23" t="s">
        <v>70</v>
      </c>
      <c r="V20" s="39">
        <f t="shared" si="0"/>
        <v>52.75</v>
      </c>
      <c r="W20" t="s">
        <v>93</v>
      </c>
      <c r="X20" s="3" t="s">
        <v>79</v>
      </c>
      <c r="Y20" s="38">
        <f t="shared" si="1"/>
        <v>422</v>
      </c>
      <c r="AD20">
        <v>422</v>
      </c>
      <c r="AF20" s="260">
        <f t="shared" si="4"/>
        <v>36.460799999999999</v>
      </c>
      <c r="AG20" s="263">
        <f t="shared" si="5"/>
        <v>0</v>
      </c>
      <c r="AH20" s="257">
        <f t="shared" si="6"/>
        <v>422</v>
      </c>
      <c r="AI20" s="208">
        <f t="shared" ref="AI20:AK20" si="16">0*(IF(TRIM($AU20)="13_3",AI$5,AI$1)/AI$2)/IF(OR(TRIM(AO20)="",AO20&lt;=0),1E+38,AO20)</f>
        <v>0</v>
      </c>
      <c r="AJ20" s="208">
        <f t="shared" si="16"/>
        <v>0</v>
      </c>
      <c r="AK20" s="208">
        <f t="shared" si="16"/>
        <v>0</v>
      </c>
      <c r="AL20" s="208">
        <f>0*(IF(TRIM($AU20)="13_3",AL$5,AL$1)/AL$2)/IF(OR(TRIM($AR20)="",$AR20&lt;=0),1E+38,IF($AR20=103,3,IF($AR20=104,2,$AR20)))</f>
        <v>0</v>
      </c>
      <c r="AM20" s="208">
        <f t="shared" si="15"/>
        <v>422</v>
      </c>
      <c r="AN20" s="208">
        <f>0*(IF(TRIM($AU20)="13_3",AN$5,AN$1)/AN$2)/IF(OR(TRIM($AR20)="",$AR20&lt;=0),1E+38,IF($AR20=103,3,IF($AR20=104,2,$AR20)))</f>
        <v>0</v>
      </c>
      <c r="AO20" s="273"/>
      <c r="AP20" s="273"/>
      <c r="AQ20" s="273"/>
      <c r="AR20" s="273">
        <v>103</v>
      </c>
      <c r="AS20" s="273">
        <v>110</v>
      </c>
      <c r="AT20" s="274">
        <f t="shared" si="10"/>
        <v>720</v>
      </c>
      <c r="AU20" s="258"/>
    </row>
    <row r="21" spans="13:47" ht="15.75" thickBot="1">
      <c r="Q21" t="s">
        <v>987</v>
      </c>
      <c r="R21" t="s">
        <v>5707</v>
      </c>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260">
        <f t="shared" si="4"/>
        <v>1.2365459999999995</v>
      </c>
      <c r="AG21" s="263">
        <f t="shared" si="5"/>
        <v>0</v>
      </c>
      <c r="AH21" s="257">
        <f t="shared" si="6"/>
        <v>14.311875000000001</v>
      </c>
      <c r="AI21" s="208">
        <f>1*(IF(TRIM($AU21)="13_3",AI$5,AI$1)/AI$2)/IF(OR(TRIM(AO21)="",AO21&lt;=0),1E+38,AO21)</f>
        <v>5.5222222222222221</v>
      </c>
      <c r="AJ21" s="208">
        <f>0*(IF(TRIM($AU21)="13_3",AJ$5,AJ$1)/AJ$2)/IF(OR(TRIM(AP21)="",AP21&lt;=0),1E+38,AP21)</f>
        <v>0</v>
      </c>
      <c r="AK21" s="208">
        <f>1*(IF(TRIM($AU21)="13_3",AK$5,AK$1)/AK$2)/IF(OR(TRIM(AQ21)="",AQ21&lt;=0),1E+38,AQ21)</f>
        <v>0.28444444444444444</v>
      </c>
      <c r="AL21" s="208">
        <f>0*(IF(TRIM($AU21)="13_3",AL$5,AL$1)/AL$2)/IF(OR(TRIM($AR21)="",$AR21&lt;=0),1E+38,IF($AR21=103,3,IF($AR21=104,2,$AR21)))</f>
        <v>0</v>
      </c>
      <c r="AM21" s="208">
        <f t="shared" si="15"/>
        <v>4.395833333333333</v>
      </c>
      <c r="AN21" s="208">
        <f>1*(IF(TRIM($AU21)="13_3",AN$5,AN$1)/AN$2)/IF(OR(TRIM($AR21)="",$AR21&lt;=0),1E+38,IF($AR21=103,3,IF($AR21=104,2,$AR21)))</f>
        <v>4.109375</v>
      </c>
      <c r="AO21" s="273">
        <v>360</v>
      </c>
      <c r="AP21" s="273"/>
      <c r="AQ21" s="273">
        <v>1800</v>
      </c>
      <c r="AR21" s="273">
        <v>104</v>
      </c>
      <c r="AS21" s="273">
        <v>105</v>
      </c>
      <c r="AT21" s="274">
        <f t="shared" si="10"/>
        <v>5</v>
      </c>
      <c r="AU21" s="258"/>
    </row>
    <row r="22" spans="13:47" ht="15.75" thickBot="1">
      <c r="M22">
        <f>20.2/22.12</f>
        <v>0.91320072332730551</v>
      </c>
      <c r="N22" s="425" t="s">
        <v>5706</v>
      </c>
      <c r="Q22" s="17" t="s">
        <v>90</v>
      </c>
      <c r="R22" s="425" t="s">
        <v>5705</v>
      </c>
      <c r="S22" s="17"/>
      <c r="T22" s="30" t="s">
        <v>988</v>
      </c>
      <c r="U22" s="23" t="s">
        <v>70</v>
      </c>
      <c r="V22" s="39">
        <f t="shared" si="0"/>
        <v>4.5625303819444447</v>
      </c>
      <c r="W22" t="s">
        <v>90</v>
      </c>
      <c r="X22" s="3" t="s">
        <v>5699</v>
      </c>
      <c r="Y22" s="38">
        <f t="shared" si="1"/>
        <v>36.500243055555558</v>
      </c>
      <c r="AA22" s="343">
        <v>20.195555555555554</v>
      </c>
      <c r="AB22" s="343"/>
      <c r="AC22" s="343">
        <v>16.3046875</v>
      </c>
      <c r="AF22" s="260">
        <f t="shared" si="4"/>
        <v>3.1536209999999998</v>
      </c>
      <c r="AG22" s="263">
        <f t="shared" si="5"/>
        <v>0</v>
      </c>
      <c r="AH22" s="257">
        <f t="shared" si="6"/>
        <v>36.500243055555558</v>
      </c>
      <c r="AI22" s="208">
        <f>0*(IF(TRIM($AU22)="13_3",AI$5,AI$1)/AI$2)/IF(OR(TRIM(AO22)="",AO22&lt;=0),1E+38,AO22)</f>
        <v>0</v>
      </c>
      <c r="AJ22" s="208">
        <f>1*(IF(TRIM($AU22)="13_3",AJ$5,AJ$1)/AJ$2)/IF(OR(TRIM(AP22)="",AP22&lt;=0),1E+38,AP22)</f>
        <v>20.195555555555554</v>
      </c>
      <c r="AK22" s="208">
        <f>0*(IF(TRIM($AU22)="13_3",AK$5,AK$1)/AK$2)/IF(OR(TRIM(AQ22)="",AQ22&lt;=0),1E+38,AQ22)</f>
        <v>0</v>
      </c>
      <c r="AL22" s="208">
        <f>1*(IF(TRIM($AU22)="13_3",AL$5,AL$1)/AL$2)/IF(OR(TRIM($AR22)="",$AR22&lt;=0),1E+38,IF($AR22=103,3,IF($AR22=104,2,$AR22)))</f>
        <v>16.3046875</v>
      </c>
      <c r="AM22" s="208">
        <f t="shared" ref="AM22:AM25" si="17">0*(IF(TRIM($AU22)="13_3",AM$5,AM$1)/AM$2)*(AT22/720)/IF(OR(TRIM($AR22)="",$AR22&lt;=0),1E+38,IF($AR22=103,3,IF($AR22=104,2,$AR22)))</f>
        <v>0</v>
      </c>
      <c r="AN22" s="208">
        <f t="shared" ref="AN22:AN24" si="18">0*(IF(TRIM($AU22)="13_3",AN$5,AN$1)/AN$2)/IF(OR(TRIM($AR22)="",$AR22&lt;=0),1E+38,IF($AR22=103,3,IF($AR22=104,2,$AR22)))</f>
        <v>0</v>
      </c>
      <c r="AO22" s="273"/>
      <c r="AP22" s="273">
        <v>900</v>
      </c>
      <c r="AQ22" s="273"/>
      <c r="AR22" s="273">
        <v>104</v>
      </c>
      <c r="AS22" s="273"/>
      <c r="AT22" s="274">
        <f t="shared" si="10"/>
        <v>720</v>
      </c>
      <c r="AU22" s="258"/>
    </row>
    <row r="23" spans="13:47" ht="15.75" thickBot="1">
      <c r="Q23" s="17" t="s">
        <v>1253</v>
      </c>
      <c r="R23" s="17"/>
      <c r="S23" s="17"/>
      <c r="T23" s="30" t="s">
        <v>988</v>
      </c>
      <c r="U23" s="23" t="s">
        <v>70</v>
      </c>
      <c r="V23" s="39">
        <f t="shared" si="0"/>
        <v>0.55078125</v>
      </c>
      <c r="W23" t="s">
        <v>5695</v>
      </c>
      <c r="X23" s="3" t="s">
        <v>5699</v>
      </c>
      <c r="Y23" s="38">
        <f t="shared" si="1"/>
        <v>4.40625</v>
      </c>
      <c r="AE23">
        <v>4.40625</v>
      </c>
      <c r="AF23" s="260"/>
      <c r="AG23" s="263">
        <f t="shared" si="5"/>
        <v>0</v>
      </c>
      <c r="AH23" s="257">
        <f t="shared" si="6"/>
        <v>4.40625</v>
      </c>
      <c r="AI23" s="208">
        <f>0*(IF(TRIM($AU23)="13_3",AI$5,AI$1)/AI$2)/IF(OR(TRIM(AO23)="",AO23&lt;=0),1E+38,AO23)</f>
        <v>0</v>
      </c>
      <c r="AJ23" s="208">
        <f>0*(IF(TRIM($AU23)="13_3",AJ$5,AJ$1)/AJ$2)/IF(OR(TRIM(AP23)="",AP23&lt;=0),1E+38,AP23)</f>
        <v>0</v>
      </c>
      <c r="AK23" s="208">
        <f>0*(IF(TRIM($AU23)="13_3",AK$5,AK$1)/AK$2)/IF(OR(TRIM(AQ23)="",AQ23&lt;=0),1E+38,AQ23)</f>
        <v>0</v>
      </c>
      <c r="AL23" s="208">
        <f>0*(IF(TRIM($AU23)="13_3",AL$5,AL$1)/AL$2)/IF(OR(TRIM($AR23)="",$AR23&lt;=0),1E+38,IF($AR23=103,3,IF($AR23=104,2,$AR23)))</f>
        <v>0</v>
      </c>
      <c r="AM23" s="208">
        <f t="shared" si="17"/>
        <v>0</v>
      </c>
      <c r="AN23" s="208">
        <f>1*(IF(TRIM($AU23)="13_3",AN$5,AN$1)/AN$2)/IF(OR(TRIM($AR23)="",$AR23&lt;=0),1E+38,IF($AR23=103,3,IF($AR23=104,2,$AR23)))</f>
        <v>4.40625</v>
      </c>
      <c r="AO23" s="273">
        <v>360</v>
      </c>
      <c r="AP23" s="273">
        <v>900</v>
      </c>
      <c r="AQ23" s="273">
        <v>1800</v>
      </c>
      <c r="AR23" s="273">
        <v>104</v>
      </c>
      <c r="AS23" s="273">
        <v>105</v>
      </c>
      <c r="AT23" s="274">
        <f t="shared" si="10"/>
        <v>5</v>
      </c>
      <c r="AU23" s="258" t="s">
        <v>5406</v>
      </c>
    </row>
    <row r="24" spans="13:47" ht="15.75" thickBot="1">
      <c r="Q24" t="s">
        <v>819</v>
      </c>
      <c r="S24">
        <v>25159</v>
      </c>
      <c r="T24" s="3" t="s">
        <v>77</v>
      </c>
      <c r="U24" s="23" t="s">
        <v>70</v>
      </c>
      <c r="V24" s="39">
        <f t="shared" si="0"/>
        <v>3.2851736111111056</v>
      </c>
      <c r="W24" t="s">
        <v>78</v>
      </c>
      <c r="X24" s="3" t="s">
        <v>79</v>
      </c>
      <c r="Y24" s="38">
        <f t="shared" si="1"/>
        <v>26.281388888888845</v>
      </c>
      <c r="Z24">
        <v>11.0444444444444</v>
      </c>
      <c r="AA24">
        <v>2.7650000000000001</v>
      </c>
      <c r="AB24">
        <v>0.284444444444444</v>
      </c>
      <c r="AC24">
        <v>12.1875</v>
      </c>
      <c r="AD24" s="3"/>
      <c r="AE24" s="3"/>
      <c r="AF24" s="260">
        <f t="shared" ref="AF24:AF32" si="19">Y24*86400/1000000</f>
        <v>2.2707119999999961</v>
      </c>
      <c r="AG24" s="263">
        <f t="shared" si="5"/>
        <v>4.6185277824406512E-14</v>
      </c>
      <c r="AH24" s="257">
        <f t="shared" si="6"/>
        <v>26.281388888888891</v>
      </c>
      <c r="AI24" s="208">
        <f t="shared" ref="AI24:AK24" si="20">1*(IF(TRIM($AU24)="13_3",AI$5,AI$1)/AI$2)/IF(OR(TRIM(AO24)="",AO24&lt;=0),1E+38,AO24)</f>
        <v>11.044444444444444</v>
      </c>
      <c r="AJ24" s="208">
        <f t="shared" si="20"/>
        <v>2.7650000000000001</v>
      </c>
      <c r="AK24" s="208">
        <f t="shared" si="20"/>
        <v>0.28444444444444444</v>
      </c>
      <c r="AL24" s="208">
        <f>1*(IF(TRIM($AU24)="13_3",AL$5,AL$1)/AL$2)/IF(OR(TRIM($AR24)="",$AR24&lt;=0),1E+38,IF($AR24=103,3,IF($AR24=104,2,$AR24)))</f>
        <v>12.1875</v>
      </c>
      <c r="AM24" s="208">
        <f t="shared" si="17"/>
        <v>0</v>
      </c>
      <c r="AN24" s="208">
        <f t="shared" si="18"/>
        <v>0</v>
      </c>
      <c r="AO24" s="273">
        <v>180</v>
      </c>
      <c r="AP24" s="273">
        <v>7200</v>
      </c>
      <c r="AQ24" s="273">
        <v>1800</v>
      </c>
      <c r="AR24" s="273">
        <v>103</v>
      </c>
      <c r="AS24" s="273">
        <v>110</v>
      </c>
      <c r="AT24" s="274">
        <f t="shared" si="10"/>
        <v>720</v>
      </c>
      <c r="AU24" s="258" t="s">
        <v>5406</v>
      </c>
    </row>
    <row r="25" spans="13:47" ht="15.75" thickBot="1">
      <c r="Q25" t="s">
        <v>820</v>
      </c>
      <c r="S25" s="6" t="s">
        <v>82</v>
      </c>
      <c r="T25" s="3" t="s">
        <v>83</v>
      </c>
      <c r="U25" s="23" t="s">
        <v>70</v>
      </c>
      <c r="V25" s="39">
        <f t="shared" si="0"/>
        <v>1.7617361111111056</v>
      </c>
      <c r="W25" t="s">
        <v>84</v>
      </c>
      <c r="X25" s="3" t="s">
        <v>79</v>
      </c>
      <c r="Y25" s="38">
        <f t="shared" si="1"/>
        <v>14.093888888888845</v>
      </c>
      <c r="Z25">
        <v>11.0444444444444</v>
      </c>
      <c r="AA25">
        <v>2.7650000000000001</v>
      </c>
      <c r="AB25">
        <v>0.284444444444444</v>
      </c>
      <c r="AF25" s="260">
        <f t="shared" si="19"/>
        <v>1.2177119999999964</v>
      </c>
      <c r="AG25" s="263">
        <f t="shared" si="5"/>
        <v>4.4408920985006262E-14</v>
      </c>
      <c r="AH25" s="257">
        <f t="shared" si="6"/>
        <v>14.093888888888889</v>
      </c>
      <c r="AI25" s="208">
        <f>1*(IF(TRIM($AU25)="13_3",AI$5,AI$1)/AI$2)/IF(OR(TRIM(AO25)="",AO25&lt;=0),1E+38,AO25)</f>
        <v>11.044444444444444</v>
      </c>
      <c r="AJ25" s="208">
        <f>1*(IF(TRIM($AU25)="13_3",AJ$5,AJ$1)/AJ$2)/IF(OR(TRIM(AP25)="",AP25&lt;=0),1E+38,AP25)</f>
        <v>2.7650000000000001</v>
      </c>
      <c r="AK25" s="208">
        <f>1*(IF(TRIM($AU25)="13_3",AK$5,AK$1)/AK$2)/IF(OR(TRIM(AQ25)="",AQ25&lt;=0),1E+38,AQ25)</f>
        <v>0.28444444444444444</v>
      </c>
      <c r="AL25" s="208">
        <f t="shared" ref="AL25:AL27" si="21">0*(IF(TRIM($AU25)="13_3",AL$5,AL$1)/AL$2)/IF(OR(TRIM($AR25)="",$AR25&lt;=0),1E+38,IF($AR25=103,3,IF($AR25=104,2,$AR25)))</f>
        <v>0</v>
      </c>
      <c r="AM25" s="208">
        <f t="shared" si="17"/>
        <v>0</v>
      </c>
      <c r="AN25" s="208">
        <f>0*(IF(TRIM($AU25)="13_3",AN$5,AN$1)/AN$2)/IF(OR(TRIM($AR25)="",$AR25&lt;=0),1E+38,IF($AR25=103,3,IF($AR25=104,2,$AR25)))</f>
        <v>0</v>
      </c>
      <c r="AO25" s="273">
        <v>180</v>
      </c>
      <c r="AP25" s="273">
        <v>7200</v>
      </c>
      <c r="AQ25" s="273">
        <v>1800</v>
      </c>
      <c r="AR25" s="273"/>
      <c r="AS25" s="273"/>
      <c r="AT25" s="274">
        <f t="shared" si="10"/>
        <v>720</v>
      </c>
      <c r="AU25" s="258" t="s">
        <v>5406</v>
      </c>
    </row>
    <row r="26" spans="13:47" ht="15.75" thickBot="1">
      <c r="Q26" t="s">
        <v>821</v>
      </c>
      <c r="S26">
        <v>25159</v>
      </c>
      <c r="T26" t="s">
        <v>77</v>
      </c>
      <c r="U26" s="23" t="s">
        <v>70</v>
      </c>
      <c r="V26" s="39">
        <f t="shared" si="0"/>
        <v>0.3671875</v>
      </c>
      <c r="W26" t="s">
        <v>81</v>
      </c>
      <c r="X26" s="3" t="s">
        <v>79</v>
      </c>
      <c r="Y26" s="38">
        <f t="shared" si="1"/>
        <v>2.9375</v>
      </c>
      <c r="AD26" s="3"/>
      <c r="AE26">
        <v>2.9375</v>
      </c>
      <c r="AF26" s="260">
        <f t="shared" si="19"/>
        <v>0.25380000000000003</v>
      </c>
      <c r="AG26" s="263">
        <f t="shared" si="5"/>
        <v>0</v>
      </c>
      <c r="AH26" s="257">
        <f t="shared" si="6"/>
        <v>2.9375</v>
      </c>
      <c r="AI26" s="208">
        <f>0*(IF(TRIM($AU26)="13_3",AI$5,AI$1)/AI$2)/IF(OR(TRIM(AO26)="",AO26&lt;=0),1E+38,AO26)</f>
        <v>0</v>
      </c>
      <c r="AJ26" s="208">
        <f>0*(IF(TRIM($AU26)="13_3",AJ$5,AJ$1)/AJ$2)/IF(OR(TRIM(AP26)="",AP26&lt;=0),1E+38,AP26)</f>
        <v>0</v>
      </c>
      <c r="AK26" s="208">
        <f>0*(IF(TRIM($AU26)="13_3",AK$5,AK$1)/AK$2)/IF(OR(TRIM(AQ26)="",AQ26&lt;=0),1E+38,AQ26)</f>
        <v>0</v>
      </c>
      <c r="AL26" s="208">
        <f t="shared" si="21"/>
        <v>0</v>
      </c>
      <c r="AM26" s="208">
        <f>0*(IF(TRIM($AU26)="13_3",AM$5,AM$1)/AM$2)*(AT26/720)/IF(OR(TRIM($AR26)="",$AR26&lt;=0),1E+38,IF($AR26=103,3,IF($AR26=104,2,$AR26)))</f>
        <v>0</v>
      </c>
      <c r="AN26" s="208">
        <f>1*(IF(TRIM($AU26)="13_3",AN$5,AN$1)/AN$2)/IF(OR(TRIM($AR26)="",$AR26&lt;=0),1E+38,IF($AR26=103,3,IF($AR26=104,2,$AR26)))</f>
        <v>2.9375</v>
      </c>
      <c r="AO26" s="273"/>
      <c r="AP26" s="273"/>
      <c r="AQ26" s="273"/>
      <c r="AR26" s="273">
        <v>103</v>
      </c>
      <c r="AS26" s="273"/>
      <c r="AT26" s="274">
        <f t="shared" si="10"/>
        <v>720</v>
      </c>
      <c r="AU26" s="258" t="s">
        <v>5406</v>
      </c>
    </row>
    <row r="27" spans="13:47" ht="15.75" thickBot="1">
      <c r="Q27" t="s">
        <v>822</v>
      </c>
      <c r="R27" t="s">
        <v>87</v>
      </c>
      <c r="S27">
        <v>25181</v>
      </c>
      <c r="T27" s="6" t="s">
        <v>88</v>
      </c>
      <c r="U27" s="23" t="s">
        <v>70</v>
      </c>
      <c r="V27" s="39">
        <f t="shared" si="0"/>
        <v>2.1681365740740679</v>
      </c>
      <c r="W27" t="s">
        <v>89</v>
      </c>
      <c r="X27" s="3" t="s">
        <v>79</v>
      </c>
      <c r="Y27" s="38">
        <f t="shared" si="1"/>
        <v>17.345092592592543</v>
      </c>
      <c r="Z27">
        <v>11.0444444444444</v>
      </c>
      <c r="AB27">
        <v>0.284444444444444</v>
      </c>
      <c r="AD27">
        <v>3.0787037037037002</v>
      </c>
      <c r="AE27">
        <v>2.9375</v>
      </c>
      <c r="AF27" s="260">
        <f t="shared" si="19"/>
        <v>1.4986159999999957</v>
      </c>
      <c r="AG27" s="263">
        <f t="shared" si="5"/>
        <v>4.9737991503207013E-14</v>
      </c>
      <c r="AH27" s="257">
        <f t="shared" si="6"/>
        <v>17.345092592592593</v>
      </c>
      <c r="AI27" s="208">
        <f>1*(IF(TRIM($AU27)="13_3",AI$5,AI$1)/AI$2)/IF(OR(TRIM(AO27)="",AO27&lt;=0),1E+38,AO27)</f>
        <v>11.044444444444444</v>
      </c>
      <c r="AJ27" s="208">
        <f t="shared" ref="AJ27" si="22">0*(IF(TRIM($AU27)="13_3",AJ$5,AJ$1)/AJ$2)/IF(OR(TRIM(AP27)="",AP27&lt;=0),1E+38,AP27)</f>
        <v>0</v>
      </c>
      <c r="AK27" s="208">
        <f>1*(IF(TRIM($AU27)="13_3",AK$5,AK$1)/AK$2)/IF(OR(TRIM(AQ27)="",AQ27&lt;=0),1E+38,AQ27)</f>
        <v>0.28444444444444444</v>
      </c>
      <c r="AL27" s="208">
        <f t="shared" si="21"/>
        <v>0</v>
      </c>
      <c r="AM27" s="208">
        <f>1*(IF(TRIM($AU27)="13_3",AM$5,AM$1)/AM$2)*(AT27/720)/IF(OR(TRIM($AR27)="",$AR27&lt;=0),1E+38,IF($AR27=103,3,IF($AR27=104,2,$AR27)))</f>
        <v>3.0787037037037037</v>
      </c>
      <c r="AN27" s="208">
        <f>1*(IF(TRIM($AU27)="13_3",AN$5,AN$1)/AN$2)/IF(OR(TRIM($AR27)="",$AR27&lt;=0),1E+38,IF($AR27=103,3,IF($AR27=104,2,$AR27)))</f>
        <v>2.9375</v>
      </c>
      <c r="AO27" s="273">
        <v>180</v>
      </c>
      <c r="AP27" s="273"/>
      <c r="AQ27" s="273">
        <v>1800</v>
      </c>
      <c r="AR27" s="273">
        <v>103</v>
      </c>
      <c r="AS27" s="273">
        <v>105</v>
      </c>
      <c r="AT27" s="274">
        <f t="shared" si="10"/>
        <v>5</v>
      </c>
      <c r="AU27" s="258" t="s">
        <v>5406</v>
      </c>
    </row>
    <row r="28" spans="13:47" ht="15.75" thickBot="1">
      <c r="Q28" t="s">
        <v>823</v>
      </c>
      <c r="S28">
        <v>25159</v>
      </c>
      <c r="T28" t="s">
        <v>77</v>
      </c>
      <c r="U28" s="23" t="s">
        <v>70</v>
      </c>
      <c r="V28" s="39">
        <f t="shared" si="0"/>
        <v>55.416666666666622</v>
      </c>
      <c r="W28" t="s">
        <v>93</v>
      </c>
      <c r="X28" s="3" t="s">
        <v>79</v>
      </c>
      <c r="Y28" s="38">
        <f t="shared" si="1"/>
        <v>443.33333333333297</v>
      </c>
      <c r="AD28">
        <v>443.33333333333297</v>
      </c>
      <c r="AF28" s="260">
        <f t="shared" si="19"/>
        <v>38.303999999999974</v>
      </c>
      <c r="AG28" s="263">
        <f t="shared" si="5"/>
        <v>0</v>
      </c>
      <c r="AH28" s="257">
        <f t="shared" si="6"/>
        <v>443.33333333333331</v>
      </c>
      <c r="AI28" s="208">
        <f>0*(IF(TRIM($AU28)="13_3",AI$5,AI$1)/AI$2)/IF(OR(TRIM(AO28)="",AO28&lt;=0),1E+38,AO28)</f>
        <v>0</v>
      </c>
      <c r="AJ28" s="208">
        <f>0*(IF(TRIM($AU28)="13_3",AJ$5,AJ$1)/AJ$2)/IF(OR(TRIM(AP28)="",AP28&lt;=0),1E+38,AP28)</f>
        <v>0</v>
      </c>
      <c r="AK28" s="208">
        <f>0*(IF(TRIM($AU28)="13_3",AK$5,AK$1)/AK$2)/IF(OR(TRIM(AQ28)="",AQ28&lt;=0),1E+38,AQ28)</f>
        <v>0</v>
      </c>
      <c r="AL28" s="208">
        <f>0*(IF(TRIM($AU28)="13_3",AL$5,AL$1)/AL$2)/IF(OR(TRIM($AR28)="",$AR28&lt;=0),1E+38,IF($AR28=103,3,IF($AR28=104,2,$AR28)))</f>
        <v>0</v>
      </c>
      <c r="AM28" s="208">
        <f>1*(IF(TRIM($AU28)="13_3",AM$5,AM$1)/AM$2)*(AT28/720)/IF(OR(TRIM($AR28)="",$AR28&lt;=0),1E+38,IF($AR28=103,3,IF($AR28=104,2,$AR28)))</f>
        <v>443.33333333333331</v>
      </c>
      <c r="AN28" s="208">
        <f t="shared" ref="AN28" si="23">0*(IF(TRIM($AU28)="13_3",AN$5,AN$1)/AN$2)/IF(OR(TRIM($AR28)="",$AR28&lt;=0),1E+38,IF($AR28=103,3,IF($AR28=104,2,$AR28)))</f>
        <v>0</v>
      </c>
      <c r="AO28" s="273"/>
      <c r="AP28" s="273"/>
      <c r="AQ28" s="273"/>
      <c r="AR28" s="273">
        <v>103</v>
      </c>
      <c r="AS28" s="273">
        <v>110</v>
      </c>
      <c r="AT28" s="274">
        <f t="shared" si="10"/>
        <v>720</v>
      </c>
      <c r="AU28" s="258" t="s">
        <v>5406</v>
      </c>
    </row>
    <row r="29" spans="13:47" ht="15.75" thickBot="1">
      <c r="Q29" t="s">
        <v>824</v>
      </c>
      <c r="S29">
        <v>25181</v>
      </c>
      <c r="T29" s="6" t="s">
        <v>88</v>
      </c>
      <c r="U29" s="23" t="s">
        <v>70</v>
      </c>
      <c r="V29" s="39">
        <f t="shared" si="0"/>
        <v>1.8690625000000001</v>
      </c>
      <c r="W29" t="s">
        <v>91</v>
      </c>
      <c r="X29" s="3" t="s">
        <v>79</v>
      </c>
      <c r="Y29" s="38">
        <f t="shared" si="1"/>
        <v>14.952500000000001</v>
      </c>
      <c r="AA29">
        <v>2.7650000000000001</v>
      </c>
      <c r="AC29">
        <v>12.1875</v>
      </c>
      <c r="AF29" s="260">
        <f t="shared" si="19"/>
        <v>1.2918959999999999</v>
      </c>
      <c r="AG29" s="263">
        <f t="shared" si="5"/>
        <v>0</v>
      </c>
      <c r="AH29" s="257">
        <f t="shared" si="6"/>
        <v>14.952500000000001</v>
      </c>
      <c r="AI29" s="208">
        <f>0*(IF(TRIM($AU29)="13_3",AI$5,AI$1)/AI$2)/IF(OR(TRIM(AO29)="",AO29&lt;=0),1E+38,AO29)</f>
        <v>0</v>
      </c>
      <c r="AJ29" s="208">
        <f t="shared" ref="AJ29:AK30" si="24">1*(IF(TRIM($AU29)="13_3",AJ$5,AJ$1)/AJ$2)/IF(OR(TRIM(AP29)="",AP29&lt;=0),1E+38,AP29)</f>
        <v>2.7650000000000001</v>
      </c>
      <c r="AK29" s="208">
        <f>0*(IF(TRIM($AU29)="13_3",AK$5,AK$1)/AK$2)/IF(OR(TRIM(AQ29)="",AQ29&lt;=0),1E+38,AQ29)</f>
        <v>0</v>
      </c>
      <c r="AL29" s="208">
        <f t="shared" ref="AL29:AL30" si="25">1*(IF(TRIM($AU29)="13_3",AL$5,AL$1)/AL$2)/IF(OR(TRIM($AR29)="",$AR29&lt;=0),1E+38,IF($AR29=103,3,IF($AR29=104,2,$AR29)))</f>
        <v>12.1875</v>
      </c>
      <c r="AM29" s="208">
        <f>0*(IF(TRIM($AU29)="13_3",AM$5,AM$1)/AM$2)*(AT29/720)/IF(OR(TRIM($AR29)="",$AR29&lt;=0),1E+38,IF($AR29=103,3,IF($AR29=104,2,$AR29)))</f>
        <v>0</v>
      </c>
      <c r="AN29" s="208">
        <f>0*(IF(TRIM($AU29)="13_3",AN$5,AN$1)/AN$2)/IF(OR(TRIM($AR29)="",$AR29&lt;=0),1E+38,IF($AR29=103,3,IF($AR29=104,2,$AR29)))</f>
        <v>0</v>
      </c>
      <c r="AO29" s="273"/>
      <c r="AP29" s="273">
        <v>7200</v>
      </c>
      <c r="AQ29" s="273"/>
      <c r="AR29" s="273">
        <v>103</v>
      </c>
      <c r="AS29" s="273"/>
      <c r="AT29" s="274">
        <f t="shared" si="10"/>
        <v>720</v>
      </c>
      <c r="AU29" s="258" t="s">
        <v>5406</v>
      </c>
    </row>
    <row r="30" spans="13:47" s="201" customFormat="1" ht="15.75" thickBot="1">
      <c r="N30" s="201">
        <f>O30/1000000</f>
        <v>9.1461812499999996E-3</v>
      </c>
      <c r="O30" s="201">
        <f>Y30*180</f>
        <v>9146.1812499999996</v>
      </c>
      <c r="P30" s="420" t="s">
        <v>5698</v>
      </c>
      <c r="Q30" s="200" t="s">
        <v>1048</v>
      </c>
      <c r="R30" s="200"/>
      <c r="S30" s="200"/>
      <c r="T30" s="424" t="s">
        <v>5704</v>
      </c>
      <c r="U30" s="423" t="s">
        <v>70</v>
      </c>
      <c r="V30" s="422">
        <f t="shared" si="0"/>
        <v>6.3515147569444439</v>
      </c>
      <c r="W30" s="201" t="s">
        <v>1048</v>
      </c>
      <c r="X30" s="419" t="s">
        <v>5699</v>
      </c>
      <c r="Y30" s="421">
        <f t="shared" si="1"/>
        <v>50.812118055555551</v>
      </c>
      <c r="Z30" s="201">
        <v>5.5222222222222221</v>
      </c>
      <c r="AA30" s="420">
        <v>20.195555555555554</v>
      </c>
      <c r="AB30" s="201">
        <v>0.28444444444444444</v>
      </c>
      <c r="AC30" s="420">
        <v>16.3046875</v>
      </c>
      <c r="AD30" s="420">
        <v>4.395833333333333</v>
      </c>
      <c r="AE30" s="420">
        <v>4.109375</v>
      </c>
      <c r="AF30" s="426">
        <f t="shared" si="19"/>
        <v>4.3901669999999999</v>
      </c>
      <c r="AG30" s="263">
        <f t="shared" si="5"/>
        <v>0</v>
      </c>
      <c r="AH30" s="257">
        <f t="shared" si="6"/>
        <v>50.812118055555551</v>
      </c>
      <c r="AI30" s="429">
        <f>1*(IF(TRIM($AU30)="13_3",AI$5,AI$1)/AI$2)/IF(OR(TRIM(AO30)="",AO30&lt;=0),1E+38,AO30)</f>
        <v>5.5222222222222221</v>
      </c>
      <c r="AJ30" s="429">
        <f t="shared" si="24"/>
        <v>20.195555555555554</v>
      </c>
      <c r="AK30" s="429">
        <f t="shared" si="24"/>
        <v>0.28444444444444444</v>
      </c>
      <c r="AL30" s="429">
        <f t="shared" si="25"/>
        <v>16.3046875</v>
      </c>
      <c r="AM30" s="429">
        <f t="shared" ref="AM30" si="26">1*(IF(TRIM($AU30)="13_3",AM$5,AM$1)/AM$2)*(AT30/720)/IF(OR(TRIM($AR30)="",$AR30&lt;=0),1E+38,IF($AR30=103,3,IF($AR30=104,2,$AR30)))</f>
        <v>4.395833333333333</v>
      </c>
      <c r="AN30" s="429">
        <f t="shared" ref="AN30:AN36" si="27">1*(IF(TRIM($AU30)="13_3",AN$5,AN$1)/AN$2)/IF(OR(TRIM($AR30)="",$AR30&lt;=0),1E+38,IF($AR30=103,3,IF($AR30=104,2,$AR30)))</f>
        <v>4.109375</v>
      </c>
      <c r="AO30" s="273">
        <v>360</v>
      </c>
      <c r="AP30" s="273">
        <v>900</v>
      </c>
      <c r="AQ30" s="273">
        <v>1800</v>
      </c>
      <c r="AR30" s="273">
        <v>104</v>
      </c>
      <c r="AS30" s="273">
        <v>105</v>
      </c>
      <c r="AT30" s="427">
        <f t="shared" si="10"/>
        <v>5</v>
      </c>
      <c r="AU30" s="428"/>
    </row>
    <row r="31" spans="13:47" ht="15.75" thickBot="1">
      <c r="P31" s="343" t="s">
        <v>5697</v>
      </c>
      <c r="Q31" s="17" t="s">
        <v>1048</v>
      </c>
      <c r="R31" s="17"/>
      <c r="S31" s="17"/>
      <c r="T31" s="30" t="s">
        <v>5704</v>
      </c>
      <c r="U31" s="23" t="s">
        <v>70</v>
      </c>
      <c r="V31" s="39">
        <f t="shared" si="0"/>
        <v>6.9040277777777774</v>
      </c>
      <c r="W31" t="s">
        <v>1048</v>
      </c>
      <c r="X31" s="3" t="s">
        <v>5699</v>
      </c>
      <c r="Y31" s="38">
        <f t="shared" si="1"/>
        <v>55.232222222222219</v>
      </c>
      <c r="Z31">
        <v>5.5222222222222221</v>
      </c>
      <c r="AA31">
        <v>22.12</v>
      </c>
      <c r="AB31">
        <v>0.28444444444444444</v>
      </c>
      <c r="AC31">
        <v>18.28125</v>
      </c>
      <c r="AD31">
        <v>4.6180555555555554</v>
      </c>
      <c r="AE31">
        <v>4.40625</v>
      </c>
      <c r="AF31" s="260">
        <f t="shared" si="19"/>
        <v>4.7720640000000003</v>
      </c>
      <c r="AG31" s="263">
        <f t="shared" si="5"/>
        <v>0</v>
      </c>
      <c r="AH31" s="257">
        <f t="shared" si="6"/>
        <v>55.232222222222219</v>
      </c>
      <c r="AI31" s="208">
        <f>1*(IF(TRIM($AU31)="13_3",AI$5,AI$1)/AI$2)/IF(OR(TRIM(AO31)="",AO31&lt;=0),1E+38,AO31)</f>
        <v>5.5222222222222221</v>
      </c>
      <c r="AJ31" s="208">
        <f>1*(IF(TRIM($AU31)="13_3",AJ$5,AJ$1)/AJ$2)/IF(OR(TRIM(AP31)="",AP31&lt;=0),1E+38,AP31)</f>
        <v>22.12</v>
      </c>
      <c r="AK31" s="208">
        <f>1*(IF(TRIM($AU31)="13_3",AK$5,AK$1)/AK$2)/IF(OR(TRIM(AQ31)="",AQ31&lt;=0),1E+38,AQ31)</f>
        <v>0.28444444444444444</v>
      </c>
      <c r="AL31" s="208">
        <f>1*(IF(TRIM($AU31)="13_3",AL$5,AL$1)/AL$2)/IF(OR(TRIM($AR31)="",$AR31&lt;=0),1E+38,IF($AR31=103,3,IF($AR31=104,2,$AR31)))</f>
        <v>18.28125</v>
      </c>
      <c r="AM31" s="208">
        <f>1*(IF(TRIM($AU31)="13_3",AM$5,AM$1)/AM$2)*(AT31/720)/IF(OR(TRIM($AR31)="",$AR31&lt;=0),1E+38,IF($AR31=103,3,IF($AR31=104,2,$AR31)))</f>
        <v>4.6180555555555554</v>
      </c>
      <c r="AN31" s="208">
        <f t="shared" si="27"/>
        <v>4.40625</v>
      </c>
      <c r="AO31" s="273">
        <v>360</v>
      </c>
      <c r="AP31" s="273">
        <v>900</v>
      </c>
      <c r="AQ31" s="273">
        <v>1800</v>
      </c>
      <c r="AR31" s="273">
        <v>104</v>
      </c>
      <c r="AS31" s="273">
        <v>105</v>
      </c>
      <c r="AT31" s="274">
        <f t="shared" si="10"/>
        <v>5</v>
      </c>
      <c r="AU31" s="258" t="s">
        <v>5406</v>
      </c>
    </row>
    <row r="32" spans="13:47" ht="15.75" thickBot="1">
      <c r="Q32" s="17" t="s">
        <v>1253</v>
      </c>
      <c r="R32" s="17"/>
      <c r="S32" s="17" t="s">
        <v>5702</v>
      </c>
      <c r="T32" s="30" t="s">
        <v>5701</v>
      </c>
      <c r="U32" s="23" t="s">
        <v>70</v>
      </c>
      <c r="V32" s="39">
        <f t="shared" si="0"/>
        <v>0.55078125</v>
      </c>
      <c r="W32" t="s">
        <v>5695</v>
      </c>
      <c r="X32" s="3" t="s">
        <v>5699</v>
      </c>
      <c r="Y32" s="38">
        <f t="shared" si="1"/>
        <v>4.40625</v>
      </c>
      <c r="AE32">
        <v>4.40625</v>
      </c>
      <c r="AF32" s="260">
        <f t="shared" si="19"/>
        <v>0.38069999999999998</v>
      </c>
      <c r="AG32" s="263">
        <f t="shared" ref="AG32:AG36" si="28">AH32-Y32</f>
        <v>0</v>
      </c>
      <c r="AH32" s="257">
        <f t="shared" ref="AH32:AH36" si="29">SUM(AI32:AN32)</f>
        <v>4.40625</v>
      </c>
      <c r="AI32" s="208">
        <f t="shared" ref="AI32:AI36" si="30">0*(IF(TRIM($AU32)="13_3",AI$5,AI$1)/AI$2)/IF(OR(TRIM(AO32)="",AO32&lt;=0),1E+38,AO32)</f>
        <v>0</v>
      </c>
      <c r="AJ32" s="208">
        <f t="shared" ref="AJ32:AJ36" si="31">0*(IF(TRIM($AU32)="13_3",AJ$5,AJ$1)/AJ$2)/IF(OR(TRIM(AP32)="",AP32&lt;=0),1E+38,AP32)</f>
        <v>0</v>
      </c>
      <c r="AK32" s="208">
        <f t="shared" ref="AK32:AK36" si="32">0*(IF(TRIM($AU32)="13_3",AK$5,AK$1)/AK$2)/IF(OR(TRIM(AQ32)="",AQ32&lt;=0),1E+38,AQ32)</f>
        <v>0</v>
      </c>
      <c r="AL32" s="208">
        <f t="shared" ref="AL32:AL36" si="33">0*(IF(TRIM($AU32)="13_3",AL$5,AL$1)/AL$2)/IF(OR(TRIM($AR32)="",$AR32&lt;=0),1E+38,IF($AR32=103,3,IF($AR32=104,2,$AR32)))</f>
        <v>0</v>
      </c>
      <c r="AM32" s="208">
        <f t="shared" ref="AM32:AM36" si="34">0*(IF(TRIM($AU32)="13_3",AM$5,AM$1)/AM$2)*(AT32/720)/IF(OR(TRIM($AR32)="",$AR32&lt;=0),1E+38,IF($AR32=103,3,IF($AR32=104,2,$AR32)))</f>
        <v>0</v>
      </c>
      <c r="AN32" s="208">
        <f t="shared" si="27"/>
        <v>4.40625</v>
      </c>
      <c r="AO32" s="273"/>
      <c r="AP32" s="273"/>
      <c r="AQ32" s="273"/>
      <c r="AR32" s="273">
        <v>104</v>
      </c>
      <c r="AS32" s="273"/>
      <c r="AT32" s="274">
        <f t="shared" ref="AT32:AT36" si="35">IF(OR(AS32="",AS32&lt;105,AS32&gt;109),720,(336+(AS32-107)*(110+(AS32-107)*(25+(AS32-107)*(10+(AS32-107)*(-1)))))/24)</f>
        <v>720</v>
      </c>
      <c r="AU32" s="258" t="s">
        <v>5406</v>
      </c>
    </row>
    <row r="33" spans="11:47" ht="15.75" thickBot="1">
      <c r="Q33" s="17" t="s">
        <v>5703</v>
      </c>
      <c r="R33" s="17"/>
      <c r="S33" s="17" t="s">
        <v>5702</v>
      </c>
      <c r="T33" s="30" t="s">
        <v>5701</v>
      </c>
      <c r="U33" s="23" t="s">
        <v>70</v>
      </c>
      <c r="V33" s="39">
        <f t="shared" si="0"/>
        <v>5.0501562500000006</v>
      </c>
      <c r="W33" t="s">
        <v>5700</v>
      </c>
      <c r="X33" s="3" t="s">
        <v>5699</v>
      </c>
      <c r="Y33" s="38">
        <f t="shared" si="1"/>
        <v>40.401250000000005</v>
      </c>
      <c r="AA33">
        <v>22.12</v>
      </c>
      <c r="AC33">
        <v>18.28125</v>
      </c>
      <c r="AF33" s="260"/>
      <c r="AG33" s="263">
        <f t="shared" si="28"/>
        <v>0</v>
      </c>
      <c r="AH33" s="257">
        <f t="shared" si="29"/>
        <v>40.401250000000005</v>
      </c>
      <c r="AI33" s="208">
        <f t="shared" si="30"/>
        <v>0</v>
      </c>
      <c r="AJ33" s="208">
        <f>1*(IF(TRIM($AU33)="13_3",AJ$5,AJ$1)/AJ$2)/IF(OR(TRIM(AP33)="",AP33&lt;=0),1E+38,AP33)</f>
        <v>22.12</v>
      </c>
      <c r="AK33" s="208">
        <f t="shared" si="32"/>
        <v>0</v>
      </c>
      <c r="AL33" s="208">
        <f>1*(IF(TRIM($AU33)="13_3",AL$5,AL$1)/AL$2)/IF(OR(TRIM($AR33)="",$AR33&lt;=0),1E+38,IF($AR33=103,3,IF($AR33=104,2,$AR33)))</f>
        <v>18.28125</v>
      </c>
      <c r="AM33" s="208">
        <f t="shared" si="34"/>
        <v>0</v>
      </c>
      <c r="AN33" s="208">
        <f>0*(IF(TRIM($AU33)="13_3",AN$5,AN$1)/AN$2)/IF(OR(TRIM($AR33)="",$AR33&lt;=0),1E+38,IF($AR33=103,3,IF($AR33=104,2,$AR33)))</f>
        <v>0</v>
      </c>
      <c r="AO33" s="273"/>
      <c r="AP33" s="273">
        <v>900</v>
      </c>
      <c r="AQ33" s="273"/>
      <c r="AR33" s="273">
        <v>104</v>
      </c>
      <c r="AS33" s="273"/>
      <c r="AT33" s="274">
        <f t="shared" si="35"/>
        <v>720</v>
      </c>
      <c r="AU33" s="258" t="s">
        <v>5406</v>
      </c>
    </row>
    <row r="34" spans="11:47" s="201" customFormat="1" ht="15.75" thickBot="1">
      <c r="P34" s="420" t="s">
        <v>5698</v>
      </c>
      <c r="Q34" s="200" t="s">
        <v>1048</v>
      </c>
      <c r="R34" s="200"/>
      <c r="S34" s="200" t="s">
        <v>5696</v>
      </c>
      <c r="T34" s="424" t="s">
        <v>1156</v>
      </c>
      <c r="U34" s="423" t="s">
        <v>70</v>
      </c>
      <c r="V34" s="422">
        <f t="shared" si="0"/>
        <v>4.9404774305555561</v>
      </c>
      <c r="W34" s="201" t="s">
        <v>1048</v>
      </c>
      <c r="X34" s="419" t="s">
        <v>1157</v>
      </c>
      <c r="Y34" s="421">
        <f t="shared" si="1"/>
        <v>39.523819444444449</v>
      </c>
      <c r="Z34" s="201">
        <v>5.5222222222222221</v>
      </c>
      <c r="AA34" s="420">
        <v>2.5244444444444443</v>
      </c>
      <c r="AB34" s="201">
        <v>0.28444444444444444</v>
      </c>
      <c r="AC34" s="420">
        <v>10.869791666666666</v>
      </c>
      <c r="AD34" s="420">
        <v>17.583333333333332</v>
      </c>
      <c r="AE34" s="420">
        <v>2.7395833333333335</v>
      </c>
      <c r="AF34" s="426">
        <f>Y34*86400/1000000</f>
        <v>3.4148580000000006</v>
      </c>
      <c r="AG34" s="263">
        <f t="shared" si="28"/>
        <v>0</v>
      </c>
      <c r="AH34" s="257">
        <f t="shared" si="29"/>
        <v>39.523819444444449</v>
      </c>
      <c r="AI34" s="429">
        <f>1*(IF(TRIM($AU34)="13_3",AI$5,AI$1)/AI$2)/IF(OR(TRIM(AO34)="",AO34&lt;=0),1E+38,AO34)</f>
        <v>5.5222222222222221</v>
      </c>
      <c r="AJ34" s="429">
        <f>1*(IF(TRIM($AU34)="13_3",AJ$5,AJ$1)/AJ$2)/IF(OR(TRIM(AP34)="",AP34&lt;=0),1E+38,AP34)</f>
        <v>2.5244444444444443</v>
      </c>
      <c r="AK34" s="429">
        <f>1*(IF(TRIM($AU34)="13_3",AK$5,AK$1)/AK$2)/IF(OR(TRIM(AQ34)="",AQ34&lt;=0),1E+38,AQ34)</f>
        <v>0.28444444444444444</v>
      </c>
      <c r="AL34" s="429">
        <f>1*(IF(TRIM($AU34)="13_3",AL$5,AL$1)/AL$2)/IF(OR(TRIM($AR34)="",$AR34&lt;=0),1E+38,IF($AR34=103,3,IF($AR34=104,2,$AR34)))</f>
        <v>10.869791666666666</v>
      </c>
      <c r="AM34" s="429">
        <f>1*(IF(TRIM($AU34)="13_3",AM$5,AM$1)/AM$2)*(AT34/720)/IF(OR(TRIM($AR34)="",$AR34&lt;=0),1E+38,IF($AR34=103,3,IF($AR34=104,2,$AR34)))</f>
        <v>17.583333333333332</v>
      </c>
      <c r="AN34" s="429">
        <f t="shared" si="27"/>
        <v>2.7395833333333335</v>
      </c>
      <c r="AO34" s="273">
        <v>360</v>
      </c>
      <c r="AP34" s="273">
        <v>7200</v>
      </c>
      <c r="AQ34" s="273">
        <v>1800</v>
      </c>
      <c r="AR34" s="273">
        <v>103</v>
      </c>
      <c r="AS34" s="273">
        <v>109</v>
      </c>
      <c r="AT34" s="427">
        <f t="shared" si="35"/>
        <v>30</v>
      </c>
      <c r="AU34" s="428"/>
    </row>
    <row r="35" spans="11:47" ht="15.75" thickBot="1">
      <c r="P35" s="343" t="s">
        <v>5697</v>
      </c>
      <c r="Q35" s="17" t="s">
        <v>1048</v>
      </c>
      <c r="R35" s="17"/>
      <c r="S35" s="17" t="s">
        <v>5696</v>
      </c>
      <c r="T35" s="30" t="s">
        <v>1156</v>
      </c>
      <c r="U35" s="23" t="s">
        <v>70</v>
      </c>
      <c r="V35" s="39">
        <f t="shared" si="0"/>
        <v>5.2711111111111109</v>
      </c>
      <c r="W35" t="s">
        <v>1048</v>
      </c>
      <c r="X35" s="3" t="s">
        <v>1157</v>
      </c>
      <c r="Y35" s="38">
        <f t="shared" si="1"/>
        <v>42.168888888888887</v>
      </c>
      <c r="Z35">
        <v>5.5222222222222221</v>
      </c>
      <c r="AA35" s="343">
        <v>2.7650000000000001</v>
      </c>
      <c r="AB35">
        <v>0.28444444444444444</v>
      </c>
      <c r="AC35" s="343">
        <v>12.1875</v>
      </c>
      <c r="AD35" s="343">
        <v>18.472222222222221</v>
      </c>
      <c r="AE35" s="343">
        <v>2.9375000000000004</v>
      </c>
      <c r="AF35" s="260">
        <f>Y35*86400/1000000</f>
        <v>3.643392</v>
      </c>
      <c r="AG35" s="263">
        <f t="shared" si="28"/>
        <v>0</v>
      </c>
      <c r="AH35" s="257">
        <f t="shared" si="29"/>
        <v>42.168888888888887</v>
      </c>
      <c r="AI35" s="208">
        <f>1*(IF(TRIM($AU35)="13_3",AI$5,AI$1)/AI$2)/IF(OR(TRIM(AO35)="",AO35&lt;=0),1E+38,AO35)</f>
        <v>5.5222222222222221</v>
      </c>
      <c r="AJ35" s="208">
        <f>1*(IF(TRIM($AU35)="13_3",AJ$5,AJ$1)/AJ$2)/IF(OR(TRIM(AP35)="",AP35&lt;=0),1E+38,AP35)</f>
        <v>2.7650000000000001</v>
      </c>
      <c r="AK35" s="208">
        <f>1*(IF(TRIM($AU35)="13_3",AK$5,AK$1)/AK$2)/IF(OR(TRIM(AQ35)="",AQ35&lt;=0),1E+38,AQ35)</f>
        <v>0.28444444444444444</v>
      </c>
      <c r="AL35" s="208">
        <f>1*(IF(TRIM($AU35)="13_3",AL$5,AL$1)/AL$2)/IF(OR(TRIM($AR35)="",$AR35&lt;=0),1E+38,IF($AR35=103,3,IF($AR35=104,2,$AR35)))</f>
        <v>12.1875</v>
      </c>
      <c r="AM35" s="208">
        <f>1*(IF(TRIM($AU35)="13_3",AM$5,AM$1)/AM$2)*(AT35/720)/IF(OR(TRIM($AR35)="",$AR35&lt;=0),1E+38,IF($AR35=103,3,IF($AR35=104,2,$AR35)))</f>
        <v>18.472222222222221</v>
      </c>
      <c r="AN35" s="208">
        <f t="shared" si="27"/>
        <v>2.9375</v>
      </c>
      <c r="AO35" s="273">
        <v>360</v>
      </c>
      <c r="AP35" s="273">
        <v>7200</v>
      </c>
      <c r="AQ35" s="273">
        <v>1800</v>
      </c>
      <c r="AR35" s="273">
        <v>103</v>
      </c>
      <c r="AS35" s="273">
        <v>109</v>
      </c>
      <c r="AT35" s="274">
        <f t="shared" si="35"/>
        <v>30</v>
      </c>
      <c r="AU35" s="258" t="s">
        <v>5406</v>
      </c>
    </row>
    <row r="36" spans="11:47" ht="15">
      <c r="Q36" s="17" t="s">
        <v>1253</v>
      </c>
      <c r="R36" s="17"/>
      <c r="S36" s="17">
        <v>26179</v>
      </c>
      <c r="T36" s="30" t="s">
        <v>1156</v>
      </c>
      <c r="U36" s="23" t="s">
        <v>70</v>
      </c>
      <c r="V36" s="39">
        <f t="shared" si="0"/>
        <v>0.36718750000000006</v>
      </c>
      <c r="W36" t="s">
        <v>5695</v>
      </c>
      <c r="X36" s="3" t="s">
        <v>1157</v>
      </c>
      <c r="Y36" s="38">
        <f t="shared" si="1"/>
        <v>2.9375000000000004</v>
      </c>
      <c r="AE36">
        <v>2.9375000000000004</v>
      </c>
      <c r="AF36" s="260">
        <f>Y36*86400/1000000</f>
        <v>0.25380000000000003</v>
      </c>
      <c r="AG36" s="263">
        <f t="shared" si="28"/>
        <v>0</v>
      </c>
      <c r="AH36" s="257">
        <f t="shared" si="29"/>
        <v>2.9375</v>
      </c>
      <c r="AI36" s="208">
        <f t="shared" si="30"/>
        <v>0</v>
      </c>
      <c r="AJ36" s="208">
        <f t="shared" si="31"/>
        <v>0</v>
      </c>
      <c r="AK36" s="208">
        <f t="shared" si="32"/>
        <v>0</v>
      </c>
      <c r="AL36" s="208">
        <f t="shared" si="33"/>
        <v>0</v>
      </c>
      <c r="AM36" s="208">
        <f t="shared" si="34"/>
        <v>0</v>
      </c>
      <c r="AN36" s="208">
        <f t="shared" si="27"/>
        <v>2.9375</v>
      </c>
      <c r="AO36" s="275"/>
      <c r="AP36" s="275"/>
      <c r="AQ36" s="275"/>
      <c r="AR36" s="275">
        <v>103</v>
      </c>
      <c r="AS36" s="275"/>
      <c r="AT36" s="276">
        <f t="shared" si="35"/>
        <v>720</v>
      </c>
      <c r="AU36" s="259" t="s">
        <v>5406</v>
      </c>
    </row>
    <row r="37" spans="11:47" ht="15.75" thickBot="1">
      <c r="Z37" s="3" t="s">
        <v>49</v>
      </c>
      <c r="AA37" s="3" t="s">
        <v>50</v>
      </c>
      <c r="AB37" s="3" t="s">
        <v>51</v>
      </c>
      <c r="AC37" s="3" t="s">
        <v>52</v>
      </c>
      <c r="AD37" s="3" t="s">
        <v>53</v>
      </c>
      <c r="AE37" s="3" t="s">
        <v>54</v>
      </c>
      <c r="AF37" s="260"/>
      <c r="AG37" s="268"/>
      <c r="AI37" s="3" t="s">
        <v>49</v>
      </c>
      <c r="AJ37" s="3" t="s">
        <v>50</v>
      </c>
      <c r="AK37" s="3" t="s">
        <v>51</v>
      </c>
      <c r="AL37" s="3" t="s">
        <v>52</v>
      </c>
      <c r="AM37" s="3" t="s">
        <v>53</v>
      </c>
      <c r="AN37" s="3" t="s">
        <v>54</v>
      </c>
      <c r="AO37" s="264" t="s">
        <v>5393</v>
      </c>
      <c r="AP37" s="264" t="s">
        <v>5393</v>
      </c>
      <c r="AQ37" s="264" t="s">
        <v>5393</v>
      </c>
      <c r="AR37" s="264" t="s">
        <v>5393</v>
      </c>
      <c r="AS37" s="264" t="s">
        <v>5396</v>
      </c>
      <c r="AT37" s="254" t="s">
        <v>5397</v>
      </c>
      <c r="AU37" s="254" t="s">
        <v>5408</v>
      </c>
    </row>
    <row r="38" spans="11:47" ht="15">
      <c r="U38" s="36" t="s">
        <v>97</v>
      </c>
      <c r="V38" s="24">
        <v>197375</v>
      </c>
      <c r="Z38" s="3" t="s">
        <v>1</v>
      </c>
      <c r="AA38" s="3" t="s">
        <v>58</v>
      </c>
      <c r="AB38" s="4" t="s">
        <v>59</v>
      </c>
      <c r="AC38" s="3" t="s">
        <v>60</v>
      </c>
      <c r="AD38" s="3" t="s">
        <v>61</v>
      </c>
      <c r="AE38" s="3" t="s">
        <v>62</v>
      </c>
      <c r="AF38" s="260" t="s">
        <v>63</v>
      </c>
      <c r="AG38" s="268"/>
      <c r="AI38" s="3" t="s">
        <v>1</v>
      </c>
      <c r="AJ38" s="3" t="s">
        <v>58</v>
      </c>
      <c r="AK38" s="3" t="s">
        <v>59</v>
      </c>
      <c r="AL38" s="3" t="s">
        <v>60</v>
      </c>
      <c r="AM38" s="3" t="s">
        <v>61</v>
      </c>
      <c r="AN38" s="3" t="s">
        <v>62</v>
      </c>
      <c r="AO38" s="266" t="s">
        <v>1</v>
      </c>
      <c r="AP38" s="266" t="s">
        <v>58</v>
      </c>
      <c r="AQ38" s="266" t="s">
        <v>5284</v>
      </c>
      <c r="AR38" s="266" t="s">
        <v>5394</v>
      </c>
      <c r="AS38" s="266" t="s">
        <v>5395</v>
      </c>
      <c r="AT38" s="259" t="s">
        <v>5398</v>
      </c>
      <c r="AU38" s="259" t="s">
        <v>5407</v>
      </c>
    </row>
    <row r="39" spans="11:47" ht="15">
      <c r="P39" s="45" t="s">
        <v>98</v>
      </c>
      <c r="Q39" s="45" t="s">
        <v>99</v>
      </c>
      <c r="R39" s="46">
        <v>606262016</v>
      </c>
      <c r="S39" s="45">
        <v>8</v>
      </c>
      <c r="T39" s="45" t="s">
        <v>27</v>
      </c>
      <c r="U39" s="45" t="s">
        <v>100</v>
      </c>
      <c r="V39" s="45" t="s">
        <v>101</v>
      </c>
      <c r="W39" s="45" t="s">
        <v>102</v>
      </c>
      <c r="X39" s="45" t="s">
        <v>103</v>
      </c>
      <c r="Y39" s="47"/>
      <c r="Z39" s="48"/>
    </row>
    <row r="40" spans="11:47" ht="15">
      <c r="O40" s="6" t="s">
        <v>104</v>
      </c>
      <c r="P40" s="45" t="s">
        <v>105</v>
      </c>
      <c r="Q40" s="45" t="s">
        <v>106</v>
      </c>
      <c r="R40" s="46">
        <v>606473516</v>
      </c>
      <c r="S40" s="45">
        <v>7</v>
      </c>
      <c r="T40" s="45" t="s">
        <v>27</v>
      </c>
      <c r="U40" s="45" t="s">
        <v>107</v>
      </c>
      <c r="V40" s="45" t="s">
        <v>101</v>
      </c>
      <c r="W40" s="45" t="s">
        <v>102</v>
      </c>
      <c r="X40" s="45" t="s">
        <v>108</v>
      </c>
      <c r="Y40" s="48"/>
      <c r="AI40" s="261" t="s">
        <v>5410</v>
      </c>
      <c r="AJ40" s="261" t="s">
        <v>5410</v>
      </c>
      <c r="AK40" s="261" t="s">
        <v>5410</v>
      </c>
      <c r="AL40" s="261" t="s">
        <v>5410</v>
      </c>
      <c r="AM40" s="261" t="s">
        <v>5410</v>
      </c>
      <c r="AN40" s="261" t="s">
        <v>5410</v>
      </c>
      <c r="AR40" s="261" t="s">
        <v>5410</v>
      </c>
      <c r="AS40" s="261" t="s">
        <v>5410</v>
      </c>
    </row>
    <row r="41" spans="11:47" ht="15">
      <c r="P41" s="45" t="s">
        <v>109</v>
      </c>
      <c r="Q41" s="45" t="s">
        <v>110</v>
      </c>
      <c r="R41" s="45">
        <v>606480128</v>
      </c>
      <c r="S41" s="45">
        <v>0</v>
      </c>
      <c r="T41" s="45" t="s">
        <v>111</v>
      </c>
      <c r="U41" s="45" t="s">
        <v>112</v>
      </c>
      <c r="V41" s="45" t="s">
        <v>113</v>
      </c>
      <c r="W41" s="45"/>
      <c r="X41" s="45" t="s">
        <v>114</v>
      </c>
      <c r="Y41" s="48"/>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6" t="s">
        <v>115</v>
      </c>
      <c r="Q43" s="46" t="s">
        <v>116</v>
      </c>
      <c r="R43" s="46">
        <v>606482128</v>
      </c>
      <c r="S43" s="46">
        <v>1</v>
      </c>
      <c r="T43" s="46" t="s">
        <v>27</v>
      </c>
      <c r="U43" s="46" t="s">
        <v>117</v>
      </c>
      <c r="V43" s="46" t="s">
        <v>118</v>
      </c>
      <c r="W43" s="46"/>
      <c r="X43" s="46"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8">
        <f>AJ46+AJ48+AJ49</f>
        <v>31.701153000000001</v>
      </c>
    </row>
    <row r="46" spans="11:47" ht="15.75">
      <c r="L46" s="47" t="s">
        <v>127</v>
      </c>
      <c r="M46" s="47" t="s">
        <v>128</v>
      </c>
      <c r="N46" s="48" t="s">
        <v>129</v>
      </c>
      <c r="O46" s="49" t="s">
        <v>130</v>
      </c>
      <c r="P46" s="32" t="s">
        <v>131</v>
      </c>
      <c r="Q46" s="35">
        <f>R39-20</f>
        <v>606261996</v>
      </c>
      <c r="R46" s="35">
        <f>R40</f>
        <v>606473516</v>
      </c>
      <c r="S46" s="21">
        <f>R46-Q46</f>
        <v>211520</v>
      </c>
      <c r="T46" s="21">
        <f>S46*$V$9</f>
        <v>808006.4</v>
      </c>
      <c r="U46" s="3">
        <v>0</v>
      </c>
      <c r="V46" s="27">
        <f>T46+U46*$V$38</f>
        <v>808006.4</v>
      </c>
      <c r="W46" s="20">
        <f>Y46*1000000/8</f>
        <v>1085211.75</v>
      </c>
      <c r="X46" s="22">
        <f>W46-V46</f>
        <v>277205.34999999998</v>
      </c>
      <c r="Y46" s="33">
        <f>8.681694</f>
        <v>8.6816940000000002</v>
      </c>
      <c r="Z46" s="33"/>
      <c r="AA46" s="50">
        <v>344216</v>
      </c>
      <c r="AB46" s="51">
        <f>S46*$S$9</f>
        <v>294226.40092592593</v>
      </c>
      <c r="AC46" s="52">
        <f>AB46*8/1000000</f>
        <v>2.3538112074074076</v>
      </c>
      <c r="AD46" s="50">
        <f>AB46+AB47</f>
        <v>1088101.4009259259</v>
      </c>
      <c r="AE46" s="50">
        <f>AC46+AC47</f>
        <v>8.704811207407408</v>
      </c>
      <c r="AF46" s="31" t="s">
        <v>132</v>
      </c>
      <c r="AG46" s="49" t="s">
        <v>130</v>
      </c>
      <c r="AH46" s="40">
        <f>X46*8/1000000</f>
        <v>2.2176427999999997</v>
      </c>
      <c r="AI46" s="40">
        <f>V46*8/1000000</f>
        <v>6.4640512000000001</v>
      </c>
      <c r="AJ46" s="48">
        <v>8.6816940000000002</v>
      </c>
      <c r="AK46" t="s">
        <v>132</v>
      </c>
      <c r="AL46" t="s">
        <v>133</v>
      </c>
      <c r="AM46">
        <v>0.80020999999999998</v>
      </c>
      <c r="AN46">
        <v>6</v>
      </c>
      <c r="AO46">
        <v>1.786772</v>
      </c>
      <c r="AP46">
        <v>0.98655599999999999</v>
      </c>
      <c r="AQ46">
        <v>8.6816940000000002</v>
      </c>
    </row>
    <row r="47" spans="11:47" ht="15.75">
      <c r="K47" s="47" t="s">
        <v>134</v>
      </c>
      <c r="L47" s="47" t="s">
        <v>128</v>
      </c>
      <c r="M47" s="47" t="s">
        <v>135</v>
      </c>
      <c r="N47" s="48">
        <v>5.58</v>
      </c>
      <c r="O47" s="49"/>
      <c r="P47" s="32" t="s">
        <v>131</v>
      </c>
      <c r="Q47" s="35">
        <f>R46-1</f>
        <v>606473515</v>
      </c>
      <c r="R47" s="35">
        <f>R41</f>
        <v>606480128</v>
      </c>
      <c r="S47" s="21">
        <f>R47-Q47</f>
        <v>6613</v>
      </c>
      <c r="T47" s="21">
        <f>N47*1000000/8</f>
        <v>697500</v>
      </c>
      <c r="U47" s="3">
        <v>0</v>
      </c>
      <c r="V47" s="27">
        <f>T47+U47*$V$38</f>
        <v>697500</v>
      </c>
      <c r="W47" s="20">
        <f>X46</f>
        <v>277205.34999999998</v>
      </c>
      <c r="X47" s="22">
        <f>W47-V47</f>
        <v>-420294.65</v>
      </c>
      <c r="Y47" s="33"/>
      <c r="Z47" s="33"/>
      <c r="AA47" s="50">
        <v>677415</v>
      </c>
      <c r="AB47" s="54">
        <f>AC47*1000000/8</f>
        <v>793875</v>
      </c>
      <c r="AC47" s="55">
        <v>6.351</v>
      </c>
      <c r="AD47" s="50">
        <f>AB47+AB46-W46</f>
        <v>2889.6509259259328</v>
      </c>
      <c r="AE47" s="50">
        <f>AC47+AC46-Y46</f>
        <v>2.3117207407407747E-2</v>
      </c>
      <c r="AF47" s="31"/>
      <c r="AG47" s="49"/>
      <c r="AH47" s="40"/>
      <c r="AI47" s="40"/>
      <c r="AJ47" s="48"/>
    </row>
    <row r="48" spans="11:47" ht="15.75">
      <c r="K48" s="47" t="s">
        <v>136</v>
      </c>
      <c r="L48" s="47" t="s">
        <v>135</v>
      </c>
      <c r="M48" s="47" t="s">
        <v>137</v>
      </c>
      <c r="N48" s="48"/>
      <c r="O48" s="49" t="s">
        <v>138</v>
      </c>
      <c r="P48" s="32" t="s">
        <v>139</v>
      </c>
      <c r="Q48" s="35">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3">
        <f>AJ48</f>
        <v>15.724325</v>
      </c>
      <c r="Z48" s="33"/>
      <c r="AA48" s="50">
        <v>647088</v>
      </c>
      <c r="AB48" s="56">
        <f>S48*$S$9</f>
        <v>562683.86211983429</v>
      </c>
      <c r="AC48" s="57">
        <f>AB48*8/1000000</f>
        <v>4.5014708969586739</v>
      </c>
      <c r="AD48" s="50">
        <f>AB48-V48</f>
        <v>-982562.11288023472</v>
      </c>
      <c r="AE48" s="50">
        <f>AD48*8/1000000</f>
        <v>-7.8604969030418781</v>
      </c>
      <c r="AF48" s="31" t="str">
        <f>AK48</f>
        <v>TRK_112_1</v>
      </c>
      <c r="AG48" s="49" t="s">
        <v>138</v>
      </c>
      <c r="AH48" s="40">
        <f>X48*8/1000000</f>
        <v>-5.5134296417236325E-13</v>
      </c>
      <c r="AI48" s="40">
        <f>V48*8/1000000</f>
        <v>12.361967800000553</v>
      </c>
      <c r="AJ48" s="48">
        <v>15.724325</v>
      </c>
      <c r="AK48" t="s">
        <v>140</v>
      </c>
      <c r="AL48" t="s">
        <v>141</v>
      </c>
      <c r="AM48">
        <v>0.23064999999999999</v>
      </c>
      <c r="AN48">
        <v>6</v>
      </c>
      <c r="AO48">
        <v>2.0175109999999998</v>
      </c>
      <c r="AP48">
        <v>1.7868550000000001</v>
      </c>
      <c r="AQ48">
        <v>15.724325</v>
      </c>
    </row>
    <row r="49" spans="1:44" ht="15.75">
      <c r="L49" s="47" t="s">
        <v>137</v>
      </c>
      <c r="M49" s="47" t="s">
        <v>142</v>
      </c>
      <c r="N49" s="48"/>
      <c r="O49" s="49" t="s">
        <v>143</v>
      </c>
      <c r="P49" s="32" t="s">
        <v>144</v>
      </c>
      <c r="Q49" s="58">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3">
        <f>AJ49</f>
        <v>7.295134</v>
      </c>
      <c r="Z49" s="33"/>
      <c r="AA49" s="50">
        <v>323548</v>
      </c>
      <c r="AB49" s="56">
        <f>S49*$S$9</f>
        <v>332055.07733177627</v>
      </c>
      <c r="AC49" s="57">
        <f>AB49*8/1000000</f>
        <v>2.65644061865421</v>
      </c>
      <c r="AD49" s="50">
        <f>AB49-V49</f>
        <v>-579836.67266831186</v>
      </c>
      <c r="AE49" s="50">
        <f>AC49-Y49</f>
        <v>-4.6386933813457905</v>
      </c>
      <c r="AF49" s="31" t="str">
        <f>AK49</f>
        <v>TRK_112_2</v>
      </c>
      <c r="AG49" s="49" t="s">
        <v>143</v>
      </c>
      <c r="AH49" s="40">
        <f>X49*8/1000000</f>
        <v>-7.0501118898391721E-13</v>
      </c>
      <c r="AI49" s="40">
        <f>V49*8/1000000</f>
        <v>7.2951340000007052</v>
      </c>
      <c r="AJ49" s="48">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0"/>
      <c r="AI50" s="40"/>
    </row>
    <row r="51" spans="1:44" ht="15">
      <c r="L51" s="3"/>
      <c r="M51" s="3"/>
      <c r="N51" s="3"/>
      <c r="P51" s="15" t="s">
        <v>148</v>
      </c>
      <c r="Q51" s="15" t="s">
        <v>149</v>
      </c>
      <c r="R51" s="15">
        <v>606263216</v>
      </c>
      <c r="S51" s="15">
        <v>7</v>
      </c>
      <c r="T51" s="15" t="s">
        <v>27</v>
      </c>
      <c r="U51" s="15" t="s">
        <v>150</v>
      </c>
      <c r="V51" s="15" t="s">
        <v>151</v>
      </c>
      <c r="W51" s="15" t="s">
        <v>152</v>
      </c>
      <c r="X51" s="15" t="s">
        <v>153</v>
      </c>
      <c r="Y51" s="59"/>
      <c r="Z51" s="60"/>
      <c r="AA51" s="3" t="s">
        <v>154</v>
      </c>
      <c r="AB51" s="3" t="s">
        <v>155</v>
      </c>
      <c r="AC51" s="3" t="s">
        <v>156</v>
      </c>
      <c r="AD51" s="59"/>
      <c r="AE51" s="59"/>
      <c r="AH51" s="40"/>
      <c r="AI51" s="40"/>
    </row>
    <row r="52" spans="1:44" ht="15.75">
      <c r="A52" s="59" t="s">
        <v>157</v>
      </c>
      <c r="B52" s="59"/>
      <c r="C52" s="59"/>
      <c r="D52" s="59"/>
      <c r="E52" s="59"/>
      <c r="F52" s="59"/>
      <c r="G52" s="59"/>
      <c r="H52" s="59"/>
      <c r="I52" s="59"/>
      <c r="J52" s="59"/>
      <c r="K52" s="59"/>
      <c r="L52" s="59" t="s">
        <v>158</v>
      </c>
      <c r="M52" s="59" t="s">
        <v>159</v>
      </c>
      <c r="N52" s="59"/>
      <c r="O52" s="34" t="s">
        <v>160</v>
      </c>
      <c r="P52" s="32" t="s">
        <v>161</v>
      </c>
      <c r="Q52" s="61">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3">
        <f>AJ52</f>
        <v>12.175423</v>
      </c>
      <c r="Z52" s="33"/>
      <c r="AA52" s="50">
        <v>1614636</v>
      </c>
      <c r="AB52" s="56">
        <f>AA52-T52</f>
        <v>290083.12499972247</v>
      </c>
      <c r="AC52" s="62">
        <f>(AB52/8)/1000000</f>
        <v>3.6260390624965305E-2</v>
      </c>
      <c r="AD52" s="50"/>
      <c r="AE52" s="50"/>
      <c r="AF52" s="31" t="str">
        <f>AK52</f>
        <v>TRK_113_1</v>
      </c>
      <c r="AG52" s="34" t="s">
        <v>160</v>
      </c>
      <c r="AH52" s="40">
        <f>X52*8/1000000</f>
        <v>-2.2202730178833006E-12</v>
      </c>
      <c r="AI52" s="40">
        <f>V52*8/1000000</f>
        <v>12.175423000002221</v>
      </c>
      <c r="AJ52" s="63">
        <v>12.175423</v>
      </c>
      <c r="AK52" t="s">
        <v>162</v>
      </c>
      <c r="AL52" t="s">
        <v>163</v>
      </c>
      <c r="AM52">
        <v>0.23605000000000001</v>
      </c>
      <c r="AN52">
        <v>6</v>
      </c>
      <c r="AO52">
        <v>1.6196269999999999</v>
      </c>
      <c r="AP52">
        <v>1.3835710000000001</v>
      </c>
      <c r="AQ52">
        <v>12.175423</v>
      </c>
    </row>
    <row r="53" spans="1:44" ht="15.75">
      <c r="L53" s="59" t="str">
        <f>M52</f>
        <v>99/20:14</v>
      </c>
      <c r="M53" s="59" t="s">
        <v>164</v>
      </c>
      <c r="N53" s="59"/>
      <c r="O53" s="34" t="s">
        <v>165</v>
      </c>
      <c r="P53" s="32" t="s">
        <v>29</v>
      </c>
      <c r="Q53" s="58">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3">
        <f>AJ53</f>
        <v>15.587928</v>
      </c>
      <c r="Z53" s="33"/>
      <c r="AA53" s="50">
        <v>2057144</v>
      </c>
      <c r="AB53" s="56">
        <f>AA53-T53</f>
        <v>108652.9999997355</v>
      </c>
      <c r="AC53" s="62">
        <f>(AB53/8)/1000000</f>
        <v>1.3581624999966938E-2</v>
      </c>
      <c r="AD53" s="50"/>
      <c r="AE53" s="50"/>
      <c r="AF53" s="31" t="str">
        <f>AK53</f>
        <v>TRK_114_1_</v>
      </c>
      <c r="AG53" s="34" t="s">
        <v>165</v>
      </c>
      <c r="AH53" s="40">
        <f>X53*8/1000000</f>
        <v>-2.1159648895263673E-12</v>
      </c>
      <c r="AI53" s="40">
        <f>V53*8/1000000</f>
        <v>15.587928000002115</v>
      </c>
      <c r="AJ53" s="63">
        <v>15.587928</v>
      </c>
      <c r="AK53" t="s">
        <v>166</v>
      </c>
      <c r="AL53" t="s">
        <v>167</v>
      </c>
      <c r="AM53">
        <v>0.40827999999999998</v>
      </c>
      <c r="AN53">
        <v>6</v>
      </c>
      <c r="AO53">
        <v>2.1796410000000002</v>
      </c>
      <c r="AP53">
        <v>1.771355</v>
      </c>
      <c r="AQ53">
        <v>15.587928</v>
      </c>
    </row>
    <row r="54" spans="1:44" ht="15.75">
      <c r="L54" s="59" t="str">
        <f>M53</f>
        <v>104/11:33</v>
      </c>
      <c r="M54" s="59" t="s">
        <v>168</v>
      </c>
      <c r="N54" s="59"/>
      <c r="O54" s="34" t="s">
        <v>169</v>
      </c>
      <c r="P54" s="32" t="s">
        <v>170</v>
      </c>
      <c r="Q54" s="58">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3">
        <f>AJ54</f>
        <v>8.8757579999999994</v>
      </c>
      <c r="Z54" s="33"/>
      <c r="AA54" s="50">
        <v>1157806</v>
      </c>
      <c r="AB54" s="56">
        <f>AA54-T54</f>
        <v>48336.250000240747</v>
      </c>
      <c r="AC54" s="62">
        <f>(AB54/8)/1000000</f>
        <v>6.0420312500300936E-3</v>
      </c>
      <c r="AD54" s="50"/>
      <c r="AE54" s="50"/>
      <c r="AF54" s="31" t="str">
        <f>AK54</f>
        <v>TRK_115_1</v>
      </c>
      <c r="AG54" s="34" t="s">
        <v>169</v>
      </c>
      <c r="AH54" s="40">
        <f>X54*8/1000000</f>
        <v>1.9259750843048095E-12</v>
      </c>
      <c r="AI54" s="40">
        <f>V54*8/1000000</f>
        <v>8.8757579999980738</v>
      </c>
      <c r="AJ54" s="63">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0"/>
      <c r="AI55" s="40"/>
      <c r="AJ55">
        <f>SUM(AJ52:AJ54)</f>
        <v>36.639108999999998</v>
      </c>
    </row>
    <row r="56" spans="1:44" ht="15.75">
      <c r="F56" t="s">
        <v>49</v>
      </c>
      <c r="L56" s="47" t="s">
        <v>142</v>
      </c>
      <c r="M56" s="47" t="s">
        <v>173</v>
      </c>
      <c r="N56" s="48"/>
      <c r="O56" s="49" t="s">
        <v>174</v>
      </c>
      <c r="P56" s="32" t="s">
        <v>175</v>
      </c>
      <c r="Q56" s="58">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3">
        <f>AJ56</f>
        <v>1.2670090000000001</v>
      </c>
      <c r="Z56" s="33"/>
      <c r="AA56" s="50"/>
      <c r="AB56" s="56">
        <f>S56*$S$9</f>
        <v>57670.876432920704</v>
      </c>
      <c r="AC56" s="57">
        <f>AB56*8/1000000</f>
        <v>0.46136701146336562</v>
      </c>
      <c r="AD56" s="56">
        <f>AB56-V56</f>
        <v>-100705.24856729862</v>
      </c>
      <c r="AE56" s="50">
        <f>AC56-Y56</f>
        <v>-0.80564198853663438</v>
      </c>
      <c r="AF56" s="31" t="str">
        <f>AK56</f>
        <v>TRK_118_1</v>
      </c>
      <c r="AG56" s="49" t="s">
        <v>174</v>
      </c>
      <c r="AH56" s="40">
        <f>X56*8/1000000</f>
        <v>-1.7546117305755616E-12</v>
      </c>
      <c r="AI56" s="40">
        <f>V56*8/1000000</f>
        <v>1.2670090000017546</v>
      </c>
      <c r="AJ56" s="48">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4">
        <f>AC56+AC49+AC48+AC47+AC46</f>
        <v>16.324089734483657</v>
      </c>
      <c r="AC57" s="3"/>
      <c r="AD57" s="3"/>
      <c r="AG57" s="40"/>
      <c r="AH57" s="40"/>
    </row>
    <row r="58" spans="1:44" ht="15">
      <c r="L58" s="3"/>
      <c r="M58" s="3"/>
      <c r="N58" s="3"/>
      <c r="O58" s="3"/>
      <c r="Y58">
        <f>Y56+Y49+Y48+Y46</f>
        <v>32.968162</v>
      </c>
      <c r="Z58" s="60">
        <f>Y54+Y53+Y52</f>
        <v>36.639108999999998</v>
      </c>
      <c r="AB58" t="s">
        <v>179</v>
      </c>
      <c r="AC58" s="3"/>
      <c r="AD58" s="3"/>
      <c r="AG58" s="40"/>
      <c r="AH58" s="40"/>
    </row>
    <row r="59" spans="1:44" ht="15.4" customHeight="1">
      <c r="L59" s="3"/>
      <c r="M59" s="3"/>
      <c r="N59" s="3"/>
      <c r="O59" s="3"/>
      <c r="Y59" s="3" t="s">
        <v>180</v>
      </c>
      <c r="Z59" s="3" t="s">
        <v>181</v>
      </c>
      <c r="AA59" s="3"/>
      <c r="AB59" s="3"/>
      <c r="AC59" s="3"/>
      <c r="AD59" s="3"/>
      <c r="AG59" s="40"/>
      <c r="AH59" s="40"/>
      <c r="AK59" s="65" t="s">
        <v>182</v>
      </c>
      <c r="AL59" s="65" t="s">
        <v>183</v>
      </c>
      <c r="AM59" s="65">
        <v>14.73</v>
      </c>
      <c r="AN59" s="65">
        <v>-5.43</v>
      </c>
      <c r="AO59" s="65">
        <v>-5.43</v>
      </c>
      <c r="AR59" s="3">
        <v>16.2</v>
      </c>
    </row>
    <row r="60" spans="1:44" ht="15.4" customHeight="1">
      <c r="L60" s="18" t="s">
        <v>184</v>
      </c>
      <c r="M60" s="3"/>
      <c r="N60" s="3"/>
      <c r="O60" s="3"/>
      <c r="AC60" s="3"/>
      <c r="AD60" s="3"/>
      <c r="AG60" s="40"/>
      <c r="AH60" s="40"/>
      <c r="AK60" s="65" t="s">
        <v>185</v>
      </c>
      <c r="AL60" s="65" t="s">
        <v>186</v>
      </c>
      <c r="AM60" s="65">
        <v>3.7</v>
      </c>
      <c r="AN60" s="65">
        <v>3.7</v>
      </c>
      <c r="AO60" s="65">
        <v>-1.73</v>
      </c>
      <c r="AR60" s="3">
        <v>4.07</v>
      </c>
    </row>
    <row r="61" spans="1:44" ht="15.4" customHeight="1">
      <c r="L61" s="18" t="s">
        <v>187</v>
      </c>
      <c r="M61" s="3"/>
      <c r="N61" s="3"/>
      <c r="O61" s="3"/>
      <c r="AC61" s="3"/>
      <c r="AD61" s="3"/>
      <c r="AG61" s="40"/>
      <c r="AH61" s="40"/>
      <c r="AK61" s="65" t="s">
        <v>188</v>
      </c>
      <c r="AL61" s="65" t="s">
        <v>189</v>
      </c>
      <c r="AM61" s="65">
        <v>4.3099999999999996</v>
      </c>
      <c r="AN61" s="65">
        <v>-2.41</v>
      </c>
      <c r="AO61" s="65">
        <v>-4.1399999999999997</v>
      </c>
      <c r="AR61" s="3">
        <v>4.74</v>
      </c>
    </row>
    <row r="62" spans="1:44" ht="15.4" customHeight="1">
      <c r="O62" s="3"/>
      <c r="AC62" s="3"/>
      <c r="AD62" s="3"/>
      <c r="AG62" s="40"/>
      <c r="AH62" s="40"/>
      <c r="AK62" s="65" t="s">
        <v>190</v>
      </c>
      <c r="AL62" s="65" t="s">
        <v>191</v>
      </c>
      <c r="AM62" s="65">
        <v>4.42</v>
      </c>
      <c r="AN62" s="65">
        <v>1.46</v>
      </c>
      <c r="AO62" s="65">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0"/>
      <c r="AH63" s="40"/>
      <c r="AK63" s="66" t="s">
        <v>196</v>
      </c>
      <c r="AL63" s="67" t="s">
        <v>197</v>
      </c>
      <c r="AM63" s="65">
        <v>11.87</v>
      </c>
      <c r="AN63" s="65">
        <v>9.11</v>
      </c>
      <c r="AO63" s="67">
        <v>6.43</v>
      </c>
      <c r="AP63">
        <f>AO63</f>
        <v>6.43</v>
      </c>
      <c r="AR63" s="68">
        <v>13.04</v>
      </c>
    </row>
    <row r="64" spans="1:44" ht="15.4" customHeight="1">
      <c r="X64" t="s">
        <v>198</v>
      </c>
      <c r="AC64" s="3"/>
      <c r="AD64" s="3"/>
      <c r="AG64" s="40"/>
      <c r="AH64" s="40"/>
      <c r="AK64" s="66" t="s">
        <v>199</v>
      </c>
      <c r="AL64" s="67" t="s">
        <v>200</v>
      </c>
      <c r="AM64" s="65">
        <v>11.16</v>
      </c>
      <c r="AN64" s="65">
        <v>11.16</v>
      </c>
      <c r="AO64" s="67">
        <v>11.16</v>
      </c>
      <c r="AP64" s="69">
        <f>AP63+AO64</f>
        <v>17.59</v>
      </c>
      <c r="AR64" s="3">
        <v>12.28</v>
      </c>
    </row>
    <row r="65" spans="2:47" ht="15.4" customHeight="1" thickBot="1">
      <c r="X65" t="s">
        <v>201</v>
      </c>
      <c r="AC65" s="3"/>
      <c r="AD65" s="3"/>
      <c r="AE65" s="3"/>
      <c r="AH65" s="40"/>
      <c r="AI65" s="40"/>
      <c r="AL65" s="65" t="s">
        <v>202</v>
      </c>
      <c r="AM65" s="65" t="s">
        <v>203</v>
      </c>
      <c r="AN65" s="65">
        <v>0</v>
      </c>
      <c r="AO65" s="65">
        <v>0</v>
      </c>
      <c r="AP65" s="70">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5" t="s">
        <v>205</v>
      </c>
      <c r="AM66" s="65" t="s">
        <v>206</v>
      </c>
      <c r="AN66" s="65">
        <v>0</v>
      </c>
      <c r="AO66" s="65">
        <v>0</v>
      </c>
      <c r="AP66" s="70">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8"/>
      <c r="AL67" s="67" t="s">
        <v>209</v>
      </c>
      <c r="AM67" s="66" t="s">
        <v>210</v>
      </c>
      <c r="AN67" s="65">
        <v>3.19</v>
      </c>
      <c r="AO67" s="65">
        <v>3.19</v>
      </c>
      <c r="AP67" s="67">
        <v>3.19</v>
      </c>
      <c r="AQ67">
        <f>AP64+AP67</f>
        <v>20.78</v>
      </c>
      <c r="AS67" s="3">
        <v>3.5</v>
      </c>
    </row>
    <row r="68" spans="2:47" ht="15.4" customHeight="1">
      <c r="L68" s="206" t="str" cm="1">
        <f t="array" aca="1" ref="L68" ca="1">MID(met2utc(Q69),3,12)</f>
        <v>25-107/03:01</v>
      </c>
      <c r="M68" s="206" t="str" cm="1">
        <f t="array" aca="1" ref="M68" ca="1">MID(met2utc(R69),3,12)</f>
        <v>25-115/23:53</v>
      </c>
      <c r="P68" s="45" t="s">
        <v>211</v>
      </c>
      <c r="Q68" s="45" t="s">
        <v>212</v>
      </c>
      <c r="R68" s="45">
        <v>607931101</v>
      </c>
      <c r="S68" s="45">
        <v>1</v>
      </c>
      <c r="T68" s="45" t="s">
        <v>27</v>
      </c>
      <c r="U68" s="45" t="s">
        <v>213</v>
      </c>
      <c r="V68" s="45" t="s">
        <v>118</v>
      </c>
      <c r="W68" s="45"/>
      <c r="X68" s="45" t="s">
        <v>214</v>
      </c>
      <c r="Y68" s="48"/>
      <c r="Z68" s="48"/>
      <c r="AA68" s="48"/>
      <c r="AB68" s="48"/>
      <c r="AC68" s="47"/>
      <c r="AD68" s="47"/>
      <c r="AE68" s="47"/>
      <c r="AF68" s="48"/>
      <c r="AL68" s="71" t="s">
        <v>215</v>
      </c>
      <c r="AM68" s="71" t="s">
        <v>216</v>
      </c>
      <c r="AN68" s="65">
        <v>6.36</v>
      </c>
      <c r="AO68" s="65">
        <v>6.36</v>
      </c>
      <c r="AP68" s="72">
        <v>6.36</v>
      </c>
      <c r="AQ68">
        <f>AQ67+AP68</f>
        <v>27.14</v>
      </c>
      <c r="AS68" s="3">
        <v>6.99</v>
      </c>
    </row>
    <row r="69" spans="2:47" ht="15.4" customHeight="1">
      <c r="L69" s="47" t="s">
        <v>217</v>
      </c>
      <c r="M69" s="47" t="s">
        <v>218</v>
      </c>
      <c r="N69" s="73" t="s">
        <v>219</v>
      </c>
      <c r="O69" s="47"/>
      <c r="P69" s="32" t="s">
        <v>220</v>
      </c>
      <c r="Q69" s="58">
        <f>R56-1</f>
        <v>607164813.48952889</v>
      </c>
      <c r="R69" s="61">
        <f>R68+20</f>
        <v>607931121</v>
      </c>
      <c r="S69" s="21">
        <f>R69-Q69</f>
        <v>766307.51047110558</v>
      </c>
      <c r="T69" s="21">
        <f>S69*$V$9</f>
        <v>2927294.6899996232</v>
      </c>
      <c r="U69" s="3">
        <v>0</v>
      </c>
      <c r="V69" s="27">
        <f>T69+U69*$V$38</f>
        <v>2927294.6899996232</v>
      </c>
      <c r="W69" s="20">
        <f>Y69*1000000/8</f>
        <v>2857250.0000000005</v>
      </c>
      <c r="X69" s="22">
        <f>W69-V69</f>
        <v>-70044.689999622758</v>
      </c>
      <c r="Y69" s="74">
        <f>1.1*(AO63+AO64+AP67)</f>
        <v>22.858000000000004</v>
      </c>
      <c r="Z69" s="33" t="s">
        <v>221</v>
      </c>
      <c r="AA69" s="56">
        <f>S69*$S$9</f>
        <v>1065941.2859702141</v>
      </c>
      <c r="AB69" s="57">
        <f>AA69*8/1000000</f>
        <v>8.5275302877617118</v>
      </c>
      <c r="AC69" s="56">
        <f>AA69-V69</f>
        <v>-1861353.4040294092</v>
      </c>
      <c r="AD69" s="50">
        <f>AB69-Y69</f>
        <v>-14.330469712238292</v>
      </c>
      <c r="AE69" s="50"/>
      <c r="AF69" s="31" t="s">
        <v>222</v>
      </c>
      <c r="AG69" s="49" t="s">
        <v>223</v>
      </c>
      <c r="AH69" s="40">
        <f>X69*8/1000000</f>
        <v>-0.56035751999698202</v>
      </c>
      <c r="AI69" s="40">
        <f>V69*8/1000000</f>
        <v>23.418357519996984</v>
      </c>
      <c r="AJ69" s="63"/>
      <c r="AL69" s="71" t="s">
        <v>224</v>
      </c>
      <c r="AM69" s="71" t="s">
        <v>225</v>
      </c>
      <c r="AN69" s="65">
        <v>8.57</v>
      </c>
      <c r="AO69" s="65">
        <v>8.57</v>
      </c>
      <c r="AP69" s="72">
        <v>8.57</v>
      </c>
      <c r="AQ69">
        <f>AQ68+AP69</f>
        <v>35.71</v>
      </c>
      <c r="AS69" s="3">
        <v>9.43</v>
      </c>
    </row>
    <row r="70" spans="2:47" ht="15.4" customHeight="1">
      <c r="C70" s="75" t="s">
        <v>226</v>
      </c>
      <c r="D70" s="75" t="s">
        <v>227</v>
      </c>
      <c r="E70" s="75" t="s">
        <v>51</v>
      </c>
      <c r="F70" s="75" t="s">
        <v>49</v>
      </c>
      <c r="G70" s="75" t="s">
        <v>50</v>
      </c>
      <c r="H70" s="75" t="s">
        <v>53</v>
      </c>
      <c r="I70" s="75" t="s">
        <v>54</v>
      </c>
      <c r="J70" s="75" t="s">
        <v>228</v>
      </c>
      <c r="K70" t="s">
        <v>825</v>
      </c>
      <c r="L70" s="202" t="str" cm="1">
        <f t="array" aca="1" ref="L70" ca="1">MID(met2utc(Q71),3,12)</f>
        <v>25-107/03:16</v>
      </c>
      <c r="M70" s="206" t="str" cm="1">
        <f t="array" aca="1" ref="M70" ca="1">MID(met2utc(R71),3,12)</f>
        <v>25-115/23:57</v>
      </c>
      <c r="P70" s="15" t="s">
        <v>229</v>
      </c>
      <c r="Q70" s="15" t="s">
        <v>230</v>
      </c>
      <c r="R70" s="15">
        <v>607931322</v>
      </c>
      <c r="S70" s="15">
        <v>1</v>
      </c>
      <c r="T70" s="15" t="s">
        <v>27</v>
      </c>
      <c r="U70" s="15" t="s">
        <v>213</v>
      </c>
      <c r="V70" s="15" t="s">
        <v>28</v>
      </c>
      <c r="W70" s="15"/>
      <c r="X70" s="15" t="s">
        <v>231</v>
      </c>
      <c r="Y70" s="60"/>
      <c r="Z70" s="60"/>
      <c r="AA70" s="60"/>
      <c r="AB70" s="60"/>
      <c r="AC70" s="59"/>
      <c r="AD70" s="59"/>
      <c r="AE70" s="59"/>
      <c r="AH70" s="40"/>
      <c r="AI70" s="40"/>
      <c r="AL70" s="65" t="s">
        <v>232</v>
      </c>
      <c r="AM70" s="65" t="s">
        <v>233</v>
      </c>
      <c r="AN70" s="65">
        <v>0</v>
      </c>
      <c r="AO70" s="65">
        <v>0</v>
      </c>
      <c r="AP70" s="70">
        <v>0</v>
      </c>
      <c r="AS70" s="3"/>
    </row>
    <row r="71" spans="2:47" ht="15.4" customHeight="1">
      <c r="B71">
        <v>102</v>
      </c>
      <c r="C71">
        <v>101</v>
      </c>
      <c r="E71" t="s">
        <v>51</v>
      </c>
      <c r="F71" t="s">
        <v>49</v>
      </c>
      <c r="G71" t="s">
        <v>50</v>
      </c>
      <c r="H71" t="s">
        <v>53</v>
      </c>
      <c r="L71" s="59" t="s">
        <v>168</v>
      </c>
      <c r="M71" s="59" t="s">
        <v>234</v>
      </c>
      <c r="N71" s="76" t="s">
        <v>235</v>
      </c>
      <c r="O71" s="59"/>
      <c r="P71" s="32" t="s">
        <v>236</v>
      </c>
      <c r="Q71" s="58">
        <f>R54-1</f>
        <v>607165733.06575108</v>
      </c>
      <c r="R71" s="61">
        <f>R70+20</f>
        <v>607931342</v>
      </c>
      <c r="S71" s="21">
        <f>R71-Q71</f>
        <v>765608.93424892426</v>
      </c>
      <c r="T71" s="21">
        <f>S71*$V$10</f>
        <v>3717609.5700257518</v>
      </c>
      <c r="U71" s="3">
        <v>0</v>
      </c>
      <c r="V71" s="27">
        <f>T71+U71*$V$38</f>
        <v>3717609.5700257518</v>
      </c>
      <c r="W71" s="20">
        <f>Y71*1000000/8+X69</f>
        <v>5179705.3100003786</v>
      </c>
      <c r="X71" s="22">
        <f>W71-V71</f>
        <v>1462095.7399746268</v>
      </c>
      <c r="Y71" s="77">
        <f>1.1*(AP68+AP69+AP74+AP75)</f>
        <v>41.998000000000005</v>
      </c>
      <c r="Z71" s="33" t="s">
        <v>237</v>
      </c>
      <c r="AA71" s="50">
        <v>1654428</v>
      </c>
      <c r="AB71" s="56">
        <f>AA71-T71</f>
        <v>-2063181.5700257518</v>
      </c>
      <c r="AC71" s="62">
        <f>(AB71/8)/1000000</f>
        <v>-0.25789769625321896</v>
      </c>
      <c r="AD71" s="62"/>
      <c r="AE71" s="50"/>
      <c r="AF71" s="31" t="s">
        <v>238</v>
      </c>
      <c r="AG71" s="34" t="s">
        <v>239</v>
      </c>
      <c r="AH71" s="40">
        <f>X71*8/1000000</f>
        <v>11.696765919797015</v>
      </c>
      <c r="AI71" s="40">
        <f>V71*8/1000000</f>
        <v>29.740876560206015</v>
      </c>
      <c r="AL71" s="65" t="s">
        <v>240</v>
      </c>
      <c r="AM71" s="65" t="s">
        <v>241</v>
      </c>
      <c r="AN71" s="65">
        <v>0</v>
      </c>
      <c r="AO71" s="65">
        <v>0</v>
      </c>
      <c r="AP71" s="70">
        <v>0</v>
      </c>
      <c r="AS71" s="3"/>
    </row>
    <row r="72" spans="2:47" ht="15.4" customHeight="1">
      <c r="L72" s="207" t="str" cm="1">
        <f t="array" aca="1" ref="L72" ca="1">MID(met2utc(Q73),3,12)</f>
        <v>25-116/08:14</v>
      </c>
      <c r="M72" s="203" t="str" cm="1">
        <f t="array" aca="1" ref="M72" ca="1">MID(met2utc(R73),3,12)</f>
        <v>25-119/08:35</v>
      </c>
      <c r="P72" s="15" t="s">
        <v>242</v>
      </c>
      <c r="Q72" s="15" t="s">
        <v>243</v>
      </c>
      <c r="R72" s="15">
        <v>607961216</v>
      </c>
      <c r="S72" s="15">
        <v>7</v>
      </c>
      <c r="T72" s="15" t="s">
        <v>27</v>
      </c>
      <c r="U72" s="15" t="s">
        <v>244</v>
      </c>
      <c r="V72" s="15" t="s">
        <v>151</v>
      </c>
      <c r="W72" s="15" t="s">
        <v>152</v>
      </c>
      <c r="X72" s="15" t="s">
        <v>245</v>
      </c>
      <c r="Y72" s="60"/>
      <c r="Z72" s="60"/>
      <c r="AA72" s="60"/>
      <c r="AB72" s="60"/>
      <c r="AC72" s="59"/>
      <c r="AD72" s="59"/>
      <c r="AE72" s="59"/>
      <c r="AH72" s="40"/>
      <c r="AI72" s="40"/>
      <c r="AL72" s="65" t="s">
        <v>246</v>
      </c>
      <c r="AM72" s="65" t="s">
        <v>247</v>
      </c>
      <c r="AN72" s="65">
        <v>0</v>
      </c>
      <c r="AO72" s="65">
        <v>0</v>
      </c>
      <c r="AP72" s="70">
        <v>0</v>
      </c>
      <c r="AS72" s="3"/>
    </row>
    <row r="73" spans="2:47" ht="15.4" customHeight="1">
      <c r="B73">
        <v>102</v>
      </c>
      <c r="C73">
        <v>101</v>
      </c>
      <c r="E73" t="s">
        <v>51</v>
      </c>
      <c r="F73" t="s">
        <v>49</v>
      </c>
      <c r="G73" t="s">
        <v>50</v>
      </c>
      <c r="H73" t="s">
        <v>53</v>
      </c>
      <c r="L73" s="59" t="s">
        <v>248</v>
      </c>
      <c r="M73" s="78" t="s">
        <v>249</v>
      </c>
      <c r="N73" s="76" t="s">
        <v>250</v>
      </c>
      <c r="O73" s="59"/>
      <c r="P73" s="32" t="s">
        <v>236</v>
      </c>
      <c r="Q73" s="61">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0">
        <v>334035</v>
      </c>
      <c r="AB73" s="56">
        <f>AA73-T73</f>
        <v>-930685.73997454415</v>
      </c>
      <c r="AC73" s="62">
        <f>(AB73/8)/1000000</f>
        <v>-0.11633571749681802</v>
      </c>
      <c r="AD73" s="62"/>
      <c r="AE73" s="3"/>
      <c r="AF73">
        <f>15*60*4.8624</f>
        <v>4376.16</v>
      </c>
      <c r="AG73" t="s">
        <v>20</v>
      </c>
      <c r="AH73" s="40">
        <f>X73*8/1000000</f>
        <v>6.6123902797698976E-13</v>
      </c>
      <c r="AI73" s="40">
        <f>V73*8/1000000</f>
        <v>11.696765919796354</v>
      </c>
      <c r="AL73" s="65" t="s">
        <v>252</v>
      </c>
      <c r="AM73" s="65" t="s">
        <v>253</v>
      </c>
      <c r="AN73" s="65">
        <v>0</v>
      </c>
      <c r="AO73" s="65">
        <v>0</v>
      </c>
      <c r="AP73" s="70">
        <v>0</v>
      </c>
      <c r="AS73" s="3"/>
    </row>
    <row r="74" spans="2:47" ht="15.4" customHeight="1">
      <c r="L74" s="6" t="s">
        <v>254</v>
      </c>
      <c r="M74" t="s">
        <v>255</v>
      </c>
      <c r="N74" t="s">
        <v>256</v>
      </c>
      <c r="P74" s="45" t="s">
        <v>257</v>
      </c>
      <c r="Q74" s="45" t="s">
        <v>258</v>
      </c>
      <c r="R74" s="45">
        <v>607960737</v>
      </c>
      <c r="S74" s="45">
        <v>7</v>
      </c>
      <c r="T74" s="45" t="s">
        <v>27</v>
      </c>
      <c r="U74" s="45" t="s">
        <v>259</v>
      </c>
      <c r="V74" s="45" t="s">
        <v>101</v>
      </c>
      <c r="W74" s="45" t="s">
        <v>102</v>
      </c>
      <c r="X74" s="45" t="s">
        <v>260</v>
      </c>
      <c r="Y74" s="48"/>
      <c r="Z74" s="48"/>
      <c r="AA74" s="48"/>
      <c r="AB74" s="3"/>
      <c r="AC74" s="3"/>
      <c r="AD74" s="3"/>
      <c r="AE74" s="3"/>
      <c r="AF74" s="3"/>
      <c r="AH74" s="40"/>
      <c r="AI74" s="40"/>
      <c r="AL74" s="71" t="s">
        <v>261</v>
      </c>
      <c r="AM74" s="71" t="s">
        <v>262</v>
      </c>
      <c r="AN74" s="65">
        <v>6.03</v>
      </c>
      <c r="AO74" s="65">
        <v>6.03</v>
      </c>
      <c r="AP74" s="72">
        <v>6.03</v>
      </c>
      <c r="AQ74">
        <f>AQ69+AP74</f>
        <v>41.74</v>
      </c>
      <c r="AS74" s="3">
        <v>6.63</v>
      </c>
    </row>
    <row r="75" spans="2:47" ht="15.4" customHeight="1">
      <c r="L75" s="47" t="s">
        <v>263</v>
      </c>
      <c r="M75" s="47" t="s">
        <v>264</v>
      </c>
      <c r="N75" s="48" t="s">
        <v>265</v>
      </c>
      <c r="O75" s="47"/>
      <c r="P75" s="32" t="s">
        <v>15</v>
      </c>
      <c r="Q75" s="61">
        <f>R74-20</f>
        <v>607960717</v>
      </c>
      <c r="R75" s="61">
        <f>R77+20</f>
        <v>608535921</v>
      </c>
      <c r="S75" s="21">
        <f>R75-Q75</f>
        <v>575204</v>
      </c>
      <c r="T75" s="21">
        <f>S75*$V$9</f>
        <v>2197279.2799999998</v>
      </c>
      <c r="U75" s="3">
        <v>0</v>
      </c>
      <c r="V75" s="27">
        <f>T75+U75*$V$38</f>
        <v>2197279.2799999998</v>
      </c>
      <c r="W75" s="20">
        <f>Y75*1000000/8</f>
        <v>3121250.0000000005</v>
      </c>
      <c r="X75" s="22">
        <f>W75-V75</f>
        <v>923970.72000000067</v>
      </c>
      <c r="Y75" s="79">
        <f>1.1*(AP76+AP77+AP78)</f>
        <v>24.970000000000002</v>
      </c>
      <c r="Z75" s="33" t="s">
        <v>266</v>
      </c>
      <c r="AA75" s="56">
        <f>S75*$S$9</f>
        <v>800114.42283564818</v>
      </c>
      <c r="AB75" s="57">
        <f>AA75*8/1000000</f>
        <v>6.4009153826851852</v>
      </c>
      <c r="AC75" s="56">
        <f>AA75-V75</f>
        <v>-1397164.8571643517</v>
      </c>
      <c r="AD75" s="50">
        <f>AB75-Y75</f>
        <v>-18.569084617314818</v>
      </c>
      <c r="AE75" s="50"/>
      <c r="AF75" t="s">
        <v>30</v>
      </c>
      <c r="AG75" s="48" t="s">
        <v>267</v>
      </c>
      <c r="AH75" s="40">
        <f>X75*8/1000000</f>
        <v>7.3917657600000055</v>
      </c>
      <c r="AI75" s="40">
        <f>V75*8/1000000</f>
        <v>17.578234239999997</v>
      </c>
      <c r="AL75" s="71" t="s">
        <v>268</v>
      </c>
      <c r="AM75" s="71" t="s">
        <v>269</v>
      </c>
      <c r="AN75" s="65">
        <v>17.22</v>
      </c>
      <c r="AO75" s="65">
        <v>17.22</v>
      </c>
      <c r="AP75" s="72">
        <v>17.22</v>
      </c>
      <c r="AQ75">
        <f>AQ74+AP75</f>
        <v>58.96</v>
      </c>
      <c r="AS75" s="3">
        <v>18.940000000000001</v>
      </c>
    </row>
    <row r="76" spans="2:47" ht="15.4" customHeight="1">
      <c r="O76" s="6" t="s">
        <v>270</v>
      </c>
      <c r="P76" s="46" t="s">
        <v>271</v>
      </c>
      <c r="Q76" s="46" t="s">
        <v>272</v>
      </c>
      <c r="R76" s="46">
        <v>608622301</v>
      </c>
      <c r="S76" s="46">
        <v>1</v>
      </c>
      <c r="T76" s="46" t="s">
        <v>27</v>
      </c>
      <c r="U76" s="46" t="s">
        <v>273</v>
      </c>
      <c r="V76" s="46" t="s">
        <v>118</v>
      </c>
      <c r="W76" s="46"/>
      <c r="X76" s="46" t="s">
        <v>274</v>
      </c>
      <c r="Y76">
        <f>(Y75+Y71+Y69)*0.9</f>
        <v>80.843400000000003</v>
      </c>
      <c r="AC76" s="3"/>
      <c r="AD76" s="3"/>
      <c r="AE76" s="3"/>
      <c r="AH76" s="40"/>
      <c r="AI76" s="40"/>
      <c r="AL76" s="80" t="s">
        <v>275</v>
      </c>
      <c r="AM76" s="80" t="s">
        <v>276</v>
      </c>
      <c r="AN76" s="65">
        <v>8.7799999999999994</v>
      </c>
      <c r="AO76" s="65">
        <v>8.7799999999999994</v>
      </c>
      <c r="AP76" s="81">
        <v>8.7799999999999994</v>
      </c>
      <c r="AQ76">
        <f>AQ75+AP76</f>
        <v>67.739999999999995</v>
      </c>
      <c r="AS76" s="3">
        <v>9.66</v>
      </c>
    </row>
    <row r="77" spans="2:47" ht="15.4" customHeight="1">
      <c r="O77" s="6" t="s">
        <v>277</v>
      </c>
      <c r="P77" s="46" t="s">
        <v>278</v>
      </c>
      <c r="Q77" s="46" t="s">
        <v>279</v>
      </c>
      <c r="R77" s="82">
        <f>R76-86400</f>
        <v>608535901</v>
      </c>
      <c r="S77" s="46">
        <v>1</v>
      </c>
      <c r="T77" s="46" t="s">
        <v>27</v>
      </c>
      <c r="U77" s="46" t="s">
        <v>273</v>
      </c>
      <c r="V77" s="46" t="s">
        <v>118</v>
      </c>
      <c r="W77" s="46"/>
      <c r="X77" s="46" t="s">
        <v>274</v>
      </c>
      <c r="Y77" s="48"/>
      <c r="Z77" s="48"/>
      <c r="AA77" s="48"/>
      <c r="AB77" s="48"/>
      <c r="AC77" s="47"/>
      <c r="AD77" s="47"/>
      <c r="AE77" s="47"/>
      <c r="AF77" s="48"/>
      <c r="AH77" s="40"/>
      <c r="AI77" s="40"/>
      <c r="AL77" s="80" t="s">
        <v>280</v>
      </c>
      <c r="AM77" s="80" t="s">
        <v>281</v>
      </c>
      <c r="AN77" s="65">
        <v>6.38</v>
      </c>
      <c r="AO77" s="65">
        <v>6.38</v>
      </c>
      <c r="AP77" s="81">
        <v>6.38</v>
      </c>
      <c r="AQ77">
        <f>AQ76+AP77</f>
        <v>74.11999999999999</v>
      </c>
      <c r="AS77" s="3">
        <v>7.01</v>
      </c>
    </row>
    <row r="78" spans="2:47" ht="15.4" customHeight="1">
      <c r="O78" s="6" t="s">
        <v>282</v>
      </c>
      <c r="P78" s="46" t="s">
        <v>283</v>
      </c>
      <c r="Q78" s="46" t="s">
        <v>284</v>
      </c>
      <c r="R78" s="46">
        <v>608651936</v>
      </c>
      <c r="S78" s="46">
        <v>7</v>
      </c>
      <c r="T78" s="46" t="s">
        <v>27</v>
      </c>
      <c r="U78" s="46" t="s">
        <v>285</v>
      </c>
      <c r="V78" s="46" t="s">
        <v>101</v>
      </c>
      <c r="W78" s="46" t="s">
        <v>102</v>
      </c>
      <c r="X78" s="46" t="s">
        <v>286</v>
      </c>
      <c r="Y78" s="48"/>
      <c r="Z78" s="48"/>
      <c r="AA78" s="48"/>
      <c r="AB78" s="48"/>
      <c r="AC78" s="47"/>
      <c r="AD78" s="47"/>
      <c r="AE78" s="47"/>
      <c r="AF78" s="48"/>
      <c r="AH78" s="40"/>
      <c r="AI78" s="40"/>
      <c r="AL78" s="80" t="s">
        <v>287</v>
      </c>
      <c r="AM78" s="80" t="s">
        <v>288</v>
      </c>
      <c r="AN78" s="65">
        <v>7.54</v>
      </c>
      <c r="AO78" s="65">
        <v>7.54</v>
      </c>
      <c r="AP78" s="81">
        <v>7.54</v>
      </c>
      <c r="AQ78">
        <f>AQ77+AP78</f>
        <v>81.66</v>
      </c>
      <c r="AR78">
        <f>AQ78/2</f>
        <v>40.83</v>
      </c>
      <c r="AS78" s="3">
        <v>8.3000000000000007</v>
      </c>
    </row>
    <row r="79" spans="2:47" ht="15">
      <c r="O79" s="6" t="s">
        <v>277</v>
      </c>
      <c r="P79" s="46" t="s">
        <v>283</v>
      </c>
      <c r="Q79" s="46" t="s">
        <v>289</v>
      </c>
      <c r="R79" s="82">
        <f>R78-86400</f>
        <v>608565536</v>
      </c>
      <c r="S79" s="46">
        <v>7</v>
      </c>
      <c r="T79" s="46" t="s">
        <v>27</v>
      </c>
      <c r="U79" s="46" t="s">
        <v>285</v>
      </c>
      <c r="V79" s="46" t="s">
        <v>101</v>
      </c>
      <c r="W79" s="46" t="s">
        <v>102</v>
      </c>
      <c r="X79" s="46" t="s">
        <v>286</v>
      </c>
      <c r="Y79" s="48"/>
      <c r="Z79" s="48"/>
      <c r="AA79" s="48"/>
      <c r="AB79" s="48"/>
      <c r="AC79" s="47"/>
      <c r="AD79" s="47"/>
      <c r="AE79" s="47"/>
      <c r="AF79" s="48"/>
      <c r="AH79" s="40"/>
      <c r="AI79" s="40"/>
    </row>
    <row r="80" spans="2:47" ht="15.75">
      <c r="L80" s="47" t="s">
        <v>1262</v>
      </c>
      <c r="M80" s="47" t="s">
        <v>291</v>
      </c>
      <c r="N80" s="48" t="s">
        <v>292</v>
      </c>
      <c r="O80" s="47"/>
      <c r="P80" s="32" t="s">
        <v>15</v>
      </c>
      <c r="Q80" s="61">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6">
        <f>S80*$S$9</f>
        <v>336453.49777741509</v>
      </c>
      <c r="AB80" s="57">
        <f>AA80*8/1000000</f>
        <v>2.6916279822193205</v>
      </c>
      <c r="AC80" s="56">
        <f>AA80-V80</f>
        <v>-587517.22222258721</v>
      </c>
      <c r="AD80" s="50">
        <f>AB80-Y80</f>
        <v>-87.134372017780692</v>
      </c>
      <c r="AE80" s="50"/>
      <c r="AG80" s="48" t="s">
        <v>293</v>
      </c>
      <c r="AH80" s="40">
        <f>X80*8/1000000</f>
        <v>-1.3038516044616699E-14</v>
      </c>
      <c r="AI80" s="40">
        <f>V80*8/1000000</f>
        <v>7.3917657600000188</v>
      </c>
      <c r="AU80" s="3"/>
    </row>
    <row r="81" spans="1:43" ht="15">
      <c r="Z81" s="59">
        <f>Y71</f>
        <v>41.998000000000005</v>
      </c>
      <c r="AB81" s="64">
        <f>AB80+AB75+AB69</f>
        <v>17.620073652666218</v>
      </c>
      <c r="AC81" s="3"/>
      <c r="AD81" s="3"/>
      <c r="AE81" s="3"/>
      <c r="AH81" s="40"/>
      <c r="AI81" s="40"/>
    </row>
    <row r="82" spans="1:43" ht="15">
      <c r="X82" t="s">
        <v>198</v>
      </c>
      <c r="AB82" t="s">
        <v>179</v>
      </c>
      <c r="AC82" s="3"/>
      <c r="AD82" s="3"/>
      <c r="AE82" s="3"/>
      <c r="AH82" s="40"/>
      <c r="AI82" s="40"/>
    </row>
    <row r="83" spans="1:43" ht="15">
      <c r="P83" t="s">
        <v>294</v>
      </c>
      <c r="X83" t="s">
        <v>295</v>
      </c>
      <c r="AC83" s="3"/>
      <c r="AD83" s="3"/>
      <c r="AE83" s="3"/>
      <c r="AH83" s="40"/>
      <c r="AI83" s="40"/>
    </row>
    <row r="84" spans="1:43" ht="15">
      <c r="P84" s="15" t="s">
        <v>192</v>
      </c>
      <c r="Q84" s="15" t="s">
        <v>193</v>
      </c>
      <c r="R84" s="15">
        <v>608130222</v>
      </c>
      <c r="S84" s="15">
        <v>1</v>
      </c>
      <c r="T84" s="15" t="s">
        <v>27</v>
      </c>
      <c r="U84" s="15" t="s">
        <v>194</v>
      </c>
      <c r="V84" s="15" t="s">
        <v>28</v>
      </c>
      <c r="W84" s="15"/>
      <c r="X84" s="15" t="s">
        <v>195</v>
      </c>
      <c r="Y84" s="60"/>
      <c r="Z84" s="60"/>
      <c r="AA84" s="60"/>
      <c r="AB84" s="60"/>
      <c r="AC84" s="59"/>
      <c r="AD84" s="59"/>
      <c r="AE84" s="59"/>
      <c r="AH84" s="40"/>
      <c r="AI84" s="40"/>
    </row>
    <row r="85" spans="1:43" ht="15.75" thickBot="1">
      <c r="P85" s="15" t="s">
        <v>296</v>
      </c>
      <c r="Q85" s="15" t="s">
        <v>297</v>
      </c>
      <c r="R85" s="15">
        <v>608131016</v>
      </c>
      <c r="S85" s="15">
        <v>7</v>
      </c>
      <c r="T85" s="15" t="s">
        <v>27</v>
      </c>
      <c r="U85" s="15" t="s">
        <v>298</v>
      </c>
      <c r="V85" s="15" t="s">
        <v>151</v>
      </c>
      <c r="W85" s="15" t="s">
        <v>152</v>
      </c>
      <c r="X85" s="15" t="s">
        <v>299</v>
      </c>
      <c r="Y85" s="60"/>
      <c r="Z85" s="60"/>
      <c r="AA85" s="60"/>
      <c r="AB85" s="60"/>
      <c r="AC85" s="59"/>
      <c r="AD85" s="59"/>
      <c r="AE85" s="59"/>
      <c r="AH85" s="40"/>
      <c r="AI85" s="40"/>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0"/>
      <c r="Z88" s="60"/>
      <c r="AA88" s="60"/>
      <c r="AB88" s="60"/>
      <c r="AC88" s="59"/>
      <c r="AD88" s="59"/>
      <c r="AE88" s="59"/>
      <c r="AH88" t="s">
        <v>306</v>
      </c>
      <c r="AI88" t="s">
        <v>121</v>
      </c>
      <c r="AL88" s="83" t="s">
        <v>307</v>
      </c>
      <c r="AM88" s="83" t="s">
        <v>308</v>
      </c>
      <c r="AN88" s="83" t="s">
        <v>309</v>
      </c>
      <c r="AO88" s="83" t="s">
        <v>310</v>
      </c>
      <c r="AP88" s="83" t="s">
        <v>311</v>
      </c>
    </row>
    <row r="89" spans="1:43" ht="30">
      <c r="B89">
        <v>102</v>
      </c>
      <c r="C89">
        <v>101</v>
      </c>
      <c r="E89" t="s">
        <v>51</v>
      </c>
      <c r="F89" t="s">
        <v>49</v>
      </c>
      <c r="G89" t="s">
        <v>50</v>
      </c>
      <c r="H89" t="s">
        <v>53</v>
      </c>
      <c r="L89" s="59" t="s">
        <v>249</v>
      </c>
      <c r="M89" s="59" t="s">
        <v>312</v>
      </c>
      <c r="N89" s="76" t="s">
        <v>18</v>
      </c>
      <c r="O89" s="84" t="s">
        <v>313</v>
      </c>
      <c r="P89" s="32" t="s">
        <v>16</v>
      </c>
      <c r="Q89" s="85">
        <f>R73-1</f>
        <v>608221653.09265757</v>
      </c>
      <c r="R89" s="86">
        <f>R88+20</f>
        <v>608536142</v>
      </c>
      <c r="S89" s="21">
        <f>R89-Q89</f>
        <v>314488.90734243393</v>
      </c>
      <c r="T89" s="21">
        <f>S89*$V$10</f>
        <v>1527081.1497910847</v>
      </c>
      <c r="U89" s="3">
        <v>1</v>
      </c>
      <c r="V89" s="27">
        <f>T89+U89*$V$38</f>
        <v>1724456.1497910847</v>
      </c>
      <c r="W89" s="20">
        <f>Y89*1000000/8</f>
        <v>2076250</v>
      </c>
      <c r="X89" s="332">
        <f>W89-V89</f>
        <v>351793.8502089153</v>
      </c>
      <c r="Y89" s="77">
        <f>1.1*AN89</f>
        <v>16.61</v>
      </c>
      <c r="Z89" s="33"/>
      <c r="AA89" s="33"/>
      <c r="AB89" s="50">
        <v>1612718</v>
      </c>
      <c r="AC89" s="50">
        <f>AB89-V89</f>
        <v>-111738.1497910847</v>
      </c>
      <c r="AD89" s="88">
        <f>AC89*8/1000000</f>
        <v>-0.89390519832867754</v>
      </c>
      <c r="AE89" s="62">
        <f>AC89/AB89</f>
        <v>-6.9285609629882408E-2</v>
      </c>
      <c r="AF89" s="31" t="s">
        <v>314</v>
      </c>
      <c r="AG89" s="34" t="s">
        <v>313</v>
      </c>
      <c r="AH89" s="40">
        <f>X89*8/1000000</f>
        <v>2.8143508016713223</v>
      </c>
      <c r="AI89" s="40">
        <f>V89*8/1000000</f>
        <v>13.795649198328677</v>
      </c>
      <c r="AL89" s="89" t="s">
        <v>315</v>
      </c>
      <c r="AM89" s="89" t="s">
        <v>316</v>
      </c>
      <c r="AN89" s="89">
        <v>15.1</v>
      </c>
      <c r="AO89" s="89">
        <v>15.1</v>
      </c>
      <c r="AP89" s="89">
        <v>15.1</v>
      </c>
      <c r="AQ89">
        <f>AP89</f>
        <v>15.1</v>
      </c>
    </row>
    <row r="90" spans="1:43" ht="15">
      <c r="L90" s="207" t="str" cm="1">
        <f t="array" aca="1" ref="L90" ca="1">MID(met2utc(Q91),3,12)</f>
        <v>25-123/08:15</v>
      </c>
      <c r="M90" s="203" t="str" cm="1">
        <f t="array" aca="1" ref="M90" ca="1">MID(met2utc(R91),3,12)</f>
        <v>25-123/17:05</v>
      </c>
      <c r="P90" s="16" t="s">
        <v>317</v>
      </c>
      <c r="Q90" s="16" t="s">
        <v>318</v>
      </c>
      <c r="R90" s="16">
        <v>608566017</v>
      </c>
      <c r="S90" s="16">
        <v>7</v>
      </c>
      <c r="T90" s="16" t="s">
        <v>27</v>
      </c>
      <c r="U90" s="16" t="s">
        <v>319</v>
      </c>
      <c r="V90" s="16" t="s">
        <v>151</v>
      </c>
      <c r="W90" s="16" t="s">
        <v>152</v>
      </c>
      <c r="X90" s="16" t="s">
        <v>320</v>
      </c>
      <c r="Y90" s="60"/>
      <c r="Z90" s="60"/>
      <c r="AA90" s="60"/>
      <c r="AB90" s="78"/>
      <c r="AC90" s="59"/>
      <c r="AD90" s="59"/>
      <c r="AE90" s="90"/>
      <c r="AH90" s="40"/>
      <c r="AI90" s="40"/>
    </row>
    <row r="91" spans="1:43" ht="15.75">
      <c r="A91" s="76" t="s">
        <v>157</v>
      </c>
      <c r="B91">
        <v>102</v>
      </c>
      <c r="C91">
        <v>101</v>
      </c>
      <c r="E91" t="s">
        <v>51</v>
      </c>
      <c r="F91" t="s">
        <v>49</v>
      </c>
      <c r="G91" t="s">
        <v>50</v>
      </c>
      <c r="H91" t="s">
        <v>53</v>
      </c>
      <c r="I91" s="76"/>
      <c r="J91" s="76"/>
      <c r="K91" s="76"/>
      <c r="L91" s="78" t="s">
        <v>321</v>
      </c>
      <c r="M91" s="78" t="s">
        <v>322</v>
      </c>
      <c r="N91" s="76"/>
      <c r="O91" s="84" t="s">
        <v>313</v>
      </c>
      <c r="P91" s="32" t="s">
        <v>16</v>
      </c>
      <c r="Q91" s="91">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2">
        <f t="shared" ref="X91:X96" si="40">W91-V91</f>
        <v>1.3102544471621513E-7</v>
      </c>
      <c r="AB91" s="50">
        <v>334134</v>
      </c>
      <c r="AC91" s="50">
        <f t="shared" ref="AC91:AC96" si="41">AB91-V91</f>
        <v>-17659.850208784279</v>
      </c>
      <c r="AD91" s="88">
        <f t="shared" ref="AD91:AD96" si="42">AC91*8/1000000</f>
        <v>-0.14127880167027423</v>
      </c>
      <c r="AE91" s="62">
        <f t="shared" ref="AE91:AE96" si="43">AC91/AB91</f>
        <v>-5.2852598684313114E-2</v>
      </c>
      <c r="AF91" s="31" t="s">
        <v>314</v>
      </c>
      <c r="AG91" s="34" t="s">
        <v>313</v>
      </c>
      <c r="AH91" s="40">
        <f t="shared" ref="AH91:AH96" si="44">X91*8/1000000</f>
        <v>1.0482035577297211E-12</v>
      </c>
      <c r="AI91" s="40">
        <f t="shared" ref="AI91:AI96" si="45">V91*8/1000000</f>
        <v>2.8143508016702743</v>
      </c>
    </row>
    <row r="92" spans="1:43" ht="30">
      <c r="B92">
        <v>102</v>
      </c>
      <c r="C92">
        <v>101</v>
      </c>
      <c r="E92" t="s">
        <v>51</v>
      </c>
      <c r="F92" t="s">
        <v>49</v>
      </c>
      <c r="G92" t="s">
        <v>50</v>
      </c>
      <c r="H92" t="s">
        <v>53</v>
      </c>
      <c r="L92" s="78" t="s">
        <v>322</v>
      </c>
      <c r="M92" s="78" t="s">
        <v>323</v>
      </c>
      <c r="O92" s="84" t="s">
        <v>324</v>
      </c>
      <c r="P92" s="32" t="s">
        <v>325</v>
      </c>
      <c r="Q92" s="85">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2">
        <f t="shared" si="40"/>
        <v>-8.0326572060585022E-8</v>
      </c>
      <c r="Y92" s="77">
        <f>1.1*AN92</f>
        <v>8.1180000000000003</v>
      </c>
      <c r="Z92" s="33"/>
      <c r="AA92" s="33"/>
      <c r="AB92" s="50">
        <v>1116266</v>
      </c>
      <c r="AC92" s="50">
        <f t="shared" si="41"/>
        <v>101515.99999991967</v>
      </c>
      <c r="AD92" s="88">
        <f t="shared" si="42"/>
        <v>0.81212799999935736</v>
      </c>
      <c r="AE92" s="62">
        <f t="shared" si="43"/>
        <v>9.0942481451481705E-2</v>
      </c>
      <c r="AF92" s="31" t="s">
        <v>326</v>
      </c>
      <c r="AG92" s="34" t="s">
        <v>324</v>
      </c>
      <c r="AH92" s="40">
        <f t="shared" si="44"/>
        <v>-6.4261257648468014E-13</v>
      </c>
      <c r="AI92" s="40">
        <f t="shared" si="45"/>
        <v>8.1180000000006434</v>
      </c>
      <c r="AJ92" s="3"/>
      <c r="AK92" s="3"/>
      <c r="AL92" s="89" t="s">
        <v>327</v>
      </c>
      <c r="AM92" s="89" t="s">
        <v>328</v>
      </c>
      <c r="AN92" s="89">
        <v>7.38</v>
      </c>
      <c r="AO92" s="89">
        <v>7.38</v>
      </c>
      <c r="AP92" s="89">
        <v>7.38</v>
      </c>
      <c r="AQ92" s="92">
        <f>AQ89+AP92</f>
        <v>22.48</v>
      </c>
    </row>
    <row r="93" spans="1:43" ht="30">
      <c r="B93">
        <v>102</v>
      </c>
      <c r="C93">
        <v>101</v>
      </c>
      <c r="E93" t="s">
        <v>51</v>
      </c>
      <c r="F93" t="s">
        <v>49</v>
      </c>
      <c r="G93" t="s">
        <v>50</v>
      </c>
      <c r="H93" t="s">
        <v>53</v>
      </c>
      <c r="L93" s="78" t="s">
        <v>323</v>
      </c>
      <c r="M93" s="78" t="s">
        <v>329</v>
      </c>
      <c r="O93" s="84" t="s">
        <v>330</v>
      </c>
      <c r="P93" s="32" t="s">
        <v>331</v>
      </c>
      <c r="Q93" s="85">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2">
        <f t="shared" si="40"/>
        <v>-7.1362592279911041E-8</v>
      </c>
      <c r="Y93" s="77">
        <f>1.1*AN93</f>
        <v>6.2700000000000005</v>
      </c>
      <c r="Z93" s="33"/>
      <c r="AA93" s="33"/>
      <c r="AB93" s="50">
        <v>862324</v>
      </c>
      <c r="AC93" s="50">
        <f t="shared" si="41"/>
        <v>78573.999999928637</v>
      </c>
      <c r="AD93" s="88">
        <f t="shared" si="42"/>
        <v>0.62859199999942905</v>
      </c>
      <c r="AE93" s="62">
        <f t="shared" si="43"/>
        <v>9.1118883389455285E-2</v>
      </c>
      <c r="AF93" s="31" t="s">
        <v>332</v>
      </c>
      <c r="AG93" s="34" t="s">
        <v>330</v>
      </c>
      <c r="AH93" s="40">
        <f t="shared" si="44"/>
        <v>-5.7090073823928837E-13</v>
      </c>
      <c r="AI93" s="40">
        <f t="shared" si="45"/>
        <v>6.2700000000005707</v>
      </c>
      <c r="AL93" s="89" t="s">
        <v>333</v>
      </c>
      <c r="AM93" s="89" t="s">
        <v>334</v>
      </c>
      <c r="AN93" s="89">
        <v>5.7</v>
      </c>
      <c r="AO93" s="89">
        <v>5.7</v>
      </c>
      <c r="AP93" s="89">
        <v>5.7</v>
      </c>
      <c r="AQ93" s="92">
        <f>AQ92+AP93</f>
        <v>28.18</v>
      </c>
    </row>
    <row r="94" spans="1:43" ht="30">
      <c r="B94">
        <v>102</v>
      </c>
      <c r="C94">
        <v>101</v>
      </c>
      <c r="E94" t="s">
        <v>51</v>
      </c>
      <c r="F94" t="s">
        <v>49</v>
      </c>
      <c r="G94" t="s">
        <v>50</v>
      </c>
      <c r="H94" t="s">
        <v>53</v>
      </c>
      <c r="L94" s="78" t="s">
        <v>329</v>
      </c>
      <c r="M94" s="78" t="s">
        <v>335</v>
      </c>
      <c r="O94" s="84" t="s">
        <v>336</v>
      </c>
      <c r="P94" s="32" t="s">
        <v>337</v>
      </c>
      <c r="Q94" s="85">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2">
        <f t="shared" si="40"/>
        <v>-1.6530975699424744E-8</v>
      </c>
      <c r="Y94" s="77">
        <f>1.1*AN94</f>
        <v>10.637</v>
      </c>
      <c r="Z94" s="33"/>
      <c r="AA94" s="33"/>
      <c r="AB94" s="50">
        <v>1414898</v>
      </c>
      <c r="AC94" s="50">
        <f t="shared" si="41"/>
        <v>85272.999999983469</v>
      </c>
      <c r="AD94" s="88">
        <f t="shared" si="42"/>
        <v>0.68218399999986779</v>
      </c>
      <c r="AE94" s="62">
        <f t="shared" si="43"/>
        <v>6.0267948643636125E-2</v>
      </c>
      <c r="AF94" s="31" t="s">
        <v>338</v>
      </c>
      <c r="AG94" s="34" t="s">
        <v>336</v>
      </c>
      <c r="AH94" s="40">
        <f t="shared" si="44"/>
        <v>-1.3224780559539796E-13</v>
      </c>
      <c r="AI94" s="40">
        <f t="shared" si="45"/>
        <v>10.637000000000132</v>
      </c>
      <c r="AL94" s="89" t="s">
        <v>339</v>
      </c>
      <c r="AM94" s="89" t="s">
        <v>340</v>
      </c>
      <c r="AN94" s="89">
        <v>9.67</v>
      </c>
      <c r="AO94" s="89">
        <v>9.67</v>
      </c>
      <c r="AP94" s="89">
        <v>9.67</v>
      </c>
      <c r="AQ94" s="92">
        <f>AQ93+AP94</f>
        <v>37.85</v>
      </c>
    </row>
    <row r="95" spans="1:43" ht="30">
      <c r="B95">
        <v>102</v>
      </c>
      <c r="C95">
        <v>101</v>
      </c>
      <c r="E95" t="s">
        <v>51</v>
      </c>
      <c r="F95" t="s">
        <v>49</v>
      </c>
      <c r="G95" t="s">
        <v>50</v>
      </c>
      <c r="H95" t="s">
        <v>53</v>
      </c>
      <c r="L95" s="78" t="s">
        <v>335</v>
      </c>
      <c r="M95" s="78" t="s">
        <v>341</v>
      </c>
      <c r="N95" s="17"/>
      <c r="O95" s="84" t="s">
        <v>342</v>
      </c>
      <c r="P95" s="32" t="s">
        <v>343</v>
      </c>
      <c r="Q95" s="85">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2">
        <f t="shared" si="40"/>
        <v>1.1641532182693481E-9</v>
      </c>
      <c r="Y95" s="77">
        <f>1.1*AN95</f>
        <v>6.9409999999999998</v>
      </c>
      <c r="Z95" s="33"/>
      <c r="AA95" s="33"/>
      <c r="AB95" s="50">
        <v>924952</v>
      </c>
      <c r="AC95" s="50">
        <f t="shared" si="41"/>
        <v>57327.000000001164</v>
      </c>
      <c r="AD95" s="88">
        <f t="shared" si="42"/>
        <v>0.45861600000000929</v>
      </c>
      <c r="AE95" s="62">
        <f t="shared" si="43"/>
        <v>6.1978351309042161E-2</v>
      </c>
      <c r="AF95" s="31" t="s">
        <v>344</v>
      </c>
      <c r="AG95" s="34" t="s">
        <v>342</v>
      </c>
      <c r="AH95" s="40">
        <f t="shared" si="44"/>
        <v>9.3132257461547859E-15</v>
      </c>
      <c r="AI95" s="40">
        <f t="shared" si="45"/>
        <v>6.940999999999991</v>
      </c>
      <c r="AL95" s="89" t="s">
        <v>345</v>
      </c>
      <c r="AM95" s="89" t="s">
        <v>346</v>
      </c>
      <c r="AN95" s="89">
        <v>6.31</v>
      </c>
      <c r="AO95" s="89">
        <v>6.31</v>
      </c>
      <c r="AP95" s="89">
        <v>6.31</v>
      </c>
      <c r="AQ95" s="92">
        <f>AQ94+AP95</f>
        <v>44.160000000000004</v>
      </c>
    </row>
    <row r="96" spans="1:43" ht="30">
      <c r="B96">
        <v>102</v>
      </c>
      <c r="C96">
        <v>101</v>
      </c>
      <c r="E96" t="s">
        <v>51</v>
      </c>
      <c r="F96" t="s">
        <v>49</v>
      </c>
      <c r="G96" t="s">
        <v>50</v>
      </c>
      <c r="H96" t="s">
        <v>53</v>
      </c>
      <c r="L96" s="78" t="s">
        <v>341</v>
      </c>
      <c r="M96" s="78" t="s">
        <v>347</v>
      </c>
      <c r="N96" s="17"/>
      <c r="O96" s="84" t="s">
        <v>348</v>
      </c>
      <c r="P96" s="32" t="s">
        <v>349</v>
      </c>
      <c r="Q96" s="85">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2">
        <f t="shared" si="40"/>
        <v>2.7206260710954666E-7</v>
      </c>
      <c r="Y96" s="77">
        <f>1.1*AN96</f>
        <v>7.9530000000000012</v>
      </c>
      <c r="Z96" s="93">
        <f>SUM(Y89:Y96)</f>
        <v>56.529000000000011</v>
      </c>
      <c r="AA96" s="50"/>
      <c r="AB96" s="50">
        <v>1063706</v>
      </c>
      <c r="AC96" s="50">
        <f t="shared" si="41"/>
        <v>69581.000000271946</v>
      </c>
      <c r="AD96" s="88">
        <f t="shared" si="42"/>
        <v>0.55664800000217562</v>
      </c>
      <c r="AE96" s="62">
        <f t="shared" si="43"/>
        <v>6.5413751544385335E-2</v>
      </c>
      <c r="AF96" s="31" t="s">
        <v>350</v>
      </c>
      <c r="AG96" s="34" t="s">
        <v>348</v>
      </c>
      <c r="AH96" s="40">
        <f t="shared" si="44"/>
        <v>2.1765008568763734E-12</v>
      </c>
      <c r="AI96" s="40">
        <f t="shared" si="45"/>
        <v>7.9529999999978243</v>
      </c>
      <c r="AL96" s="89" t="s">
        <v>351</v>
      </c>
      <c r="AM96" s="89" t="s">
        <v>352</v>
      </c>
      <c r="AN96" s="89">
        <v>7.23</v>
      </c>
      <c r="AO96" s="89">
        <v>7.23</v>
      </c>
      <c r="AP96" s="89">
        <v>7.23</v>
      </c>
      <c r="AQ96" s="92">
        <f>AQ95+AP96</f>
        <v>51.39</v>
      </c>
    </row>
    <row r="97" spans="1:43" ht="15">
      <c r="L97" s="203" t="str" cm="1">
        <f t="array" aca="1" ref="L97" ca="1">MID(met2utc(Q96),3,12)</f>
        <v>25-133/05:40</v>
      </c>
      <c r="M97" s="203" t="str" cm="1">
        <f t="array" aca="1" ref="M97" ca="1">MID(met2utc(R96),3,12)</f>
        <v>25-135/14:32</v>
      </c>
      <c r="V97">
        <f>23*0.96</f>
        <v>22.08</v>
      </c>
      <c r="W97">
        <f>86400*V97</f>
        <v>1907711.9999999998</v>
      </c>
      <c r="Z97" s="59">
        <f>Y87</f>
        <v>0</v>
      </c>
      <c r="AB97" s="64">
        <f>AB96+AB91+AB85</f>
        <v>1397840</v>
      </c>
      <c r="AC97" s="3"/>
      <c r="AD97" s="3">
        <f>SUM(AD89:AD96)</f>
        <v>2.1029840000018876</v>
      </c>
      <c r="AE97" s="3"/>
      <c r="AH97" s="40"/>
      <c r="AI97" s="40"/>
    </row>
    <row r="98" spans="1:43" ht="15">
      <c r="F98" t="s">
        <v>49</v>
      </c>
      <c r="O98" t="s">
        <v>353</v>
      </c>
      <c r="Q98" s="3">
        <v>590138632</v>
      </c>
      <c r="Y98" s="3"/>
      <c r="Z98" s="5"/>
      <c r="AA98" s="5"/>
      <c r="AB98" s="5"/>
      <c r="AC98" s="20"/>
      <c r="AD98" s="20"/>
      <c r="AE98" s="20"/>
      <c r="AH98" s="40"/>
      <c r="AI98" s="40"/>
    </row>
    <row r="99" spans="1:43" ht="15">
      <c r="M99" t="s">
        <v>354</v>
      </c>
      <c r="P99" s="45" t="s">
        <v>355</v>
      </c>
      <c r="Q99" s="45" t="s">
        <v>356</v>
      </c>
      <c r="R99" s="45">
        <v>590207401</v>
      </c>
      <c r="S99" s="45">
        <v>1</v>
      </c>
      <c r="T99" s="45" t="s">
        <v>27</v>
      </c>
      <c r="U99" s="45" t="s">
        <v>357</v>
      </c>
      <c r="V99" s="45" t="s">
        <v>118</v>
      </c>
      <c r="W99" s="45"/>
      <c r="X99" s="45" t="s">
        <v>358</v>
      </c>
      <c r="Y99" s="48"/>
      <c r="AC99" s="3"/>
      <c r="AD99" s="3"/>
      <c r="AE99" s="3"/>
      <c r="AH99" s="40"/>
      <c r="AI99" s="40"/>
    </row>
    <row r="100" spans="1:43" ht="30">
      <c r="L100" s="94" t="s">
        <v>1261</v>
      </c>
      <c r="M100" s="94" t="s">
        <v>360</v>
      </c>
      <c r="N100" s="73" t="s">
        <v>18</v>
      </c>
      <c r="O100" s="34" t="s">
        <v>361</v>
      </c>
      <c r="P100" s="10" t="s">
        <v>10</v>
      </c>
      <c r="Q100" s="85">
        <f>Q98-3</f>
        <v>590138629</v>
      </c>
      <c r="R100" s="91">
        <f>R99+20</f>
        <v>590207421</v>
      </c>
      <c r="S100" s="21">
        <f>R100-Q100</f>
        <v>68792</v>
      </c>
      <c r="T100" s="21">
        <f>S100*$W$9</f>
        <v>253437.51089120371</v>
      </c>
      <c r="U100" s="3">
        <v>0</v>
      </c>
      <c r="V100" s="27">
        <f>T100+U100*$W$9</f>
        <v>253437.51089120371</v>
      </c>
      <c r="W100" s="20">
        <f>Y100*1000000/8</f>
        <v>396000</v>
      </c>
      <c r="X100" s="332">
        <f>W100-V100</f>
        <v>142562.48910879629</v>
      </c>
      <c r="Y100" s="77">
        <f>1.1*AN100</f>
        <v>3.1680000000000001</v>
      </c>
      <c r="Z100" s="33"/>
      <c r="AA100" s="33"/>
      <c r="AB100" s="50">
        <v>283727</v>
      </c>
      <c r="AC100" s="50">
        <f>AB100-W100</f>
        <v>-112273</v>
      </c>
      <c r="AD100" s="50">
        <f>AC100*8/1000000</f>
        <v>-0.89818399999999998</v>
      </c>
      <c r="AE100" s="50"/>
      <c r="AF100" s="31" t="s">
        <v>362</v>
      </c>
      <c r="AG100" s="34" t="s">
        <v>361</v>
      </c>
      <c r="AH100" s="40">
        <f>X100*8/1000000</f>
        <v>1.1404999128703703</v>
      </c>
      <c r="AI100" s="40">
        <f>V100*8/1000000</f>
        <v>2.0275000871296296</v>
      </c>
      <c r="AL100" s="95" t="s">
        <v>363</v>
      </c>
      <c r="AM100" s="95" t="s">
        <v>364</v>
      </c>
      <c r="AN100" s="95">
        <v>2.88</v>
      </c>
      <c r="AO100" s="95">
        <v>2.88</v>
      </c>
      <c r="AP100" s="95">
        <v>2.88</v>
      </c>
      <c r="AQ100" s="48">
        <f>AP100</f>
        <v>2.88</v>
      </c>
    </row>
    <row r="101" spans="1:43" ht="15">
      <c r="O101" t="s">
        <v>23</v>
      </c>
      <c r="P101" s="46" t="s">
        <v>365</v>
      </c>
      <c r="Q101" s="46" t="s">
        <v>366</v>
      </c>
      <c r="R101" s="46">
        <v>590247116</v>
      </c>
      <c r="S101" s="46">
        <v>7</v>
      </c>
      <c r="T101" s="46" t="s">
        <v>27</v>
      </c>
      <c r="U101" s="46" t="s">
        <v>367</v>
      </c>
      <c r="V101" s="45" t="s">
        <v>101</v>
      </c>
      <c r="W101" s="46" t="s">
        <v>102</v>
      </c>
      <c r="X101" s="46" t="s">
        <v>368</v>
      </c>
      <c r="Y101" s="48"/>
      <c r="Z101" s="48"/>
      <c r="AA101" s="48"/>
      <c r="AB101" s="48"/>
      <c r="AC101" s="47"/>
      <c r="AD101" s="47"/>
      <c r="AE101" s="47"/>
      <c r="AG101" t="s">
        <v>23</v>
      </c>
      <c r="AH101" s="40"/>
      <c r="AI101" s="40"/>
    </row>
    <row r="102" spans="1:43" ht="15.75">
      <c r="A102" s="73" t="s">
        <v>157</v>
      </c>
      <c r="B102" s="73"/>
      <c r="C102" s="73"/>
      <c r="D102" s="73"/>
      <c r="E102" s="73"/>
      <c r="F102" s="73"/>
      <c r="G102" s="73"/>
      <c r="H102" s="73"/>
      <c r="I102" s="73"/>
      <c r="J102" s="73"/>
      <c r="K102" s="73"/>
      <c r="L102" s="94" t="s">
        <v>369</v>
      </c>
      <c r="M102" s="94" t="s">
        <v>370</v>
      </c>
      <c r="N102" t="s">
        <v>1259</v>
      </c>
      <c r="O102" s="34" t="s">
        <v>361</v>
      </c>
      <c r="P102" s="32" t="s">
        <v>10</v>
      </c>
      <c r="Q102" s="91">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2">
        <f t="shared" ref="X102:X107" si="50">W102-V102</f>
        <v>1.0061194188892841E-7</v>
      </c>
      <c r="AB102" s="50">
        <v>191209</v>
      </c>
      <c r="AC102" s="50">
        <f t="shared" ref="AC102:AC107" si="51">AB102-W102</f>
        <v>48646.51089120371</v>
      </c>
      <c r="AD102" s="50">
        <f t="shared" ref="AD102:AD107" si="52">AC102*8/1000000</f>
        <v>0.3891720871296297</v>
      </c>
      <c r="AE102" s="50"/>
      <c r="AH102" s="40">
        <f t="shared" ref="AH102:AH107" si="53">X102*8/1000000</f>
        <v>8.0489553511142731E-13</v>
      </c>
      <c r="AI102" s="40">
        <f t="shared" ref="AI102:AI107" si="54">V102*8/1000000</f>
        <v>1.1404999128695654</v>
      </c>
    </row>
    <row r="103" spans="1:43" ht="30">
      <c r="L103" s="94" t="s">
        <v>370</v>
      </c>
      <c r="M103" s="94" t="s">
        <v>371</v>
      </c>
      <c r="O103" s="34" t="s">
        <v>372</v>
      </c>
      <c r="P103" s="32" t="s">
        <v>373</v>
      </c>
      <c r="Q103" s="85">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2">
        <f t="shared" si="50"/>
        <v>-8.3586201071739197E-8</v>
      </c>
      <c r="Y103" s="77">
        <f>1.1*AN103</f>
        <v>11.297000000000001</v>
      </c>
      <c r="Z103" s="33"/>
      <c r="AA103" s="33"/>
      <c r="AB103" s="50">
        <v>1411117</v>
      </c>
      <c r="AC103" s="50">
        <f t="shared" si="51"/>
        <v>-1008</v>
      </c>
      <c r="AD103" s="50">
        <f t="shared" si="52"/>
        <v>-8.064E-3</v>
      </c>
      <c r="AE103" s="50"/>
      <c r="AF103" s="31" t="s">
        <v>374</v>
      </c>
      <c r="AG103" s="34" t="s">
        <v>372</v>
      </c>
      <c r="AH103" s="40">
        <f t="shared" si="53"/>
        <v>-6.6868960857391357E-13</v>
      </c>
      <c r="AI103" s="40">
        <f t="shared" si="54"/>
        <v>11.297000000000669</v>
      </c>
      <c r="AL103" s="95" t="s">
        <v>375</v>
      </c>
      <c r="AM103" s="95" t="s">
        <v>376</v>
      </c>
      <c r="AN103" s="95">
        <v>10.27</v>
      </c>
      <c r="AO103" s="95">
        <v>10.27</v>
      </c>
      <c r="AP103" s="95">
        <v>10.27</v>
      </c>
      <c r="AQ103" s="48">
        <f>AQ100+AP103</f>
        <v>13.149999999999999</v>
      </c>
    </row>
    <row r="104" spans="1:43" ht="30">
      <c r="L104" s="94" t="s">
        <v>371</v>
      </c>
      <c r="M104" s="94" t="s">
        <v>377</v>
      </c>
      <c r="O104" s="34" t="s">
        <v>378</v>
      </c>
      <c r="P104" s="32" t="s">
        <v>17</v>
      </c>
      <c r="Q104" s="85">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2">
        <f t="shared" si="50"/>
        <v>2.7939677238464355E-8</v>
      </c>
      <c r="Y104" s="77">
        <f>1.1*AN104</f>
        <v>23.144000000000002</v>
      </c>
      <c r="Z104" s="33"/>
      <c r="AA104" s="33"/>
      <c r="AB104" s="50">
        <v>2901234</v>
      </c>
      <c r="AC104" s="50">
        <f t="shared" si="51"/>
        <v>8233.9999999995343</v>
      </c>
      <c r="AD104" s="50">
        <f t="shared" si="52"/>
        <v>6.5871999999996281E-2</v>
      </c>
      <c r="AE104" s="50"/>
      <c r="AF104" s="31" t="s">
        <v>379</v>
      </c>
      <c r="AG104" s="34" t="s">
        <v>378</v>
      </c>
      <c r="AH104" s="40">
        <f t="shared" si="53"/>
        <v>2.2351741790771485E-13</v>
      </c>
      <c r="AI104" s="40">
        <f t="shared" si="54"/>
        <v>23.143999999999782</v>
      </c>
      <c r="AL104" s="95" t="s">
        <v>380</v>
      </c>
      <c r="AM104" s="95" t="s">
        <v>381</v>
      </c>
      <c r="AN104" s="95">
        <v>21.04</v>
      </c>
      <c r="AO104" s="95">
        <v>21.04</v>
      </c>
      <c r="AP104" s="95">
        <v>21.04</v>
      </c>
      <c r="AQ104" s="48">
        <f>AQ103+AP104</f>
        <v>34.19</v>
      </c>
    </row>
    <row r="105" spans="1:43" ht="30">
      <c r="L105" s="94" t="s">
        <v>377</v>
      </c>
      <c r="M105" s="94" t="s">
        <v>382</v>
      </c>
      <c r="N105" s="17"/>
      <c r="O105" s="34" t="s">
        <v>383</v>
      </c>
      <c r="P105" s="32" t="s">
        <v>384</v>
      </c>
      <c r="Q105" s="85">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2">
        <f t="shared" si="50"/>
        <v>-1.0477378964424133E-7</v>
      </c>
      <c r="Y105" s="77">
        <f>1.1*AN105</f>
        <v>10.043000000000001</v>
      </c>
      <c r="Z105" s="33"/>
      <c r="AA105" s="33"/>
      <c r="AB105" s="50">
        <v>1259168</v>
      </c>
      <c r="AC105" s="50">
        <f t="shared" si="51"/>
        <v>3792.9999999997672</v>
      </c>
      <c r="AD105" s="50">
        <f t="shared" si="52"/>
        <v>3.0343999999998136E-2</v>
      </c>
      <c r="AE105" s="50"/>
      <c r="AF105" s="31" t="s">
        <v>385</v>
      </c>
      <c r="AG105" s="34" t="s">
        <v>383</v>
      </c>
      <c r="AH105" s="40">
        <f t="shared" si="53"/>
        <v>-8.3819031715393064E-13</v>
      </c>
      <c r="AI105" s="40">
        <f t="shared" si="54"/>
        <v>10.043000000000839</v>
      </c>
      <c r="AL105" s="95" t="s">
        <v>386</v>
      </c>
      <c r="AM105" s="95" t="s">
        <v>387</v>
      </c>
      <c r="AN105" s="95">
        <v>9.1300000000000008</v>
      </c>
      <c r="AO105" s="95">
        <v>9.1300000000000008</v>
      </c>
      <c r="AP105" s="95">
        <v>9.1300000000000008</v>
      </c>
      <c r="AQ105" s="48">
        <f>AQ104+AP105</f>
        <v>43.32</v>
      </c>
    </row>
    <row r="106" spans="1:43" ht="30">
      <c r="L106" s="47" t="s">
        <v>382</v>
      </c>
      <c r="M106" s="47" t="s">
        <v>388</v>
      </c>
      <c r="O106" s="34" t="s">
        <v>389</v>
      </c>
      <c r="P106" s="32" t="s">
        <v>390</v>
      </c>
      <c r="Q106" s="58">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2">
        <f t="shared" si="50"/>
        <v>7.8813172876834869E-8</v>
      </c>
      <c r="Y106" s="77">
        <f>1.1*AN106</f>
        <v>7.2820000000000009</v>
      </c>
      <c r="Z106" s="33"/>
      <c r="AA106" s="33"/>
      <c r="AB106" s="50">
        <v>915898</v>
      </c>
      <c r="AC106" s="50">
        <f t="shared" si="51"/>
        <v>5647.9999999998836</v>
      </c>
      <c r="AD106" s="50">
        <f t="shared" si="52"/>
        <v>4.5183999999999072E-2</v>
      </c>
      <c r="AE106" s="50"/>
      <c r="AF106" s="31" t="s">
        <v>391</v>
      </c>
      <c r="AG106" s="34" t="s">
        <v>389</v>
      </c>
      <c r="AH106" s="40">
        <f t="shared" si="53"/>
        <v>6.3050538301467893E-13</v>
      </c>
      <c r="AI106" s="40">
        <f t="shared" si="54"/>
        <v>7.2819999999993703</v>
      </c>
      <c r="AL106" s="95" t="s">
        <v>392</v>
      </c>
      <c r="AM106" s="95" t="s">
        <v>393</v>
      </c>
      <c r="AN106" s="95">
        <v>6.62</v>
      </c>
      <c r="AO106" s="95">
        <v>6.62</v>
      </c>
      <c r="AP106" s="95">
        <v>6.62</v>
      </c>
      <c r="AQ106" s="48">
        <f>AQ105+AP106</f>
        <v>49.94</v>
      </c>
    </row>
    <row r="107" spans="1:43" ht="30">
      <c r="L107" s="47" t="s">
        <v>388</v>
      </c>
      <c r="M107" s="47" t="s">
        <v>394</v>
      </c>
      <c r="O107" s="34" t="s">
        <v>395</v>
      </c>
      <c r="P107" s="32" t="s">
        <v>396</v>
      </c>
      <c r="Q107" s="58">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2">
        <f t="shared" si="50"/>
        <v>-7.9628080129623413E-8</v>
      </c>
      <c r="Y107" s="77">
        <f>1.1*AN107</f>
        <v>11.506000000000002</v>
      </c>
      <c r="Z107" s="96">
        <f>SUM(Y100:Y107)</f>
        <v>66.440000000000012</v>
      </c>
      <c r="AA107" s="50"/>
      <c r="AB107" s="50">
        <v>1436041</v>
      </c>
      <c r="AC107" s="50">
        <f t="shared" si="51"/>
        <v>-2209.0000000002328</v>
      </c>
      <c r="AD107" s="50">
        <f t="shared" si="52"/>
        <v>-1.7672000000001863E-2</v>
      </c>
      <c r="AE107" s="50"/>
      <c r="AF107" s="31" t="s">
        <v>397</v>
      </c>
      <c r="AG107" s="34" t="s">
        <v>395</v>
      </c>
      <c r="AH107" s="40">
        <f t="shared" si="53"/>
        <v>-6.3702464103698734E-13</v>
      </c>
      <c r="AI107" s="40">
        <f t="shared" si="54"/>
        <v>11.50600000000064</v>
      </c>
      <c r="AL107" s="95" t="s">
        <v>398</v>
      </c>
      <c r="AM107" s="95" t="s">
        <v>399</v>
      </c>
      <c r="AN107" s="95">
        <v>10.46</v>
      </c>
      <c r="AO107" s="95">
        <v>10.46</v>
      </c>
      <c r="AP107" s="95">
        <v>10.46</v>
      </c>
      <c r="AQ107" s="48">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0"/>
      <c r="AI108" s="40"/>
    </row>
    <row r="109" spans="1:43" ht="15.75">
      <c r="P109" s="32" t="s">
        <v>401</v>
      </c>
      <c r="Q109" s="58">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2">
        <f>W109-V109</f>
        <v>-3.9115548133850098E-8</v>
      </c>
      <c r="Y109" s="77">
        <f>W109*8/1000000</f>
        <v>13.281712000000001</v>
      </c>
      <c r="Z109" t="s">
        <v>402</v>
      </c>
      <c r="AC109" s="3" t="s">
        <v>155</v>
      </c>
      <c r="AD109" s="3"/>
      <c r="AE109" s="3"/>
      <c r="AH109" s="40">
        <f>X109*8/1000000</f>
        <v>-3.1292438507080076E-13</v>
      </c>
      <c r="AI109" s="40">
        <f>V109*8/1000000</f>
        <v>13.281712000000313</v>
      </c>
    </row>
    <row r="110" spans="1:43" ht="15">
      <c r="AC110" s="3"/>
      <c r="AH110" s="40"/>
      <c r="AI110" s="40"/>
      <c r="AJ110" s="97"/>
      <c r="AK110" s="97"/>
      <c r="AL110" s="97"/>
      <c r="AM110" s="97"/>
      <c r="AN110" s="97"/>
    </row>
    <row r="111" spans="1:43" ht="15">
      <c r="AC111" s="3"/>
      <c r="AI111" s="97"/>
      <c r="AJ111" s="97"/>
      <c r="AK111" s="97"/>
      <c r="AL111" s="97"/>
      <c r="AM111" s="97"/>
    </row>
    <row r="112" spans="1:43" ht="15">
      <c r="AA112" s="60"/>
      <c r="AC112" s="3"/>
      <c r="AI112" s="97"/>
      <c r="AJ112" s="97"/>
      <c r="AK112" s="97"/>
      <c r="AL112" s="97"/>
      <c r="AM112" s="97"/>
    </row>
    <row r="113" spans="12:42" ht="15">
      <c r="AG113" s="97"/>
      <c r="AH113" s="97"/>
      <c r="AI113" s="97"/>
      <c r="AJ113" s="97"/>
      <c r="AK113" s="97"/>
    </row>
    <row r="115" spans="12:42" ht="15">
      <c r="AK115" s="65"/>
      <c r="AL115" s="65"/>
      <c r="AM115" s="65"/>
      <c r="AN115" s="65"/>
      <c r="AO115" s="65"/>
    </row>
    <row r="116" spans="12:42" ht="15">
      <c r="AK116" s="65"/>
      <c r="AL116" s="65"/>
      <c r="AM116" s="65"/>
      <c r="AN116" s="65"/>
      <c r="AO116" s="65"/>
    </row>
    <row r="117" spans="12:42" ht="15">
      <c r="AK117" s="65"/>
      <c r="AL117" s="65"/>
      <c r="AM117" s="65"/>
      <c r="AN117" s="65"/>
      <c r="AO117" s="65"/>
    </row>
    <row r="118" spans="12:42" ht="15">
      <c r="AK118" s="65"/>
      <c r="AL118" s="65"/>
      <c r="AM118" s="65"/>
      <c r="AN118" s="65"/>
      <c r="AO118" s="65"/>
    </row>
    <row r="119" spans="12:42" ht="15">
      <c r="P119" s="15" t="s">
        <v>403</v>
      </c>
      <c r="Q119" s="15" t="s">
        <v>404</v>
      </c>
      <c r="R119" s="15">
        <v>611744576</v>
      </c>
      <c r="S119" s="15">
        <v>7</v>
      </c>
      <c r="T119" s="15" t="s">
        <v>27</v>
      </c>
      <c r="U119" s="15" t="s">
        <v>405</v>
      </c>
      <c r="V119" s="15" t="s">
        <v>151</v>
      </c>
      <c r="W119" s="15" t="s">
        <v>152</v>
      </c>
      <c r="X119" s="15" t="s">
        <v>406</v>
      </c>
      <c r="Y119" s="60"/>
      <c r="Z119" s="60"/>
      <c r="AA119" s="60"/>
      <c r="AK119" s="65"/>
      <c r="AL119" s="65"/>
      <c r="AM119" s="65"/>
      <c r="AN119" s="65"/>
      <c r="AO119" s="65"/>
    </row>
    <row r="120" spans="12:42" ht="15">
      <c r="P120" s="15" t="s">
        <v>407</v>
      </c>
      <c r="Q120" s="15" t="s">
        <v>408</v>
      </c>
      <c r="R120" s="15">
        <v>611746916</v>
      </c>
      <c r="S120" s="15">
        <v>0</v>
      </c>
      <c r="T120" s="15" t="s">
        <v>409</v>
      </c>
      <c r="U120" s="15" t="s">
        <v>410</v>
      </c>
      <c r="V120" s="15" t="s">
        <v>411</v>
      </c>
      <c r="W120" s="15"/>
      <c r="X120" s="15" t="s">
        <v>406</v>
      </c>
      <c r="Y120" s="60"/>
      <c r="Z120" s="60"/>
      <c r="AA120" s="60"/>
      <c r="AG120" s="97"/>
      <c r="AH120" s="97"/>
      <c r="AI120" s="97"/>
      <c r="AJ120" s="97"/>
      <c r="AK120" s="65"/>
      <c r="AL120" s="65"/>
      <c r="AM120" s="65"/>
      <c r="AN120" s="65"/>
      <c r="AO120" s="65"/>
    </row>
    <row r="121" spans="12:42" ht="15">
      <c r="AK121" s="65"/>
      <c r="AL121" s="65"/>
      <c r="AM121" s="65"/>
      <c r="AN121" s="65"/>
      <c r="AO121" s="65"/>
    </row>
    <row r="122" spans="12:42" ht="15">
      <c r="P122" s="15" t="s">
        <v>412</v>
      </c>
      <c r="Q122" s="15" t="s">
        <v>413</v>
      </c>
      <c r="R122" s="15">
        <v>611791076</v>
      </c>
      <c r="S122" s="15">
        <v>0</v>
      </c>
      <c r="T122" s="15" t="s">
        <v>409</v>
      </c>
      <c r="U122" s="15" t="s">
        <v>414</v>
      </c>
      <c r="V122" s="15" t="s">
        <v>415</v>
      </c>
      <c r="W122" s="15"/>
      <c r="X122" s="15"/>
      <c r="AK122" s="65"/>
      <c r="AL122" s="65"/>
      <c r="AM122" s="65"/>
      <c r="AN122" s="65"/>
      <c r="AO122" s="65"/>
    </row>
    <row r="123" spans="12:42" ht="15">
      <c r="P123" s="15" t="s">
        <v>412</v>
      </c>
      <c r="Q123" s="15" t="s">
        <v>413</v>
      </c>
      <c r="R123" s="15">
        <v>611791076</v>
      </c>
      <c r="S123" s="15">
        <v>0</v>
      </c>
      <c r="T123" s="15" t="s">
        <v>409</v>
      </c>
      <c r="U123" s="15" t="s">
        <v>414</v>
      </c>
      <c r="V123" s="15" t="s">
        <v>416</v>
      </c>
      <c r="W123" s="15" t="s">
        <v>417</v>
      </c>
      <c r="X123" s="15"/>
      <c r="AK123" s="65"/>
      <c r="AL123" s="65"/>
      <c r="AM123" s="65"/>
      <c r="AN123" s="65"/>
      <c r="AO123" s="65"/>
    </row>
    <row r="124" spans="12:42" ht="15">
      <c r="P124" s="15" t="s">
        <v>412</v>
      </c>
      <c r="Q124" s="15" t="s">
        <v>413</v>
      </c>
      <c r="R124" s="15">
        <v>611791076</v>
      </c>
      <c r="S124" s="15">
        <v>0</v>
      </c>
      <c r="T124" s="15" t="s">
        <v>409</v>
      </c>
      <c r="U124" s="15" t="s">
        <v>414</v>
      </c>
      <c r="V124" s="15" t="s">
        <v>418</v>
      </c>
      <c r="W124" s="15"/>
      <c r="X124" s="15"/>
      <c r="AB124" t="s">
        <v>419</v>
      </c>
      <c r="AK124" s="65"/>
      <c r="AL124" s="65"/>
      <c r="AM124" s="65"/>
      <c r="AN124" s="65"/>
      <c r="AO124" s="65"/>
    </row>
    <row r="125" spans="12:42" ht="15.75" thickBot="1">
      <c r="X125" t="s">
        <v>198</v>
      </c>
      <c r="AK125" s="65"/>
      <c r="AL125" s="65"/>
      <c r="AM125" s="65"/>
      <c r="AN125" s="65"/>
      <c r="AO125" s="65"/>
    </row>
    <row r="126" spans="12:42" ht="15">
      <c r="P126" s="9">
        <v>25159</v>
      </c>
      <c r="T126" s="3"/>
      <c r="V126" s="18"/>
      <c r="X126" t="s">
        <v>295</v>
      </c>
      <c r="AK126" s="65"/>
      <c r="AL126" s="65"/>
      <c r="AM126" s="65"/>
      <c r="AN126" s="65"/>
      <c r="AO126" s="65"/>
    </row>
    <row r="127" spans="12:42" ht="15">
      <c r="P127" s="12" t="s">
        <v>122</v>
      </c>
      <c r="Q127" s="11" t="s">
        <v>5</v>
      </c>
      <c r="R127" s="12" t="s">
        <v>6</v>
      </c>
      <c r="S127" s="12" t="s">
        <v>7</v>
      </c>
      <c r="T127" s="13" t="s">
        <v>8</v>
      </c>
      <c r="U127" s="3" t="s">
        <v>22</v>
      </c>
      <c r="V127" s="13" t="s">
        <v>25</v>
      </c>
      <c r="W127" s="12" t="s">
        <v>26</v>
      </c>
      <c r="X127" s="12" t="s">
        <v>9</v>
      </c>
      <c r="AC127" t="s">
        <v>147</v>
      </c>
      <c r="AK127" s="65"/>
      <c r="AL127" s="65"/>
      <c r="AM127" s="65"/>
      <c r="AN127" s="65"/>
      <c r="AO127" s="65"/>
    </row>
    <row r="128" spans="12:42" ht="15">
      <c r="L128" t="s">
        <v>420</v>
      </c>
      <c r="P128" s="15" t="s">
        <v>421</v>
      </c>
      <c r="Q128" s="15" t="s">
        <v>422</v>
      </c>
      <c r="R128" s="418">
        <v>609911802</v>
      </c>
      <c r="S128" s="15">
        <v>1</v>
      </c>
      <c r="T128" s="15" t="s">
        <v>27</v>
      </c>
      <c r="U128" s="15" t="s">
        <v>194</v>
      </c>
      <c r="V128" s="15" t="s">
        <v>28</v>
      </c>
      <c r="W128" s="15"/>
      <c r="X128" s="15" t="s">
        <v>423</v>
      </c>
      <c r="Y128" s="60"/>
      <c r="Z128" s="60"/>
      <c r="AB128" s="3" t="s">
        <v>424</v>
      </c>
      <c r="AC128" s="3" t="s">
        <v>155</v>
      </c>
      <c r="AH128" t="s">
        <v>306</v>
      </c>
      <c r="AI128" t="s">
        <v>121</v>
      </c>
      <c r="AM128" s="65"/>
      <c r="AN128" s="65"/>
      <c r="AO128" s="65"/>
      <c r="AP128" s="65"/>
    </row>
    <row r="129" spans="1:48" ht="15.75">
      <c r="B129">
        <v>102</v>
      </c>
      <c r="C129">
        <v>101</v>
      </c>
      <c r="E129" t="s">
        <v>51</v>
      </c>
      <c r="F129" t="s">
        <v>49</v>
      </c>
      <c r="G129" t="s">
        <v>50</v>
      </c>
      <c r="L129" s="78" t="s">
        <v>347</v>
      </c>
      <c r="M129" s="78" t="s">
        <v>425</v>
      </c>
      <c r="N129" s="17" t="s">
        <v>18</v>
      </c>
      <c r="O129" s="84" t="str">
        <f>AG129</f>
        <v>160/16:16</v>
      </c>
      <c r="P129" s="32" t="s">
        <v>11</v>
      </c>
      <c r="Q129" s="85">
        <f>R96-1</f>
        <v>609625452.99091506</v>
      </c>
      <c r="R129" s="86">
        <f>R128+20</f>
        <v>609911822</v>
      </c>
      <c r="S129" s="21">
        <f>R129-Q129</f>
        <v>286369.00908493996</v>
      </c>
      <c r="T129" s="21">
        <f>S129*$V$13</f>
        <v>1082666.264182217</v>
      </c>
      <c r="U129" s="3">
        <v>0</v>
      </c>
      <c r="V129" s="27">
        <f>T129+U129*$V$38</f>
        <v>1082666.264182217</v>
      </c>
      <c r="W129" s="20">
        <f>Y129*1000000/8</f>
        <v>1236125.0000000002</v>
      </c>
      <c r="X129" s="332">
        <f>W129-V129</f>
        <v>153458.73581778328</v>
      </c>
      <c r="Y129" s="77">
        <f>1.1*AL129</f>
        <v>9.8890000000000011</v>
      </c>
      <c r="Z129" s="93">
        <f>SUM(Y121:Y129)</f>
        <v>9.8890000000000011</v>
      </c>
      <c r="AA129" s="50"/>
      <c r="AB129" s="50">
        <v>1242139</v>
      </c>
      <c r="AC129" s="50">
        <f>AB129-T129</f>
        <v>159472.73581778305</v>
      </c>
      <c r="AD129" s="98">
        <f>AC129*8/1000000</f>
        <v>1.2757818865422643</v>
      </c>
      <c r="AE129" s="62">
        <f>AC129/AB129</f>
        <v>0.1283855798890326</v>
      </c>
      <c r="AF129" s="31" t="s">
        <v>426</v>
      </c>
      <c r="AG129" s="34" t="s">
        <v>427</v>
      </c>
      <c r="AH129" s="40">
        <f>X129*8/1000000</f>
        <v>1.2276698865422662</v>
      </c>
      <c r="AI129" s="40">
        <f>V129*8/1000000</f>
        <v>8.6613301134577352</v>
      </c>
      <c r="AJ129" s="70" t="s">
        <v>428</v>
      </c>
      <c r="AK129" s="65" t="s">
        <v>429</v>
      </c>
      <c r="AL129" s="65">
        <v>8.99</v>
      </c>
      <c r="AM129" s="65">
        <v>8.99</v>
      </c>
      <c r="AN129" s="65">
        <v>8.99</v>
      </c>
      <c r="AP129" s="65"/>
      <c r="AQ129" s="65"/>
      <c r="AR129" s="65"/>
      <c r="AS129" s="65"/>
      <c r="AT129" s="65"/>
      <c r="AU129" s="65"/>
      <c r="AV129" s="65"/>
    </row>
    <row r="130" spans="1:48" ht="15">
      <c r="P130" s="15" t="s">
        <v>430</v>
      </c>
      <c r="Q130" s="16" t="s">
        <v>431</v>
      </c>
      <c r="R130" s="15">
        <v>609912716</v>
      </c>
      <c r="S130" s="15">
        <v>7</v>
      </c>
      <c r="T130" s="15" t="s">
        <v>27</v>
      </c>
      <c r="U130" s="15" t="s">
        <v>405</v>
      </c>
      <c r="V130" s="15" t="s">
        <v>151</v>
      </c>
      <c r="W130" s="15" t="s">
        <v>152</v>
      </c>
      <c r="X130" s="15" t="s">
        <v>432</v>
      </c>
      <c r="Y130" s="60"/>
      <c r="Z130" s="60"/>
      <c r="AA130" s="59"/>
      <c r="AB130" s="59"/>
      <c r="AC130" s="3" t="s">
        <v>433</v>
      </c>
      <c r="AD130" s="99"/>
      <c r="AK130" s="65"/>
      <c r="AL130" s="65"/>
      <c r="AM130" s="65"/>
      <c r="AO130" s="65"/>
      <c r="AP130" s="65"/>
    </row>
    <row r="131" spans="1:48" ht="15">
      <c r="N131" s="17"/>
      <c r="P131" s="15" t="s">
        <v>434</v>
      </c>
      <c r="Q131" s="15" t="s">
        <v>435</v>
      </c>
      <c r="R131" s="15">
        <v>609914566</v>
      </c>
      <c r="S131" s="15">
        <v>0</v>
      </c>
      <c r="T131" s="15" t="s">
        <v>409</v>
      </c>
      <c r="U131" s="15" t="s">
        <v>436</v>
      </c>
      <c r="V131" s="15" t="s">
        <v>437</v>
      </c>
      <c r="W131" s="15"/>
      <c r="X131" s="15" t="s">
        <v>432</v>
      </c>
      <c r="Y131" s="60"/>
      <c r="Z131" s="60"/>
      <c r="AA131" s="60"/>
      <c r="AB131" s="59"/>
      <c r="AC131" s="3" t="s">
        <v>438</v>
      </c>
      <c r="AD131" s="99"/>
      <c r="AI131" s="70"/>
      <c r="AJ131" s="65"/>
      <c r="AK131" s="65"/>
      <c r="AL131" s="65"/>
      <c r="AM131" s="65"/>
      <c r="AP131" s="65"/>
      <c r="AQ131" s="65"/>
      <c r="AR131" s="65"/>
      <c r="AS131" s="65"/>
      <c r="AT131" s="65"/>
      <c r="AU131" s="65"/>
    </row>
    <row r="132" spans="1:48" ht="15">
      <c r="P132" s="15" t="s">
        <v>439</v>
      </c>
      <c r="Q132" s="15" t="s">
        <v>440</v>
      </c>
      <c r="R132" s="15">
        <v>609914569</v>
      </c>
      <c r="S132" s="15">
        <v>0</v>
      </c>
      <c r="T132" s="15" t="s">
        <v>409</v>
      </c>
      <c r="U132" s="15" t="s">
        <v>436</v>
      </c>
      <c r="V132" s="15" t="s">
        <v>441</v>
      </c>
      <c r="W132" s="15"/>
      <c r="X132" s="15" t="s">
        <v>432</v>
      </c>
      <c r="Y132" s="60"/>
      <c r="Z132" s="60"/>
      <c r="AA132" s="60"/>
      <c r="AB132" s="59"/>
      <c r="AC132" s="3" t="s">
        <v>442</v>
      </c>
      <c r="AD132" s="99"/>
    </row>
    <row r="133" spans="1:48" ht="15">
      <c r="P133" s="15" t="s">
        <v>443</v>
      </c>
      <c r="Q133" s="15" t="s">
        <v>444</v>
      </c>
      <c r="R133" s="15">
        <v>609914572</v>
      </c>
      <c r="S133" s="15">
        <v>0</v>
      </c>
      <c r="T133" s="15" t="s">
        <v>409</v>
      </c>
      <c r="U133" s="15" t="s">
        <v>436</v>
      </c>
      <c r="V133" s="15" t="s">
        <v>445</v>
      </c>
      <c r="W133" s="15"/>
      <c r="X133" s="15" t="s">
        <v>432</v>
      </c>
      <c r="Y133" s="60"/>
      <c r="Z133" s="60"/>
      <c r="AA133" s="60"/>
      <c r="AB133" s="59"/>
      <c r="AC133" s="3" t="s">
        <v>446</v>
      </c>
      <c r="AD133" s="99"/>
      <c r="AE133" s="99"/>
    </row>
    <row r="134" spans="1:48" ht="15">
      <c r="P134" s="15" t="s">
        <v>447</v>
      </c>
      <c r="Q134" s="15" t="s">
        <v>448</v>
      </c>
      <c r="R134" s="15">
        <v>609914575</v>
      </c>
      <c r="S134" s="15">
        <v>0</v>
      </c>
      <c r="T134" s="15" t="s">
        <v>409</v>
      </c>
      <c r="U134" s="15" t="s">
        <v>436</v>
      </c>
      <c r="V134" s="15" t="s">
        <v>449</v>
      </c>
      <c r="W134" s="15"/>
      <c r="X134" s="15" t="s">
        <v>432</v>
      </c>
      <c r="Y134" s="60"/>
      <c r="Z134" s="60"/>
      <c r="AA134" s="60"/>
      <c r="AB134" s="59"/>
      <c r="AC134" s="3" t="s">
        <v>450</v>
      </c>
      <c r="AD134" s="99">
        <f>SUM(AD136:AD143)</f>
        <v>6.8930581134568474</v>
      </c>
      <c r="AE134" s="99"/>
    </row>
    <row r="135" spans="1:48" ht="15">
      <c r="L135" t="s">
        <v>451</v>
      </c>
      <c r="P135" s="15" t="s">
        <v>452</v>
      </c>
      <c r="Q135" s="15" t="s">
        <v>453</v>
      </c>
      <c r="R135" s="15">
        <v>609915176</v>
      </c>
      <c r="S135" s="15">
        <v>0</v>
      </c>
      <c r="T135" s="15" t="s">
        <v>409</v>
      </c>
      <c r="U135" s="15" t="s">
        <v>410</v>
      </c>
      <c r="V135" s="15" t="s">
        <v>454</v>
      </c>
      <c r="W135" s="15"/>
      <c r="X135" s="15" t="s">
        <v>432</v>
      </c>
      <c r="Y135" s="60"/>
      <c r="Z135" s="60"/>
      <c r="AA135" s="60"/>
      <c r="AB135" s="59"/>
      <c r="AC135" t="s">
        <v>455</v>
      </c>
      <c r="AD135" s="99"/>
      <c r="AE135" s="99"/>
    </row>
    <row r="136" spans="1:48" ht="15.75">
      <c r="A136" t="s">
        <v>157</v>
      </c>
      <c r="B136">
        <v>102</v>
      </c>
      <c r="C136">
        <v>101</v>
      </c>
      <c r="E136" t="s">
        <v>51</v>
      </c>
      <c r="F136" t="s">
        <v>49</v>
      </c>
      <c r="G136" t="s">
        <v>50</v>
      </c>
      <c r="L136" s="78" t="s">
        <v>456</v>
      </c>
      <c r="M136" s="78" t="s">
        <v>457</v>
      </c>
      <c r="N136" s="17" t="s">
        <v>19</v>
      </c>
      <c r="P136" s="32" t="s">
        <v>11</v>
      </c>
      <c r="Q136" s="100">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4">
        <f>X129</f>
        <v>153458.73581778328</v>
      </c>
      <c r="X136" s="332">
        <f t="shared" ref="X136:X143" si="58">W136-V136</f>
        <v>-197374.99999995949</v>
      </c>
      <c r="AB136" s="50">
        <v>306124</v>
      </c>
      <c r="AC136" s="50">
        <f>AB136-W136</f>
        <v>152665.26418221672</v>
      </c>
      <c r="AD136" s="98">
        <f t="shared" ref="AD136:AD143" si="59">AC136*8/1000000</f>
        <v>1.2213221134577337</v>
      </c>
      <c r="AE136" s="62">
        <f t="shared" ref="AE136:AE142" si="60">AC136/AB136</f>
        <v>0.49870400289495997</v>
      </c>
      <c r="AF136" t="s">
        <v>458</v>
      </c>
      <c r="AH136" t="s">
        <v>459</v>
      </c>
      <c r="AI136" t="e">
        <f>V135*8/1000000</f>
        <v>#VALUE!</v>
      </c>
    </row>
    <row r="137" spans="1:48" ht="15.75">
      <c r="B137">
        <v>102</v>
      </c>
      <c r="C137">
        <v>101</v>
      </c>
      <c r="E137" t="s">
        <v>51</v>
      </c>
      <c r="F137" t="s">
        <v>49</v>
      </c>
      <c r="G137" t="s">
        <v>50</v>
      </c>
      <c r="L137" s="78" t="str">
        <f t="shared" ref="L137:L143" si="61">M136</f>
        <v>139/09:36</v>
      </c>
      <c r="M137" s="78" t="s">
        <v>460</v>
      </c>
      <c r="O137" s="84" t="str">
        <f t="shared" ref="O137:O143" si="62">AG137</f>
        <v>161/15:11</v>
      </c>
      <c r="P137" s="32" t="s">
        <v>31</v>
      </c>
      <c r="Q137" s="85">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2">
        <f t="shared" si="58"/>
        <v>-1.0011717677116394E-7</v>
      </c>
      <c r="Y137" s="77">
        <f t="shared" ref="Y137:Y143" si="65">1.1*AL137</f>
        <v>7.7330000000000005</v>
      </c>
      <c r="Z137" s="93">
        <f>Z129+Y137</f>
        <v>17.622</v>
      </c>
      <c r="AA137" s="50"/>
      <c r="AB137" s="50">
        <v>873308</v>
      </c>
      <c r="AC137" s="50">
        <f t="shared" ref="AC137:AC143" si="66">AB137-T137</f>
        <v>104057.99999985925</v>
      </c>
      <c r="AD137" s="98">
        <f t="shared" si="59"/>
        <v>0.83246399999887399</v>
      </c>
      <c r="AE137" s="62">
        <f t="shared" si="60"/>
        <v>0.11915383805010289</v>
      </c>
      <c r="AF137" s="31" t="s">
        <v>32</v>
      </c>
      <c r="AG137" s="34" t="s">
        <v>461</v>
      </c>
      <c r="AH137" s="42">
        <f>X136*8/1000000</f>
        <v>-1.578999999999676</v>
      </c>
      <c r="AI137" s="40">
        <f>V136*8/1000000</f>
        <v>2.8066698865419419</v>
      </c>
      <c r="AJ137" s="70" t="s">
        <v>462</v>
      </c>
      <c r="AK137" s="65" t="s">
        <v>463</v>
      </c>
      <c r="AL137" s="65">
        <v>7.03</v>
      </c>
      <c r="AM137" s="65">
        <v>7.03</v>
      </c>
      <c r="AN137" s="65">
        <v>7.03</v>
      </c>
    </row>
    <row r="138" spans="1:48" ht="15.75">
      <c r="B138">
        <v>102</v>
      </c>
      <c r="C138">
        <v>101</v>
      </c>
      <c r="E138" t="s">
        <v>51</v>
      </c>
      <c r="F138" t="s">
        <v>49</v>
      </c>
      <c r="G138" t="s">
        <v>50</v>
      </c>
      <c r="L138" s="78" t="str">
        <f t="shared" si="61"/>
        <v>141/18:07</v>
      </c>
      <c r="M138" s="78" t="s">
        <v>464</v>
      </c>
      <c r="O138" s="84" t="str">
        <f t="shared" si="62"/>
        <v>162/01:06</v>
      </c>
      <c r="P138" s="32" t="s">
        <v>12</v>
      </c>
      <c r="Q138" s="85">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2">
        <f t="shared" si="58"/>
        <v>-5.6927092373371124E-8</v>
      </c>
      <c r="Y138" s="77">
        <f t="shared" si="65"/>
        <v>7.6670000000000007</v>
      </c>
      <c r="Z138" s="93">
        <f t="shared" ref="Z138:Z143" si="68">Y138+Z137</f>
        <v>25.289000000000001</v>
      </c>
      <c r="AA138" s="50"/>
      <c r="AB138" s="50">
        <v>1092116</v>
      </c>
      <c r="AC138" s="50">
        <f t="shared" si="66"/>
        <v>133740.99999994296</v>
      </c>
      <c r="AD138" s="98">
        <f t="shared" si="59"/>
        <v>1.0699279999995437</v>
      </c>
      <c r="AE138" s="62">
        <f t="shared" si="60"/>
        <v>0.1224604346057955</v>
      </c>
      <c r="AF138" s="31" t="s">
        <v>465</v>
      </c>
      <c r="AG138" s="34" t="s">
        <v>466</v>
      </c>
      <c r="AH138" s="40">
        <f>X137*8/1000000</f>
        <v>-8.009374141693115E-13</v>
      </c>
      <c r="AI138" s="40">
        <f>V137*8/1000000</f>
        <v>6.1540000000011261</v>
      </c>
      <c r="AJ138" s="65" t="s">
        <v>467</v>
      </c>
      <c r="AK138" s="65" t="s">
        <v>468</v>
      </c>
      <c r="AL138" s="65">
        <v>6.97</v>
      </c>
      <c r="AM138" s="65">
        <v>6.97</v>
      </c>
      <c r="AN138" s="65">
        <v>6.97</v>
      </c>
    </row>
    <row r="139" spans="1:48" ht="15.75">
      <c r="B139">
        <v>102</v>
      </c>
      <c r="C139">
        <v>101</v>
      </c>
      <c r="E139" t="s">
        <v>51</v>
      </c>
      <c r="F139" t="s">
        <v>49</v>
      </c>
      <c r="G139" t="s">
        <v>50</v>
      </c>
      <c r="L139" s="78" t="str">
        <f t="shared" si="61"/>
        <v>144/16:32</v>
      </c>
      <c r="M139" s="78" t="s">
        <v>469</v>
      </c>
      <c r="O139" s="84" t="str">
        <f t="shared" si="62"/>
        <v>162/17:01</v>
      </c>
      <c r="P139" s="32" t="s">
        <v>470</v>
      </c>
      <c r="Q139" s="85">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2">
        <f t="shared" si="58"/>
        <v>9.4645656645298004E-8</v>
      </c>
      <c r="Y139" s="77">
        <f t="shared" si="65"/>
        <v>7.26</v>
      </c>
      <c r="Z139" s="93">
        <f t="shared" si="68"/>
        <v>32.548999999999999</v>
      </c>
      <c r="AA139" s="50"/>
      <c r="AB139" s="50">
        <v>1024638</v>
      </c>
      <c r="AC139" s="50">
        <f t="shared" si="66"/>
        <v>117138.00000009465</v>
      </c>
      <c r="AD139" s="98">
        <f t="shared" si="59"/>
        <v>0.93710400000075722</v>
      </c>
      <c r="AE139" s="62">
        <f t="shared" si="60"/>
        <v>0.1143213505648772</v>
      </c>
      <c r="AF139" s="31" t="s">
        <v>471</v>
      </c>
      <c r="AG139" s="34" t="s">
        <v>472</v>
      </c>
      <c r="AH139" s="40">
        <f>X138*8/1000000</f>
        <v>-4.5541673898696896E-13</v>
      </c>
      <c r="AI139" s="40">
        <f>V138*8/1000000</f>
        <v>7.6670000000004563</v>
      </c>
      <c r="AJ139" s="65" t="s">
        <v>473</v>
      </c>
      <c r="AK139" s="65" t="s">
        <v>474</v>
      </c>
      <c r="AL139" s="65">
        <v>6.6</v>
      </c>
      <c r="AM139" s="65">
        <v>6.6</v>
      </c>
      <c r="AN139" s="65">
        <v>6.6</v>
      </c>
    </row>
    <row r="140" spans="1:48" ht="15.75">
      <c r="B140">
        <v>102</v>
      </c>
      <c r="C140">
        <v>101</v>
      </c>
      <c r="E140" t="s">
        <v>51</v>
      </c>
      <c r="F140" t="s">
        <v>49</v>
      </c>
      <c r="G140" t="s">
        <v>50</v>
      </c>
      <c r="L140" s="78" t="str">
        <f t="shared" si="61"/>
        <v>147/11:13</v>
      </c>
      <c r="M140" s="78" t="s">
        <v>475</v>
      </c>
      <c r="O140" s="84" t="str">
        <f t="shared" si="62"/>
        <v>164/00:56</v>
      </c>
      <c r="P140" s="32" t="s">
        <v>476</v>
      </c>
      <c r="Q140" s="85">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2">
        <f t="shared" si="58"/>
        <v>-1.653679646551609E-7</v>
      </c>
      <c r="Y140" s="77">
        <f t="shared" si="65"/>
        <v>4.07</v>
      </c>
      <c r="Z140" s="93">
        <f t="shared" si="68"/>
        <v>36.619</v>
      </c>
      <c r="AA140" s="50"/>
      <c r="AB140" s="50">
        <v>574838</v>
      </c>
      <c r="AC140" s="50">
        <f t="shared" si="66"/>
        <v>66087.999999834574</v>
      </c>
      <c r="AD140" s="98">
        <f t="shared" si="59"/>
        <v>0.52870399999867657</v>
      </c>
      <c r="AE140" s="62">
        <f t="shared" si="60"/>
        <v>0.11496804317013588</v>
      </c>
      <c r="AF140" s="31" t="s">
        <v>477</v>
      </c>
      <c r="AG140" s="34" t="s">
        <v>478</v>
      </c>
      <c r="AH140" s="40">
        <f>X139*8/1000000</f>
        <v>7.5716525316238406E-13</v>
      </c>
      <c r="AI140" s="40">
        <f>V139*8/1000000</f>
        <v>7.2599999999992431</v>
      </c>
      <c r="AJ140" s="65" t="s">
        <v>479</v>
      </c>
      <c r="AK140" s="65" t="s">
        <v>480</v>
      </c>
      <c r="AL140" s="65">
        <v>3.7</v>
      </c>
      <c r="AM140" s="65">
        <v>3.7</v>
      </c>
      <c r="AN140" s="65">
        <v>3.7</v>
      </c>
    </row>
    <row r="141" spans="1:48" ht="15.75">
      <c r="B141">
        <v>102</v>
      </c>
      <c r="C141">
        <v>101</v>
      </c>
      <c r="E141" t="s">
        <v>51</v>
      </c>
      <c r="F141" t="s">
        <v>49</v>
      </c>
      <c r="G141" t="s">
        <v>50</v>
      </c>
      <c r="L141" s="78" t="str">
        <f t="shared" si="61"/>
        <v>149/00:35</v>
      </c>
      <c r="M141" s="78" t="s">
        <v>481</v>
      </c>
      <c r="O141" s="84" t="str">
        <f t="shared" si="62"/>
        <v>166/15:41</v>
      </c>
      <c r="P141" s="32" t="s">
        <v>482</v>
      </c>
      <c r="Q141" s="85">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2">
        <f t="shared" si="58"/>
        <v>4.0512531995773315E-8</v>
      </c>
      <c r="Y141" s="103">
        <f t="shared" si="65"/>
        <v>13.057</v>
      </c>
      <c r="Z141" s="93">
        <f t="shared" si="68"/>
        <v>49.676000000000002</v>
      </c>
      <c r="AA141" s="50"/>
      <c r="AB141" s="50">
        <v>1838628</v>
      </c>
      <c r="AC141" s="50">
        <f t="shared" si="66"/>
        <v>206503.00000004051</v>
      </c>
      <c r="AD141" s="98">
        <f t="shared" si="59"/>
        <v>1.6520240000003241</v>
      </c>
      <c r="AE141" s="62">
        <f t="shared" si="60"/>
        <v>0.11231363821286335</v>
      </c>
      <c r="AF141" s="31" t="s">
        <v>483</v>
      </c>
      <c r="AG141" s="34" t="s">
        <v>484</v>
      </c>
      <c r="AH141" s="40">
        <f>X141*8/1000000</f>
        <v>3.2410025596618653E-13</v>
      </c>
      <c r="AI141" s="40">
        <f>V141*8/1000000</f>
        <v>13.056999999999675</v>
      </c>
      <c r="AJ141" s="65" t="s">
        <v>485</v>
      </c>
      <c r="AK141" s="65" t="s">
        <v>486</v>
      </c>
      <c r="AL141" s="65">
        <v>11.87</v>
      </c>
      <c r="AM141" s="65">
        <v>11.87</v>
      </c>
      <c r="AN141" s="65">
        <v>11.87</v>
      </c>
    </row>
    <row r="142" spans="1:48" ht="15.75">
      <c r="B142">
        <v>102</v>
      </c>
      <c r="C142">
        <v>101</v>
      </c>
      <c r="E142" t="s">
        <v>51</v>
      </c>
      <c r="F142" t="s">
        <v>49</v>
      </c>
      <c r="G142" t="s">
        <v>50</v>
      </c>
      <c r="L142" s="78" t="str">
        <f t="shared" si="61"/>
        <v>154/00:30</v>
      </c>
      <c r="M142" s="78" t="s">
        <v>487</v>
      </c>
      <c r="O142" s="84" t="str">
        <f t="shared" si="62"/>
        <v>167/15:51</v>
      </c>
      <c r="P142" s="32" t="s">
        <v>13</v>
      </c>
      <c r="Q142" s="85">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2">
        <f t="shared" si="58"/>
        <v>1.7427373677492142E-7</v>
      </c>
      <c r="Y142" s="103">
        <f t="shared" si="65"/>
        <v>5.5110000000000001</v>
      </c>
      <c r="Z142" s="93">
        <f t="shared" si="68"/>
        <v>55.187000000000005</v>
      </c>
      <c r="AA142" s="50"/>
      <c r="AB142" s="50">
        <v>770314</v>
      </c>
      <c r="AC142" s="50">
        <f t="shared" si="66"/>
        <v>81439.000000174274</v>
      </c>
      <c r="AD142" s="98">
        <f t="shared" si="59"/>
        <v>0.6515120000013942</v>
      </c>
      <c r="AE142" s="62">
        <f t="shared" si="60"/>
        <v>0.10572182252974018</v>
      </c>
      <c r="AF142" s="31" t="s">
        <v>488</v>
      </c>
      <c r="AG142" s="34" t="s">
        <v>489</v>
      </c>
      <c r="AH142" s="40">
        <f>X142*8/1000000</f>
        <v>1.3941898941993714E-12</v>
      </c>
      <c r="AI142" s="40">
        <f>V142*8/1000000</f>
        <v>5.5109999999986057</v>
      </c>
      <c r="AJ142" s="65" t="s">
        <v>490</v>
      </c>
      <c r="AK142" s="65" t="s">
        <v>491</v>
      </c>
      <c r="AL142" s="65">
        <v>5.01</v>
      </c>
      <c r="AM142" s="65">
        <v>5.01</v>
      </c>
      <c r="AN142" s="65">
        <v>5.01</v>
      </c>
    </row>
    <row r="143" spans="1:48" ht="15.75">
      <c r="B143">
        <v>102</v>
      </c>
      <c r="C143">
        <v>101</v>
      </c>
      <c r="E143" t="s">
        <v>51</v>
      </c>
      <c r="F143" t="s">
        <v>49</v>
      </c>
      <c r="G143" t="s">
        <v>50</v>
      </c>
      <c r="L143" s="78" t="str">
        <f t="shared" si="61"/>
        <v>156/03:07</v>
      </c>
      <c r="M143" s="78" t="s">
        <v>492</v>
      </c>
      <c r="O143" s="84" t="str">
        <f t="shared" si="62"/>
        <v>168/15:51</v>
      </c>
      <c r="P143" s="32" t="s">
        <v>493</v>
      </c>
      <c r="Q143" s="85">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2">
        <f t="shared" si="58"/>
        <v>-5.6927092373371124E-8</v>
      </c>
      <c r="Y143" s="103">
        <f t="shared" si="65"/>
        <v>7.6670000000000007</v>
      </c>
      <c r="Z143" s="93">
        <f t="shared" si="68"/>
        <v>62.854000000000006</v>
      </c>
      <c r="AA143" s="50"/>
      <c r="AB143" s="50">
        <v>958375</v>
      </c>
      <c r="AC143" s="50">
        <f t="shared" si="66"/>
        <v>-5.7043507695198059E-8</v>
      </c>
      <c r="AD143" s="98">
        <f t="shared" si="59"/>
        <v>-4.5634806156158446E-13</v>
      </c>
      <c r="AE143" s="62"/>
      <c r="AF143" s="31" t="s">
        <v>494</v>
      </c>
      <c r="AG143" s="34" t="s">
        <v>495</v>
      </c>
      <c r="AH143" s="40">
        <f>X143*8/1000000</f>
        <v>-4.5541673898696896E-13</v>
      </c>
      <c r="AI143" s="40">
        <f>V143*8/1000000</f>
        <v>7.6670000000004563</v>
      </c>
      <c r="AJ143" s="65" t="s">
        <v>496</v>
      </c>
      <c r="AK143" s="65" t="s">
        <v>497</v>
      </c>
      <c r="AL143" s="65">
        <v>6.97</v>
      </c>
      <c r="AM143" s="65">
        <v>6.97</v>
      </c>
      <c r="AN143" s="65">
        <v>6.97</v>
      </c>
    </row>
    <row r="144" spans="1:48" ht="15.75">
      <c r="L144" s="42"/>
      <c r="M144" s="40"/>
      <c r="N144" s="40"/>
      <c r="O144" s="41" t="s">
        <v>498</v>
      </c>
      <c r="P144" s="15" t="s">
        <v>499</v>
      </c>
      <c r="Q144" s="15" t="s">
        <v>500</v>
      </c>
      <c r="R144" s="15">
        <v>611744022</v>
      </c>
      <c r="S144" s="15">
        <v>1</v>
      </c>
      <c r="T144" s="15" t="s">
        <v>27</v>
      </c>
      <c r="U144" s="15" t="s">
        <v>501</v>
      </c>
      <c r="V144" s="15" t="s">
        <v>28</v>
      </c>
      <c r="W144" s="15"/>
      <c r="X144" s="15" t="s">
        <v>502</v>
      </c>
      <c r="Y144" s="107"/>
      <c r="Z144" s="107"/>
      <c r="AA144" s="59"/>
      <c r="AB144" s="50"/>
      <c r="AC144" s="50"/>
      <c r="AD144" s="99"/>
      <c r="AE144" s="99"/>
      <c r="AF144" s="31"/>
      <c r="AG144" s="34"/>
      <c r="AH144" s="40"/>
      <c r="AI144" s="40"/>
      <c r="AJ144" s="65"/>
      <c r="AK144" s="65"/>
      <c r="AL144" s="65">
        <v>4.93</v>
      </c>
      <c r="AM144" s="65">
        <v>4.93</v>
      </c>
      <c r="AN144" s="65">
        <v>4.93</v>
      </c>
    </row>
    <row r="145" spans="1:57" ht="15.75">
      <c r="B145">
        <v>102</v>
      </c>
      <c r="C145">
        <v>101</v>
      </c>
      <c r="E145" t="s">
        <v>51</v>
      </c>
      <c r="F145" t="s">
        <v>49</v>
      </c>
      <c r="G145" t="s">
        <v>50</v>
      </c>
      <c r="L145" s="78" t="str">
        <f>M143</f>
        <v>159/01:32</v>
      </c>
      <c r="M145" s="108" t="s">
        <v>503</v>
      </c>
      <c r="N145" t="s">
        <v>18</v>
      </c>
      <c r="O145" s="84" t="str">
        <f>AG145</f>
        <v>169/01:21</v>
      </c>
      <c r="P145" s="32" t="s">
        <v>14</v>
      </c>
      <c r="Q145" s="85">
        <f>R143-1</f>
        <v>611652250.43583429</v>
      </c>
      <c r="R145" s="35">
        <f>R144+20</f>
        <v>611744042</v>
      </c>
      <c r="S145" s="21">
        <f>R145-Q145</f>
        <v>91791.564165711403</v>
      </c>
      <c r="T145" s="21">
        <f>S145*$V$13</f>
        <v>347033.46628285473</v>
      </c>
      <c r="U145" s="3">
        <v>0</v>
      </c>
      <c r="V145" s="27">
        <f>T145+U145*$V$38</f>
        <v>347033.46628285473</v>
      </c>
      <c r="W145" s="20">
        <f>Y145*1000000/8</f>
        <v>677875</v>
      </c>
      <c r="X145" s="332">
        <f>W145-V145</f>
        <v>330841.53371714527</v>
      </c>
      <c r="Y145" s="103">
        <f>1.1*AL145</f>
        <v>5.423</v>
      </c>
      <c r="Z145" s="109">
        <f>Y145+Z143</f>
        <v>68.277000000000001</v>
      </c>
      <c r="AA145" s="50"/>
      <c r="AB145" s="50"/>
      <c r="AC145" s="50">
        <f>AB145-T145</f>
        <v>-347033.46628285473</v>
      </c>
      <c r="AD145" s="98">
        <f>AC145*8/1000000</f>
        <v>-2.776267730262838</v>
      </c>
      <c r="AE145" s="98"/>
      <c r="AF145" s="31" t="s">
        <v>33</v>
      </c>
      <c r="AG145" s="34" t="s">
        <v>504</v>
      </c>
      <c r="AH145" s="40">
        <f>X145*8/1000000</f>
        <v>2.646732269737162</v>
      </c>
      <c r="AI145" s="40">
        <f>V145*8/1000000</f>
        <v>2.776267730262838</v>
      </c>
      <c r="AJ145" s="65" t="s">
        <v>505</v>
      </c>
      <c r="AK145" s="65" t="s">
        <v>506</v>
      </c>
      <c r="AL145" s="65">
        <v>4.93</v>
      </c>
      <c r="AM145" s="65">
        <v>4.93</v>
      </c>
      <c r="AN145" s="65">
        <v>4.93</v>
      </c>
    </row>
    <row r="146" spans="1:57" ht="15.75">
      <c r="L146" s="42"/>
      <c r="M146" s="40"/>
      <c r="N146" s="40"/>
      <c r="O146" s="41" t="s">
        <v>507</v>
      </c>
      <c r="P146" s="15" t="s">
        <v>403</v>
      </c>
      <c r="Q146" s="15" t="s">
        <v>404</v>
      </c>
      <c r="R146" s="15">
        <v>611744576</v>
      </c>
      <c r="S146" s="15">
        <v>7</v>
      </c>
      <c r="T146" s="15" t="s">
        <v>27</v>
      </c>
      <c r="U146" s="15" t="s">
        <v>405</v>
      </c>
      <c r="V146" s="15" t="s">
        <v>151</v>
      </c>
      <c r="W146" s="15" t="s">
        <v>152</v>
      </c>
      <c r="X146" s="15" t="s">
        <v>406</v>
      </c>
      <c r="Y146" s="107"/>
      <c r="Z146" s="107"/>
      <c r="AA146" s="60"/>
      <c r="AB146" s="50"/>
      <c r="AC146" s="50"/>
      <c r="AD146" s="99"/>
      <c r="AE146" s="99"/>
      <c r="AF146" s="31"/>
      <c r="AG146" s="34"/>
      <c r="AH146" s="40"/>
      <c r="AI146" s="40"/>
      <c r="AJ146" s="65"/>
      <c r="AK146" s="65"/>
      <c r="AL146" s="65"/>
      <c r="AM146" s="65"/>
    </row>
    <row r="147" spans="1:57" ht="15.75">
      <c r="A147" s="6" t="s">
        <v>5694</v>
      </c>
      <c r="B147">
        <v>102</v>
      </c>
      <c r="C147">
        <v>103</v>
      </c>
      <c r="D147">
        <v>110</v>
      </c>
      <c r="E147" t="s">
        <v>51</v>
      </c>
      <c r="F147" t="s">
        <v>49</v>
      </c>
      <c r="G147" t="s">
        <v>50</v>
      </c>
      <c r="L147" s="78" t="s">
        <v>508</v>
      </c>
      <c r="M147" s="78" t="s">
        <v>509</v>
      </c>
      <c r="P147" s="32" t="s">
        <v>14</v>
      </c>
      <c r="Q147" s="100">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2">
        <f t="shared" ref="X147:X157" si="71">W147-V147</f>
        <v>7.6543074101209641E-8</v>
      </c>
      <c r="Y147" s="103"/>
      <c r="Z147" s="110"/>
      <c r="AA147" s="50"/>
      <c r="AB147" s="50"/>
      <c r="AC147" s="50">
        <f t="shared" ref="AC147:AC157" si="72">AB147-T147</f>
        <v>-330841.53371706873</v>
      </c>
      <c r="AD147" s="98">
        <f t="shared" ref="AD147:AD157" si="73">AC147*8/1000000</f>
        <v>-2.6467322697365496</v>
      </c>
      <c r="AE147" s="98"/>
      <c r="AF147" s="31"/>
      <c r="AG147" s="34"/>
      <c r="AH147" s="40">
        <f t="shared" ref="AH147:AH157" si="74">X147*8/1000000</f>
        <v>6.1234459280967711E-13</v>
      </c>
      <c r="AI147" s="40">
        <f t="shared" ref="AI147:AI157" si="75">V147*8/1000000</f>
        <v>2.6467322697365496</v>
      </c>
      <c r="AJ147" s="65"/>
      <c r="AK147" s="65"/>
      <c r="AL147" s="65"/>
      <c r="AM147" s="65"/>
    </row>
    <row r="148" spans="1:57" ht="15.75">
      <c r="B148">
        <v>102</v>
      </c>
      <c r="C148">
        <v>103</v>
      </c>
      <c r="D148">
        <v>110</v>
      </c>
      <c r="E148" t="s">
        <v>51</v>
      </c>
      <c r="F148" t="s">
        <v>49</v>
      </c>
      <c r="G148" t="s">
        <v>50</v>
      </c>
      <c r="L148" s="78" t="str">
        <f>M147</f>
        <v>161/08:55</v>
      </c>
      <c r="M148" s="78" t="s">
        <v>510</v>
      </c>
      <c r="O148" s="84" t="str">
        <f>AG148</f>
        <v>169/22:11</v>
      </c>
      <c r="P148" s="32" t="s">
        <v>511</v>
      </c>
      <c r="Q148" s="85">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2">
        <f t="shared" si="71"/>
        <v>-7.0547685027122498E-8</v>
      </c>
      <c r="Y148" s="103">
        <f>1.1*AL148</f>
        <v>12.298</v>
      </c>
      <c r="Z148" s="109">
        <f>Z145+Y148</f>
        <v>80.575000000000003</v>
      </c>
      <c r="AA148" s="50"/>
      <c r="AB148" s="50"/>
      <c r="AC148" s="50">
        <f t="shared" si="72"/>
        <v>-1537250.0000000705</v>
      </c>
      <c r="AD148" s="98">
        <f t="shared" si="73"/>
        <v>-12.298000000000565</v>
      </c>
      <c r="AE148" s="98"/>
      <c r="AF148" s="31" t="s">
        <v>512</v>
      </c>
      <c r="AG148" s="34" t="s">
        <v>513</v>
      </c>
      <c r="AH148" s="40">
        <f t="shared" si="74"/>
        <v>-5.6438148021697997E-13</v>
      </c>
      <c r="AI148" s="40">
        <f t="shared" si="75"/>
        <v>12.298000000000565</v>
      </c>
      <c r="AJ148" s="65" t="s">
        <v>514</v>
      </c>
      <c r="AK148" s="65" t="s">
        <v>515</v>
      </c>
      <c r="AL148" s="65">
        <v>11.18</v>
      </c>
      <c r="AM148" s="65">
        <v>11.18</v>
      </c>
      <c r="AN148" s="65">
        <v>11.18</v>
      </c>
    </row>
    <row r="149" spans="1:57" ht="15.75">
      <c r="B149">
        <v>102</v>
      </c>
      <c r="C149">
        <v>103</v>
      </c>
      <c r="D149">
        <v>110</v>
      </c>
      <c r="E149" t="s">
        <v>51</v>
      </c>
      <c r="F149" t="s">
        <v>49</v>
      </c>
      <c r="G149" t="s">
        <v>50</v>
      </c>
      <c r="L149" s="78" t="str">
        <f>M148</f>
        <v>167/03:05</v>
      </c>
      <c r="M149" s="78" t="s">
        <v>516</v>
      </c>
      <c r="O149" s="84" t="str">
        <f>AG149</f>
        <v>170/16:06</v>
      </c>
      <c r="P149" s="32" t="s">
        <v>517</v>
      </c>
      <c r="Q149" s="85">
        <f>R148-1</f>
        <v>612349037.95054173</v>
      </c>
      <c r="R149" s="35">
        <v>612647515</v>
      </c>
      <c r="S149" s="21">
        <f t="shared" si="69"/>
        <v>298477.0494582653</v>
      </c>
      <c r="T149" s="21">
        <f>S149*$V$12</f>
        <v>922410.67542348371</v>
      </c>
      <c r="U149" s="3">
        <v>0</v>
      </c>
      <c r="V149" s="27">
        <f t="shared" si="70"/>
        <v>922410.67542348371</v>
      </c>
      <c r="W149" s="20">
        <f>Y149*1000000/8</f>
        <v>2965875.0000000005</v>
      </c>
      <c r="X149" s="332">
        <f t="shared" si="71"/>
        <v>2043464.3245765166</v>
      </c>
      <c r="Y149" s="103">
        <f>1.1*AL149</f>
        <v>23.727000000000004</v>
      </c>
      <c r="Z149" s="109">
        <f>Z148+AA149</f>
        <v>87.954285403387871</v>
      </c>
      <c r="AA149" s="50">
        <f>AI149</f>
        <v>7.3792854033878701</v>
      </c>
      <c r="AB149" s="50"/>
      <c r="AC149" s="50">
        <f t="shared" si="72"/>
        <v>-922410.67542348371</v>
      </c>
      <c r="AD149" s="98">
        <f t="shared" si="73"/>
        <v>-7.3792854033878701</v>
      </c>
      <c r="AE149" s="98"/>
      <c r="AF149" t="s">
        <v>518</v>
      </c>
      <c r="AG149" s="34" t="s">
        <v>519</v>
      </c>
      <c r="AH149" s="40">
        <f t="shared" si="74"/>
        <v>16.347714596612132</v>
      </c>
      <c r="AI149" s="40">
        <f t="shared" si="75"/>
        <v>7.3792854033878701</v>
      </c>
      <c r="AJ149" s="65" t="s">
        <v>520</v>
      </c>
      <c r="AK149" s="65" t="s">
        <v>521</v>
      </c>
      <c r="AL149" s="65">
        <v>21.57</v>
      </c>
      <c r="AM149" s="65">
        <v>21.57</v>
      </c>
      <c r="AN149" s="65"/>
    </row>
    <row r="150" spans="1:57" ht="15.75">
      <c r="L150" s="47" t="s">
        <v>394</v>
      </c>
      <c r="M150" s="47" t="s">
        <v>522</v>
      </c>
      <c r="O150" s="34"/>
      <c r="P150" s="32" t="s">
        <v>517</v>
      </c>
      <c r="Q150" s="58">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2">
        <f t="shared" si="71"/>
        <v>9.2899426817893982E-8</v>
      </c>
      <c r="Z150" s="111">
        <f>W150*8/1000000</f>
        <v>16.347714596612132</v>
      </c>
      <c r="AA150" s="111"/>
      <c r="AB150" s="50"/>
      <c r="AC150" s="50">
        <f t="shared" si="72"/>
        <v>-2043464.3245764237</v>
      </c>
      <c r="AD150" s="98">
        <f t="shared" si="73"/>
        <v>-16.347714596611389</v>
      </c>
      <c r="AE150" s="98"/>
      <c r="AH150" s="40">
        <f t="shared" si="74"/>
        <v>7.4319541454315185E-13</v>
      </c>
      <c r="AI150" s="40">
        <f t="shared" si="75"/>
        <v>16.347714596611389</v>
      </c>
    </row>
    <row r="151" spans="1:57" ht="15.75">
      <c r="L151" s="47" t="str">
        <f t="shared" ref="L151:L156" si="78">M150</f>
        <v>309/00:19</v>
      </c>
      <c r="M151" s="47" t="s">
        <v>523</v>
      </c>
      <c r="O151" s="84" t="str">
        <f t="shared" ref="O151:O157" si="79">AG151</f>
        <v>173/15:36</v>
      </c>
      <c r="P151" s="32" t="s">
        <v>524</v>
      </c>
      <c r="Q151" s="58">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2">
        <f t="shared" si="71"/>
        <v>-1.4901161193847656E-8</v>
      </c>
      <c r="Y151" s="103">
        <f t="shared" ref="Y151:Y156" si="82">1.1*AL151</f>
        <v>17.578000000000003</v>
      </c>
      <c r="Z151" s="111">
        <f>Z150+Y151</f>
        <v>33.925714596612139</v>
      </c>
      <c r="AA151" s="50"/>
      <c r="AB151" s="50"/>
      <c r="AC151" s="50">
        <f t="shared" si="72"/>
        <v>-2197250.0000000154</v>
      </c>
      <c r="AD151" s="98">
        <f t="shared" si="73"/>
        <v>-17.578000000000124</v>
      </c>
      <c r="AE151" s="98"/>
      <c r="AF151" s="31" t="s">
        <v>525</v>
      </c>
      <c r="AG151" s="34" t="s">
        <v>526</v>
      </c>
      <c r="AH151" s="40">
        <f t="shared" si="74"/>
        <v>-1.1920928955078124E-13</v>
      </c>
      <c r="AI151" s="40">
        <f t="shared" si="75"/>
        <v>17.578000000000124</v>
      </c>
      <c r="AJ151" s="65" t="s">
        <v>527</v>
      </c>
      <c r="AK151" s="65" t="s">
        <v>528</v>
      </c>
      <c r="AL151" s="65">
        <v>15.98</v>
      </c>
      <c r="AM151" s="65">
        <v>15.98</v>
      </c>
      <c r="AN151" s="65">
        <v>15.98</v>
      </c>
    </row>
    <row r="152" spans="1:57" ht="15.75">
      <c r="L152" s="47" t="str">
        <f t="shared" si="78"/>
        <v>315/21:27</v>
      </c>
      <c r="M152" s="47" t="s">
        <v>529</v>
      </c>
      <c r="O152" s="84" t="str">
        <f t="shared" si="79"/>
        <v>174/15:46</v>
      </c>
      <c r="P152" s="32" t="s">
        <v>530</v>
      </c>
      <c r="Q152" s="58">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2">
        <f t="shared" si="71"/>
        <v>5.7392753660678864E-8</v>
      </c>
      <c r="Y152" s="103">
        <f t="shared" si="82"/>
        <v>7.7440000000000007</v>
      </c>
      <c r="Z152" s="111">
        <f>Z151+Y152</f>
        <v>41.669714596612138</v>
      </c>
      <c r="AA152" s="50"/>
      <c r="AB152" s="50"/>
      <c r="AC152" s="50">
        <f t="shared" si="72"/>
        <v>-967999.99999994272</v>
      </c>
      <c r="AD152" s="98">
        <f t="shared" si="73"/>
        <v>-7.7439999999995415</v>
      </c>
      <c r="AE152" s="98"/>
      <c r="AF152" s="31" t="s">
        <v>531</v>
      </c>
      <c r="AG152" s="34" t="s">
        <v>532</v>
      </c>
      <c r="AH152" s="40">
        <f t="shared" si="74"/>
        <v>4.5914202928543086E-13</v>
      </c>
      <c r="AI152" s="40">
        <f t="shared" si="75"/>
        <v>7.7439999999995415</v>
      </c>
      <c r="AJ152" s="65" t="s">
        <v>533</v>
      </c>
      <c r="AK152" s="65" t="s">
        <v>534</v>
      </c>
      <c r="AL152" s="65">
        <v>7.04</v>
      </c>
      <c r="AM152" s="65">
        <v>7.04</v>
      </c>
      <c r="AN152" s="65">
        <v>7.04</v>
      </c>
    </row>
    <row r="153" spans="1:57" ht="15.75">
      <c r="A153" s="6"/>
      <c r="B153" s="6"/>
      <c r="C153" s="6"/>
      <c r="D153" s="6"/>
      <c r="E153" s="6"/>
      <c r="F153" s="6"/>
      <c r="G153" s="6"/>
      <c r="H153" s="6"/>
      <c r="I153" s="6"/>
      <c r="J153" s="6"/>
      <c r="K153" s="6"/>
      <c r="L153" s="47" t="str">
        <f t="shared" si="78"/>
        <v>318/22:12</v>
      </c>
      <c r="M153" s="47" t="s">
        <v>535</v>
      </c>
      <c r="O153" s="84" t="str">
        <f t="shared" si="79"/>
        <v>175/23:26</v>
      </c>
      <c r="P153" s="32" t="s">
        <v>536</v>
      </c>
      <c r="Q153" s="58">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2">
        <f t="shared" si="71"/>
        <v>-8.6612999439239502E-8</v>
      </c>
      <c r="Y153" s="103">
        <f t="shared" si="82"/>
        <v>7.8980000000000006</v>
      </c>
      <c r="Z153" s="111">
        <f>Z152+Y153</f>
        <v>49.567714596612142</v>
      </c>
      <c r="AA153" s="50"/>
      <c r="AB153" s="50"/>
      <c r="AC153" s="50">
        <f t="shared" si="72"/>
        <v>-987250.00000008673</v>
      </c>
      <c r="AD153" s="98">
        <f t="shared" si="73"/>
        <v>-7.8980000000006942</v>
      </c>
      <c r="AE153" s="98"/>
      <c r="AF153" s="31" t="s">
        <v>537</v>
      </c>
      <c r="AG153" s="34" t="s">
        <v>538</v>
      </c>
      <c r="AH153" s="40">
        <f t="shared" si="74"/>
        <v>-6.92903995513916E-13</v>
      </c>
      <c r="AI153" s="40">
        <f t="shared" si="75"/>
        <v>7.8980000000006942</v>
      </c>
      <c r="AJ153" s="65" t="s">
        <v>539</v>
      </c>
      <c r="AK153" s="65" t="s">
        <v>540</v>
      </c>
      <c r="AL153" s="65">
        <v>7.18</v>
      </c>
      <c r="AM153" s="65">
        <v>7.18</v>
      </c>
      <c r="AN153" s="65">
        <v>7.18</v>
      </c>
    </row>
    <row r="154" spans="1:57" ht="15.75">
      <c r="L154" s="47" t="str">
        <f t="shared" si="78"/>
        <v>322/00:24</v>
      </c>
      <c r="M154" s="47" t="s">
        <v>541</v>
      </c>
      <c r="O154" s="84" t="str">
        <f t="shared" si="79"/>
        <v>177/00:06</v>
      </c>
      <c r="P154" s="32" t="s">
        <v>542</v>
      </c>
      <c r="Q154" s="58">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2">
        <f t="shared" si="71"/>
        <v>-1.9790604710578918E-7</v>
      </c>
      <c r="Y154" s="103">
        <f t="shared" si="82"/>
        <v>6.402000000000001</v>
      </c>
      <c r="Z154" s="111">
        <f>Z153+Y154</f>
        <v>55.969714596612143</v>
      </c>
      <c r="AA154" s="50"/>
      <c r="AB154" s="50"/>
      <c r="AC154" s="50">
        <f t="shared" si="72"/>
        <v>-800250.00000019802</v>
      </c>
      <c r="AD154" s="98">
        <f t="shared" si="73"/>
        <v>-6.4020000000015838</v>
      </c>
      <c r="AE154" s="98"/>
      <c r="AF154" s="31" t="s">
        <v>543</v>
      </c>
      <c r="AG154" s="34" t="s">
        <v>544</v>
      </c>
      <c r="AH154" s="40">
        <f t="shared" si="74"/>
        <v>-1.5832483768463134E-12</v>
      </c>
      <c r="AI154" s="40">
        <f t="shared" si="75"/>
        <v>6.4020000000015838</v>
      </c>
      <c r="AJ154" s="65" t="s">
        <v>545</v>
      </c>
      <c r="AK154" s="65" t="s">
        <v>546</v>
      </c>
      <c r="AL154" s="65">
        <v>5.82</v>
      </c>
      <c r="AM154" s="65">
        <v>5.82</v>
      </c>
      <c r="AN154" s="65">
        <v>5.82</v>
      </c>
    </row>
    <row r="155" spans="1:57" ht="15.75">
      <c r="L155" s="47" t="str">
        <f t="shared" si="78"/>
        <v>324/12:33</v>
      </c>
      <c r="M155" s="47" t="s">
        <v>547</v>
      </c>
      <c r="O155" s="84" t="str">
        <f t="shared" si="79"/>
        <v>177/17:16</v>
      </c>
      <c r="P155" s="32" t="s">
        <v>548</v>
      </c>
      <c r="Q155" s="58">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2">
        <f t="shared" si="71"/>
        <v>1.3783574104309082E-7</v>
      </c>
      <c r="Y155" s="103">
        <f t="shared" si="82"/>
        <v>17.886000000000003</v>
      </c>
      <c r="Z155" s="111">
        <f>Y155+Z154</f>
        <v>73.855714596612145</v>
      </c>
      <c r="AA155" s="111"/>
      <c r="AB155" s="50"/>
      <c r="AC155" s="50">
        <f t="shared" si="72"/>
        <v>-2235749.9999998626</v>
      </c>
      <c r="AD155" s="98">
        <f t="shared" si="73"/>
        <v>-17.885999999998901</v>
      </c>
      <c r="AE155" s="98"/>
      <c r="AF155" s="31" t="s">
        <v>549</v>
      </c>
      <c r="AG155" s="34" t="s">
        <v>550</v>
      </c>
      <c r="AH155" s="40">
        <f t="shared" si="74"/>
        <v>1.1026859283447265E-12</v>
      </c>
      <c r="AI155" s="40">
        <f t="shared" si="75"/>
        <v>17.885999999998901</v>
      </c>
      <c r="AJ155" s="65" t="s">
        <v>551</v>
      </c>
      <c r="AK155" s="65" t="s">
        <v>552</v>
      </c>
      <c r="AL155" s="65">
        <v>16.260000000000002</v>
      </c>
      <c r="AM155" s="65">
        <v>16.260000000000002</v>
      </c>
      <c r="AN155" s="65">
        <v>16.260000000000002</v>
      </c>
    </row>
    <row r="156" spans="1:57" ht="15.75">
      <c r="L156" s="47" t="str">
        <f t="shared" si="78"/>
        <v>331/12:35</v>
      </c>
      <c r="M156" s="47" t="s">
        <v>553</v>
      </c>
      <c r="O156" s="84" t="str">
        <f t="shared" si="79"/>
        <v>179/13:51</v>
      </c>
      <c r="P156" s="32" t="s">
        <v>554</v>
      </c>
      <c r="Q156" s="58">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2">
        <f t="shared" si="71"/>
        <v>1.5553086996078491E-7</v>
      </c>
      <c r="Y156" s="103">
        <f t="shared" si="82"/>
        <v>16.555000000000003</v>
      </c>
      <c r="Z156" s="111">
        <f>Y156+Z155</f>
        <v>90.410714596612152</v>
      </c>
      <c r="AA156" s="111"/>
      <c r="AB156" s="50"/>
      <c r="AC156" s="50">
        <f t="shared" si="72"/>
        <v>-2069374.9999998449</v>
      </c>
      <c r="AD156" s="98">
        <f t="shared" si="73"/>
        <v>-16.55499999999876</v>
      </c>
      <c r="AE156" s="98"/>
      <c r="AF156" s="31" t="s">
        <v>555</v>
      </c>
      <c r="AG156" s="34" t="s">
        <v>556</v>
      </c>
      <c r="AH156" s="40">
        <f t="shared" si="74"/>
        <v>1.2442469596862792E-12</v>
      </c>
      <c r="AI156" s="40">
        <f t="shared" si="75"/>
        <v>16.55499999999876</v>
      </c>
      <c r="AJ156" s="65" t="s">
        <v>557</v>
      </c>
      <c r="AK156" s="65" t="s">
        <v>558</v>
      </c>
      <c r="AL156" s="65">
        <v>15.05</v>
      </c>
      <c r="AM156" s="65">
        <v>15.05</v>
      </c>
      <c r="AN156" s="65">
        <v>15.05</v>
      </c>
    </row>
    <row r="157" spans="1:57" ht="15.75">
      <c r="L157" s="78" t="s">
        <v>516</v>
      </c>
      <c r="M157" s="78" t="s">
        <v>559</v>
      </c>
      <c r="O157" s="84" t="str">
        <f t="shared" si="79"/>
        <v>180/16:16</v>
      </c>
      <c r="P157" s="32" t="s">
        <v>560</v>
      </c>
      <c r="Q157" s="58">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2">
        <f t="shared" si="71"/>
        <v>-3.9115548133850098E-8</v>
      </c>
      <c r="Y157" s="103">
        <f>1.1*AL151</f>
        <v>17.578000000000003</v>
      </c>
      <c r="Z157" s="93">
        <f>Z149+Y157</f>
        <v>105.53228540338787</v>
      </c>
      <c r="AA157" s="50">
        <f>Z157-Z145</f>
        <v>37.255285403387873</v>
      </c>
      <c r="AB157" s="50"/>
      <c r="AC157" s="50">
        <f t="shared" si="72"/>
        <v>-2197250.0000000396</v>
      </c>
      <c r="AD157" s="98">
        <f t="shared" si="73"/>
        <v>-17.578000000000316</v>
      </c>
      <c r="AE157" s="98"/>
      <c r="AF157" s="31" t="s">
        <v>561</v>
      </c>
      <c r="AG157" s="34" t="s">
        <v>562</v>
      </c>
      <c r="AH157" s="40">
        <f t="shared" si="74"/>
        <v>-3.1292438507080076E-13</v>
      </c>
      <c r="AI157" s="40">
        <f t="shared" si="75"/>
        <v>17.578000000000316</v>
      </c>
      <c r="AJ157" s="65" t="s">
        <v>563</v>
      </c>
      <c r="AK157" s="65" t="s">
        <v>564</v>
      </c>
      <c r="AL157" s="65">
        <v>16.260000000000002</v>
      </c>
      <c r="AM157" s="65">
        <v>16.260000000000002</v>
      </c>
      <c r="AN157" s="65">
        <v>16.260000000000002</v>
      </c>
    </row>
    <row r="158" spans="1:57" ht="15">
      <c r="X158" s="40"/>
      <c r="Z158" s="3"/>
      <c r="AH158" s="40"/>
      <c r="AI158" s="40"/>
      <c r="AN158">
        <f>SUM(AM129:AM157)</f>
        <v>183.34</v>
      </c>
    </row>
    <row r="159" spans="1:57" ht="15">
      <c r="L159" s="47" t="s">
        <v>553</v>
      </c>
      <c r="M159" s="47" t="s">
        <v>565</v>
      </c>
      <c r="P159" t="s">
        <v>566</v>
      </c>
      <c r="Q159" s="58">
        <f>R156-3</f>
        <v>595490316.7980299</v>
      </c>
      <c r="R159" s="21">
        <f>((W159)/$X$9)+Q159</f>
        <v>595690536.93099976</v>
      </c>
      <c r="S159" s="21">
        <f>R159-Q159</f>
        <v>200220.13296985626</v>
      </c>
      <c r="T159" s="21">
        <f>S159*$X$9</f>
        <v>740000.00000018196</v>
      </c>
      <c r="U159" s="3">
        <v>0</v>
      </c>
      <c r="V159" s="20">
        <f>T159+U159*$V$38</f>
        <v>740000.00000018196</v>
      </c>
      <c r="W159" s="20">
        <v>740000</v>
      </c>
      <c r="X159" s="332">
        <f>W159-V159</f>
        <v>-1.8195714801549911E-7</v>
      </c>
      <c r="Z159" s="3"/>
      <c r="AA159" t="s">
        <v>23</v>
      </c>
      <c r="AH159" s="40">
        <f>X159*8/1000000</f>
        <v>-1.4556571841239929E-12</v>
      </c>
      <c r="AI159" s="40">
        <f>V159*8/1000000</f>
        <v>5.9200000000014557</v>
      </c>
      <c r="AJ159" s="65"/>
    </row>
    <row r="160" spans="1:57" ht="15.75">
      <c r="L160" s="47" t="s">
        <v>565</v>
      </c>
      <c r="M160" s="47" t="s">
        <v>567</v>
      </c>
      <c r="O160" s="84" t="s">
        <v>568</v>
      </c>
      <c r="P160" t="s">
        <v>569</v>
      </c>
      <c r="Q160" s="58">
        <f>R159-3</f>
        <v>595690533.93099976</v>
      </c>
      <c r="R160" s="21">
        <f>((W160)/$X$9)+Q160</f>
        <v>596272254.58760118</v>
      </c>
      <c r="S160" s="21">
        <f>R160-Q160</f>
        <v>581720.65660142899</v>
      </c>
      <c r="T160" s="21">
        <f>S160*$X$9</f>
        <v>2149999.9999998617</v>
      </c>
      <c r="U160" s="3">
        <v>0</v>
      </c>
      <c r="V160" s="20">
        <f>T160+U160*$V$38</f>
        <v>2149999.9999998617</v>
      </c>
      <c r="W160" s="20">
        <v>2150000</v>
      </c>
      <c r="X160" s="332">
        <f>W160-V160</f>
        <v>1.3830140233039856E-7</v>
      </c>
      <c r="AB160" s="50">
        <v>2153619</v>
      </c>
      <c r="AC160" s="50"/>
      <c r="AH160" s="40">
        <f>X160*8/1000000</f>
        <v>1.1064112186431885E-12</v>
      </c>
      <c r="AI160" s="40">
        <f>V160*8/1000000</f>
        <v>17.199999999998894</v>
      </c>
      <c r="AQ160" s="17"/>
      <c r="AY160" s="17"/>
      <c r="AZ160" s="17"/>
      <c r="BA160" s="17"/>
      <c r="BB160" s="17"/>
      <c r="BC160" s="17"/>
      <c r="BD160" s="17"/>
      <c r="BE160" s="17"/>
    </row>
    <row r="161" spans="1:49" ht="15">
      <c r="AG161" s="40"/>
      <c r="AH161" s="40">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0"/>
      <c r="AF162" s="40"/>
    </row>
    <row r="163" spans="1:49" ht="15.75" thickBot="1">
      <c r="M163" t="s">
        <v>942</v>
      </c>
      <c r="N163" t="s">
        <v>943</v>
      </c>
      <c r="S163">
        <f>190/30</f>
        <v>6.333333333333333</v>
      </c>
      <c r="T163">
        <f>40000/30</f>
        <v>1333.3333333333333</v>
      </c>
      <c r="U163">
        <f>190/8</f>
        <v>23.75</v>
      </c>
      <c r="X163" t="s">
        <v>198</v>
      </c>
    </row>
    <row r="164" spans="1:49" ht="15">
      <c r="C164" s="112" t="s">
        <v>226</v>
      </c>
      <c r="D164" s="112" t="s">
        <v>227</v>
      </c>
      <c r="E164" s="112" t="s">
        <v>51</v>
      </c>
      <c r="F164" s="112" t="s">
        <v>49</v>
      </c>
      <c r="G164" s="112" t="s">
        <v>50</v>
      </c>
      <c r="H164" s="112" t="s">
        <v>53</v>
      </c>
      <c r="I164" s="112" t="s">
        <v>54</v>
      </c>
      <c r="J164" s="112" t="s">
        <v>228</v>
      </c>
      <c r="K164" s="112"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1" t="s">
        <v>575</v>
      </c>
      <c r="P167" s="14" t="s">
        <v>576</v>
      </c>
      <c r="Q167" s="114" t="s">
        <v>577</v>
      </c>
      <c r="R167" s="114">
        <v>613555366</v>
      </c>
      <c r="S167" s="14">
        <v>0</v>
      </c>
      <c r="T167" s="14" t="s">
        <v>409</v>
      </c>
      <c r="U167" s="14" t="s">
        <v>578</v>
      </c>
      <c r="V167" s="14" t="s">
        <v>579</v>
      </c>
      <c r="Y167" s="414" t="s">
        <v>826</v>
      </c>
      <c r="Z167" s="414" t="s">
        <v>827</v>
      </c>
      <c r="AJ167" t="s">
        <v>306</v>
      </c>
      <c r="AK167" t="s">
        <v>121</v>
      </c>
      <c r="AN167" s="65"/>
      <c r="AO167" s="65"/>
      <c r="AP167" s="65"/>
      <c r="AQ167" s="65"/>
      <c r="AR167" s="65"/>
      <c r="AS167" s="17"/>
    </row>
    <row r="168" spans="1:49" ht="30">
      <c r="A168" t="s">
        <v>23</v>
      </c>
      <c r="C168" s="3">
        <v>103</v>
      </c>
      <c r="D168" s="3">
        <v>110</v>
      </c>
      <c r="E168" s="3" t="s">
        <v>51</v>
      </c>
      <c r="F168" s="3" t="s">
        <v>49</v>
      </c>
      <c r="G168" s="3" t="s">
        <v>50</v>
      </c>
      <c r="H168" s="3"/>
      <c r="I168" s="3"/>
      <c r="J168" s="3"/>
      <c r="L168" s="78" t="s">
        <v>559</v>
      </c>
      <c r="M168" s="116" t="s">
        <v>581</v>
      </c>
      <c r="O168" s="84" t="str">
        <f>AI168</f>
        <v>182/15:36</v>
      </c>
      <c r="P168" s="32" t="str">
        <f>MID(AL168,11,5)</f>
        <v>182_1</v>
      </c>
      <c r="Q168" s="58">
        <f>R157-1</f>
        <v>613358507.26144552</v>
      </c>
      <c r="R168" s="417">
        <f>R167</f>
        <v>613555366</v>
      </c>
      <c r="S168" s="21">
        <f>R168-Q168</f>
        <v>196858.73855447769</v>
      </c>
      <c r="T168" s="21">
        <f>S168*$V$12</f>
        <v>608370.4000780835</v>
      </c>
      <c r="U168" s="3">
        <v>0</v>
      </c>
      <c r="V168" s="27">
        <f>T168+U168*$V$38</f>
        <v>608370.4000780835</v>
      </c>
      <c r="W168" s="20">
        <f>AA168*1000000/8</f>
        <v>1001000.0000000001</v>
      </c>
      <c r="X168" s="332">
        <f>W168-V168</f>
        <v>392629.59992191661</v>
      </c>
      <c r="Y168" s="331">
        <f>S168*$V$24+U168*$V$38</f>
        <v>646715.13301579049</v>
      </c>
      <c r="Z168" s="330">
        <f>(Y168/V168-1)</f>
        <v>6.3028597270323283E-2</v>
      </c>
      <c r="AA168" s="77">
        <f>1.1*AP168</f>
        <v>8.0080000000000009</v>
      </c>
      <c r="AB168" s="50"/>
      <c r="AC168" s="50"/>
      <c r="AD168" s="118">
        <f>AK168</f>
        <v>4.8669632006246681</v>
      </c>
      <c r="AE168" s="98"/>
      <c r="AF168" s="98"/>
      <c r="AG168" s="62"/>
      <c r="AH168" s="31" t="str">
        <f>MID(AL168,7,9)</f>
        <v>TRK_182_1</v>
      </c>
      <c r="AI168" s="34" t="s">
        <v>582</v>
      </c>
      <c r="AJ168" s="40">
        <f>X168*8/1000000</f>
        <v>3.1410367993753328</v>
      </c>
      <c r="AK168" s="40">
        <f>V168*8/1000000</f>
        <v>4.8669632006246681</v>
      </c>
      <c r="AL168" s="97" t="s">
        <v>583</v>
      </c>
      <c r="AM168" s="97" t="s">
        <v>584</v>
      </c>
      <c r="AN168" s="97">
        <v>7.28</v>
      </c>
      <c r="AO168" s="97">
        <v>7.28</v>
      </c>
      <c r="AP168" s="97">
        <v>7.28</v>
      </c>
      <c r="AQ168" s="65"/>
      <c r="AR168" s="65">
        <f>SUM(AT129:AT166)</f>
        <v>0</v>
      </c>
    </row>
    <row r="169" spans="1:49" ht="15.75">
      <c r="A169" t="s">
        <v>585</v>
      </c>
      <c r="C169" s="3">
        <v>103</v>
      </c>
      <c r="D169" s="3">
        <v>110</v>
      </c>
      <c r="E169" s="3" t="s">
        <v>51</v>
      </c>
      <c r="F169" s="3" t="s">
        <v>49</v>
      </c>
      <c r="G169" s="3" t="s">
        <v>50</v>
      </c>
      <c r="H169" s="3"/>
      <c r="I169" s="3"/>
      <c r="J169" s="3"/>
      <c r="L169" s="116" t="s">
        <v>581</v>
      </c>
      <c r="M169" s="78" t="s">
        <v>586</v>
      </c>
      <c r="O169" s="41" t="s">
        <v>587</v>
      </c>
      <c r="P169" s="32"/>
      <c r="Q169" s="120">
        <f>R168-1</f>
        <v>613555365</v>
      </c>
      <c r="R169" s="416">
        <f>R170</f>
        <v>613559216</v>
      </c>
      <c r="S169" s="21">
        <f>R169-Q169</f>
        <v>3851</v>
      </c>
      <c r="T169" s="21">
        <f>S169*$V$15</f>
        <v>6668.6483333333099</v>
      </c>
      <c r="U169" s="3">
        <v>0</v>
      </c>
      <c r="V169" s="27">
        <f>T169+U169*$V$38</f>
        <v>6668.6483333333099</v>
      </c>
      <c r="W169" s="27">
        <f>X168</f>
        <v>392629.59992191661</v>
      </c>
      <c r="X169" s="332">
        <f>W169-V169</f>
        <v>385960.9515885833</v>
      </c>
      <c r="Y169" s="331">
        <f>S169*$V$25+U169*$V$38</f>
        <v>6784.445763888868</v>
      </c>
      <c r="Z169" s="330">
        <f>(Y169/V169-1)</f>
        <v>1.7364452999679703E-2</v>
      </c>
      <c r="AA169" s="77"/>
      <c r="AB169" s="50"/>
      <c r="AC169" s="50"/>
      <c r="AD169" s="118">
        <f>AD168+AK169</f>
        <v>4.920312387291335</v>
      </c>
      <c r="AE169" s="98"/>
      <c r="AF169" s="98"/>
      <c r="AG169" s="62"/>
      <c r="AJ169" s="40">
        <f>X169*8/1000000</f>
        <v>3.0876876127086663</v>
      </c>
      <c r="AK169" s="40">
        <f>V169*8/1000000</f>
        <v>5.3349186666666479E-2</v>
      </c>
    </row>
    <row r="170" spans="1:49" ht="15.75">
      <c r="A170" s="40" t="s">
        <v>588</v>
      </c>
      <c r="B170" s="40"/>
      <c r="C170" s="42"/>
      <c r="D170" s="42"/>
      <c r="E170" s="42"/>
      <c r="F170" s="42"/>
      <c r="G170" s="42"/>
      <c r="H170" s="42"/>
      <c r="I170" s="42"/>
      <c r="J170" s="42"/>
      <c r="O170" s="41" t="s">
        <v>589</v>
      </c>
      <c r="P170" s="16" t="s">
        <v>590</v>
      </c>
      <c r="Q170" s="16" t="s">
        <v>591</v>
      </c>
      <c r="R170" s="16">
        <f>613558916+300</f>
        <v>613559216</v>
      </c>
      <c r="S170" s="16">
        <v>8</v>
      </c>
      <c r="T170" s="16" t="s">
        <v>27</v>
      </c>
      <c r="U170" s="16" t="s">
        <v>298</v>
      </c>
      <c r="V170" s="16"/>
      <c r="W170" s="16"/>
      <c r="X170" s="16" t="s">
        <v>592</v>
      </c>
      <c r="Y170" s="16"/>
      <c r="Z170" s="16"/>
      <c r="AA170" s="17"/>
      <c r="AB170" s="17"/>
      <c r="AD170" s="99"/>
      <c r="AE170" s="98"/>
      <c r="AF170" s="98"/>
      <c r="AG170" s="123"/>
      <c r="AJ170" s="40"/>
      <c r="AK170" s="40"/>
    </row>
    <row r="171" spans="1:49" ht="15.75">
      <c r="A171" t="s">
        <v>593</v>
      </c>
      <c r="C171" s="3"/>
      <c r="D171" s="3"/>
      <c r="E171" s="3"/>
      <c r="F171" s="3"/>
      <c r="G171" s="3"/>
      <c r="H171" s="3"/>
      <c r="I171" s="3" t="s">
        <v>54</v>
      </c>
      <c r="J171" s="3"/>
      <c r="K171" s="6"/>
      <c r="L171" s="78" t="s">
        <v>508</v>
      </c>
      <c r="M171" s="78" t="s">
        <v>595</v>
      </c>
      <c r="N171" t="s">
        <v>596</v>
      </c>
      <c r="O171" s="6" t="s">
        <v>1266</v>
      </c>
      <c r="P171" s="32"/>
      <c r="Q171" s="124">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2">
        <f t="shared" ref="X171:X197" si="85">W171-V171</f>
        <v>1.257285475730896E-8</v>
      </c>
      <c r="Y171" s="331">
        <f>S171*$V$26+U171*$V$38</f>
        <v>399585.03174135741</v>
      </c>
      <c r="Z171" s="330">
        <f>(Y171/V171-1)</f>
        <v>3.5299115355352795E-2</v>
      </c>
      <c r="AA171" s="77"/>
      <c r="AB171" s="50"/>
      <c r="AC171" s="50"/>
      <c r="AD171" s="118">
        <f>AD169+AK171</f>
        <v>8.0079999999999014</v>
      </c>
      <c r="AE171" s="98"/>
      <c r="AF171" s="98"/>
      <c r="AG171" s="62"/>
      <c r="AJ171" s="40">
        <f t="shared" ref="AJ171:AJ197" si="86">X171*8/1000000</f>
        <v>1.0058283805847168E-13</v>
      </c>
      <c r="AK171" s="40">
        <f t="shared" ref="AK171:AK197" si="87">V171*8/1000000</f>
        <v>3.087687612708566</v>
      </c>
    </row>
    <row r="172" spans="1:49" ht="15.4" customHeight="1">
      <c r="A172" t="s">
        <v>597</v>
      </c>
      <c r="C172" s="3"/>
      <c r="D172" s="3"/>
      <c r="E172" s="3"/>
      <c r="F172" s="3"/>
      <c r="H172" s="3"/>
      <c r="I172" s="3" t="s">
        <v>54</v>
      </c>
      <c r="J172" s="3"/>
      <c r="L172" s="78" t="s">
        <v>595</v>
      </c>
      <c r="M172" s="78" t="s">
        <v>586</v>
      </c>
      <c r="N172">
        <v>431523</v>
      </c>
      <c r="O172" s="84" t="str">
        <f>AI172</f>
        <v>183/14:46</v>
      </c>
      <c r="P172" s="32" t="str">
        <f>MID(AL172,11,5)</f>
        <v>183_1</v>
      </c>
      <c r="Q172" s="58">
        <f>R171-1</f>
        <v>612295254.66091263</v>
      </c>
      <c r="R172" s="416">
        <f>R170</f>
        <v>613559216</v>
      </c>
      <c r="S172" s="21">
        <f t="shared" si="83"/>
        <v>1263961.3390873671</v>
      </c>
      <c r="T172" s="21">
        <f>S172*$V$14</f>
        <v>432840.92731767852</v>
      </c>
      <c r="U172" s="3">
        <v>0</v>
      </c>
      <c r="V172" s="27">
        <f t="shared" si="84"/>
        <v>432840.92731767852</v>
      </c>
      <c r="W172" s="20">
        <f>AA172*1000000/8</f>
        <v>1197625.0000000002</v>
      </c>
      <c r="X172" s="332">
        <f t="shared" si="85"/>
        <v>764784.07268232177</v>
      </c>
      <c r="Y172" s="331">
        <f>S172*$V$26+U172*$V$38</f>
        <v>464110.80419614259</v>
      </c>
      <c r="Z172" s="330">
        <f>(Y172/V172-1)</f>
        <v>7.2243346007605957E-2</v>
      </c>
      <c r="AA172" s="77">
        <f>1.1*AP172</f>
        <v>9.5810000000000013</v>
      </c>
      <c r="AB172" s="50"/>
      <c r="AC172" s="50"/>
      <c r="AD172" s="118">
        <f>AD171+AK172</f>
        <v>11.47072741854133</v>
      </c>
      <c r="AE172" s="98"/>
      <c r="AF172" s="98"/>
      <c r="AG172" s="62"/>
      <c r="AH172" s="31" t="str">
        <f>MID(AL172,7,9)</f>
        <v>TRK_183_1</v>
      </c>
      <c r="AI172" s="34" t="s">
        <v>598</v>
      </c>
      <c r="AJ172" s="40">
        <f t="shared" si="86"/>
        <v>6.1182725814585739</v>
      </c>
      <c r="AK172" s="40">
        <f t="shared" si="87"/>
        <v>3.4627274185414283</v>
      </c>
      <c r="AL172" s="97" t="s">
        <v>599</v>
      </c>
      <c r="AM172" s="97" t="s">
        <v>600</v>
      </c>
      <c r="AN172" s="97">
        <v>8.7100000000000009</v>
      </c>
      <c r="AO172" s="97">
        <v>8.7100000000000009</v>
      </c>
      <c r="AP172" s="97">
        <v>8.7100000000000009</v>
      </c>
    </row>
    <row r="173" spans="1:49" ht="15.4" customHeight="1">
      <c r="A173" t="s">
        <v>601</v>
      </c>
      <c r="D173" s="3"/>
      <c r="E173" s="3" t="s">
        <v>51</v>
      </c>
      <c r="F173" s="3" t="s">
        <v>49</v>
      </c>
      <c r="G173" s="3"/>
      <c r="H173" s="3" t="s">
        <v>53</v>
      </c>
      <c r="I173" s="3" t="s">
        <v>54</v>
      </c>
      <c r="J173" s="3"/>
      <c r="L173" s="78" t="s">
        <v>586</v>
      </c>
      <c r="M173" s="78" t="s">
        <v>602</v>
      </c>
      <c r="O173" s="84" t="s">
        <v>1266</v>
      </c>
      <c r="P173" s="32" t="str">
        <f>MID(AL173,11,5)</f>
        <v/>
      </c>
      <c r="Q173" s="415">
        <f>R172-1</f>
        <v>613559215</v>
      </c>
      <c r="R173" s="128">
        <v>613766276</v>
      </c>
      <c r="S173" s="21">
        <f t="shared" si="83"/>
        <v>207061</v>
      </c>
      <c r="T173" s="21">
        <f>S173*$V$17</f>
        <v>439979.46133680444</v>
      </c>
      <c r="U173" s="3">
        <v>0</v>
      </c>
      <c r="V173" s="27">
        <f t="shared" si="84"/>
        <v>439979.46133680444</v>
      </c>
      <c r="W173" s="135">
        <f>X172</f>
        <v>764784.07268232177</v>
      </c>
      <c r="X173" s="332">
        <f t="shared" si="85"/>
        <v>324804.61134551733</v>
      </c>
      <c r="Y173" s="331">
        <f>S173*$V$27+U173*$V$38</f>
        <v>448936.52716435055</v>
      </c>
      <c r="Z173" s="330">
        <f>(Y173/V173-1)</f>
        <v>2.03579180726563E-2</v>
      </c>
      <c r="AA173" s="77"/>
      <c r="AB173" s="50"/>
      <c r="AC173" s="50"/>
      <c r="AD173" s="118">
        <f>AD172+AK173</f>
        <v>14.990563109235765</v>
      </c>
      <c r="AE173" s="98"/>
      <c r="AF173" s="98"/>
      <c r="AG173" s="62"/>
      <c r="AH173" s="31"/>
      <c r="AI173" s="34"/>
      <c r="AJ173" s="40">
        <f t="shared" si="86"/>
        <v>2.5984368907641389</v>
      </c>
      <c r="AK173" s="40">
        <f t="shared" si="87"/>
        <v>3.5198356906944355</v>
      </c>
      <c r="AL173" s="97"/>
      <c r="AM173" s="97"/>
      <c r="AN173" s="97"/>
      <c r="AO173" s="97"/>
      <c r="AP173" s="97"/>
    </row>
    <row r="174" spans="1:49" ht="15.4" customHeight="1">
      <c r="A174" t="s">
        <v>603</v>
      </c>
      <c r="D174" s="3"/>
      <c r="E174" s="3"/>
      <c r="F174" s="3"/>
      <c r="G174" s="3"/>
      <c r="H174" s="3"/>
      <c r="I174" s="3"/>
      <c r="J174" s="3" t="s">
        <v>228</v>
      </c>
      <c r="K174" s="3" t="s">
        <v>825</v>
      </c>
      <c r="L174" s="47" t="s">
        <v>567</v>
      </c>
      <c r="M174" s="47" t="s">
        <v>604</v>
      </c>
      <c r="O174" s="84" t="s">
        <v>1266</v>
      </c>
      <c r="P174" s="32"/>
      <c r="Q174" s="58">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5">
        <f>X173</f>
        <v>324804.61134551733</v>
      </c>
      <c r="X174" s="332">
        <f t="shared" si="85"/>
        <v>-5.9546437114477158E-8</v>
      </c>
      <c r="Y174" s="332"/>
      <c r="Z174" s="332"/>
      <c r="AA174" s="77"/>
      <c r="AB174" s="50"/>
      <c r="AC174" s="129">
        <f>AK174</f>
        <v>2.5984368907646149</v>
      </c>
      <c r="AD174" s="98"/>
      <c r="AE174" s="98"/>
      <c r="AF174" s="98"/>
      <c r="AG174" s="98"/>
      <c r="AH174" s="31"/>
      <c r="AI174" s="34"/>
      <c r="AJ174" s="40">
        <f t="shared" si="86"/>
        <v>-4.7637149691581728E-13</v>
      </c>
      <c r="AK174" s="40">
        <f t="shared" si="87"/>
        <v>2.5984368907646149</v>
      </c>
      <c r="AL174" s="97"/>
      <c r="AM174" s="97"/>
      <c r="AN174" s="97"/>
      <c r="AO174" s="97"/>
      <c r="AP174" s="97"/>
    </row>
    <row r="175" spans="1:49" ht="15.4" customHeight="1">
      <c r="C175" s="3"/>
      <c r="D175" s="3"/>
      <c r="E175" s="3"/>
      <c r="F175" s="3"/>
      <c r="G175" s="3"/>
      <c r="H175" s="3"/>
      <c r="I175" s="3"/>
      <c r="J175" s="3" t="s">
        <v>228</v>
      </c>
      <c r="K175" s="3" t="s">
        <v>825</v>
      </c>
      <c r="L175" s="47" t="s">
        <v>604</v>
      </c>
      <c r="M175" s="47" t="s">
        <v>605</v>
      </c>
      <c r="O175" s="84" t="str">
        <f t="shared" ref="O175:O196" si="90">AI175</f>
        <v>183/23:16</v>
      </c>
      <c r="P175" s="32" t="str">
        <f t="shared" ref="P175:P197" si="91">MID(AL175,11,5)</f>
        <v>183_2</v>
      </c>
      <c r="Q175" s="58">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2">
        <f t="shared" si="85"/>
        <v>-6.5658241510391235E-8</v>
      </c>
      <c r="Y175" s="332"/>
      <c r="Z175" s="332"/>
      <c r="AA175" s="77">
        <f t="shared" ref="AA175:AA196" si="94">1.1*AP175</f>
        <v>9.0530000000000008</v>
      </c>
      <c r="AB175" s="50"/>
      <c r="AC175" s="129">
        <f t="shared" ref="AC175:AC191" si="95">AC174+AK175</f>
        <v>11.65143689076514</v>
      </c>
      <c r="AD175" s="98"/>
      <c r="AE175" s="98"/>
      <c r="AF175" s="98"/>
      <c r="AG175" s="98"/>
      <c r="AH175" s="31" t="str">
        <f t="shared" ref="AH175:AH196" si="96">MID(AL175,7,9)</f>
        <v>TRK_183_2</v>
      </c>
      <c r="AI175" s="34" t="s">
        <v>606</v>
      </c>
      <c r="AJ175" s="40">
        <f t="shared" si="86"/>
        <v>-5.2526593208312993E-13</v>
      </c>
      <c r="AK175" s="40">
        <f t="shared" si="87"/>
        <v>9.0530000000005248</v>
      </c>
      <c r="AL175" s="97" t="s">
        <v>607</v>
      </c>
      <c r="AM175" s="97" t="s">
        <v>608</v>
      </c>
      <c r="AN175" s="97">
        <v>8.23</v>
      </c>
      <c r="AO175" s="97">
        <v>8.23</v>
      </c>
      <c r="AP175" s="97">
        <v>8.23</v>
      </c>
    </row>
    <row r="176" spans="1:49" ht="15.4" customHeight="1">
      <c r="C176" s="3"/>
      <c r="D176" s="3"/>
      <c r="E176" s="3"/>
      <c r="F176" s="3"/>
      <c r="G176" s="3"/>
      <c r="H176" s="3"/>
      <c r="I176" s="3"/>
      <c r="J176" s="3" t="s">
        <v>228</v>
      </c>
      <c r="K176" s="3" t="s">
        <v>825</v>
      </c>
      <c r="L176" s="47" t="s">
        <v>605</v>
      </c>
      <c r="M176" s="47" t="s">
        <v>609</v>
      </c>
      <c r="O176" s="84" t="str">
        <f t="shared" si="90"/>
        <v>184/21:41</v>
      </c>
      <c r="P176" s="32" t="str">
        <f t="shared" si="91"/>
        <v>184_2</v>
      </c>
      <c r="Q176" s="58">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2">
        <f t="shared" si="85"/>
        <v>1.3574026525020599E-7</v>
      </c>
      <c r="Y176" s="332"/>
      <c r="Z176" s="332"/>
      <c r="AA176" s="77">
        <f t="shared" si="94"/>
        <v>10.89</v>
      </c>
      <c r="AB176" s="50"/>
      <c r="AC176" s="129">
        <f t="shared" si="95"/>
        <v>22.541436890764054</v>
      </c>
      <c r="AD176" s="98"/>
      <c r="AE176" s="98"/>
      <c r="AF176" s="98"/>
      <c r="AG176" s="98"/>
      <c r="AH176" s="31" t="str">
        <f t="shared" si="96"/>
        <v>TRK_184_2</v>
      </c>
      <c r="AI176" s="34" t="s">
        <v>610</v>
      </c>
      <c r="AJ176" s="40">
        <f t="shared" si="86"/>
        <v>1.0859221220016479E-12</v>
      </c>
      <c r="AK176" s="40">
        <f t="shared" si="87"/>
        <v>10.889999999998913</v>
      </c>
      <c r="AL176" s="97" t="s">
        <v>611</v>
      </c>
      <c r="AM176" s="97" t="s">
        <v>612</v>
      </c>
      <c r="AN176" s="97">
        <v>9.9</v>
      </c>
      <c r="AO176" s="97">
        <v>9.9</v>
      </c>
      <c r="AP176" s="97">
        <v>9.9</v>
      </c>
    </row>
    <row r="177" spans="1:42" ht="15.4" customHeight="1">
      <c r="C177" s="3"/>
      <c r="D177" s="3"/>
      <c r="E177" s="3"/>
      <c r="F177" s="3"/>
      <c r="G177" s="3"/>
      <c r="H177" s="3"/>
      <c r="I177" s="3"/>
      <c r="J177" s="3" t="s">
        <v>228</v>
      </c>
      <c r="K177" s="3" t="s">
        <v>825</v>
      </c>
      <c r="L177" s="47" t="s">
        <v>609</v>
      </c>
      <c r="M177" s="47" t="s">
        <v>613</v>
      </c>
      <c r="O177" s="84" t="str">
        <f t="shared" si="90"/>
        <v>185/16:36</v>
      </c>
      <c r="P177" s="32" t="str">
        <f t="shared" si="91"/>
        <v>185_1</v>
      </c>
      <c r="Q177" s="58">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2">
        <f t="shared" si="85"/>
        <v>-1.280568540096283E-7</v>
      </c>
      <c r="Y177" s="332"/>
      <c r="Z177" s="332"/>
      <c r="AA177" s="77">
        <f t="shared" si="94"/>
        <v>3.3330000000000002</v>
      </c>
      <c r="AB177" s="50"/>
      <c r="AC177" s="129">
        <f t="shared" si="95"/>
        <v>25.874436890765079</v>
      </c>
      <c r="AD177" s="98"/>
      <c r="AE177" s="98"/>
      <c r="AF177" s="98"/>
      <c r="AG177" s="98"/>
      <c r="AH177" s="31" t="str">
        <f t="shared" si="96"/>
        <v>TRK_185_1</v>
      </c>
      <c r="AI177" s="34" t="s">
        <v>614</v>
      </c>
      <c r="AJ177" s="40">
        <f t="shared" si="86"/>
        <v>-1.0244548320770264E-12</v>
      </c>
      <c r="AK177" s="40">
        <f t="shared" si="87"/>
        <v>3.3330000000010243</v>
      </c>
      <c r="AL177" s="97" t="s">
        <v>615</v>
      </c>
      <c r="AM177" s="97" t="s">
        <v>616</v>
      </c>
      <c r="AN177" s="97">
        <v>3.03</v>
      </c>
      <c r="AO177" s="97">
        <v>3.03</v>
      </c>
      <c r="AP177" s="97">
        <v>3.03</v>
      </c>
    </row>
    <row r="178" spans="1:42" ht="15.4" customHeight="1">
      <c r="C178" s="3"/>
      <c r="D178" s="3"/>
      <c r="E178" s="3"/>
      <c r="F178" s="3"/>
      <c r="G178" s="3"/>
      <c r="H178" s="3"/>
      <c r="I178" s="3"/>
      <c r="J178" s="3" t="s">
        <v>228</v>
      </c>
      <c r="K178" s="3" t="s">
        <v>825</v>
      </c>
      <c r="L178" s="47" t="s">
        <v>613</v>
      </c>
      <c r="M178" s="47" t="s">
        <v>617</v>
      </c>
      <c r="O178" s="84" t="str">
        <f t="shared" si="90"/>
        <v>186/16:36</v>
      </c>
      <c r="P178" s="32" t="str">
        <f t="shared" si="91"/>
        <v>186_1</v>
      </c>
      <c r="Q178" s="58">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2">
        <f t="shared" si="85"/>
        <v>2.1158484742045403E-7</v>
      </c>
      <c r="Y178" s="332"/>
      <c r="Z178" s="332"/>
      <c r="AA178" s="77">
        <f t="shared" si="94"/>
        <v>3.5420000000000007</v>
      </c>
      <c r="AB178" s="50"/>
      <c r="AC178" s="129">
        <f t="shared" si="95"/>
        <v>29.416436890763386</v>
      </c>
      <c r="AD178" s="98"/>
      <c r="AE178" s="98"/>
      <c r="AF178" s="98"/>
      <c r="AG178" s="98"/>
      <c r="AH178" s="31" t="str">
        <f t="shared" si="96"/>
        <v>TRK_186_1</v>
      </c>
      <c r="AI178" s="34" t="s">
        <v>618</v>
      </c>
      <c r="AJ178" s="40">
        <f t="shared" si="86"/>
        <v>1.6926787793636323E-12</v>
      </c>
      <c r="AK178" s="40">
        <f t="shared" si="87"/>
        <v>3.5419999999983083</v>
      </c>
      <c r="AL178" s="97" t="s">
        <v>619</v>
      </c>
      <c r="AM178" s="97" t="s">
        <v>620</v>
      </c>
      <c r="AN178" s="97">
        <v>3.22</v>
      </c>
      <c r="AO178" s="97">
        <v>3.22</v>
      </c>
      <c r="AP178" s="97">
        <v>3.22</v>
      </c>
    </row>
    <row r="179" spans="1:42" ht="15.4" customHeight="1">
      <c r="C179" s="3"/>
      <c r="D179" s="3"/>
      <c r="E179" s="3"/>
      <c r="F179" s="3"/>
      <c r="G179" s="3"/>
      <c r="H179" s="3"/>
      <c r="I179" s="3"/>
      <c r="J179" s="3" t="s">
        <v>228</v>
      </c>
      <c r="K179" s="3" t="s">
        <v>825</v>
      </c>
      <c r="L179" s="47" t="s">
        <v>617</v>
      </c>
      <c r="M179" s="47" t="s">
        <v>621</v>
      </c>
      <c r="O179" s="84" t="str">
        <f t="shared" si="90"/>
        <v>186/22:56</v>
      </c>
      <c r="P179" s="32" t="str">
        <f t="shared" si="91"/>
        <v>186_2</v>
      </c>
      <c r="Q179" s="58">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2">
        <f t="shared" si="85"/>
        <v>1.0221265256404877E-7</v>
      </c>
      <c r="Y179" s="332"/>
      <c r="Z179" s="332"/>
      <c r="AA179" s="77">
        <f t="shared" si="94"/>
        <v>9.0420000000000016</v>
      </c>
      <c r="AB179" s="50"/>
      <c r="AC179" s="129">
        <f t="shared" si="95"/>
        <v>38.45843689076257</v>
      </c>
      <c r="AD179" s="98"/>
      <c r="AE179" s="98"/>
      <c r="AF179" s="98"/>
      <c r="AG179" s="98"/>
      <c r="AH179" s="31" t="str">
        <f t="shared" si="96"/>
        <v>TRK_186_2</v>
      </c>
      <c r="AI179" s="34" t="s">
        <v>622</v>
      </c>
      <c r="AJ179" s="40">
        <f t="shared" si="86"/>
        <v>8.1770122051239012E-13</v>
      </c>
      <c r="AK179" s="40">
        <f t="shared" si="87"/>
        <v>9.0419999999991845</v>
      </c>
      <c r="AL179" s="97" t="s">
        <v>623</v>
      </c>
      <c r="AM179" s="97" t="s">
        <v>624</v>
      </c>
      <c r="AN179" s="97">
        <v>8.2200000000000006</v>
      </c>
      <c r="AO179" s="97">
        <v>8.2200000000000006</v>
      </c>
      <c r="AP179" s="97">
        <v>8.2200000000000006</v>
      </c>
    </row>
    <row r="180" spans="1:42" ht="15.4" customHeight="1">
      <c r="C180" s="3"/>
      <c r="D180" s="3"/>
      <c r="E180" s="3"/>
      <c r="F180" s="3"/>
      <c r="G180" s="3"/>
      <c r="H180" s="3"/>
      <c r="I180" s="3"/>
      <c r="J180" s="3" t="s">
        <v>228</v>
      </c>
      <c r="K180" s="3" t="s">
        <v>825</v>
      </c>
      <c r="L180" s="47" t="s">
        <v>621</v>
      </c>
      <c r="M180" s="47" t="s">
        <v>625</v>
      </c>
      <c r="O180" s="84" t="str">
        <f t="shared" si="90"/>
        <v>187/13:21</v>
      </c>
      <c r="P180" s="32" t="str">
        <f t="shared" si="91"/>
        <v>187_1</v>
      </c>
      <c r="Q180" s="58">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2">
        <f t="shared" si="85"/>
        <v>-1.5646219253540039E-7</v>
      </c>
      <c r="Y180" s="332"/>
      <c r="Z180" s="332"/>
      <c r="AA180" s="77">
        <f t="shared" si="94"/>
        <v>10.967000000000002</v>
      </c>
      <c r="AB180" s="50"/>
      <c r="AC180" s="129">
        <f t="shared" si="95"/>
        <v>49.42543689076382</v>
      </c>
      <c r="AD180" s="98"/>
      <c r="AE180" s="98"/>
      <c r="AF180" s="98"/>
      <c r="AG180" s="98"/>
      <c r="AH180" s="31" t="str">
        <f t="shared" si="96"/>
        <v>TRK_187_1</v>
      </c>
      <c r="AI180" s="34" t="s">
        <v>626</v>
      </c>
      <c r="AJ180" s="40">
        <f t="shared" si="86"/>
        <v>-1.2516975402832031E-12</v>
      </c>
      <c r="AK180" s="40">
        <f t="shared" si="87"/>
        <v>10.967000000001253</v>
      </c>
      <c r="AL180" s="97" t="s">
        <v>627</v>
      </c>
      <c r="AM180" s="97" t="s">
        <v>628</v>
      </c>
      <c r="AN180" s="97">
        <v>9.9700000000000006</v>
      </c>
      <c r="AO180" s="97">
        <v>9.9700000000000006</v>
      </c>
      <c r="AP180" s="97">
        <v>9.9700000000000006</v>
      </c>
    </row>
    <row r="181" spans="1:42" ht="15.4" customHeight="1">
      <c r="C181" s="3"/>
      <c r="D181" s="3"/>
      <c r="E181" s="3"/>
      <c r="F181" s="3"/>
      <c r="G181" s="3"/>
      <c r="H181" s="3"/>
      <c r="I181" s="3"/>
      <c r="J181" s="3" t="s">
        <v>228</v>
      </c>
      <c r="K181" s="3" t="s">
        <v>825</v>
      </c>
      <c r="L181" s="47" t="s">
        <v>625</v>
      </c>
      <c r="M181" s="47" t="s">
        <v>629</v>
      </c>
      <c r="O181" s="84" t="str">
        <f t="shared" si="90"/>
        <v>189/12:16</v>
      </c>
      <c r="P181" s="32" t="str">
        <f t="shared" si="91"/>
        <v>189_1</v>
      </c>
      <c r="Q181" s="58">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2">
        <f t="shared" si="85"/>
        <v>-2.0302832126617432E-7</v>
      </c>
      <c r="Y181" s="332"/>
      <c r="Z181" s="332"/>
      <c r="AA181" s="77">
        <f t="shared" si="94"/>
        <v>8.4260000000000002</v>
      </c>
      <c r="AB181" s="50"/>
      <c r="AC181" s="129">
        <f t="shared" si="95"/>
        <v>57.851436890765441</v>
      </c>
      <c r="AD181" s="98"/>
      <c r="AE181" s="98"/>
      <c r="AF181" s="98"/>
      <c r="AG181" s="98"/>
      <c r="AH181" s="31" t="str">
        <f t="shared" si="96"/>
        <v>TRK_189_1</v>
      </c>
      <c r="AI181" s="34" t="s">
        <v>630</v>
      </c>
      <c r="AJ181" s="40">
        <f t="shared" si="86"/>
        <v>-1.6242265701293946E-12</v>
      </c>
      <c r="AK181" s="40">
        <f t="shared" si="87"/>
        <v>8.4260000000016237</v>
      </c>
      <c r="AL181" s="97" t="s">
        <v>631</v>
      </c>
      <c r="AM181" s="97" t="s">
        <v>632</v>
      </c>
      <c r="AN181" s="97">
        <v>7.66</v>
      </c>
      <c r="AO181" s="97">
        <v>7.66</v>
      </c>
      <c r="AP181" s="97">
        <v>7.66</v>
      </c>
    </row>
    <row r="182" spans="1:42" ht="15.4" customHeight="1">
      <c r="C182" s="3"/>
      <c r="D182" s="3"/>
      <c r="E182" s="3"/>
      <c r="F182" s="3"/>
      <c r="G182" s="3"/>
      <c r="H182" s="3"/>
      <c r="I182" s="3"/>
      <c r="J182" s="3" t="s">
        <v>228</v>
      </c>
      <c r="K182" s="3" t="s">
        <v>825</v>
      </c>
      <c r="L182" s="47" t="s">
        <v>1263</v>
      </c>
      <c r="M182" s="47" t="s">
        <v>633</v>
      </c>
      <c r="O182" s="84" t="str">
        <f t="shared" si="90"/>
        <v>190/20:06</v>
      </c>
      <c r="P182" s="32" t="str">
        <f t="shared" si="91"/>
        <v>190_1</v>
      </c>
      <c r="Q182" s="58">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2">
        <f t="shared" si="85"/>
        <v>2.3050233721733093E-8</v>
      </c>
      <c r="Y182" s="332"/>
      <c r="Z182" s="332"/>
      <c r="AA182" s="77">
        <f t="shared" si="94"/>
        <v>13.904000000000002</v>
      </c>
      <c r="AB182" s="50"/>
      <c r="AC182" s="129">
        <f t="shared" si="95"/>
        <v>71.755436890765253</v>
      </c>
      <c r="AD182" s="98"/>
      <c r="AE182" s="98"/>
      <c r="AF182" s="98"/>
      <c r="AG182" s="98"/>
      <c r="AH182" s="31" t="str">
        <f t="shared" si="96"/>
        <v>TRK_190_1</v>
      </c>
      <c r="AI182" s="34" t="s">
        <v>634</v>
      </c>
      <c r="AJ182" s="40">
        <f t="shared" si="86"/>
        <v>1.8440186977386473E-13</v>
      </c>
      <c r="AK182" s="40">
        <f t="shared" si="87"/>
        <v>13.903999999999817</v>
      </c>
      <c r="AL182" s="97" t="s">
        <v>635</v>
      </c>
      <c r="AM182" s="97" t="s">
        <v>636</v>
      </c>
      <c r="AN182" s="97">
        <v>12.64</v>
      </c>
      <c r="AO182" s="97">
        <v>12.64</v>
      </c>
      <c r="AP182" s="97">
        <v>12.64</v>
      </c>
    </row>
    <row r="183" spans="1:42" ht="15.4" customHeight="1">
      <c r="C183" s="3"/>
      <c r="D183" s="3"/>
      <c r="E183" s="3"/>
      <c r="F183" s="3"/>
      <c r="G183" s="3"/>
      <c r="H183" s="3"/>
      <c r="I183" s="3"/>
      <c r="J183" s="3" t="s">
        <v>228</v>
      </c>
      <c r="K183" s="3" t="s">
        <v>825</v>
      </c>
      <c r="L183" s="47" t="s">
        <v>633</v>
      </c>
      <c r="M183" s="47" t="s">
        <v>637</v>
      </c>
      <c r="O183" s="84" t="str">
        <f t="shared" si="90"/>
        <v>191/12:11</v>
      </c>
      <c r="P183" s="32" t="str">
        <f t="shared" si="91"/>
        <v>191_1</v>
      </c>
      <c r="Q183" s="58">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2">
        <f t="shared" si="85"/>
        <v>-1.4482066035270691E-7</v>
      </c>
      <c r="Y183" s="332"/>
      <c r="Z183" s="332"/>
      <c r="AA183" s="77">
        <f t="shared" si="94"/>
        <v>13.915000000000001</v>
      </c>
      <c r="AB183" s="50"/>
      <c r="AC183" s="129">
        <f t="shared" si="95"/>
        <v>85.67043689076641</v>
      </c>
      <c r="AD183" s="98"/>
      <c r="AE183" s="98"/>
      <c r="AF183" s="98"/>
      <c r="AG183" s="98"/>
      <c r="AH183" s="31" t="str">
        <f t="shared" si="96"/>
        <v>TRK_191_1</v>
      </c>
      <c r="AI183" s="34" t="s">
        <v>638</v>
      </c>
      <c r="AJ183" s="40">
        <f t="shared" si="86"/>
        <v>-1.1585652828216554E-12</v>
      </c>
      <c r="AK183" s="40">
        <f t="shared" si="87"/>
        <v>13.915000000001159</v>
      </c>
      <c r="AL183" s="97" t="s">
        <v>639</v>
      </c>
      <c r="AM183" s="97" t="s">
        <v>640</v>
      </c>
      <c r="AN183" s="97">
        <v>12.65</v>
      </c>
      <c r="AO183" s="97">
        <v>12.65</v>
      </c>
      <c r="AP183" s="97">
        <v>12.65</v>
      </c>
    </row>
    <row r="184" spans="1:42" ht="15.4" customHeight="1">
      <c r="C184" s="3"/>
      <c r="D184" s="3"/>
      <c r="E184" s="3"/>
      <c r="F184" s="3"/>
      <c r="G184" s="3"/>
      <c r="H184" s="3"/>
      <c r="I184" s="3"/>
      <c r="J184" s="3" t="s">
        <v>228</v>
      </c>
      <c r="K184" s="3" t="s">
        <v>825</v>
      </c>
      <c r="L184" s="47" t="s">
        <v>637</v>
      </c>
      <c r="M184" s="47" t="s">
        <v>641</v>
      </c>
      <c r="O184" s="84" t="str">
        <f t="shared" si="90"/>
        <v>192/12:06</v>
      </c>
      <c r="P184" s="32" t="str">
        <f t="shared" si="91"/>
        <v>192_2</v>
      </c>
      <c r="Q184" s="58">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2">
        <f t="shared" si="85"/>
        <v>8.2654878497123718E-8</v>
      </c>
      <c r="Y184" s="332"/>
      <c r="Z184" s="332"/>
      <c r="AA184" s="77">
        <f t="shared" si="94"/>
        <v>9.1300000000000008</v>
      </c>
      <c r="AB184" s="50"/>
      <c r="AC184" s="129">
        <f t="shared" si="95"/>
        <v>94.800436890765752</v>
      </c>
      <c r="AD184" s="98"/>
      <c r="AE184" s="98"/>
      <c r="AF184" s="98"/>
      <c r="AG184" s="98"/>
      <c r="AH184" s="31" t="str">
        <f t="shared" si="96"/>
        <v>TRK_192_2</v>
      </c>
      <c r="AI184" s="34" t="s">
        <v>642</v>
      </c>
      <c r="AJ184" s="40">
        <f t="shared" si="86"/>
        <v>6.6123902797698976E-13</v>
      </c>
      <c r="AK184" s="40">
        <f t="shared" si="87"/>
        <v>9.1299999999993382</v>
      </c>
      <c r="AL184" s="97" t="s">
        <v>643</v>
      </c>
      <c r="AM184" s="97" t="s">
        <v>644</v>
      </c>
      <c r="AN184" s="97">
        <v>8.3000000000000007</v>
      </c>
      <c r="AO184" s="97">
        <v>8.3000000000000007</v>
      </c>
      <c r="AP184" s="97">
        <v>8.3000000000000007</v>
      </c>
    </row>
    <row r="185" spans="1:42" ht="15.4" customHeight="1">
      <c r="C185" s="3"/>
      <c r="D185" s="3"/>
      <c r="E185" s="3"/>
      <c r="F185" s="3"/>
      <c r="G185" s="3"/>
      <c r="H185" s="3"/>
      <c r="I185" s="3"/>
      <c r="J185" s="3" t="s">
        <v>228</v>
      </c>
      <c r="K185" s="3" t="s">
        <v>825</v>
      </c>
      <c r="L185" s="47" t="s">
        <v>641</v>
      </c>
      <c r="M185" s="47" t="s">
        <v>645</v>
      </c>
      <c r="O185" s="84" t="str">
        <f t="shared" si="90"/>
        <v>193/13:50</v>
      </c>
      <c r="P185" s="32" t="str">
        <f t="shared" si="91"/>
        <v>193_1</v>
      </c>
      <c r="Q185" s="58">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2">
        <f t="shared" si="85"/>
        <v>1.9511207938194275E-7</v>
      </c>
      <c r="Y185" s="332"/>
      <c r="Z185" s="332"/>
      <c r="AA185" s="77">
        <f t="shared" si="94"/>
        <v>19.877000000000002</v>
      </c>
      <c r="AB185" s="50"/>
      <c r="AC185" s="129">
        <f t="shared" si="95"/>
        <v>114.6774368907642</v>
      </c>
      <c r="AD185" s="98"/>
      <c r="AE185" s="98"/>
      <c r="AF185" s="98"/>
      <c r="AG185" s="98"/>
      <c r="AH185" s="31" t="str">
        <f t="shared" si="96"/>
        <v>TRK_193_1</v>
      </c>
      <c r="AI185" s="34" t="s">
        <v>646</v>
      </c>
      <c r="AJ185" s="40">
        <f t="shared" si="86"/>
        <v>1.560896635055542E-12</v>
      </c>
      <c r="AK185" s="40">
        <f t="shared" si="87"/>
        <v>19.876999999998443</v>
      </c>
      <c r="AL185" s="97" t="s">
        <v>647</v>
      </c>
      <c r="AM185" s="97" t="s">
        <v>648</v>
      </c>
      <c r="AN185" s="97">
        <v>18.07</v>
      </c>
      <c r="AO185" s="97">
        <v>18.07</v>
      </c>
      <c r="AP185" s="97">
        <v>18.07</v>
      </c>
    </row>
    <row r="186" spans="1:42" ht="15.4" customHeight="1">
      <c r="C186" s="3"/>
      <c r="D186" s="3"/>
      <c r="E186" s="3"/>
      <c r="F186" s="3"/>
      <c r="G186" s="3"/>
      <c r="H186" s="3"/>
      <c r="I186" s="3"/>
      <c r="J186" s="3" t="s">
        <v>228</v>
      </c>
      <c r="K186" s="3" t="s">
        <v>825</v>
      </c>
      <c r="L186" s="47" t="s">
        <v>645</v>
      </c>
      <c r="M186" s="47" t="s">
        <v>649</v>
      </c>
      <c r="O186" s="84" t="str">
        <f t="shared" si="90"/>
        <v>194/16:20</v>
      </c>
      <c r="P186" s="32" t="str">
        <f t="shared" si="91"/>
        <v>194_2</v>
      </c>
      <c r="Q186" s="58">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2">
        <f t="shared" si="85"/>
        <v>-1.2977398000657558E-7</v>
      </c>
      <c r="Y186" s="332"/>
      <c r="Z186" s="332"/>
      <c r="AA186" s="77">
        <f t="shared" si="94"/>
        <v>2.09</v>
      </c>
      <c r="AB186" s="50"/>
      <c r="AC186" s="129">
        <f t="shared" si="95"/>
        <v>116.76743689076524</v>
      </c>
      <c r="AD186" s="98"/>
      <c r="AE186" s="98"/>
      <c r="AF186" s="98"/>
      <c r="AG186" s="98"/>
      <c r="AH186" s="31" t="str">
        <f t="shared" si="96"/>
        <v>TRK_194_2</v>
      </c>
      <c r="AI186" s="34" t="s">
        <v>650</v>
      </c>
      <c r="AJ186" s="40">
        <f t="shared" si="86"/>
        <v>-1.0381918400526047E-12</v>
      </c>
      <c r="AK186" s="40">
        <f t="shared" si="87"/>
        <v>2.0900000000010381</v>
      </c>
      <c r="AL186" s="97" t="s">
        <v>651</v>
      </c>
      <c r="AM186" s="97" t="s">
        <v>652</v>
      </c>
      <c r="AN186" s="97">
        <v>1.9</v>
      </c>
      <c r="AO186" s="97">
        <v>1.9</v>
      </c>
      <c r="AP186" s="97">
        <v>1.9</v>
      </c>
    </row>
    <row r="187" spans="1:42" ht="15.4" customHeight="1">
      <c r="C187" s="3"/>
      <c r="D187" s="3"/>
      <c r="E187" s="3"/>
      <c r="F187" s="3"/>
      <c r="G187" s="3"/>
      <c r="H187" s="3"/>
      <c r="I187" s="3"/>
      <c r="J187" s="3" t="s">
        <v>228</v>
      </c>
      <c r="K187" s="3" t="s">
        <v>825</v>
      </c>
      <c r="L187" s="47" t="s">
        <v>649</v>
      </c>
      <c r="M187" s="47" t="s">
        <v>653</v>
      </c>
      <c r="O187" s="84" t="str">
        <f t="shared" si="90"/>
        <v>194/22:50</v>
      </c>
      <c r="P187" s="32" t="str">
        <f t="shared" si="91"/>
        <v>194_3</v>
      </c>
      <c r="Q187" s="58">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2">
        <f t="shared" si="85"/>
        <v>-2.4330802261829376E-8</v>
      </c>
      <c r="Y187" s="332"/>
      <c r="Z187" s="332"/>
      <c r="AA187" s="77">
        <f t="shared" si="94"/>
        <v>7.8650000000000011</v>
      </c>
      <c r="AB187" s="50"/>
      <c r="AC187" s="129">
        <f t="shared" si="95"/>
        <v>124.63243689076543</v>
      </c>
      <c r="AD187" s="98"/>
      <c r="AE187" s="98"/>
      <c r="AF187" s="98"/>
      <c r="AG187" s="98"/>
      <c r="AH187" s="31" t="str">
        <f t="shared" si="96"/>
        <v>TRK_194_3</v>
      </c>
      <c r="AI187" s="34" t="s">
        <v>654</v>
      </c>
      <c r="AJ187" s="40">
        <f t="shared" si="86"/>
        <v>-1.9464641809463502E-13</v>
      </c>
      <c r="AK187" s="40">
        <f t="shared" si="87"/>
        <v>7.8650000000001956</v>
      </c>
      <c r="AL187" s="97" t="s">
        <v>655</v>
      </c>
      <c r="AM187" s="97" t="s">
        <v>656</v>
      </c>
      <c r="AN187" s="97">
        <v>7.15</v>
      </c>
      <c r="AO187" s="97">
        <v>7.15</v>
      </c>
      <c r="AP187" s="97">
        <v>7.15</v>
      </c>
    </row>
    <row r="188" spans="1:42" ht="15.4" customHeight="1">
      <c r="C188" s="3"/>
      <c r="D188" s="3"/>
      <c r="E188" s="3"/>
      <c r="F188" s="3"/>
      <c r="G188" s="3"/>
      <c r="H188" s="3"/>
      <c r="I188" s="3"/>
      <c r="J188" s="3" t="s">
        <v>228</v>
      </c>
      <c r="K188" s="3" t="s">
        <v>825</v>
      </c>
      <c r="L188" s="47" t="s">
        <v>653</v>
      </c>
      <c r="M188" s="47" t="s">
        <v>657</v>
      </c>
      <c r="O188" s="84" t="str">
        <f t="shared" si="90"/>
        <v>195/15:30</v>
      </c>
      <c r="P188" s="32" t="str">
        <f t="shared" si="91"/>
        <v>195_1</v>
      </c>
      <c r="Q188" s="58">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2">
        <f t="shared" si="85"/>
        <v>-1.9709113985300064E-7</v>
      </c>
      <c r="Y188" s="332"/>
      <c r="Z188" s="332"/>
      <c r="AA188" s="77">
        <f t="shared" si="94"/>
        <v>4.1470000000000002</v>
      </c>
      <c r="AB188" s="50"/>
      <c r="AC188" s="129">
        <f t="shared" si="95"/>
        <v>128.77943689076702</v>
      </c>
      <c r="AD188" s="98"/>
      <c r="AE188" s="98"/>
      <c r="AF188" s="98"/>
      <c r="AG188" s="98"/>
      <c r="AH188" s="31" t="str">
        <f t="shared" si="96"/>
        <v>TRK_195_1</v>
      </c>
      <c r="AI188" s="34" t="s">
        <v>658</v>
      </c>
      <c r="AJ188" s="40">
        <f t="shared" si="86"/>
        <v>-1.5767291188240052E-12</v>
      </c>
      <c r="AK188" s="40">
        <f t="shared" si="87"/>
        <v>4.1470000000015768</v>
      </c>
      <c r="AL188" s="97" t="s">
        <v>659</v>
      </c>
      <c r="AM188" s="97" t="s">
        <v>660</v>
      </c>
      <c r="AN188" s="97">
        <v>3.77</v>
      </c>
      <c r="AO188" s="97">
        <v>3.77</v>
      </c>
      <c r="AP188" s="97">
        <v>3.77</v>
      </c>
    </row>
    <row r="189" spans="1:42" ht="15.4" customHeight="1">
      <c r="C189" s="3"/>
      <c r="D189" s="3"/>
      <c r="E189" s="3"/>
      <c r="F189" s="3"/>
      <c r="G189" s="3"/>
      <c r="H189" s="3"/>
      <c r="I189" s="3"/>
      <c r="J189" s="3" t="s">
        <v>228</v>
      </c>
      <c r="K189" s="3" t="s">
        <v>825</v>
      </c>
      <c r="L189" s="47" t="s">
        <v>657</v>
      </c>
      <c r="M189" s="47" t="s">
        <v>661</v>
      </c>
      <c r="O189" s="84" t="str">
        <f t="shared" si="90"/>
        <v>195/22:50</v>
      </c>
      <c r="P189" s="32" t="str">
        <f t="shared" si="91"/>
        <v>195_2</v>
      </c>
      <c r="Q189" s="58">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2">
        <f t="shared" si="85"/>
        <v>-2.1548476070165634E-7</v>
      </c>
      <c r="Y189" s="332"/>
      <c r="Z189" s="332"/>
      <c r="AA189" s="77">
        <f t="shared" si="94"/>
        <v>7.7330000000000005</v>
      </c>
      <c r="AB189" s="50"/>
      <c r="AC189" s="129">
        <f t="shared" si="95"/>
        <v>136.51243689076875</v>
      </c>
      <c r="AD189" s="98"/>
      <c r="AE189" s="98"/>
      <c r="AF189" s="98"/>
      <c r="AG189" s="98"/>
      <c r="AH189" s="31" t="str">
        <f t="shared" si="96"/>
        <v>TRK_195_2</v>
      </c>
      <c r="AI189" s="34" t="s">
        <v>662</v>
      </c>
      <c r="AJ189" s="40">
        <f t="shared" si="86"/>
        <v>-1.7238780856132507E-12</v>
      </c>
      <c r="AK189" s="40">
        <f t="shared" si="87"/>
        <v>7.7330000000017245</v>
      </c>
      <c r="AL189" s="97" t="s">
        <v>663</v>
      </c>
      <c r="AM189" s="97" t="s">
        <v>664</v>
      </c>
      <c r="AN189" s="97">
        <v>7.03</v>
      </c>
      <c r="AO189" s="97">
        <v>7.03</v>
      </c>
      <c r="AP189" s="97">
        <v>7.03</v>
      </c>
    </row>
    <row r="190" spans="1:42" ht="15.4" customHeight="1">
      <c r="C190" s="3"/>
      <c r="D190" s="3"/>
      <c r="E190" s="3"/>
      <c r="F190" s="3"/>
      <c r="G190" s="3"/>
      <c r="H190" s="3"/>
      <c r="I190" s="3"/>
      <c r="J190" s="3" t="s">
        <v>228</v>
      </c>
      <c r="K190" s="3" t="s">
        <v>825</v>
      </c>
      <c r="L190" s="47" t="s">
        <v>661</v>
      </c>
      <c r="M190" s="47" t="s">
        <v>665</v>
      </c>
      <c r="O190" s="84" t="str">
        <f t="shared" si="90"/>
        <v>197/15:45</v>
      </c>
      <c r="P190" s="32" t="str">
        <f t="shared" si="91"/>
        <v>197_2</v>
      </c>
      <c r="Q190" s="58">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2">
        <f t="shared" si="85"/>
        <v>-4.7992216423153877E-8</v>
      </c>
      <c r="Y190" s="332"/>
      <c r="Z190" s="332"/>
      <c r="AA190" s="77">
        <f t="shared" si="94"/>
        <v>1.9690000000000003</v>
      </c>
      <c r="AB190" s="50"/>
      <c r="AC190" s="129">
        <f t="shared" si="95"/>
        <v>138.48143689076915</v>
      </c>
      <c r="AD190" s="98"/>
      <c r="AE190" s="98"/>
      <c r="AF190" s="98"/>
      <c r="AG190" s="98"/>
      <c r="AH190" s="31" t="str">
        <f t="shared" si="96"/>
        <v>TRK_197_2</v>
      </c>
      <c r="AI190" s="34" t="s">
        <v>666</v>
      </c>
      <c r="AJ190" s="40">
        <f t="shared" si="86"/>
        <v>-3.8393773138523104E-13</v>
      </c>
      <c r="AK190" s="40">
        <f t="shared" si="87"/>
        <v>1.9690000000003842</v>
      </c>
      <c r="AL190" s="97" t="s">
        <v>667</v>
      </c>
      <c r="AM190" s="97" t="s">
        <v>668</v>
      </c>
      <c r="AN190" s="97">
        <v>1.79</v>
      </c>
      <c r="AO190" s="97">
        <v>1.79</v>
      </c>
      <c r="AP190" s="97">
        <v>1.79</v>
      </c>
    </row>
    <row r="191" spans="1:42" ht="15.4" customHeight="1">
      <c r="C191" s="3"/>
      <c r="D191" s="3"/>
      <c r="E191" s="3"/>
      <c r="F191" s="3"/>
      <c r="G191" s="3"/>
      <c r="H191" s="3"/>
      <c r="I191" s="3"/>
      <c r="J191" s="3" t="s">
        <v>228</v>
      </c>
      <c r="K191" s="3" t="s">
        <v>825</v>
      </c>
      <c r="L191" s="47" t="s">
        <v>665</v>
      </c>
      <c r="M191" s="47" t="s">
        <v>669</v>
      </c>
      <c r="O191" s="84" t="str">
        <f t="shared" si="90"/>
        <v>197/22:00</v>
      </c>
      <c r="P191" s="32" t="str">
        <f t="shared" si="91"/>
        <v>197_3</v>
      </c>
      <c r="Q191" s="58">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2">
        <f t="shared" si="85"/>
        <v>-1.1362135410308838E-7</v>
      </c>
      <c r="Y191" s="332"/>
      <c r="Z191" s="332"/>
      <c r="AA191" s="77">
        <f t="shared" si="94"/>
        <v>11.022</v>
      </c>
      <c r="AB191" s="50"/>
      <c r="AC191" s="129">
        <f t="shared" si="95"/>
        <v>149.50343689077005</v>
      </c>
      <c r="AD191" s="98"/>
      <c r="AE191" s="98"/>
      <c r="AF191" s="98"/>
      <c r="AG191" s="98"/>
      <c r="AH191" s="31" t="str">
        <f t="shared" si="96"/>
        <v>TRK_197_3</v>
      </c>
      <c r="AI191" s="34" t="s">
        <v>670</v>
      </c>
      <c r="AJ191" s="40">
        <f t="shared" si="86"/>
        <v>-9.0897083282470701E-13</v>
      </c>
      <c r="AK191" s="40">
        <f t="shared" si="87"/>
        <v>11.02200000000091</v>
      </c>
      <c r="AL191" s="97" t="s">
        <v>671</v>
      </c>
      <c r="AM191" s="97" t="s">
        <v>672</v>
      </c>
      <c r="AN191" s="97">
        <v>10.02</v>
      </c>
      <c r="AO191" s="97">
        <v>10.02</v>
      </c>
      <c r="AP191" s="97">
        <v>10.02</v>
      </c>
    </row>
    <row r="192" spans="1:42" ht="15.4" customHeight="1">
      <c r="A192" t="s">
        <v>673</v>
      </c>
      <c r="C192" s="3"/>
      <c r="D192" s="3"/>
      <c r="E192" s="3"/>
      <c r="F192" s="3"/>
      <c r="G192" s="3"/>
      <c r="H192" s="3" t="s">
        <v>53</v>
      </c>
      <c r="I192" s="3"/>
      <c r="J192" s="3"/>
      <c r="L192" s="78" t="s">
        <v>674</v>
      </c>
      <c r="M192" s="78" t="s">
        <v>675</v>
      </c>
      <c r="O192" s="84" t="str">
        <f t="shared" si="90"/>
        <v>198/14:30</v>
      </c>
      <c r="P192" s="32" t="str">
        <f t="shared" si="91"/>
        <v>198_1</v>
      </c>
      <c r="Q192" s="85">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2">
        <f t="shared" si="85"/>
        <v>-7.4494164437055588E-7</v>
      </c>
      <c r="Y192" s="331">
        <f>S192*$V$28+U192*$V$38</f>
        <v>1009712.6777259004</v>
      </c>
      <c r="Z192" s="330">
        <f t="shared" ref="Z192:Z197" si="97">(Y192/V192-1)</f>
        <v>5.0552922590836546E-2</v>
      </c>
      <c r="AA192" s="77">
        <f t="shared" si="94"/>
        <v>7.6890000000000009</v>
      </c>
      <c r="AB192" s="50"/>
      <c r="AC192" s="50"/>
      <c r="AD192" s="118">
        <f>AD173+AK192</f>
        <v>22.679563109241727</v>
      </c>
      <c r="AE192" s="118"/>
      <c r="AF192" s="118"/>
      <c r="AG192" s="118"/>
      <c r="AH192" s="31" t="str">
        <f t="shared" si="96"/>
        <v>TRK_198_1</v>
      </c>
      <c r="AI192" s="34" t="s">
        <v>676</v>
      </c>
      <c r="AJ192" s="40">
        <f t="shared" si="86"/>
        <v>-5.9595331549644472E-12</v>
      </c>
      <c r="AK192" s="40">
        <f t="shared" si="87"/>
        <v>7.6890000000059606</v>
      </c>
      <c r="AL192" s="97" t="s">
        <v>677</v>
      </c>
      <c r="AM192" s="97" t="s">
        <v>678</v>
      </c>
      <c r="AN192" s="97">
        <v>6.99</v>
      </c>
      <c r="AO192" s="97">
        <v>6.99</v>
      </c>
      <c r="AP192" s="97">
        <v>6.99</v>
      </c>
    </row>
    <row r="193" spans="1:44" ht="15.4" customHeight="1">
      <c r="A193" t="s">
        <v>673</v>
      </c>
      <c r="C193" s="3"/>
      <c r="D193" s="3"/>
      <c r="E193" s="3"/>
      <c r="F193" s="3"/>
      <c r="G193" s="3"/>
      <c r="H193" s="3" t="s">
        <v>53</v>
      </c>
      <c r="I193" s="3"/>
      <c r="J193" s="3"/>
      <c r="L193" s="78" t="s">
        <v>675</v>
      </c>
      <c r="M193" s="78" t="s">
        <v>679</v>
      </c>
      <c r="O193" s="84" t="str">
        <f t="shared" si="90"/>
        <v>198/22:25</v>
      </c>
      <c r="P193" s="32" t="str">
        <f t="shared" si="91"/>
        <v>198_2</v>
      </c>
      <c r="Q193" s="85">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2">
        <f t="shared" si="85"/>
        <v>-2.4138716980814934E-6</v>
      </c>
      <c r="Y193" s="331">
        <f>S193*$V$28+U193*$V$38</f>
        <v>1089160.7424985857</v>
      </c>
      <c r="Z193" s="330">
        <f t="shared" si="97"/>
        <v>5.0552922590836546E-2</v>
      </c>
      <c r="AA193" s="77">
        <f t="shared" si="94"/>
        <v>8.2940000000000005</v>
      </c>
      <c r="AB193" s="50"/>
      <c r="AC193" s="50"/>
      <c r="AD193" s="118">
        <f>AD192+AK193</f>
        <v>30.973563109261036</v>
      </c>
      <c r="AE193" s="118"/>
      <c r="AF193" s="118"/>
      <c r="AG193" s="118"/>
      <c r="AH193" s="31" t="str">
        <f t="shared" si="96"/>
        <v>TRK_198_2</v>
      </c>
      <c r="AI193" s="34" t="s">
        <v>680</v>
      </c>
      <c r="AJ193" s="40">
        <f t="shared" si="86"/>
        <v>-1.9310973584651947E-11</v>
      </c>
      <c r="AK193" s="17">
        <f t="shared" si="87"/>
        <v>8.2940000000193113</v>
      </c>
      <c r="AL193" s="97" t="s">
        <v>681</v>
      </c>
      <c r="AM193" s="97" t="s">
        <v>682</v>
      </c>
      <c r="AN193" s="97">
        <v>7.54</v>
      </c>
      <c r="AO193" s="97">
        <v>7.54</v>
      </c>
      <c r="AP193" s="97">
        <v>7.54</v>
      </c>
    </row>
    <row r="194" spans="1:44" ht="15.4" customHeight="1">
      <c r="A194" t="s">
        <v>683</v>
      </c>
      <c r="C194" s="3"/>
      <c r="D194" s="3"/>
      <c r="E194" s="3" t="s">
        <v>51</v>
      </c>
      <c r="F194" s="3" t="s">
        <v>49</v>
      </c>
      <c r="G194" s="3"/>
      <c r="H194" s="3" t="s">
        <v>53</v>
      </c>
      <c r="I194" s="3" t="s">
        <v>54</v>
      </c>
      <c r="J194" s="3"/>
      <c r="L194" s="78" t="s">
        <v>602</v>
      </c>
      <c r="M194" s="78" t="s">
        <v>684</v>
      </c>
      <c r="O194" s="84" t="str">
        <f t="shared" si="90"/>
        <v>199/14:45</v>
      </c>
      <c r="P194" s="32" t="str">
        <f t="shared" si="91"/>
        <v>199_1</v>
      </c>
      <c r="Q194" s="58">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2">
        <f t="shared" si="85"/>
        <v>-6.0652382671833038E-8</v>
      </c>
      <c r="Y194" s="331">
        <f>S194*$V$27+U194*$V$38</f>
        <v>879676.07011845079</v>
      </c>
      <c r="Z194" s="330">
        <f t="shared" si="97"/>
        <v>2.03579180726563E-2</v>
      </c>
      <c r="AA194" s="77">
        <f t="shared" si="94"/>
        <v>6.8970000000000002</v>
      </c>
      <c r="AB194" s="50"/>
      <c r="AC194" s="50"/>
      <c r="AD194" s="118">
        <f>AD193+AK194</f>
        <v>37.870563109261525</v>
      </c>
      <c r="AE194" s="118"/>
      <c r="AF194" s="118"/>
      <c r="AG194" s="118"/>
      <c r="AH194" s="31" t="str">
        <f t="shared" si="96"/>
        <v>TRK_199_1</v>
      </c>
      <c r="AI194" s="34" t="s">
        <v>685</v>
      </c>
      <c r="AJ194" s="40">
        <f t="shared" si="86"/>
        <v>-4.8521906137466429E-13</v>
      </c>
      <c r="AK194" s="17">
        <f t="shared" si="87"/>
        <v>6.8970000000004852</v>
      </c>
      <c r="AL194" s="97" t="s">
        <v>686</v>
      </c>
      <c r="AM194" s="97" t="s">
        <v>687</v>
      </c>
      <c r="AN194" s="97">
        <v>6.27</v>
      </c>
      <c r="AO194" s="97">
        <v>6.27</v>
      </c>
      <c r="AP194" s="97">
        <v>6.27</v>
      </c>
    </row>
    <row r="195" spans="1:44" ht="15.4" customHeight="1">
      <c r="A195" t="s">
        <v>683</v>
      </c>
      <c r="C195" s="3"/>
      <c r="D195" s="3"/>
      <c r="E195" s="3" t="s">
        <v>51</v>
      </c>
      <c r="F195" s="3" t="s">
        <v>49</v>
      </c>
      <c r="G195" s="3"/>
      <c r="H195" s="3" t="s">
        <v>53</v>
      </c>
      <c r="I195" s="3" t="s">
        <v>54</v>
      </c>
      <c r="J195" s="3"/>
      <c r="L195" s="78" t="s">
        <v>684</v>
      </c>
      <c r="M195" s="78" t="s">
        <v>688</v>
      </c>
      <c r="O195" s="84" t="str">
        <f t="shared" si="90"/>
        <v>200/14:40</v>
      </c>
      <c r="P195" s="32" t="str">
        <f t="shared" si="91"/>
        <v>200_1</v>
      </c>
      <c r="Q195" s="58">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2">
        <f t="shared" si="85"/>
        <v>-7.4505805969238281E-8</v>
      </c>
      <c r="Y195" s="331">
        <f>S195*$V$27+U195*$V$38</f>
        <v>1801441.9043573509</v>
      </c>
      <c r="Z195" s="330">
        <f t="shared" si="97"/>
        <v>2.03579180726563E-2</v>
      </c>
      <c r="AA195" s="77">
        <f t="shared" si="94"/>
        <v>14.124000000000001</v>
      </c>
      <c r="AB195" s="50"/>
      <c r="AC195" s="50"/>
      <c r="AD195" s="118">
        <f>AD194+AK195</f>
        <v>51.994563109262117</v>
      </c>
      <c r="AE195" s="118"/>
      <c r="AF195" s="118"/>
      <c r="AG195" s="118"/>
      <c r="AH195" s="31" t="str">
        <f t="shared" si="96"/>
        <v>TRK_200_1</v>
      </c>
      <c r="AI195" s="34" t="s">
        <v>689</v>
      </c>
      <c r="AJ195" s="40">
        <f t="shared" si="86"/>
        <v>-5.960464477539063E-13</v>
      </c>
      <c r="AK195" s="40">
        <f t="shared" si="87"/>
        <v>14.124000000000596</v>
      </c>
      <c r="AL195" s="97" t="s">
        <v>690</v>
      </c>
      <c r="AM195" s="97" t="s">
        <v>691</v>
      </c>
      <c r="AN195" s="97">
        <v>12.84</v>
      </c>
      <c r="AO195" s="97">
        <v>12.84</v>
      </c>
      <c r="AP195" s="97">
        <v>12.84</v>
      </c>
    </row>
    <row r="196" spans="1:44" ht="15.4" customHeight="1">
      <c r="A196" t="s">
        <v>683</v>
      </c>
      <c r="C196" s="3"/>
      <c r="D196" s="3"/>
      <c r="E196" s="3" t="s">
        <v>51</v>
      </c>
      <c r="F196" s="3" t="s">
        <v>49</v>
      </c>
      <c r="G196" s="3"/>
      <c r="H196" s="3" t="s">
        <v>53</v>
      </c>
      <c r="I196" s="3" t="s">
        <v>54</v>
      </c>
      <c r="J196" s="3"/>
      <c r="L196" s="78" t="s">
        <v>688</v>
      </c>
      <c r="M196" s="78" t="s">
        <v>692</v>
      </c>
      <c r="O196" s="84" t="str">
        <f t="shared" si="90"/>
        <v>201/18:40</v>
      </c>
      <c r="P196" s="32" t="str">
        <f t="shared" si="91"/>
        <v>201_1</v>
      </c>
      <c r="Q196" s="58">
        <f>R195-1</f>
        <v>615002873.13236058</v>
      </c>
      <c r="R196" s="128">
        <v>615335513</v>
      </c>
      <c r="S196" s="21">
        <f t="shared" si="83"/>
        <v>332639.86763942242</v>
      </c>
      <c r="T196" s="21">
        <f>S196*$V$17</f>
        <v>706819.2937498563</v>
      </c>
      <c r="U196" s="3">
        <v>0</v>
      </c>
      <c r="V196" s="27">
        <f t="shared" si="84"/>
        <v>706819.2937498563</v>
      </c>
      <c r="W196" s="20">
        <f t="shared" si="93"/>
        <v>1962125.0000000002</v>
      </c>
      <c r="X196" s="332">
        <f t="shared" si="85"/>
        <v>1255305.7062501439</v>
      </c>
      <c r="Y196" s="331">
        <f>S196*$V$27+U196*$V$38</f>
        <v>721208.66302418872</v>
      </c>
      <c r="Z196" s="330">
        <f t="shared" si="97"/>
        <v>2.03579180726563E-2</v>
      </c>
      <c r="AA196" s="77">
        <f t="shared" si="94"/>
        <v>15.697000000000001</v>
      </c>
      <c r="AB196" s="50"/>
      <c r="AC196" s="50"/>
      <c r="AD196" s="118">
        <f>AD195+AK196</f>
        <v>57.649117459260964</v>
      </c>
      <c r="AE196" s="118"/>
      <c r="AF196" s="118"/>
      <c r="AG196" s="118"/>
      <c r="AH196" s="31" t="str">
        <f t="shared" si="96"/>
        <v>TRK_201_1</v>
      </c>
      <c r="AI196" s="34" t="s">
        <v>693</v>
      </c>
      <c r="AJ196" s="40">
        <f t="shared" si="86"/>
        <v>10.042445650001152</v>
      </c>
      <c r="AK196" s="40">
        <f t="shared" si="87"/>
        <v>5.6545543499988504</v>
      </c>
      <c r="AL196" s="97" t="s">
        <v>694</v>
      </c>
      <c r="AM196" s="97" t="s">
        <v>695</v>
      </c>
      <c r="AN196" s="97">
        <v>14.27</v>
      </c>
      <c r="AO196" s="97">
        <v>14.27</v>
      </c>
      <c r="AP196" s="97">
        <v>14.27</v>
      </c>
    </row>
    <row r="197" spans="1:44" ht="15.4" customHeight="1">
      <c r="A197" t="s">
        <v>696</v>
      </c>
      <c r="C197" s="3"/>
      <c r="D197" s="3"/>
      <c r="E197" s="3"/>
      <c r="F197" s="3"/>
      <c r="G197" s="3" t="s">
        <v>50</v>
      </c>
      <c r="H197" s="3"/>
      <c r="I197" s="3"/>
      <c r="J197" s="3"/>
      <c r="L197" s="78" t="s">
        <v>586</v>
      </c>
      <c r="M197" s="78" t="s">
        <v>697</v>
      </c>
      <c r="O197" s="84" t="s">
        <v>1266</v>
      </c>
      <c r="P197" s="32" t="str">
        <f t="shared" si="91"/>
        <v/>
      </c>
      <c r="Q197" s="85">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2">
        <f t="shared" si="85"/>
        <v>1.6996636986732483E-8</v>
      </c>
      <c r="Y197" s="331">
        <f>S197*$V$29+U197*$V$38</f>
        <v>1401345.9533638111</v>
      </c>
      <c r="Z197" s="330">
        <f t="shared" si="97"/>
        <v>0.11633839182483952</v>
      </c>
      <c r="AD197" s="118">
        <f>AD196+AK197</f>
        <v>67.691563109261978</v>
      </c>
      <c r="AE197" s="118"/>
      <c r="AF197" s="118"/>
      <c r="AG197" s="118"/>
      <c r="AJ197" s="40">
        <f t="shared" si="86"/>
        <v>1.3597309589385986E-13</v>
      </c>
      <c r="AK197" s="40">
        <f t="shared" si="87"/>
        <v>10.042445650001016</v>
      </c>
    </row>
    <row r="198" spans="1:44" ht="15.4" customHeight="1">
      <c r="C198" s="3"/>
      <c r="D198" s="3"/>
      <c r="E198" s="3"/>
      <c r="F198" s="3"/>
      <c r="G198" s="3"/>
      <c r="H198" s="3"/>
      <c r="I198" s="3"/>
      <c r="J198" s="3"/>
      <c r="Y198" s="414">
        <f>SUM(Y168:Y197)-SUM(V168:V173)-SUM(V192:V197)</f>
        <v>407232.56431206875</v>
      </c>
      <c r="AA198" s="414">
        <f>Y198*8/1000000</f>
        <v>3.2578605144965498</v>
      </c>
      <c r="AB198" s="413" t="s">
        <v>828</v>
      </c>
      <c r="AN198" t="s">
        <v>698</v>
      </c>
      <c r="AQ198">
        <f>30.53+12.81+49.55-12.87</f>
        <v>80.02</v>
      </c>
    </row>
    <row r="199" spans="1:44" ht="15.4" customHeight="1">
      <c r="C199" s="3"/>
      <c r="D199" s="3"/>
      <c r="E199" s="3"/>
      <c r="F199" s="3"/>
      <c r="G199" s="3"/>
      <c r="H199" s="3"/>
      <c r="I199" s="3"/>
      <c r="J199" s="3"/>
      <c r="O199" s="41" t="s">
        <v>699</v>
      </c>
      <c r="P199" s="15" t="s">
        <v>700</v>
      </c>
      <c r="Q199" s="15" t="s">
        <v>701</v>
      </c>
      <c r="R199" s="15">
        <v>615338922</v>
      </c>
      <c r="S199" s="15">
        <v>1</v>
      </c>
      <c r="T199" s="15" t="s">
        <v>27</v>
      </c>
      <c r="U199" s="15" t="s">
        <v>702</v>
      </c>
      <c r="V199" s="15" t="s">
        <v>28</v>
      </c>
      <c r="W199" s="15"/>
      <c r="X199" s="15" t="s">
        <v>703</v>
      </c>
      <c r="Y199" s="15"/>
      <c r="Z199" s="15"/>
      <c r="AC199" s="50"/>
      <c r="AH199" s="31" t="str">
        <f>MID(AL199,7,9)</f>
        <v>TRK_202_1</v>
      </c>
      <c r="AI199" s="34" t="s">
        <v>704</v>
      </c>
      <c r="AJ199" s="40"/>
      <c r="AK199" s="40"/>
      <c r="AL199" s="97" t="s">
        <v>705</v>
      </c>
      <c r="AM199" s="97" t="s">
        <v>706</v>
      </c>
      <c r="AN199" s="133">
        <v>30.53</v>
      </c>
      <c r="AO199" s="133">
        <v>-3.95</v>
      </c>
      <c r="AP199" s="133">
        <v>-3.95</v>
      </c>
      <c r="AQ199">
        <f>AP199+AN199</f>
        <v>26.580000000000002</v>
      </c>
      <c r="AR199">
        <f>AQ199</f>
        <v>26.580000000000002</v>
      </c>
    </row>
    <row r="200" spans="1:44" ht="15.4" customHeight="1">
      <c r="A200" t="s">
        <v>707</v>
      </c>
      <c r="C200" s="3"/>
      <c r="D200" s="3"/>
      <c r="E200" s="3"/>
      <c r="F200" s="3"/>
      <c r="G200" s="3"/>
      <c r="H200" s="3"/>
      <c r="I200" s="3"/>
      <c r="J200" s="3"/>
      <c r="AA200" s="74">
        <f>1.1*AP200</f>
        <v>-13.552000000000001</v>
      </c>
      <c r="AB200" s="50"/>
      <c r="AC200" s="50"/>
      <c r="AH200" s="31" t="str">
        <f>MID(AL200,7,9)</f>
        <v>TRK_203_2</v>
      </c>
      <c r="AI200" s="34" t="s">
        <v>708</v>
      </c>
      <c r="AJ200" s="40">
        <f>X200*8/1000000</f>
        <v>0</v>
      </c>
      <c r="AK200" s="40">
        <f>V200*8/1000000</f>
        <v>0</v>
      </c>
      <c r="AL200" s="97" t="s">
        <v>709</v>
      </c>
      <c r="AM200" s="97" t="s">
        <v>710</v>
      </c>
      <c r="AN200" s="133">
        <v>12.81</v>
      </c>
      <c r="AO200" s="133">
        <v>-8.3699999999999992</v>
      </c>
      <c r="AP200" s="133">
        <v>-12.32</v>
      </c>
      <c r="AQ200">
        <f>AP200+AN200</f>
        <v>0.49000000000000021</v>
      </c>
      <c r="AR200">
        <f>AR199+AQ200</f>
        <v>27.07</v>
      </c>
    </row>
    <row r="201" spans="1:44" ht="15.4" customHeight="1">
      <c r="A201" t="s">
        <v>696</v>
      </c>
      <c r="C201" s="3"/>
      <c r="D201" s="3"/>
      <c r="E201" s="3"/>
      <c r="F201" s="3"/>
      <c r="G201" s="3" t="s">
        <v>50</v>
      </c>
      <c r="H201" s="3"/>
      <c r="I201" s="3"/>
      <c r="J201" s="3"/>
      <c r="L201" s="78" t="s">
        <v>697</v>
      </c>
      <c r="M201" s="78" t="s">
        <v>711</v>
      </c>
      <c r="O201" s="84" t="str">
        <f>AI201</f>
        <v>204/12:55</v>
      </c>
      <c r="P201" s="32" t="str">
        <f>MID(AL201,11,5)</f>
        <v>204_1</v>
      </c>
      <c r="Q201" s="58">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2">
        <f>W201-V201</f>
        <v>-2.0721927285194397E-8</v>
      </c>
      <c r="Y201" s="332"/>
      <c r="Z201" s="332"/>
      <c r="AA201" s="77">
        <f>1.1*AP201</f>
        <v>14.157</v>
      </c>
      <c r="AB201" s="50"/>
      <c r="AC201" s="50"/>
      <c r="AD201" s="118">
        <f>AD197+AK201</f>
        <v>81.848563109262145</v>
      </c>
      <c r="AE201" s="118"/>
      <c r="AF201" s="118"/>
      <c r="AG201" s="118"/>
      <c r="AH201" s="31" t="str">
        <f>MID(AL201,7,9)</f>
        <v>TRK_204_1</v>
      </c>
      <c r="AI201" s="34" t="s">
        <v>712</v>
      </c>
      <c r="AJ201" s="40">
        <f>X201*8/1000000</f>
        <v>-1.6577541828155517E-13</v>
      </c>
      <c r="AK201" s="40">
        <f>V201*8/1000000</f>
        <v>14.157000000000165</v>
      </c>
      <c r="AL201" s="97" t="s">
        <v>713</v>
      </c>
      <c r="AM201" s="97" t="s">
        <v>714</v>
      </c>
      <c r="AN201" s="133">
        <v>49.55</v>
      </c>
      <c r="AO201" s="133">
        <v>25.2</v>
      </c>
      <c r="AP201" s="133">
        <v>12.87</v>
      </c>
      <c r="AQ201">
        <f>AP201+AN201</f>
        <v>62.419999999999995</v>
      </c>
      <c r="AR201">
        <f>AR200+AQ201</f>
        <v>89.49</v>
      </c>
    </row>
    <row r="202" spans="1:44" ht="15.4" customHeight="1">
      <c r="A202" t="s">
        <v>603</v>
      </c>
      <c r="C202" s="3"/>
      <c r="D202" s="3"/>
      <c r="E202" s="3"/>
      <c r="F202" s="3"/>
      <c r="G202" s="3"/>
      <c r="H202" s="3"/>
      <c r="I202" s="3"/>
      <c r="J202" s="3" t="s">
        <v>228</v>
      </c>
      <c r="K202" s="3" t="s">
        <v>825</v>
      </c>
      <c r="L202" s="47" t="s">
        <v>669</v>
      </c>
      <c r="M202" s="47" t="s">
        <v>715</v>
      </c>
      <c r="O202" s="84" t="str">
        <f>AI202</f>
        <v>206/11:24</v>
      </c>
      <c r="P202" s="32" t="str">
        <f>MID(AL202,11,5)</f>
        <v>206_1</v>
      </c>
      <c r="Q202" s="58">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2">
        <f>W202-V202</f>
        <v>-7.7532604336738586E-8</v>
      </c>
      <c r="Y202" s="332"/>
      <c r="Z202" s="332"/>
      <c r="AA202" s="77">
        <f>1.1*AP202</f>
        <v>11.858000000000001</v>
      </c>
      <c r="AB202" s="50"/>
      <c r="AC202" s="129">
        <f>AC191+AK202</f>
        <v>161.36143689077068</v>
      </c>
      <c r="AD202" s="118"/>
      <c r="AE202" s="118"/>
      <c r="AF202" s="118"/>
      <c r="AG202" s="118"/>
      <c r="AH202" s="31" t="str">
        <f>MID(AL202,7,9)</f>
        <v>TRK_206_1</v>
      </c>
      <c r="AI202" s="34" t="s">
        <v>716</v>
      </c>
      <c r="AJ202" s="40">
        <f>X202*8/1000000</f>
        <v>-6.2026083469390872E-13</v>
      </c>
      <c r="AK202" s="40">
        <f>V202*8/1000000</f>
        <v>11.85800000000062</v>
      </c>
      <c r="AL202" s="97" t="s">
        <v>717</v>
      </c>
      <c r="AM202" s="97" t="s">
        <v>718</v>
      </c>
      <c r="AN202" s="97">
        <v>10.78</v>
      </c>
      <c r="AO202" s="97">
        <v>10.78</v>
      </c>
      <c r="AP202" s="97">
        <v>10.78</v>
      </c>
    </row>
    <row r="203" spans="1:44" ht="15.4" customHeight="1">
      <c r="A203" t="s">
        <v>603</v>
      </c>
      <c r="C203" s="3"/>
      <c r="D203" s="3"/>
      <c r="E203" s="3"/>
      <c r="F203" s="3"/>
      <c r="G203" s="3"/>
      <c r="H203" s="3"/>
      <c r="I203" s="3"/>
      <c r="J203" s="3" t="s">
        <v>228</v>
      </c>
      <c r="K203" s="3" t="s">
        <v>825</v>
      </c>
      <c r="L203" s="47" t="s">
        <v>715</v>
      </c>
      <c r="M203" s="47" t="s">
        <v>719</v>
      </c>
      <c r="O203" s="84" t="str">
        <f>AI203</f>
        <v>207/15:24</v>
      </c>
      <c r="P203" s="32" t="str">
        <f>MID(AL203,11,5)</f>
        <v>207_1</v>
      </c>
      <c r="Q203" s="58">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2">
        <f>W203-V203</f>
        <v>-5.8964360505342484E-8</v>
      </c>
      <c r="Y203" s="332"/>
      <c r="Z203" s="332"/>
      <c r="AA203" s="77">
        <f>1.1*AP203</f>
        <v>2.5190000000000001</v>
      </c>
      <c r="AB203" s="50"/>
      <c r="AC203" s="129">
        <f>AC202+AK203</f>
        <v>163.88043689077114</v>
      </c>
      <c r="AD203" s="118"/>
      <c r="AE203" s="118"/>
      <c r="AF203" s="118"/>
      <c r="AG203" s="118"/>
      <c r="AH203" s="31" t="str">
        <f>MID(AL203,7,9)</f>
        <v>TRK_207_1</v>
      </c>
      <c r="AI203" s="34" t="s">
        <v>720</v>
      </c>
      <c r="AJ203" s="40">
        <f>X203*8/1000000</f>
        <v>-4.7171488404273987E-13</v>
      </c>
      <c r="AK203" s="40">
        <f>V203*8/1000000</f>
        <v>2.5190000000004718</v>
      </c>
      <c r="AL203" s="97" t="s">
        <v>721</v>
      </c>
      <c r="AM203" s="97" t="s">
        <v>722</v>
      </c>
      <c r="AN203" s="97">
        <v>2.29</v>
      </c>
      <c r="AO203" s="97">
        <v>2.29</v>
      </c>
      <c r="AP203" s="97">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4" t="s">
        <v>744</v>
      </c>
      <c r="AQ210" t="s">
        <v>745</v>
      </c>
    </row>
    <row r="211" spans="1:46" ht="15">
      <c r="P211" s="9">
        <v>25207</v>
      </c>
      <c r="T211" s="3"/>
      <c r="V211" s="18"/>
      <c r="X211" t="s">
        <v>295</v>
      </c>
      <c r="AP211" s="134"/>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4"/>
      <c r="AQ212">
        <v>0</v>
      </c>
    </row>
    <row r="213" spans="1:46" ht="15">
      <c r="C213" s="112" t="s">
        <v>226</v>
      </c>
      <c r="D213" s="112" t="s">
        <v>227</v>
      </c>
      <c r="E213" s="112" t="s">
        <v>51</v>
      </c>
      <c r="F213" s="112" t="s">
        <v>49</v>
      </c>
      <c r="G213" s="112" t="s">
        <v>50</v>
      </c>
      <c r="H213" s="112" t="s">
        <v>53</v>
      </c>
      <c r="I213" s="112" t="s">
        <v>54</v>
      </c>
      <c r="J213" s="112" t="s">
        <v>228</v>
      </c>
      <c r="K213" s="112" t="s">
        <v>825</v>
      </c>
      <c r="P213" s="45" t="s">
        <v>748</v>
      </c>
      <c r="Q213" s="45" t="s">
        <v>749</v>
      </c>
      <c r="R213" s="45">
        <v>615306116</v>
      </c>
      <c r="S213" s="45">
        <v>8</v>
      </c>
      <c r="T213" s="45" t="s">
        <v>27</v>
      </c>
      <c r="U213" s="45" t="s">
        <v>750</v>
      </c>
      <c r="V213" s="45" t="s">
        <v>101</v>
      </c>
      <c r="W213" s="45" t="s">
        <v>102</v>
      </c>
      <c r="X213" s="45" t="s">
        <v>751</v>
      </c>
      <c r="AJ213" t="s">
        <v>752</v>
      </c>
      <c r="AK213" t="s">
        <v>753</v>
      </c>
      <c r="AL213">
        <v>1.3248500000000001</v>
      </c>
      <c r="AM213">
        <v>2</v>
      </c>
      <c r="AN213">
        <v>0.84326100000000004</v>
      </c>
      <c r="AO213">
        <v>0</v>
      </c>
      <c r="AP213" s="134"/>
      <c r="AQ213">
        <v>0</v>
      </c>
    </row>
    <row r="214" spans="1:46" ht="15">
      <c r="P214" s="45" t="s">
        <v>754</v>
      </c>
      <c r="Q214" s="45" t="s">
        <v>755</v>
      </c>
      <c r="R214" s="45">
        <v>615312896</v>
      </c>
      <c r="S214" s="45">
        <v>0</v>
      </c>
      <c r="T214" s="45" t="s">
        <v>111</v>
      </c>
      <c r="U214" s="45" t="s">
        <v>750</v>
      </c>
      <c r="V214" s="45" t="s">
        <v>756</v>
      </c>
      <c r="W214" s="45"/>
      <c r="X214" s="45" t="s">
        <v>757</v>
      </c>
      <c r="AP214" s="134"/>
    </row>
    <row r="215" spans="1:46" ht="15">
      <c r="P215" s="45" t="s">
        <v>758</v>
      </c>
      <c r="Q215" s="45" t="s">
        <v>759</v>
      </c>
      <c r="R215" s="45">
        <v>615338560</v>
      </c>
      <c r="S215" s="45">
        <v>0</v>
      </c>
      <c r="T215" s="45" t="s">
        <v>111</v>
      </c>
      <c r="U215" s="45" t="s">
        <v>760</v>
      </c>
      <c r="V215" s="45" t="s">
        <v>113</v>
      </c>
      <c r="W215" s="45"/>
      <c r="X215" s="45" t="s">
        <v>761</v>
      </c>
      <c r="AP215" s="134"/>
    </row>
    <row r="216" spans="1:46" ht="15">
      <c r="P216" s="45" t="s">
        <v>762</v>
      </c>
      <c r="Q216" s="45" t="s">
        <v>763</v>
      </c>
      <c r="R216" s="45">
        <v>615339001</v>
      </c>
      <c r="S216" s="45">
        <v>1</v>
      </c>
      <c r="T216" s="45" t="s">
        <v>27</v>
      </c>
      <c r="U216" s="45" t="s">
        <v>760</v>
      </c>
      <c r="V216" s="45" t="s">
        <v>118</v>
      </c>
      <c r="W216" s="45"/>
      <c r="X216" s="45" t="s">
        <v>761</v>
      </c>
      <c r="AP216" s="134"/>
    </row>
    <row r="217" spans="1:46" ht="15">
      <c r="AP217" s="134"/>
    </row>
    <row r="218" spans="1:46" ht="15.75">
      <c r="A218" t="s">
        <v>603</v>
      </c>
      <c r="C218" s="3"/>
      <c r="D218" s="3"/>
      <c r="E218" s="3"/>
      <c r="F218" s="3"/>
      <c r="G218" s="3"/>
      <c r="H218" s="3"/>
      <c r="I218" s="3"/>
      <c r="J218" s="3" t="s">
        <v>228</v>
      </c>
      <c r="K218" s="3" t="s">
        <v>825</v>
      </c>
      <c r="L218" s="47" t="s">
        <v>719</v>
      </c>
      <c r="M218" s="47" t="s">
        <v>764</v>
      </c>
      <c r="O218" s="84" t="str">
        <f>AI218</f>
        <v>209/22:54</v>
      </c>
      <c r="P218" s="32" t="str">
        <f>MID(AL218,5,5)</f>
        <v>209_2</v>
      </c>
      <c r="Q218" s="58">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2">
        <f t="shared" ref="X218:X225" si="100">W218-V218</f>
        <v>8.5390638560056686E-8</v>
      </c>
      <c r="Y218" s="332"/>
      <c r="Z218" s="332"/>
      <c r="AA218" s="77">
        <f>AR218</f>
        <v>0.27289600000000003</v>
      </c>
      <c r="AB218" s="50"/>
      <c r="AC218" s="129">
        <f>AA213+AK218</f>
        <v>0.27289599999931685</v>
      </c>
      <c r="AH218" s="31" t="str">
        <f>AL218</f>
        <v>TRK_209_2</v>
      </c>
      <c r="AI218" s="34" t="s">
        <v>765</v>
      </c>
      <c r="AJ218" s="40">
        <f t="shared" ref="AJ218:AJ225" si="101">X218*8/1000000</f>
        <v>6.8312510848045349E-13</v>
      </c>
      <c r="AK218" s="40">
        <f t="shared" ref="AK218:AK225" si="102">V218*8/1000000</f>
        <v>0.27289599999931685</v>
      </c>
      <c r="AL218" t="s">
        <v>766</v>
      </c>
      <c r="AM218" t="s">
        <v>767</v>
      </c>
      <c r="AN218">
        <v>0.67269000000000001</v>
      </c>
      <c r="AO218">
        <v>9</v>
      </c>
      <c r="AP218">
        <v>0.70681099999999997</v>
      </c>
      <c r="AQ218">
        <v>3.4112000000000003E-2</v>
      </c>
      <c r="AR218" s="134">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7" t="s">
        <v>769</v>
      </c>
      <c r="M219" s="47" t="s">
        <v>770</v>
      </c>
      <c r="N219" t="s">
        <v>829</v>
      </c>
      <c r="O219" s="84" t="str">
        <f>AI219</f>
        <v>210/20:49</v>
      </c>
      <c r="P219" s="32" t="str">
        <f>MID(AL219,5,5)</f>
        <v>210_2</v>
      </c>
      <c r="Q219" s="58">
        <f>R213-20</f>
        <v>615306096</v>
      </c>
      <c r="R219" s="21">
        <f>R216+20</f>
        <v>615339021</v>
      </c>
      <c r="S219" s="21">
        <f t="shared" si="98"/>
        <v>32925</v>
      </c>
      <c r="T219" s="21">
        <f>W219</f>
        <v>845631</v>
      </c>
      <c r="U219" s="3">
        <v>0</v>
      </c>
      <c r="V219" s="20">
        <f t="shared" si="99"/>
        <v>845631</v>
      </c>
      <c r="W219" s="20">
        <f>AA219*1000000/8</f>
        <v>845631</v>
      </c>
      <c r="X219" s="332">
        <f t="shared" si="100"/>
        <v>0</v>
      </c>
      <c r="Y219" s="332"/>
      <c r="Z219" s="332"/>
      <c r="AA219" s="77">
        <f>AR219</f>
        <v>6.7650480000000002</v>
      </c>
      <c r="AB219" s="50"/>
      <c r="AC219" s="129">
        <f>AC218+AK219</f>
        <v>7.0379439999993174</v>
      </c>
      <c r="AH219" s="31" t="str">
        <f>AL219</f>
        <v>TRK_210_2</v>
      </c>
      <c r="AI219" s="34" t="s">
        <v>771</v>
      </c>
      <c r="AJ219" s="40">
        <f t="shared" si="101"/>
        <v>0</v>
      </c>
      <c r="AK219" s="40">
        <f t="shared" si="102"/>
        <v>6.7650480000000002</v>
      </c>
      <c r="AL219" t="s">
        <v>772</v>
      </c>
      <c r="AM219" t="s">
        <v>773</v>
      </c>
      <c r="AN219">
        <v>0.55793000000000004</v>
      </c>
      <c r="AO219">
        <v>7</v>
      </c>
      <c r="AP219">
        <v>1.4035679999999999</v>
      </c>
      <c r="AQ219">
        <v>0.84563100000000002</v>
      </c>
      <c r="AR219" s="134">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7" t="s">
        <v>764</v>
      </c>
      <c r="M220" s="47" t="s">
        <v>774</v>
      </c>
      <c r="O220" s="84" t="str">
        <f>AI220</f>
        <v>211/13:39</v>
      </c>
      <c r="P220" s="32" t="str">
        <f>MID(AL220,5,5)</f>
        <v>211_1</v>
      </c>
      <c r="Q220" s="58">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2">
        <f t="shared" si="100"/>
        <v>7.6135620474815369E-8</v>
      </c>
      <c r="Y220" s="332"/>
      <c r="Z220" s="332"/>
      <c r="AA220" s="77">
        <f>AR220</f>
        <v>6.5869520000000001</v>
      </c>
      <c r="AB220" s="50"/>
      <c r="AC220" s="129">
        <f>AC219+AK220</f>
        <v>13.624895999998708</v>
      </c>
      <c r="AH220" s="31" t="str">
        <f>AL220</f>
        <v>TRK_211_1</v>
      </c>
      <c r="AI220" s="34" t="s">
        <v>775</v>
      </c>
      <c r="AJ220" s="40">
        <f t="shared" si="101"/>
        <v>6.0908496379852291E-13</v>
      </c>
      <c r="AK220" s="40">
        <f t="shared" si="102"/>
        <v>6.5869519999993908</v>
      </c>
      <c r="AL220" t="s">
        <v>39</v>
      </c>
      <c r="AM220" t="s">
        <v>776</v>
      </c>
      <c r="AN220">
        <v>0.24687999999999999</v>
      </c>
      <c r="AO220">
        <v>0</v>
      </c>
      <c r="AP220">
        <v>1.070249</v>
      </c>
      <c r="AQ220">
        <v>0.82336900000000002</v>
      </c>
      <c r="AR220" s="134">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7" t="s">
        <v>774</v>
      </c>
      <c r="M221" s="47" t="s">
        <v>777</v>
      </c>
      <c r="O221" s="84" t="str">
        <f>AI221</f>
        <v>212/08:19</v>
      </c>
      <c r="P221" s="32" t="str">
        <f>MID(AL221,5,5)</f>
        <v>212_1</v>
      </c>
      <c r="Q221" s="58">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2">
        <f t="shared" si="100"/>
        <v>-1.9150320440530777E-7</v>
      </c>
      <c r="Y221" s="332"/>
      <c r="Z221" s="332"/>
      <c r="AA221" s="77">
        <f>AR221</f>
        <v>0.89084799999999997</v>
      </c>
      <c r="AB221" s="50"/>
      <c r="AC221" s="129">
        <f>AC220+AK221</f>
        <v>14.51574400000024</v>
      </c>
      <c r="AH221" s="31" t="str">
        <f>AL221</f>
        <v>TRK_212_1</v>
      </c>
      <c r="AI221" s="34" t="s">
        <v>778</v>
      </c>
      <c r="AJ221" s="40">
        <f t="shared" si="101"/>
        <v>-1.5320256352424621E-12</v>
      </c>
      <c r="AK221" s="40">
        <f t="shared" si="102"/>
        <v>0.89084800000153208</v>
      </c>
      <c r="AL221" t="s">
        <v>779</v>
      </c>
      <c r="AM221" t="s">
        <v>780</v>
      </c>
      <c r="AN221">
        <v>0.26268999999999998</v>
      </c>
      <c r="AO221">
        <v>7</v>
      </c>
      <c r="AP221">
        <v>0.37405300000000002</v>
      </c>
      <c r="AQ221">
        <v>0.111356</v>
      </c>
      <c r="AR221" s="134">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8" t="s">
        <v>692</v>
      </c>
      <c r="M222" s="78" t="s">
        <v>781</v>
      </c>
      <c r="N222" t="s">
        <v>18</v>
      </c>
      <c r="O222" s="84" t="str">
        <f>AI222</f>
        <v>212/20:54</v>
      </c>
      <c r="P222" s="32" t="str">
        <f>MID(AL222,5,5)</f>
        <v>212_2</v>
      </c>
      <c r="Q222" s="58">
        <f>R196-1</f>
        <v>615335512</v>
      </c>
      <c r="R222" s="128">
        <f>R199+20</f>
        <v>615338942</v>
      </c>
      <c r="S222" s="21">
        <f t="shared" si="98"/>
        <v>3430</v>
      </c>
      <c r="T222" s="21">
        <f>S222*$V$17</f>
        <v>7288.3331597222032</v>
      </c>
      <c r="U222" s="3">
        <v>0</v>
      </c>
      <c r="V222" s="27">
        <f t="shared" si="99"/>
        <v>7288.3331597222032</v>
      </c>
      <c r="W222" s="20">
        <f>AA222*1000000/8</f>
        <v>1095433</v>
      </c>
      <c r="X222" s="332">
        <f t="shared" si="100"/>
        <v>1088144.6668402778</v>
      </c>
      <c r="Y222" s="331">
        <f>S222*$V$29+U222*$V$38</f>
        <v>6410.8843750000005</v>
      </c>
      <c r="Z222" s="330">
        <f>Y222/V222</f>
        <v>0.87960912797300739</v>
      </c>
      <c r="AA222" s="77">
        <f>AR222</f>
        <v>8.7634640000000008</v>
      </c>
      <c r="AB222" s="50"/>
      <c r="AC222" s="50"/>
      <c r="AD222" s="118">
        <f>AK222</f>
        <v>5.8306665277777628E-2</v>
      </c>
      <c r="AE222" s="118"/>
      <c r="AF222" s="118"/>
      <c r="AG222" s="118"/>
      <c r="AH222" s="31" t="str">
        <f>AL222</f>
        <v>TRK_212_2</v>
      </c>
      <c r="AI222" s="34" t="s">
        <v>782</v>
      </c>
      <c r="AJ222" s="40">
        <f t="shared" si="101"/>
        <v>8.7051573347222231</v>
      </c>
      <c r="AK222" s="40">
        <f t="shared" si="102"/>
        <v>5.8306665277777628E-2</v>
      </c>
      <c r="AL222" t="s">
        <v>783</v>
      </c>
      <c r="AM222" t="s">
        <v>784</v>
      </c>
      <c r="AN222">
        <v>0.22791</v>
      </c>
      <c r="AO222">
        <v>1</v>
      </c>
      <c r="AP222">
        <v>1.3233440000000001</v>
      </c>
      <c r="AQ222">
        <v>1.0954330000000001</v>
      </c>
      <c r="AR222" s="134">
        <f>AQ222*8</f>
        <v>8.7634640000000008</v>
      </c>
      <c r="AS222">
        <v>9.6398080000000004</v>
      </c>
      <c r="AT222">
        <f>AS222+AS221</f>
        <v>10.619738</v>
      </c>
    </row>
    <row r="223" spans="1:46" ht="15.75">
      <c r="A223" t="s">
        <v>785</v>
      </c>
      <c r="C223" s="3"/>
      <c r="D223" s="3"/>
      <c r="E223" s="3" t="s">
        <v>51</v>
      </c>
      <c r="F223" s="3" t="s">
        <v>49</v>
      </c>
      <c r="G223" s="3" t="s">
        <v>50</v>
      </c>
      <c r="H223" s="3"/>
      <c r="I223" s="3"/>
      <c r="J223" s="3"/>
      <c r="K223" s="269"/>
      <c r="L223" s="78" t="s">
        <v>787</v>
      </c>
      <c r="M223" s="78" t="s">
        <v>788</v>
      </c>
      <c r="O223" s="84" t="s">
        <v>1266</v>
      </c>
      <c r="P223" s="32"/>
      <c r="Q223" s="124">
        <f>R205-20</f>
        <v>615780396</v>
      </c>
      <c r="R223" s="128">
        <f>R228</f>
        <v>615857156</v>
      </c>
      <c r="S223" s="21">
        <f t="shared" si="98"/>
        <v>76760</v>
      </c>
      <c r="T223" s="21">
        <f>S223*$V$15</f>
        <v>132922.73333333287</v>
      </c>
      <c r="U223" s="3">
        <v>1</v>
      </c>
      <c r="V223" s="27">
        <f t="shared" si="99"/>
        <v>330297.73333333287</v>
      </c>
      <c r="W223" s="27">
        <f>X222</f>
        <v>1088144.6668402778</v>
      </c>
      <c r="X223" s="332">
        <f t="shared" si="100"/>
        <v>757846.93350694492</v>
      </c>
      <c r="Y223" s="331">
        <f>S223*$V$29+U223*$V$38</f>
        <v>340844.23750000005</v>
      </c>
      <c r="Z223" s="330">
        <f>Y223/V223</f>
        <v>1.0319302953133613</v>
      </c>
      <c r="AA223" s="77"/>
      <c r="AB223" s="50"/>
      <c r="AC223" s="50"/>
      <c r="AD223" s="118">
        <f>AK223+AD222</f>
        <v>2.7006885319444409</v>
      </c>
      <c r="AE223" s="118"/>
      <c r="AF223" s="118"/>
      <c r="AG223" s="118"/>
      <c r="AH223" s="31"/>
      <c r="AI223" s="34"/>
      <c r="AJ223" s="40">
        <f t="shared" si="101"/>
        <v>6.062775468055559</v>
      </c>
      <c r="AK223" s="40">
        <f t="shared" si="102"/>
        <v>2.6423818666666632</v>
      </c>
    </row>
    <row r="224" spans="1:46" ht="15.75">
      <c r="A224" t="s">
        <v>789</v>
      </c>
      <c r="C224" s="3">
        <v>104</v>
      </c>
      <c r="D224" s="3">
        <v>105</v>
      </c>
      <c r="E224" s="3" t="s">
        <v>51</v>
      </c>
      <c r="F224" s="3" t="s">
        <v>49</v>
      </c>
      <c r="G224" s="3"/>
      <c r="H224" s="3" t="s">
        <v>53</v>
      </c>
      <c r="I224" s="3" t="s">
        <v>54</v>
      </c>
      <c r="J224" s="3"/>
      <c r="L224" s="78" t="s">
        <v>788</v>
      </c>
      <c r="M224" s="78" t="s">
        <v>790</v>
      </c>
      <c r="O224" s="84" t="s">
        <v>1266</v>
      </c>
      <c r="P224" s="32" t="str">
        <f>MID(AL224,5,5)</f>
        <v/>
      </c>
      <c r="Q224" s="58">
        <f>R223-1</f>
        <v>615857155</v>
      </c>
      <c r="R224" s="21">
        <f>((W224-U224*$V$38)/$V$21)+Q224</f>
        <v>616280773.53132844</v>
      </c>
      <c r="S224" s="21">
        <f t="shared" si="98"/>
        <v>423618.53132843971</v>
      </c>
      <c r="T224" s="21">
        <f>S224*$V$21</f>
        <v>757846.93350702629</v>
      </c>
      <c r="U224" s="3">
        <v>0</v>
      </c>
      <c r="V224" s="27">
        <f t="shared" si="99"/>
        <v>757846.93350702629</v>
      </c>
      <c r="W224" s="135">
        <f>X223</f>
        <v>757846.93350694492</v>
      </c>
      <c r="X224" s="332">
        <f t="shared" si="100"/>
        <v>-8.1374309957027435E-8</v>
      </c>
      <c r="Y224" s="331">
        <f>S224*$V$29+U224*$V$38</f>
        <v>791769.51121106185</v>
      </c>
      <c r="Z224" s="330">
        <f>Y224/V224</f>
        <v>1.044761779990393</v>
      </c>
      <c r="AA224" s="77"/>
      <c r="AB224" s="50"/>
      <c r="AC224" s="50"/>
      <c r="AD224" s="118">
        <f>AK224+AD223</f>
        <v>8.763464000000651</v>
      </c>
      <c r="AE224" s="118"/>
      <c r="AF224" s="118"/>
      <c r="AG224" s="118"/>
      <c r="AJ224" s="40">
        <f t="shared" si="101"/>
        <v>-6.5099447965621945E-13</v>
      </c>
      <c r="AK224" s="40">
        <f t="shared" si="102"/>
        <v>6.06277546805621</v>
      </c>
    </row>
    <row r="225" spans="1:46" ht="15.75">
      <c r="J225" s="3" t="s">
        <v>228</v>
      </c>
      <c r="K225" s="3" t="s">
        <v>825</v>
      </c>
      <c r="L225" s="47" t="str">
        <f>M221</f>
        <v>048/05:43</v>
      </c>
      <c r="M225" s="47" t="s">
        <v>792</v>
      </c>
      <c r="O225" s="84" t="str">
        <f>AI225</f>
        <v>213/11:49</v>
      </c>
      <c r="P225" s="32" t="str">
        <f>MID(AL225,5,5)</f>
        <v>213_1</v>
      </c>
      <c r="Q225" s="58">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2">
        <f t="shared" si="100"/>
        <v>-1.8789432942867279E-7</v>
      </c>
      <c r="Y225" s="332"/>
      <c r="Z225" s="332"/>
      <c r="AA225" s="77">
        <f>AR225</f>
        <v>8.5486559999999994</v>
      </c>
      <c r="AB225" s="50"/>
      <c r="AC225" s="129">
        <f>AA225+AC221</f>
        <v>23.064400000000241</v>
      </c>
      <c r="AD225" s="60">
        <f>AD224+AD223+AD222</f>
        <v>11.52245919722287</v>
      </c>
      <c r="AH225" s="31" t="str">
        <f>AL225</f>
        <v>TRK_213_1</v>
      </c>
      <c r="AI225" s="34" t="s">
        <v>793</v>
      </c>
      <c r="AJ225" s="40">
        <f t="shared" si="101"/>
        <v>-1.5031546354293823E-12</v>
      </c>
      <c r="AK225" s="40">
        <f t="shared" si="102"/>
        <v>8.5486560000015039</v>
      </c>
      <c r="AL225" t="s">
        <v>40</v>
      </c>
      <c r="AM225" t="s">
        <v>794</v>
      </c>
      <c r="AN225">
        <v>0.38590999999999998</v>
      </c>
      <c r="AO225">
        <v>0</v>
      </c>
      <c r="AP225">
        <v>1.4544919999999999</v>
      </c>
      <c r="AQ225">
        <v>1.0685819999999999</v>
      </c>
      <c r="AR225" s="134">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6" t="s">
        <v>795</v>
      </c>
      <c r="AM227" s="136" t="s">
        <v>796</v>
      </c>
      <c r="AN227" s="136">
        <v>0.86926000000000003</v>
      </c>
      <c r="AO227" s="136">
        <v>4</v>
      </c>
      <c r="AP227" s="136">
        <v>2.0916389999999998</v>
      </c>
      <c r="AQ227" s="136">
        <v>1.222375</v>
      </c>
      <c r="AR227" s="134">
        <f>AQ227*8</f>
        <v>9.7789999999999999</v>
      </c>
      <c r="AS227" s="136">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6" t="s">
        <v>797</v>
      </c>
      <c r="AM228" s="136" t="s">
        <v>798</v>
      </c>
      <c r="AN228" s="136">
        <v>0.24697</v>
      </c>
      <c r="AO228" s="136">
        <v>1</v>
      </c>
      <c r="AP228" s="136">
        <v>2.9744730000000001</v>
      </c>
      <c r="AQ228" s="136">
        <v>2.7275019999999999</v>
      </c>
      <c r="AR228" s="134">
        <f>AQ228*8</f>
        <v>21.820015999999999</v>
      </c>
      <c r="AS228" s="136">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6" t="s">
        <v>804</v>
      </c>
      <c r="AM229" s="136" t="s">
        <v>805</v>
      </c>
      <c r="AN229" s="136">
        <v>0.52649000000000001</v>
      </c>
      <c r="AO229" s="136">
        <v>1</v>
      </c>
      <c r="AP229" s="136">
        <v>1.3696569999999999</v>
      </c>
      <c r="AQ229" s="136">
        <v>0.84316599999999997</v>
      </c>
      <c r="AR229" s="134">
        <f>AQ229*8</f>
        <v>6.7453279999999998</v>
      </c>
      <c r="AS229" s="136">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6" t="s">
        <v>809</v>
      </c>
      <c r="AM230" s="136" t="s">
        <v>810</v>
      </c>
      <c r="AN230" s="136">
        <v>0.27113999999999999</v>
      </c>
      <c r="AO230" s="136">
        <v>5</v>
      </c>
      <c r="AP230" s="136">
        <v>0.32642500000000002</v>
      </c>
      <c r="AQ230" s="136">
        <v>5.5280000000000003E-2</v>
      </c>
      <c r="AR230" s="134">
        <f>AQ230*8</f>
        <v>0.44224000000000002</v>
      </c>
      <c r="AS230" s="136">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7">
        <f>SUM(AQ212:AQ227)</f>
        <v>5.2008580000000002</v>
      </c>
    </row>
    <row r="232" spans="1:46" ht="15">
      <c r="A232" s="412"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7" t="str">
        <f>M225</f>
        <v>051/14:02</v>
      </c>
      <c r="M234" s="47" t="s">
        <v>836</v>
      </c>
      <c r="O234" s="84" t="s">
        <v>401</v>
      </c>
      <c r="P234" s="138"/>
      <c r="Q234" s="85">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2">
        <f t="shared" ref="X234:X245" si="108">W234-V234</f>
        <v>-3.9581209421157837E-8</v>
      </c>
      <c r="Y234" s="332"/>
      <c r="Z234" s="332"/>
      <c r="AA234" s="77">
        <v>4</v>
      </c>
      <c r="AB234" s="50"/>
      <c r="AC234" s="129">
        <f t="shared" ref="AC234:AC245" si="109">AC233+AK234</f>
        <v>4.0000000000003171</v>
      </c>
      <c r="AH234" s="31"/>
      <c r="AI234" s="34"/>
      <c r="AJ234" s="40">
        <f t="shared" ref="AJ234:AJ241" si="110">X234*8/1000000</f>
        <v>-3.1664967536926272E-13</v>
      </c>
      <c r="AK234" s="40">
        <f t="shared" ref="AK234:AK241" si="111">V234*8/1000000</f>
        <v>4.0000000000003171</v>
      </c>
    </row>
    <row r="235" spans="1:46" ht="13.5" customHeight="1">
      <c r="A235" t="s">
        <v>603</v>
      </c>
      <c r="C235" s="3"/>
      <c r="D235" s="3"/>
      <c r="E235" s="3"/>
      <c r="F235" s="3"/>
      <c r="G235" s="3"/>
      <c r="H235" s="3"/>
      <c r="I235" s="3"/>
      <c r="J235" s="3" t="s">
        <v>228</v>
      </c>
      <c r="K235" s="3" t="s">
        <v>825</v>
      </c>
      <c r="L235" s="47" t="str">
        <f t="shared" ref="L235:L245" si="112">M234</f>
        <v>053/03:37</v>
      </c>
      <c r="M235" s="47" t="s">
        <v>837</v>
      </c>
      <c r="O235" s="84" t="s">
        <v>401</v>
      </c>
      <c r="P235" s="138"/>
      <c r="Q235" s="85">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2">
        <f t="shared" si="108"/>
        <v>-3.9581209421157837E-8</v>
      </c>
      <c r="Y235" s="332"/>
      <c r="Z235" s="332"/>
      <c r="AA235" s="77">
        <v>4</v>
      </c>
      <c r="AB235" s="50"/>
      <c r="AC235" s="129">
        <f t="shared" si="109"/>
        <v>8.0000000000006342</v>
      </c>
      <c r="AH235" s="31"/>
      <c r="AI235" s="34"/>
      <c r="AJ235" s="40">
        <f t="shared" si="110"/>
        <v>-3.1664967536926272E-13</v>
      </c>
      <c r="AK235" s="40">
        <f t="shared" si="111"/>
        <v>4.0000000000003171</v>
      </c>
    </row>
    <row r="236" spans="1:46" ht="13.5" customHeight="1">
      <c r="A236" t="s">
        <v>603</v>
      </c>
      <c r="C236" s="3"/>
      <c r="D236" s="3"/>
      <c r="E236" s="3"/>
      <c r="F236" s="3"/>
      <c r="G236" s="3"/>
      <c r="H236" s="3"/>
      <c r="I236" s="3"/>
      <c r="J236" s="3" t="s">
        <v>228</v>
      </c>
      <c r="K236" s="3" t="s">
        <v>825</v>
      </c>
      <c r="L236" s="47" t="str">
        <f t="shared" si="112"/>
        <v>054/17:11</v>
      </c>
      <c r="M236" s="47" t="s">
        <v>838</v>
      </c>
      <c r="O236" s="84" t="s">
        <v>401</v>
      </c>
      <c r="P236" s="138"/>
      <c r="Q236" s="85">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2">
        <f t="shared" si="108"/>
        <v>-3.9581209421157837E-8</v>
      </c>
      <c r="Y236" s="332"/>
      <c r="Z236" s="332"/>
      <c r="AA236" s="77">
        <v>4</v>
      </c>
      <c r="AB236" s="50"/>
      <c r="AC236" s="129">
        <f t="shared" si="109"/>
        <v>12.000000000000952</v>
      </c>
      <c r="AH236" s="31"/>
      <c r="AI236" s="34"/>
      <c r="AJ236" s="40">
        <f t="shared" si="110"/>
        <v>-3.1664967536926272E-13</v>
      </c>
      <c r="AK236" s="40">
        <f t="shared" si="111"/>
        <v>4.0000000000003171</v>
      </c>
    </row>
    <row r="237" spans="1:46" ht="15.75">
      <c r="A237" t="s">
        <v>603</v>
      </c>
      <c r="C237" s="3"/>
      <c r="D237" s="3"/>
      <c r="E237" s="3"/>
      <c r="F237" s="3"/>
      <c r="G237" s="3"/>
      <c r="H237" s="3"/>
      <c r="I237" s="3"/>
      <c r="J237" s="3" t="s">
        <v>228</v>
      </c>
      <c r="K237" s="3" t="s">
        <v>825</v>
      </c>
      <c r="L237" s="47" t="str">
        <f t="shared" si="112"/>
        <v>056/05:46</v>
      </c>
      <c r="M237" s="47" t="s">
        <v>839</v>
      </c>
      <c r="O237" s="84" t="s">
        <v>401</v>
      </c>
      <c r="P237" s="138"/>
      <c r="Q237" s="85">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2">
        <f t="shared" si="108"/>
        <v>-3.9581209421157837E-8</v>
      </c>
      <c r="Y237" s="332"/>
      <c r="Z237" s="332"/>
      <c r="AA237" s="77">
        <v>4</v>
      </c>
      <c r="AB237" s="50"/>
      <c r="AC237" s="129">
        <f t="shared" si="109"/>
        <v>16.000000000001268</v>
      </c>
      <c r="AH237" s="31"/>
      <c r="AI237" s="34"/>
      <c r="AJ237" s="40">
        <f t="shared" si="110"/>
        <v>-3.1664967536926272E-13</v>
      </c>
      <c r="AK237" s="40">
        <f t="shared" si="111"/>
        <v>4.0000000000003171</v>
      </c>
    </row>
    <row r="238" spans="1:46" ht="15.75">
      <c r="A238" t="s">
        <v>603</v>
      </c>
      <c r="C238" s="3"/>
      <c r="D238" s="3"/>
      <c r="E238" s="3"/>
      <c r="F238" s="3"/>
      <c r="G238" s="3"/>
      <c r="H238" s="3"/>
      <c r="I238" s="3"/>
      <c r="J238" s="3" t="s">
        <v>228</v>
      </c>
      <c r="K238" s="3" t="s">
        <v>825</v>
      </c>
      <c r="L238" s="47" t="str">
        <f t="shared" si="112"/>
        <v>057/20:21</v>
      </c>
      <c r="M238" s="47" t="s">
        <v>840</v>
      </c>
      <c r="O238" s="84" t="s">
        <v>401</v>
      </c>
      <c r="P238" s="138"/>
      <c r="Q238" s="85">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2">
        <f t="shared" si="108"/>
        <v>-3.9581209421157837E-8</v>
      </c>
      <c r="Y238" s="332"/>
      <c r="Z238" s="332"/>
      <c r="AA238" s="77">
        <v>4</v>
      </c>
      <c r="AB238" s="50"/>
      <c r="AC238" s="129">
        <f t="shared" si="109"/>
        <v>20.000000000001585</v>
      </c>
      <c r="AH238" s="31"/>
      <c r="AI238" s="34"/>
      <c r="AJ238" s="40">
        <f t="shared" si="110"/>
        <v>-3.1664967536926272E-13</v>
      </c>
      <c r="AK238" s="40">
        <f t="shared" si="111"/>
        <v>4.0000000000003171</v>
      </c>
    </row>
    <row r="239" spans="1:46" ht="15.75">
      <c r="A239" t="s">
        <v>603</v>
      </c>
      <c r="C239" s="3"/>
      <c r="D239" s="3"/>
      <c r="E239" s="3"/>
      <c r="F239" s="3"/>
      <c r="G239" s="3"/>
      <c r="H239" s="3"/>
      <c r="I239" s="3"/>
      <c r="J239" s="3" t="s">
        <v>228</v>
      </c>
      <c r="K239" s="3" t="s">
        <v>825</v>
      </c>
      <c r="L239" s="47" t="str">
        <f t="shared" si="112"/>
        <v>059/09:55</v>
      </c>
      <c r="M239" s="47" t="s">
        <v>841</v>
      </c>
      <c r="O239" s="84" t="s">
        <v>401</v>
      </c>
      <c r="P239" s="138"/>
      <c r="Q239" s="85">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2">
        <f t="shared" si="108"/>
        <v>-3.9581209421157837E-8</v>
      </c>
      <c r="Y239" s="332"/>
      <c r="Z239" s="332"/>
      <c r="AA239" s="77">
        <v>4</v>
      </c>
      <c r="AB239" s="50"/>
      <c r="AC239" s="129">
        <f t="shared" si="109"/>
        <v>24.000000000001901</v>
      </c>
      <c r="AH239" s="31"/>
      <c r="AI239" s="34"/>
      <c r="AJ239" s="40">
        <f t="shared" si="110"/>
        <v>-3.1664967536926272E-13</v>
      </c>
      <c r="AK239" s="40">
        <f t="shared" si="111"/>
        <v>4.0000000000003171</v>
      </c>
    </row>
    <row r="240" spans="1:46" ht="15.75">
      <c r="A240" t="s">
        <v>603</v>
      </c>
      <c r="C240" s="3"/>
      <c r="D240" s="3"/>
      <c r="E240" s="3"/>
      <c r="F240" s="3"/>
      <c r="G240" s="3"/>
      <c r="H240" s="3"/>
      <c r="I240" s="3"/>
      <c r="J240" s="3" t="s">
        <v>228</v>
      </c>
      <c r="K240" s="3" t="s">
        <v>825</v>
      </c>
      <c r="L240" s="47" t="str">
        <f t="shared" si="112"/>
        <v>060/23:30</v>
      </c>
      <c r="M240" s="47" t="s">
        <v>842</v>
      </c>
      <c r="O240" s="84" t="s">
        <v>401</v>
      </c>
      <c r="P240" s="138"/>
      <c r="Q240" s="85">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2">
        <f t="shared" si="108"/>
        <v>-3.9581209421157837E-8</v>
      </c>
      <c r="Y240" s="332"/>
      <c r="Z240" s="332"/>
      <c r="AA240" s="77">
        <v>4</v>
      </c>
      <c r="AB240" s="50"/>
      <c r="AC240" s="129">
        <f t="shared" si="109"/>
        <v>28.000000000002217</v>
      </c>
      <c r="AH240" s="31"/>
      <c r="AI240" s="34"/>
      <c r="AJ240" s="40">
        <f t="shared" si="110"/>
        <v>-3.1664967536926272E-13</v>
      </c>
      <c r="AK240" s="40">
        <f t="shared" si="111"/>
        <v>4.0000000000003171</v>
      </c>
    </row>
    <row r="241" spans="1:37" ht="13.5" customHeight="1">
      <c r="A241" t="s">
        <v>603</v>
      </c>
      <c r="C241" s="3"/>
      <c r="D241" s="3"/>
      <c r="E241" s="3"/>
      <c r="F241" s="3"/>
      <c r="G241" s="3"/>
      <c r="H241" s="3"/>
      <c r="I241" s="3"/>
      <c r="J241" s="3" t="s">
        <v>228</v>
      </c>
      <c r="K241" s="3" t="s">
        <v>825</v>
      </c>
      <c r="L241" s="47" t="str">
        <f t="shared" si="112"/>
        <v>062/13:05</v>
      </c>
      <c r="M241" s="47" t="s">
        <v>843</v>
      </c>
      <c r="O241" s="84" t="s">
        <v>401</v>
      </c>
      <c r="P241" s="138"/>
      <c r="Q241" s="85">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2">
        <f t="shared" si="108"/>
        <v>-3.9581209421157837E-8</v>
      </c>
      <c r="Y241" s="332"/>
      <c r="Z241" s="332"/>
      <c r="AA241" s="77">
        <v>4</v>
      </c>
      <c r="AB241" s="50"/>
      <c r="AC241" s="129">
        <f t="shared" si="109"/>
        <v>32.000000000002537</v>
      </c>
      <c r="AH241" s="31"/>
      <c r="AI241" s="34"/>
      <c r="AJ241" s="40">
        <f t="shared" si="110"/>
        <v>-3.1664967536926272E-13</v>
      </c>
      <c r="AK241" s="40">
        <f t="shared" si="111"/>
        <v>4.0000000000003171</v>
      </c>
    </row>
    <row r="242" spans="1:37" ht="13.5" customHeight="1">
      <c r="A242" t="s">
        <v>603</v>
      </c>
      <c r="C242" s="3"/>
      <c r="D242" s="3"/>
      <c r="E242" s="3"/>
      <c r="F242" s="3"/>
      <c r="G242" s="3"/>
      <c r="H242" s="3"/>
      <c r="I242" s="3"/>
      <c r="J242" s="3" t="s">
        <v>228</v>
      </c>
      <c r="K242" s="3" t="s">
        <v>825</v>
      </c>
      <c r="L242" s="47" t="str">
        <f t="shared" si="112"/>
        <v>064/02:39</v>
      </c>
      <c r="M242" s="47" t="s">
        <v>844</v>
      </c>
      <c r="N242" s="3"/>
      <c r="O242" s="84" t="s">
        <v>401</v>
      </c>
      <c r="P242" s="138"/>
      <c r="Q242" s="85">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2">
        <f t="shared" si="108"/>
        <v>-3.9581209421157837E-8</v>
      </c>
      <c r="Y242" s="332"/>
      <c r="Z242" s="332"/>
      <c r="AA242" s="77">
        <v>4</v>
      </c>
      <c r="AB242" s="50"/>
      <c r="AC242" s="129">
        <f t="shared" si="109"/>
        <v>32.000000000002537</v>
      </c>
    </row>
    <row r="243" spans="1:37" ht="13.5" customHeight="1">
      <c r="A243" t="s">
        <v>603</v>
      </c>
      <c r="C243" s="3"/>
      <c r="D243" s="3"/>
      <c r="E243" s="3"/>
      <c r="F243" s="3"/>
      <c r="G243" s="3"/>
      <c r="H243" s="3"/>
      <c r="I243" s="3"/>
      <c r="J243" s="3" t="s">
        <v>228</v>
      </c>
      <c r="K243" s="3" t="s">
        <v>825</v>
      </c>
      <c r="L243" s="47" t="str">
        <f t="shared" si="112"/>
        <v>066/15:58</v>
      </c>
      <c r="M243" s="47" t="s">
        <v>845</v>
      </c>
      <c r="N243" s="3"/>
      <c r="O243" s="84" t="s">
        <v>401</v>
      </c>
      <c r="P243" s="138"/>
      <c r="Q243" s="85">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2">
        <f t="shared" si="108"/>
        <v>-3.9581209421157837E-8</v>
      </c>
      <c r="Y243" s="332"/>
      <c r="Z243" s="332"/>
      <c r="AA243" s="77">
        <v>4</v>
      </c>
      <c r="AB243" s="50"/>
      <c r="AC243" s="129">
        <f t="shared" si="109"/>
        <v>32.000000000002537</v>
      </c>
    </row>
    <row r="244" spans="1:37" ht="13.5" customHeight="1">
      <c r="A244" t="s">
        <v>603</v>
      </c>
      <c r="C244" s="3"/>
      <c r="D244" s="3"/>
      <c r="E244" s="3"/>
      <c r="F244" s="3"/>
      <c r="G244" s="3"/>
      <c r="H244" s="3"/>
      <c r="I244" s="3"/>
      <c r="J244" s="3" t="s">
        <v>228</v>
      </c>
      <c r="K244" s="3" t="s">
        <v>825</v>
      </c>
      <c r="L244" s="47" t="str">
        <f t="shared" si="112"/>
        <v>069/04:77</v>
      </c>
      <c r="M244" s="47" t="s">
        <v>846</v>
      </c>
      <c r="O244" s="84" t="s">
        <v>401</v>
      </c>
      <c r="P244" s="138"/>
      <c r="Q244" s="85">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2">
        <f t="shared" si="108"/>
        <v>-3.9581209421157837E-8</v>
      </c>
      <c r="Y244" s="332"/>
      <c r="Z244" s="332"/>
      <c r="AA244" s="77">
        <v>4</v>
      </c>
      <c r="AB244" s="50"/>
      <c r="AC244" s="129">
        <f t="shared" si="109"/>
        <v>32.000000000002537</v>
      </c>
    </row>
    <row r="245" spans="1:37" ht="13.5" customHeight="1">
      <c r="A245" t="s">
        <v>603</v>
      </c>
      <c r="C245" s="3"/>
      <c r="D245" s="3"/>
      <c r="E245" s="3"/>
      <c r="F245" s="3"/>
      <c r="G245" s="3"/>
      <c r="H245" s="3"/>
      <c r="I245" s="3"/>
      <c r="J245" s="3" t="s">
        <v>228</v>
      </c>
      <c r="K245" s="3" t="s">
        <v>825</v>
      </c>
      <c r="L245" s="47" t="str">
        <f t="shared" si="112"/>
        <v>071/18:36</v>
      </c>
      <c r="M245" s="181" t="s">
        <v>847</v>
      </c>
      <c r="N245" s="3" t="s">
        <v>1260</v>
      </c>
      <c r="O245" s="84" t="s">
        <v>401</v>
      </c>
      <c r="P245" s="138"/>
      <c r="Q245" s="85">
        <f t="shared" si="113"/>
        <v>603854124.14517796</v>
      </c>
      <c r="R245" s="182">
        <f t="shared" si="103"/>
        <v>603989408.01880622</v>
      </c>
      <c r="S245" s="21">
        <f t="shared" si="104"/>
        <v>135283.87362825871</v>
      </c>
      <c r="T245" s="21">
        <f t="shared" si="105"/>
        <v>500000.00000003958</v>
      </c>
      <c r="U245" s="3">
        <v>0</v>
      </c>
      <c r="V245" s="20">
        <f t="shared" si="106"/>
        <v>500000.00000003958</v>
      </c>
      <c r="W245" s="20">
        <f t="shared" si="107"/>
        <v>500000</v>
      </c>
      <c r="X245" s="332">
        <f t="shared" si="108"/>
        <v>-3.9581209421157837E-8</v>
      </c>
      <c r="Y245" s="332"/>
      <c r="Z245" s="332"/>
      <c r="AA245" s="77">
        <v>4</v>
      </c>
      <c r="AB245" s="50"/>
      <c r="AC245" s="129">
        <f t="shared" si="109"/>
        <v>32.000000000002537</v>
      </c>
    </row>
    <row r="247" spans="1:37" ht="13.5" customHeight="1">
      <c r="C247" s="112" t="s">
        <v>226</v>
      </c>
      <c r="D247" s="112" t="s">
        <v>227</v>
      </c>
      <c r="E247" s="112" t="s">
        <v>51</v>
      </c>
      <c r="F247" s="112" t="s">
        <v>49</v>
      </c>
      <c r="G247" s="112" t="s">
        <v>50</v>
      </c>
      <c r="H247" s="112" t="s">
        <v>53</v>
      </c>
      <c r="I247" s="112" t="s">
        <v>54</v>
      </c>
      <c r="J247" s="112" t="s">
        <v>228</v>
      </c>
      <c r="K247" s="112" t="s">
        <v>825</v>
      </c>
    </row>
    <row r="249" spans="1:37" ht="13.5" customHeight="1">
      <c r="A249" t="s">
        <v>789</v>
      </c>
      <c r="C249" s="3">
        <v>104</v>
      </c>
      <c r="D249" s="3">
        <v>105</v>
      </c>
      <c r="E249" s="3" t="s">
        <v>51</v>
      </c>
      <c r="F249" s="3" t="s">
        <v>49</v>
      </c>
      <c r="G249" s="3"/>
      <c r="H249" s="3" t="s">
        <v>53</v>
      </c>
      <c r="I249" s="3" t="s">
        <v>54</v>
      </c>
      <c r="J249" s="3"/>
      <c r="L249" s="78" t="s">
        <v>684</v>
      </c>
      <c r="M249" s="78" t="s">
        <v>688</v>
      </c>
      <c r="O249" s="84">
        <f>AI249</f>
        <v>0</v>
      </c>
      <c r="P249" s="32" t="str">
        <f>MID(AL249,11,5)</f>
        <v/>
      </c>
      <c r="Q249" s="58">
        <f>R248-1</f>
        <v>-1</v>
      </c>
      <c r="R249" s="21">
        <f>((W249-U249*$V$38)/$V$17)+Q249</f>
        <v>235306.57477960401</v>
      </c>
      <c r="S249" s="21">
        <f>R249-Q249</f>
        <v>235307.57477960401</v>
      </c>
      <c r="T249" s="21">
        <f>S249*$V$17</f>
        <v>500000</v>
      </c>
      <c r="U249" s="3">
        <v>0</v>
      </c>
      <c r="V249" s="27">
        <f>T249+U249*$V$38</f>
        <v>500000</v>
      </c>
      <c r="W249" s="20">
        <f>AA249*1000000/8</f>
        <v>500000</v>
      </c>
      <c r="X249" s="332">
        <f>W249-V249</f>
        <v>0</v>
      </c>
      <c r="Y249" s="331">
        <f>S249*$V$27+U249*$V$38</f>
        <v>510178.95903632819</v>
      </c>
      <c r="Z249" s="330">
        <f>(Y249/V249-1)</f>
        <v>2.03579180726563E-2</v>
      </c>
      <c r="AA249" s="77">
        <v>4</v>
      </c>
      <c r="AB249" s="50"/>
      <c r="AC249" s="50"/>
      <c r="AD249" s="118">
        <f>AK249+AD243</f>
        <v>4</v>
      </c>
      <c r="AE249" s="118"/>
      <c r="AF249" s="118"/>
      <c r="AG249" s="118"/>
      <c r="AJ249" s="40">
        <f>X249*8/1000000</f>
        <v>0</v>
      </c>
      <c r="AK249" s="40">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0" t="s">
        <v>947</v>
      </c>
      <c r="Q270" s="411" t="s">
        <v>948</v>
      </c>
      <c r="R270" s="411">
        <v>644923315</v>
      </c>
      <c r="S270" s="410">
        <v>7</v>
      </c>
      <c r="T270" s="410" t="s">
        <v>27</v>
      </c>
      <c r="U270" s="410" t="s">
        <v>298</v>
      </c>
      <c r="V270" s="411" t="s">
        <v>151</v>
      </c>
      <c r="W270" s="410" t="s">
        <v>152</v>
      </c>
      <c r="X270" s="410" t="s">
        <v>949</v>
      </c>
    </row>
    <row r="271" spans="16:25" ht="13.5" customHeight="1">
      <c r="P271" s="410" t="s">
        <v>950</v>
      </c>
      <c r="Q271" s="410" t="s">
        <v>951</v>
      </c>
      <c r="R271" s="411">
        <v>644924995</v>
      </c>
      <c r="S271" s="410">
        <v>0</v>
      </c>
      <c r="T271" s="410" t="s">
        <v>409</v>
      </c>
      <c r="U271" s="410" t="s">
        <v>952</v>
      </c>
      <c r="V271" s="410" t="s">
        <v>802</v>
      </c>
      <c r="W271" s="410"/>
      <c r="X271" s="410" t="s">
        <v>949</v>
      </c>
    </row>
    <row r="272" spans="16:25" ht="13.5" customHeight="1">
      <c r="P272" s="410" t="s">
        <v>953</v>
      </c>
      <c r="Q272" s="410" t="s">
        <v>954</v>
      </c>
      <c r="R272" s="410">
        <v>644924998</v>
      </c>
      <c r="S272" s="410">
        <v>0</v>
      </c>
      <c r="T272" s="410" t="s">
        <v>409</v>
      </c>
      <c r="U272" s="410" t="s">
        <v>952</v>
      </c>
      <c r="V272" s="410" t="s">
        <v>808</v>
      </c>
      <c r="W272" s="410"/>
      <c r="X272" s="410" t="s">
        <v>949</v>
      </c>
    </row>
    <row r="273" spans="1:43" ht="13.5" customHeight="1">
      <c r="P273" s="410" t="s">
        <v>955</v>
      </c>
      <c r="Q273" s="410" t="s">
        <v>956</v>
      </c>
      <c r="R273" s="410">
        <v>644925001</v>
      </c>
      <c r="S273" s="410">
        <v>0</v>
      </c>
      <c r="T273" s="410" t="s">
        <v>409</v>
      </c>
      <c r="U273" s="410" t="s">
        <v>952</v>
      </c>
      <c r="V273" s="410" t="s">
        <v>813</v>
      </c>
      <c r="W273" s="410"/>
      <c r="X273" s="410" t="s">
        <v>949</v>
      </c>
    </row>
    <row r="274" spans="1:43" ht="13.5" customHeight="1">
      <c r="P274" s="410" t="s">
        <v>957</v>
      </c>
      <c r="Q274" s="410" t="s">
        <v>958</v>
      </c>
      <c r="R274" s="410">
        <v>644925004</v>
      </c>
      <c r="S274" s="410">
        <v>0</v>
      </c>
      <c r="T274" s="410" t="s">
        <v>409</v>
      </c>
      <c r="U274" s="410" t="s">
        <v>952</v>
      </c>
      <c r="V274" s="410" t="s">
        <v>449</v>
      </c>
      <c r="W274" s="410"/>
      <c r="X274" s="410" t="s">
        <v>949</v>
      </c>
    </row>
    <row r="275" spans="1:43" ht="13.5" customHeight="1">
      <c r="L275">
        <f>265057</f>
        <v>265057</v>
      </c>
      <c r="M275">
        <v>21845</v>
      </c>
      <c r="P275" s="410" t="s">
        <v>959</v>
      </c>
      <c r="Q275" s="410" t="s">
        <v>960</v>
      </c>
      <c r="R275" s="410">
        <v>644925055</v>
      </c>
      <c r="S275" s="410">
        <v>0</v>
      </c>
      <c r="T275" s="410" t="s">
        <v>409</v>
      </c>
      <c r="U275" s="410" t="s">
        <v>952</v>
      </c>
      <c r="V275" s="411" t="s">
        <v>940</v>
      </c>
      <c r="W275" s="410"/>
      <c r="X275" s="410" t="s">
        <v>949</v>
      </c>
    </row>
    <row r="276" spans="1:43" ht="13.5" customHeight="1">
      <c r="L276">
        <f>L275*8/1000000</f>
        <v>2.1204559999999999</v>
      </c>
      <c r="M276">
        <f>M275*8/1000000</f>
        <v>0.17476</v>
      </c>
      <c r="P276" s="410" t="s">
        <v>961</v>
      </c>
      <c r="Q276" s="410" t="s">
        <v>962</v>
      </c>
      <c r="R276" s="410">
        <v>644925655</v>
      </c>
      <c r="S276" s="410">
        <v>0</v>
      </c>
      <c r="T276" s="410" t="s">
        <v>409</v>
      </c>
      <c r="U276" s="410" t="s">
        <v>952</v>
      </c>
      <c r="V276" s="410" t="s">
        <v>818</v>
      </c>
      <c r="W276" s="410"/>
      <c r="X276" s="410" t="s">
        <v>949</v>
      </c>
    </row>
    <row r="277" spans="1:43" ht="13.5" customHeight="1">
      <c r="P277" s="410" t="s">
        <v>963</v>
      </c>
      <c r="Q277" s="410" t="s">
        <v>964</v>
      </c>
      <c r="R277" s="410">
        <v>644926255</v>
      </c>
      <c r="S277" s="410">
        <v>0</v>
      </c>
      <c r="T277" s="410" t="s">
        <v>409</v>
      </c>
      <c r="U277" s="410" t="s">
        <v>952</v>
      </c>
      <c r="V277" s="410" t="s">
        <v>965</v>
      </c>
      <c r="W277" s="410"/>
      <c r="X277" s="410" t="s">
        <v>949</v>
      </c>
    </row>
    <row r="278" spans="1:43" ht="13.5" customHeight="1">
      <c r="P278" s="409"/>
      <c r="Q278" s="409"/>
      <c r="R278" s="409"/>
      <c r="S278" s="409"/>
      <c r="T278" s="409"/>
      <c r="U278" s="409"/>
      <c r="V278" s="409"/>
      <c r="W278" s="409"/>
      <c r="X278" s="409"/>
    </row>
    <row r="279" spans="1:43" ht="13.5" customHeight="1">
      <c r="O279" t="s">
        <v>1053</v>
      </c>
      <c r="P279" s="277" t="s">
        <v>1049</v>
      </c>
      <c r="Q279" s="277" t="s">
        <v>1050</v>
      </c>
      <c r="R279" s="277">
        <v>644288021</v>
      </c>
      <c r="S279" s="277">
        <v>1</v>
      </c>
      <c r="T279" s="277" t="s">
        <v>27</v>
      </c>
      <c r="U279" s="277" t="s">
        <v>1051</v>
      </c>
      <c r="V279" s="277" t="s">
        <v>28</v>
      </c>
      <c r="W279" s="277"/>
      <c r="X279" s="277" t="s">
        <v>1052</v>
      </c>
      <c r="AA279" t="s">
        <v>1058</v>
      </c>
    </row>
    <row r="280" spans="1:43" ht="13.5" customHeight="1">
      <c r="C280" s="112" t="s">
        <v>226</v>
      </c>
      <c r="D280" s="112" t="s">
        <v>227</v>
      </c>
      <c r="E280" s="112" t="s">
        <v>51</v>
      </c>
      <c r="F280" s="112" t="s">
        <v>49</v>
      </c>
      <c r="G280" s="112" t="s">
        <v>50</v>
      </c>
      <c r="H280" s="112" t="s">
        <v>53</v>
      </c>
      <c r="I280" s="112" t="s">
        <v>54</v>
      </c>
      <c r="J280" s="112" t="s">
        <v>228</v>
      </c>
      <c r="K280" s="112" t="s">
        <v>825</v>
      </c>
      <c r="L280" s="112"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8" t="s">
        <v>1055</v>
      </c>
      <c r="M281" s="78" t="s">
        <v>1054</v>
      </c>
      <c r="N281" t="s">
        <v>1056</v>
      </c>
      <c r="O281" s="84" t="str">
        <f>AI281</f>
        <v>194/12:27</v>
      </c>
      <c r="P281" s="32" t="str">
        <f>MID(AL281,5,5)</f>
        <v>194_1</v>
      </c>
      <c r="Q281" s="21">
        <f>R281-T281/$V$30</f>
        <v>644187671.24185646</v>
      </c>
      <c r="R281" s="124">
        <f>R279+20</f>
        <v>644288041</v>
      </c>
      <c r="S281" s="21">
        <f>R281-Q281</f>
        <v>100369.7581435442</v>
      </c>
      <c r="T281" s="180">
        <f>5.1*1000000/8</f>
        <v>637500</v>
      </c>
      <c r="U281" s="3">
        <v>0</v>
      </c>
      <c r="V281" s="20">
        <f>T281+U281*$V$38</f>
        <v>637500</v>
      </c>
      <c r="W281" s="20">
        <f>AA281*1000000/8</f>
        <v>1153666.25</v>
      </c>
      <c r="X281" s="332">
        <f>W281-V281</f>
        <v>516166.25</v>
      </c>
      <c r="Y281" s="331"/>
      <c r="Z281" s="330"/>
      <c r="AA281" s="77">
        <f>AQ281+0.1</f>
        <v>9.2293299999999991</v>
      </c>
      <c r="AD281" s="179">
        <f>AK281</f>
        <v>5.0999999999999996</v>
      </c>
      <c r="AE281" s="99"/>
      <c r="AH281" s="278" t="str">
        <f>AL281</f>
        <v>TRK_194_1</v>
      </c>
      <c r="AI281" s="408" t="s">
        <v>999</v>
      </c>
      <c r="AJ281" s="40">
        <f>X281*8/1000000</f>
        <v>4.1293300000000004</v>
      </c>
      <c r="AK281" s="40">
        <f>V281*8/1000000</f>
        <v>5.0999999999999996</v>
      </c>
      <c r="AL281" s="279" t="s">
        <v>966</v>
      </c>
      <c r="AM281" s="279" t="s">
        <v>967</v>
      </c>
      <c r="AN281">
        <v>0.27261099999999999</v>
      </c>
      <c r="AO281">
        <v>1.3100350000000001</v>
      </c>
      <c r="AP281">
        <v>1.0374239999999999</v>
      </c>
      <c r="AQ281" s="269">
        <v>9.1293299999999995</v>
      </c>
    </row>
    <row r="282" spans="1:43" ht="13.5" customHeight="1">
      <c r="A282" t="s">
        <v>5693</v>
      </c>
      <c r="C282" s="3">
        <v>104</v>
      </c>
      <c r="D282" s="3">
        <v>105</v>
      </c>
      <c r="E282" s="3"/>
      <c r="F282" s="3"/>
      <c r="G282" s="3" t="s">
        <v>50</v>
      </c>
      <c r="H282" s="3"/>
      <c r="I282" s="3"/>
      <c r="L282" s="78" t="s">
        <v>1000</v>
      </c>
      <c r="M282" s="78" t="s">
        <v>1036</v>
      </c>
      <c r="N282" t="s">
        <v>1035</v>
      </c>
      <c r="O282" s="84" t="s">
        <v>1266</v>
      </c>
      <c r="P282" s="32" t="str">
        <f>MID(AL282,5,5)</f>
        <v/>
      </c>
      <c r="Q282" s="124">
        <f>R270-5</f>
        <v>644923310</v>
      </c>
      <c r="R282" s="21">
        <f>((W282-U282*$V$38)/$V$22)+Q282</f>
        <v>644993181.58951569</v>
      </c>
      <c r="S282" s="21">
        <f>R282-Q282</f>
        <v>69871.589515686035</v>
      </c>
      <c r="T282" s="21">
        <f>S282*$V$22</f>
        <v>318791.25000006845</v>
      </c>
      <c r="U282" s="3">
        <v>1</v>
      </c>
      <c r="V282" s="20">
        <f>T282+U282*$V$38</f>
        <v>516166.25000006845</v>
      </c>
      <c r="W282" s="178">
        <f>X281</f>
        <v>516166.25</v>
      </c>
      <c r="X282" s="332">
        <f>W282-V282</f>
        <v>-6.8452209234237671E-8</v>
      </c>
      <c r="Y282" s="331"/>
      <c r="Z282" s="330"/>
      <c r="AA282" s="77"/>
      <c r="AD282" s="118">
        <f>AK282</f>
        <v>4.1293300000005475</v>
      </c>
      <c r="AE282" s="99"/>
      <c r="AH282" s="278"/>
      <c r="AI282" s="408"/>
      <c r="AJ282" s="40">
        <f>X282*8/1000000</f>
        <v>-5.4761767387390135E-13</v>
      </c>
      <c r="AK282" s="40">
        <f>V282*8/1000000</f>
        <v>4.1293300000005475</v>
      </c>
      <c r="AL282" s="279"/>
      <c r="AM282" s="279"/>
      <c r="AQ282" s="269"/>
    </row>
    <row r="283" spans="1:43" ht="13.5" customHeight="1">
      <c r="A283" t="s">
        <v>5693</v>
      </c>
      <c r="C283" s="3">
        <v>104</v>
      </c>
      <c r="D283" s="3">
        <v>105</v>
      </c>
      <c r="G283" s="3" t="s">
        <v>50</v>
      </c>
      <c r="L283" s="78" t="str">
        <f>M282</f>
        <v>179/22:54</v>
      </c>
      <c r="M283" s="78" t="s">
        <v>1037</v>
      </c>
      <c r="N283" t="s">
        <v>1035</v>
      </c>
      <c r="O283" s="84" t="str">
        <f>AI283</f>
        <v>194/22:57</v>
      </c>
      <c r="P283" s="32" t="str">
        <f>MID(AL283,5,5)</f>
        <v>194_2</v>
      </c>
      <c r="Q283" s="58">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2">
        <f>W283-V283</f>
        <v>-6.4726918935775757E-8</v>
      </c>
      <c r="Y283" s="331"/>
      <c r="Z283" s="330"/>
      <c r="AA283" s="77">
        <f>AQ283</f>
        <v>15.029629999999999</v>
      </c>
      <c r="AD283" s="118">
        <f>AD282+AK283</f>
        <v>19.158960000001066</v>
      </c>
      <c r="AE283" s="99"/>
      <c r="AH283" s="279" t="s">
        <v>968</v>
      </c>
      <c r="AI283" s="279" t="s">
        <v>998</v>
      </c>
      <c r="AJ283" s="40">
        <f>X283*8/1000000</f>
        <v>-5.1781535148620602E-13</v>
      </c>
      <c r="AK283" s="40">
        <f>V283*8/1000000</f>
        <v>15.029630000000518</v>
      </c>
      <c r="AL283" s="279" t="s">
        <v>968</v>
      </c>
      <c r="AM283" s="279" t="s">
        <v>969</v>
      </c>
      <c r="AN283">
        <v>0.20042599999999999</v>
      </c>
      <c r="AO283">
        <v>1.9083380000000001</v>
      </c>
      <c r="AP283">
        <v>1.7079120000000001</v>
      </c>
      <c r="AQ283" s="269">
        <v>15.029629999999999</v>
      </c>
    </row>
    <row r="284" spans="1:43" ht="13.5" customHeight="1">
      <c r="A284" t="s">
        <v>5693</v>
      </c>
      <c r="C284" s="3">
        <v>104</v>
      </c>
      <c r="D284" s="3">
        <v>105</v>
      </c>
      <c r="G284" s="3" t="s">
        <v>50</v>
      </c>
      <c r="L284" s="78" t="str">
        <f>M283</f>
        <v>184/17:17</v>
      </c>
      <c r="M284" s="78" t="s">
        <v>1038</v>
      </c>
      <c r="N284" t="s">
        <v>1035</v>
      </c>
      <c r="O284" s="84" t="str">
        <f>AI284</f>
        <v>195/12:22</v>
      </c>
      <c r="P284" s="32" t="str">
        <f>MID(AL284,5,5)</f>
        <v>195_1</v>
      </c>
      <c r="Q284" s="58">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2">
        <f>W284-V284</f>
        <v>6.6822394728660583E-8</v>
      </c>
      <c r="Y284" s="331"/>
      <c r="Z284" s="330"/>
      <c r="AA284" s="77">
        <f>AQ284</f>
        <v>9.0957380000000008</v>
      </c>
      <c r="AD284" s="118">
        <f>AD283+AK284</f>
        <v>28.254698000000531</v>
      </c>
      <c r="AE284" s="99"/>
      <c r="AH284" s="279" t="s">
        <v>970</v>
      </c>
      <c r="AI284" s="279" t="s">
        <v>997</v>
      </c>
      <c r="AJ284" s="40">
        <f>X284*8/1000000</f>
        <v>5.3457915782928464E-13</v>
      </c>
      <c r="AK284" s="40">
        <f>V284*8/1000000</f>
        <v>9.0957379999994661</v>
      </c>
      <c r="AL284" s="279" t="s">
        <v>970</v>
      </c>
      <c r="AM284" s="279" t="s">
        <v>971</v>
      </c>
      <c r="AN284">
        <v>0.37072500000000003</v>
      </c>
      <c r="AO284">
        <v>1.4043319999999999</v>
      </c>
      <c r="AP284">
        <v>1.0336069999999999</v>
      </c>
      <c r="AQ284" s="269">
        <v>9.0957380000000008</v>
      </c>
    </row>
    <row r="285" spans="1:43" ht="13.5" customHeight="1">
      <c r="A285" t="s">
        <v>5693</v>
      </c>
      <c r="C285" s="3">
        <v>104</v>
      </c>
      <c r="D285" s="3">
        <v>105</v>
      </c>
      <c r="G285" s="3" t="s">
        <v>50</v>
      </c>
      <c r="L285" s="78" t="str">
        <f>M284</f>
        <v>187/14:30</v>
      </c>
      <c r="M285" s="78" t="s">
        <v>1039</v>
      </c>
      <c r="N285" t="s">
        <v>1035</v>
      </c>
      <c r="O285" s="84" t="str">
        <f>AI285</f>
        <v>196/00:36</v>
      </c>
      <c r="P285" s="32" t="str">
        <f>MID(AL285,5,5)</f>
        <v>196_1</v>
      </c>
      <c r="Q285" s="58">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2">
        <f>W285-V285</f>
        <v>-1.4319084584712982E-7</v>
      </c>
      <c r="Y285" s="331"/>
      <c r="Z285" s="330"/>
      <c r="AA285" s="77">
        <f>AQ285</f>
        <v>15.695212</v>
      </c>
      <c r="AD285" s="118">
        <f>AD284+AK285</f>
        <v>43.94991000000168</v>
      </c>
      <c r="AE285" s="99"/>
      <c r="AH285" s="279" t="s">
        <v>972</v>
      </c>
      <c r="AI285" s="279" t="s">
        <v>996</v>
      </c>
      <c r="AJ285" s="40">
        <f>X285*8/1000000</f>
        <v>-1.1455267667770385E-12</v>
      </c>
      <c r="AK285" s="40">
        <f>V285*8/1000000</f>
        <v>15.695212000001145</v>
      </c>
      <c r="AL285" s="279" t="s">
        <v>972</v>
      </c>
      <c r="AM285" s="279" t="s">
        <v>973</v>
      </c>
      <c r="AN285">
        <v>0.210508</v>
      </c>
      <c r="AO285">
        <v>1.9940549999999999</v>
      </c>
      <c r="AP285">
        <v>1.783547</v>
      </c>
      <c r="AQ285" s="269">
        <v>15.695212</v>
      </c>
    </row>
    <row r="286" spans="1:43" ht="13.5" customHeight="1">
      <c r="O286" t="s">
        <v>1251</v>
      </c>
      <c r="P286" s="280" t="s">
        <v>1004</v>
      </c>
      <c r="Q286" s="280" t="s">
        <v>1005</v>
      </c>
      <c r="R286" s="280">
        <v>645155515</v>
      </c>
      <c r="S286" s="280">
        <v>8</v>
      </c>
      <c r="T286" s="280" t="s">
        <v>27</v>
      </c>
      <c r="U286" s="280" t="s">
        <v>1006</v>
      </c>
      <c r="V286" s="280" t="s">
        <v>101</v>
      </c>
      <c r="W286" s="280" t="s">
        <v>102</v>
      </c>
      <c r="X286" s="280" t="s">
        <v>1007</v>
      </c>
      <c r="AD286" s="118"/>
      <c r="AE286" s="99"/>
      <c r="AH286" s="279"/>
      <c r="AI286" s="279"/>
      <c r="AJ286" s="40"/>
      <c r="AK286" s="40"/>
      <c r="AL286" s="279"/>
      <c r="AM286" s="279"/>
      <c r="AQ286" s="269"/>
    </row>
    <row r="287" spans="1:43" ht="13.5" customHeight="1">
      <c r="O287" t="s">
        <v>1013</v>
      </c>
      <c r="P287" s="280" t="s">
        <v>1009</v>
      </c>
      <c r="Q287" s="280" t="s">
        <v>1010</v>
      </c>
      <c r="R287" s="280">
        <v>645161815</v>
      </c>
      <c r="S287" s="280">
        <v>7</v>
      </c>
      <c r="T287" s="280" t="s">
        <v>27</v>
      </c>
      <c r="U287" s="280" t="s">
        <v>1006</v>
      </c>
      <c r="V287" s="280" t="s">
        <v>101</v>
      </c>
      <c r="W287" s="280" t="s">
        <v>102</v>
      </c>
      <c r="X287" s="280" t="s">
        <v>1011</v>
      </c>
      <c r="AD287" s="118"/>
      <c r="AE287" s="99"/>
      <c r="AH287" s="279"/>
      <c r="AI287" s="279"/>
      <c r="AJ287" s="40"/>
      <c r="AK287" s="40"/>
      <c r="AL287" s="279"/>
      <c r="AM287" s="279"/>
      <c r="AQ287" s="269"/>
    </row>
    <row r="288" spans="1:43" ht="13.5" customHeight="1">
      <c r="O288" t="s">
        <v>21</v>
      </c>
      <c r="P288" s="281" t="s">
        <v>1059</v>
      </c>
      <c r="Q288" s="281" t="s">
        <v>1060</v>
      </c>
      <c r="R288" s="281">
        <v>645161840</v>
      </c>
      <c r="S288" s="281">
        <v>1</v>
      </c>
      <c r="T288" s="281" t="s">
        <v>27</v>
      </c>
      <c r="U288" s="281" t="s">
        <v>1006</v>
      </c>
      <c r="V288" s="281" t="s">
        <v>118</v>
      </c>
      <c r="W288" s="281"/>
      <c r="X288" s="281" t="s">
        <v>1011</v>
      </c>
      <c r="AD288" s="118"/>
      <c r="AE288" s="99"/>
      <c r="AH288" s="279"/>
      <c r="AI288" s="279"/>
      <c r="AJ288" s="40"/>
      <c r="AK288" s="40"/>
      <c r="AL288" s="279"/>
      <c r="AM288" s="279"/>
      <c r="AN288">
        <f t="shared" ref="AN288:AO288" si="114">$AQ289/AN289</f>
        <v>40.914089817982493</v>
      </c>
      <c r="AO288">
        <f t="shared" si="114"/>
        <v>7.2422931255415888</v>
      </c>
      <c r="AP288">
        <f>$AQ289/AP289</f>
        <v>8.8000006098007173</v>
      </c>
      <c r="AQ288" s="269"/>
    </row>
    <row r="289" spans="1:43" ht="13.5" customHeight="1">
      <c r="A289" t="s">
        <v>1003</v>
      </c>
      <c r="C289" s="3"/>
      <c r="D289" s="3"/>
      <c r="E289" s="3"/>
      <c r="F289" s="3"/>
      <c r="G289" s="3"/>
      <c r="H289" s="3"/>
      <c r="I289" s="3"/>
      <c r="J289" s="3" t="s">
        <v>228</v>
      </c>
      <c r="K289" s="3" t="s">
        <v>825</v>
      </c>
      <c r="L289" s="47" t="s">
        <v>1001</v>
      </c>
      <c r="M289" s="47" t="s">
        <v>1002</v>
      </c>
      <c r="N289" t="s">
        <v>1008</v>
      </c>
      <c r="O289" s="84" t="str">
        <f>AI289</f>
        <v>196/12:51</v>
      </c>
      <c r="P289" s="32" t="str">
        <f>MID(AL289,5,5)</f>
        <v>196_2</v>
      </c>
      <c r="Q289" s="341">
        <f>R286-5</f>
        <v>645155510</v>
      </c>
      <c r="R289" s="176">
        <f>R288+20</f>
        <v>645161860</v>
      </c>
      <c r="S289" s="21">
        <f>R289-Q289</f>
        <v>6350</v>
      </c>
      <c r="T289" s="176">
        <f>5.4*1000000/8</f>
        <v>675000</v>
      </c>
      <c r="U289" s="3"/>
      <c r="V289" s="20">
        <f>T289+U289*$V$38</f>
        <v>675000</v>
      </c>
      <c r="W289" s="20">
        <f>AA289*1000000/8</f>
        <v>1082320.875</v>
      </c>
      <c r="X289" s="332">
        <f>W289-V289</f>
        <v>407320.875</v>
      </c>
      <c r="Y289" s="331"/>
      <c r="Z289" s="330"/>
      <c r="AA289" s="77">
        <f>AQ289</f>
        <v>8.6585669999999997</v>
      </c>
      <c r="AC289" s="129">
        <f>AK289</f>
        <v>5.4</v>
      </c>
      <c r="AD289" t="s">
        <v>829</v>
      </c>
      <c r="AH289" s="279" t="s">
        <v>974</v>
      </c>
      <c r="AI289" s="279" t="s">
        <v>995</v>
      </c>
      <c r="AJ289" s="40">
        <f>X289*8/1000000</f>
        <v>3.2585670000000002</v>
      </c>
      <c r="AK289" s="40">
        <f>V289*8/1000000</f>
        <v>5.4</v>
      </c>
      <c r="AL289" s="279" t="s">
        <v>974</v>
      </c>
      <c r="AM289" s="279" t="s">
        <v>975</v>
      </c>
      <c r="AN289">
        <v>0.21162800000000001</v>
      </c>
      <c r="AO289">
        <v>1.1955560000000001</v>
      </c>
      <c r="AP289">
        <v>0.98392800000000002</v>
      </c>
      <c r="AQ289" s="269">
        <v>8.6585669999999997</v>
      </c>
    </row>
    <row r="290" spans="1:43" ht="13.5" customHeight="1">
      <c r="A290" t="s">
        <v>5693</v>
      </c>
      <c r="C290" s="3">
        <v>104</v>
      </c>
      <c r="D290" s="3">
        <v>105</v>
      </c>
      <c r="G290" s="3" t="s">
        <v>50</v>
      </c>
      <c r="H290" s="3"/>
      <c r="I290" s="3"/>
      <c r="J290" s="3"/>
      <c r="K290" s="3"/>
      <c r="L290" s="78" t="str">
        <f>M285</f>
        <v>192/13:57</v>
      </c>
      <c r="M290" s="78" t="s">
        <v>1061</v>
      </c>
      <c r="N290" t="s">
        <v>1035</v>
      </c>
      <c r="O290" s="84" t="s">
        <v>1266</v>
      </c>
      <c r="P290" s="32" t="str">
        <f>MID(AL290,5,5)</f>
        <v/>
      </c>
      <c r="Q290" s="58">
        <f>R285-1</f>
        <v>646084145.11922204</v>
      </c>
      <c r="R290" s="21">
        <f>((W290-U290*$V$38)/$V$22)+Q290</f>
        <v>646173420.3329525</v>
      </c>
      <c r="S290" s="21">
        <f>R290-Q290</f>
        <v>89275.213730454445</v>
      </c>
      <c r="T290" s="21">
        <f>S290*$V$22</f>
        <v>407320.87499978225</v>
      </c>
      <c r="U290" s="3">
        <v>0</v>
      </c>
      <c r="V290" s="20">
        <f>T290+U290*$V$38</f>
        <v>407320.87499978225</v>
      </c>
      <c r="W290" s="178">
        <f>X289</f>
        <v>407320.875</v>
      </c>
      <c r="X290" s="332">
        <f>W290-V290</f>
        <v>2.1775485947728157E-7</v>
      </c>
      <c r="Y290" s="331"/>
      <c r="Z290" s="330"/>
      <c r="AA290" s="77"/>
      <c r="AD290" s="177">
        <f>AD285+AK290</f>
        <v>47.208476999999938</v>
      </c>
      <c r="AH290" s="279"/>
      <c r="AI290" s="279"/>
      <c r="AJ290" s="40">
        <f>X290*8/1000000</f>
        <v>1.7420388758182525E-12</v>
      </c>
      <c r="AK290" s="40">
        <f>V290*8/1000000</f>
        <v>3.2585669999982581</v>
      </c>
      <c r="AL290" s="279"/>
      <c r="AM290" s="279"/>
      <c r="AQ290" s="269"/>
    </row>
    <row r="291" spans="1:43" ht="13.5" customHeight="1">
      <c r="C291" s="3"/>
      <c r="D291" s="3"/>
      <c r="G291" s="3"/>
      <c r="H291" s="3"/>
      <c r="I291" s="3"/>
      <c r="J291" s="3"/>
      <c r="K291" s="3"/>
      <c r="L291" s="78"/>
      <c r="M291" s="78"/>
      <c r="O291" t="s">
        <v>1029</v>
      </c>
      <c r="P291" s="280" t="s">
        <v>1030</v>
      </c>
      <c r="Q291" s="281" t="s">
        <v>1031</v>
      </c>
      <c r="R291" s="281">
        <v>616842836</v>
      </c>
      <c r="S291" s="280">
        <v>7</v>
      </c>
      <c r="T291" s="280" t="s">
        <v>27</v>
      </c>
      <c r="U291" s="280" t="s">
        <v>1032</v>
      </c>
      <c r="V291" s="280" t="s">
        <v>101</v>
      </c>
      <c r="W291" s="280" t="s">
        <v>102</v>
      </c>
      <c r="X291" s="280" t="s">
        <v>1033</v>
      </c>
      <c r="Y291" s="331"/>
      <c r="Z291" s="330"/>
      <c r="AA291" s="77"/>
      <c r="AD291" s="118"/>
      <c r="AE291" t="s">
        <v>5692</v>
      </c>
      <c r="AF291" t="s">
        <v>5691</v>
      </c>
      <c r="AH291" s="279"/>
      <c r="AI291" s="279"/>
      <c r="AJ291" s="40"/>
      <c r="AK291" s="40"/>
      <c r="AL291" s="279"/>
      <c r="AM291" s="279"/>
      <c r="AQ291" s="269"/>
    </row>
    <row r="292" spans="1:43" ht="13.5" customHeight="1">
      <c r="C292" s="3"/>
      <c r="D292" s="3"/>
      <c r="G292" s="3"/>
      <c r="H292" s="3"/>
      <c r="I292" s="3"/>
      <c r="J292" s="3" t="s">
        <v>228</v>
      </c>
      <c r="K292" s="3" t="s">
        <v>825</v>
      </c>
      <c r="L292" s="47" t="s">
        <v>1063</v>
      </c>
      <c r="M292" s="47" t="s">
        <v>1019</v>
      </c>
      <c r="N292" t="s">
        <v>1034</v>
      </c>
      <c r="O292" s="84" t="str">
        <f>AI292</f>
        <v>197/03:26</v>
      </c>
      <c r="P292" s="32" t="str">
        <f>MID(AL292,5,5)</f>
        <v>197_1</v>
      </c>
      <c r="Q292" s="58">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2">
        <f>W292-V292</f>
        <v>6.4261257648468018E-8</v>
      </c>
      <c r="Y292" s="331"/>
      <c r="Z292" s="330"/>
      <c r="AA292" s="77">
        <f>AQ292</f>
        <v>17.701824999999999</v>
      </c>
      <c r="AC292" s="129">
        <f>AK292</f>
        <v>17.701824999999484</v>
      </c>
      <c r="AD292" s="118"/>
      <c r="AE292" t="s">
        <v>5690</v>
      </c>
      <c r="AH292" s="279" t="str">
        <f>AL292</f>
        <v>TRK_197_1</v>
      </c>
      <c r="AI292" s="279" t="s">
        <v>1066</v>
      </c>
      <c r="AJ292" s="40">
        <f>X292*8/1000000</f>
        <v>5.1409006118774412E-13</v>
      </c>
      <c r="AK292" s="40">
        <f>V292*8/1000000</f>
        <v>17.701824999999484</v>
      </c>
      <c r="AL292" s="279" t="s">
        <v>1064</v>
      </c>
      <c r="AM292" s="279" t="s">
        <v>1065</v>
      </c>
      <c r="AN292">
        <v>0.21068500000000001</v>
      </c>
      <c r="AO292">
        <v>2.2222559999999998</v>
      </c>
      <c r="AP292">
        <v>2.011571</v>
      </c>
      <c r="AQ292" s="269">
        <v>17.701824999999999</v>
      </c>
    </row>
    <row r="293" spans="1:43" ht="13.5" customHeight="1">
      <c r="N293" s="286" t="s">
        <v>1012</v>
      </c>
      <c r="O293" s="84" t="str">
        <f>AI293</f>
        <v>197/15:01</v>
      </c>
      <c r="P293" s="32" t="str">
        <f>MID(AL293,5,5)</f>
        <v>197_2</v>
      </c>
      <c r="Q293" s="85">
        <f>R247-1</f>
        <v>-1</v>
      </c>
      <c r="R293" s="28">
        <f>((W293)/$W$9)+Q293</f>
        <v>170822.03166868188</v>
      </c>
      <c r="S293" s="21">
        <f>R293-Q293</f>
        <v>170823.03166868188</v>
      </c>
      <c r="T293" s="21">
        <f>265057+21845+265057</f>
        <v>551959</v>
      </c>
      <c r="U293" s="3"/>
      <c r="V293" s="20">
        <f>T293+U293*$V$38</f>
        <v>551959</v>
      </c>
      <c r="W293" s="20">
        <f>AA293*1000000/8</f>
        <v>629331.375</v>
      </c>
      <c r="X293" s="332">
        <f>W293-V293</f>
        <v>77372.375</v>
      </c>
      <c r="Y293" s="331"/>
      <c r="Z293" s="330"/>
      <c r="AA293" s="77">
        <f>AQ293</f>
        <v>5.0346510000000002</v>
      </c>
      <c r="AB293">
        <f>X293*8/1000000</f>
        <v>0.61897899999999995</v>
      </c>
      <c r="AC293" t="s">
        <v>1027</v>
      </c>
      <c r="AE293">
        <v>265057</v>
      </c>
      <c r="AF293">
        <v>21845</v>
      </c>
      <c r="AH293" s="279" t="str">
        <f>AL293</f>
        <v>TRK_197_2</v>
      </c>
      <c r="AI293" s="279" t="s">
        <v>989</v>
      </c>
      <c r="AJ293" s="40">
        <f>X293*8/1000000</f>
        <v>0.61897899999999995</v>
      </c>
      <c r="AK293" s="40">
        <f>V293*8/1000000</f>
        <v>4.4156719999999998</v>
      </c>
      <c r="AL293" s="279" t="s">
        <v>34</v>
      </c>
      <c r="AM293" s="279" t="s">
        <v>976</v>
      </c>
      <c r="AN293">
        <v>0.201819</v>
      </c>
      <c r="AO293">
        <v>0.77393800000000001</v>
      </c>
      <c r="AP293">
        <v>0.57211900000000004</v>
      </c>
      <c r="AQ293" s="269">
        <v>5.0346510000000002</v>
      </c>
    </row>
    <row r="294" spans="1:43" ht="13.5" customHeight="1">
      <c r="O294" t="s">
        <v>1044</v>
      </c>
      <c r="P294" s="282" t="s">
        <v>1041</v>
      </c>
      <c r="Q294" s="282" t="s">
        <v>1042</v>
      </c>
      <c r="R294" s="282">
        <v>629506577</v>
      </c>
      <c r="S294" s="282">
        <v>0</v>
      </c>
      <c r="T294" s="282" t="s">
        <v>409</v>
      </c>
      <c r="U294" s="282" t="s">
        <v>1043</v>
      </c>
      <c r="V294" s="282" t="s">
        <v>416</v>
      </c>
      <c r="W294" s="282" t="s">
        <v>417</v>
      </c>
      <c r="X294" s="407"/>
      <c r="Y294" s="331"/>
      <c r="Z294" s="330"/>
      <c r="AA294" s="77"/>
      <c r="AE294">
        <f>AE293*8/1000000</f>
        <v>2.1204559999999999</v>
      </c>
      <c r="AF294">
        <f>AF293*8/1000000</f>
        <v>0.17476</v>
      </c>
      <c r="AG294">
        <f>AF294+AE294</f>
        <v>2.2952159999999999</v>
      </c>
      <c r="AH294" s="279"/>
      <c r="AI294" s="279"/>
      <c r="AJ294" s="40"/>
      <c r="AK294" s="40"/>
      <c r="AL294" s="279"/>
      <c r="AM294" s="279"/>
      <c r="AQ294" s="269"/>
    </row>
    <row r="295" spans="1:43" ht="13.5" customHeight="1">
      <c r="C295" s="3">
        <v>104</v>
      </c>
      <c r="D295" s="3">
        <v>105</v>
      </c>
      <c r="G295" s="3" t="s">
        <v>50</v>
      </c>
      <c r="L295" s="78" t="s">
        <v>1040</v>
      </c>
      <c r="M295" s="78" t="s">
        <v>1045</v>
      </c>
      <c r="N295" t="s">
        <v>1044</v>
      </c>
      <c r="O295" t="s">
        <v>1266</v>
      </c>
      <c r="P295" s="32" t="str">
        <f>MID(AL295,5,5)</f>
        <v/>
      </c>
      <c r="Q295" s="341">
        <f>R294-5</f>
        <v>629506572</v>
      </c>
      <c r="R295" s="21">
        <f>((W295-U295*$V$38)/$V$22)+Q295</f>
        <v>629523530.21584141</v>
      </c>
      <c r="S295" s="21">
        <f>R295-Q295</f>
        <v>16958.215841412544</v>
      </c>
      <c r="T295" s="21">
        <f>S295*$V$22</f>
        <v>77372.375000016313</v>
      </c>
      <c r="U295" s="3">
        <v>0</v>
      </c>
      <c r="V295" s="20">
        <f>T295+U295*$V$38</f>
        <v>77372.375000016313</v>
      </c>
      <c r="W295" s="178">
        <f>X293</f>
        <v>77372.375</v>
      </c>
      <c r="X295" s="332">
        <f>W295-V295</f>
        <v>-1.6312696970999241E-8</v>
      </c>
      <c r="Y295" s="331"/>
      <c r="Z295" s="330"/>
      <c r="AA295" s="77"/>
      <c r="AD295" s="118">
        <f>AK295</f>
        <v>0.61897900000013051</v>
      </c>
      <c r="AH295" s="279"/>
      <c r="AI295" s="279"/>
      <c r="AJ295" s="40">
        <f>X295*8/1000000</f>
        <v>-1.3050157576799393E-13</v>
      </c>
      <c r="AK295" s="40">
        <f>V295*8/1000000</f>
        <v>0.61897900000013051</v>
      </c>
      <c r="AL295" s="279"/>
      <c r="AM295" s="279"/>
      <c r="AQ295" s="269"/>
    </row>
    <row r="296" spans="1:43" ht="13.5" customHeight="1">
      <c r="C296" s="3">
        <v>104</v>
      </c>
      <c r="D296" s="3">
        <v>105</v>
      </c>
      <c r="G296" s="3" t="s">
        <v>50</v>
      </c>
      <c r="L296" s="78" t="str">
        <f>M295</f>
        <v>25-365/21:47</v>
      </c>
      <c r="M296" s="78" t="s">
        <v>1046</v>
      </c>
      <c r="N296" t="s">
        <v>1044</v>
      </c>
      <c r="O296" s="84" t="str">
        <f>AI296</f>
        <v>198/03:56</v>
      </c>
      <c r="P296" s="32" t="str">
        <f>MID(AL296,5,5)</f>
        <v>198_1</v>
      </c>
      <c r="Q296" s="58">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2">
        <f>W296-V296</f>
        <v>3.6787241697311401E-8</v>
      </c>
      <c r="Y296" s="331"/>
      <c r="Z296" s="330"/>
      <c r="AA296" s="77">
        <f>AQ296</f>
        <v>25.983319000000002</v>
      </c>
      <c r="AD296" s="118">
        <f>AD295+AK296</f>
        <v>26.602297999999838</v>
      </c>
      <c r="AH296" s="279" t="s">
        <v>977</v>
      </c>
      <c r="AI296" s="279" t="s">
        <v>990</v>
      </c>
      <c r="AJ296" s="40">
        <f>X296*8/1000000</f>
        <v>2.942979335784912E-13</v>
      </c>
      <c r="AK296" s="40">
        <f>V296*8/1000000</f>
        <v>25.983318999999707</v>
      </c>
      <c r="AL296" s="279" t="s">
        <v>977</v>
      </c>
      <c r="AM296" s="279" t="s">
        <v>978</v>
      </c>
      <c r="AN296">
        <v>0.22420200000000001</v>
      </c>
      <c r="AO296">
        <v>3.1768519999999998</v>
      </c>
      <c r="AP296">
        <v>2.9526500000000002</v>
      </c>
      <c r="AQ296" s="269">
        <v>25.983319000000002</v>
      </c>
    </row>
    <row r="297" spans="1:43" ht="13.5" customHeight="1">
      <c r="C297" s="3">
        <v>104</v>
      </c>
      <c r="D297" s="3">
        <v>105</v>
      </c>
      <c r="G297" s="3" t="s">
        <v>50</v>
      </c>
      <c r="L297" s="78" t="str">
        <f>M296</f>
        <v>26-009/03:31</v>
      </c>
      <c r="M297" s="78" t="s">
        <v>1062</v>
      </c>
      <c r="N297" t="s">
        <v>1044</v>
      </c>
      <c r="O297" s="84" t="str">
        <f>AI297</f>
        <v>199/02:36</v>
      </c>
      <c r="P297" s="32" t="str">
        <f>MID(AL297,5,5)</f>
        <v>199_1</v>
      </c>
      <c r="Q297" s="58">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2">
        <f>W297-V297</f>
        <v>-5.8673322200775146E-8</v>
      </c>
      <c r="Y297" s="331"/>
      <c r="Z297" s="330"/>
      <c r="AA297" s="77">
        <f>AQ297</f>
        <v>16.793787999999999</v>
      </c>
      <c r="AD297" s="118">
        <f>AD296+AK297</f>
        <v>43.396086000000309</v>
      </c>
      <c r="AH297" s="279" t="s">
        <v>979</v>
      </c>
      <c r="AI297" s="279" t="s">
        <v>991</v>
      </c>
      <c r="AJ297" s="40">
        <f>X297*8/1000000</f>
        <v>-4.6938657760620117E-13</v>
      </c>
      <c r="AK297" s="40">
        <f>V297*8/1000000</f>
        <v>16.793788000000468</v>
      </c>
      <c r="AL297" s="279" t="s">
        <v>979</v>
      </c>
      <c r="AM297" s="279" t="s">
        <v>980</v>
      </c>
      <c r="AN297">
        <v>0.25603500000000001</v>
      </c>
      <c r="AO297">
        <v>2.1644199999999998</v>
      </c>
      <c r="AP297">
        <v>1.908385</v>
      </c>
      <c r="AQ297" s="269">
        <v>16.793787999999999</v>
      </c>
    </row>
    <row r="298" spans="1:43" ht="13.5" customHeight="1">
      <c r="N298" s="6"/>
      <c r="Y298" s="331"/>
      <c r="Z298" s="330"/>
      <c r="AA298" s="77"/>
      <c r="AH298" s="279"/>
      <c r="AI298" s="279"/>
      <c r="AJ298" s="40"/>
      <c r="AK298" s="40"/>
      <c r="AL298" s="279"/>
      <c r="AM298" s="279"/>
      <c r="AQ298" s="269"/>
    </row>
    <row r="299" spans="1:43" ht="13.5" customHeight="1">
      <c r="N299" s="6"/>
      <c r="Y299" s="331"/>
      <c r="Z299" s="330"/>
      <c r="AA299" s="77"/>
      <c r="AH299" s="279"/>
      <c r="AI299" s="279"/>
      <c r="AJ299" s="40"/>
      <c r="AK299" s="40"/>
      <c r="AL299" s="279"/>
      <c r="AM299" s="279"/>
      <c r="AQ299" s="269"/>
    </row>
    <row r="300" spans="1:43" ht="13.5" customHeight="1">
      <c r="J300" s="3" t="s">
        <v>228</v>
      </c>
      <c r="K300" s="3" t="s">
        <v>825</v>
      </c>
      <c r="L300" s="47" t="str">
        <f>M292</f>
        <v>25-077/07:16</v>
      </c>
      <c r="M300" s="47" t="s">
        <v>1067</v>
      </c>
      <c r="N300" t="s">
        <v>1034</v>
      </c>
      <c r="O300" s="84" t="str">
        <f>AI300</f>
        <v>199/11:41</v>
      </c>
      <c r="P300" s="32" t="str">
        <f>MID(AL300,5,5)</f>
        <v>199_2</v>
      </c>
      <c r="Q300" s="58">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2">
        <f>W300-V300</f>
        <v>1.4528632164001465E-7</v>
      </c>
      <c r="Y300" s="331"/>
      <c r="Z300" s="330"/>
      <c r="AA300" s="77">
        <f>AQ300</f>
        <v>11.421339</v>
      </c>
      <c r="AC300" s="129">
        <f>AK300+AC292</f>
        <v>29.123163999998322</v>
      </c>
      <c r="AH300" s="279" t="s">
        <v>981</v>
      </c>
      <c r="AI300" s="279" t="s">
        <v>992</v>
      </c>
      <c r="AJ300" s="40">
        <f>X300*8/1000000</f>
        <v>1.1622905731201172E-12</v>
      </c>
      <c r="AK300" s="40">
        <f>V300*8/1000000</f>
        <v>11.421338999998838</v>
      </c>
      <c r="AL300" s="279" t="s">
        <v>981</v>
      </c>
      <c r="AM300" s="279" t="s">
        <v>982</v>
      </c>
      <c r="AN300">
        <v>0.18662899999999999</v>
      </c>
      <c r="AO300">
        <v>1.4845079999999999</v>
      </c>
      <c r="AP300">
        <v>1.297879</v>
      </c>
      <c r="AQ300" s="269">
        <v>11.421339</v>
      </c>
    </row>
    <row r="301" spans="1:43" ht="13.5" customHeight="1">
      <c r="C301">
        <v>104</v>
      </c>
      <c r="D301">
        <v>105</v>
      </c>
      <c r="G301" t="s">
        <v>50</v>
      </c>
      <c r="L301" s="78" t="str">
        <f>M297</f>
        <v>26-014/11:20</v>
      </c>
      <c r="M301" s="78" t="s">
        <v>1047</v>
      </c>
      <c r="N301" t="s">
        <v>1044</v>
      </c>
      <c r="O301" s="84" t="str">
        <f>AI301</f>
        <v>200/13:51</v>
      </c>
      <c r="P301" s="32" t="str">
        <f>MID(AL301,5,5)</f>
        <v>200_1</v>
      </c>
      <c r="Q301" s="58">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2">
        <f>W301-V301</f>
        <v>-2.2043241187930107E-7</v>
      </c>
      <c r="Y301" s="331"/>
      <c r="Z301" s="330"/>
      <c r="AA301" s="77">
        <f>AQ301</f>
        <v>3.936509</v>
      </c>
      <c r="AD301" s="177">
        <f>AD297+AK301</f>
        <v>47.332595000002073</v>
      </c>
      <c r="AH301" s="279" t="s">
        <v>983</v>
      </c>
      <c r="AI301" s="279" t="s">
        <v>993</v>
      </c>
      <c r="AJ301" s="40">
        <f>X301*8/1000000</f>
        <v>-1.7634592950344086E-12</v>
      </c>
      <c r="AK301" s="40">
        <f>V301*8/1000000</f>
        <v>3.9365090000017635</v>
      </c>
      <c r="AL301" s="279" t="s">
        <v>983</v>
      </c>
      <c r="AM301" s="279" t="s">
        <v>984</v>
      </c>
      <c r="AN301">
        <v>0.54563799999999996</v>
      </c>
      <c r="AO301">
        <v>0.99296899999999999</v>
      </c>
      <c r="AP301">
        <v>0.44733099999999998</v>
      </c>
      <c r="AQ301" s="269">
        <v>3.936509</v>
      </c>
    </row>
    <row r="302" spans="1:43" ht="13.5" customHeight="1">
      <c r="J302" s="3" t="s">
        <v>228</v>
      </c>
      <c r="K302" s="3" t="s">
        <v>825</v>
      </c>
      <c r="L302" s="47" t="str">
        <f>M300</f>
        <v>25-081/18:34</v>
      </c>
      <c r="M302" s="47" t="s">
        <v>1024</v>
      </c>
      <c r="N302" t="s">
        <v>1028</v>
      </c>
      <c r="O302" s="84" t="str">
        <f>AI302</f>
        <v>201/06:41</v>
      </c>
      <c r="P302" s="32" t="str">
        <f>MID(AL302,5,5)</f>
        <v>201_1</v>
      </c>
      <c r="Q302" s="58">
        <f>R300-3</f>
        <v>604974372.62836385</v>
      </c>
      <c r="R302" s="341">
        <f>R304</f>
        <v>605079001</v>
      </c>
      <c r="S302" s="21">
        <f>R302-Q302</f>
        <v>104628.37163615227</v>
      </c>
      <c r="T302" s="21">
        <f>S302*$X$9</f>
        <v>386699.34867353365</v>
      </c>
      <c r="U302" s="3">
        <v>0</v>
      </c>
      <c r="V302" s="20">
        <f>T302+U302*$V$38</f>
        <v>386699.34867353365</v>
      </c>
      <c r="W302" s="20">
        <f>AA302*1000000/8</f>
        <v>632848.5</v>
      </c>
      <c r="X302" s="195">
        <f>W302-V302</f>
        <v>246149.15132646635</v>
      </c>
      <c r="Y302" s="331"/>
      <c r="Z302" s="330"/>
      <c r="AA302" s="77">
        <f>AQ302</f>
        <v>5.0627880000000003</v>
      </c>
      <c r="AC302" s="129">
        <f>AC300+AK302</f>
        <v>32.216758789386589</v>
      </c>
      <c r="AH302" s="279" t="s">
        <v>985</v>
      </c>
      <c r="AI302" s="279" t="s">
        <v>994</v>
      </c>
      <c r="AJ302" s="40">
        <f>X302*8/1000000</f>
        <v>1.9691932106117309</v>
      </c>
      <c r="AK302" s="40">
        <f>V302*8/1000000</f>
        <v>3.0935947893882694</v>
      </c>
      <c r="AL302" s="279" t="s">
        <v>985</v>
      </c>
      <c r="AM302" s="279" t="s">
        <v>986</v>
      </c>
      <c r="AN302">
        <v>0.24905099999999999</v>
      </c>
      <c r="AO302">
        <v>0.82436799999999999</v>
      </c>
      <c r="AP302">
        <v>0.57531699999999997</v>
      </c>
      <c r="AQ302" s="269">
        <v>5.0627880000000003</v>
      </c>
    </row>
    <row r="303" spans="1:43" ht="13.5" customHeight="1">
      <c r="J303" s="3" t="s">
        <v>228</v>
      </c>
      <c r="K303" s="3" t="s">
        <v>825</v>
      </c>
      <c r="L303" s="47" t="s">
        <v>1071</v>
      </c>
      <c r="M303" s="47" t="s">
        <v>1070</v>
      </c>
      <c r="N303" t="s">
        <v>1069</v>
      </c>
      <c r="O303" s="84" t="s">
        <v>1266</v>
      </c>
      <c r="P303" s="32" t="str">
        <f>MID(AL303,5,5)</f>
        <v/>
      </c>
      <c r="Q303" s="58">
        <f>R80-3</f>
        <v>608807390.15183246</v>
      </c>
      <c r="R303" s="21">
        <f>((W303)/$S$4)+Q303</f>
        <v>608982856.46091604</v>
      </c>
      <c r="S303" s="21">
        <f>R303-Q303</f>
        <v>175466.30908358097</v>
      </c>
      <c r="T303" s="21">
        <f>S303*$S$4</f>
        <v>246149.15132645614</v>
      </c>
      <c r="U303" s="3">
        <v>0</v>
      </c>
      <c r="V303" s="20">
        <f>T303+U303*$V$38</f>
        <v>246149.15132645614</v>
      </c>
      <c r="W303" s="183">
        <f>X302</f>
        <v>246149.15132646635</v>
      </c>
      <c r="X303" s="332">
        <f>W303-V303</f>
        <v>1.021544449031353E-8</v>
      </c>
      <c r="Y303" s="331"/>
      <c r="Z303" s="330"/>
      <c r="AA303" s="77"/>
      <c r="AC303" s="129">
        <f>AK303</f>
        <v>1.969193210611649</v>
      </c>
      <c r="AJ303" s="40">
        <f>X303*8/1000000</f>
        <v>8.1723555922508245E-14</v>
      </c>
      <c r="AK303" s="40">
        <f>V303*8/1000000</f>
        <v>1.969193210611649</v>
      </c>
      <c r="AQ303">
        <f>SUM(AQ281:AQ302)</f>
        <v>143.54269600000001</v>
      </c>
    </row>
    <row r="304" spans="1:43" ht="13.5" customHeight="1">
      <c r="O304" t="s">
        <v>1025</v>
      </c>
      <c r="P304" s="283" t="s">
        <v>1020</v>
      </c>
      <c r="Q304" s="284" t="s">
        <v>1021</v>
      </c>
      <c r="R304" s="284">
        <v>605079001</v>
      </c>
      <c r="S304" s="285">
        <v>1</v>
      </c>
      <c r="T304" s="285" t="s">
        <v>27</v>
      </c>
      <c r="U304" s="285" t="s">
        <v>1022</v>
      </c>
      <c r="V304" s="285" t="s">
        <v>118</v>
      </c>
      <c r="W304" s="285"/>
      <c r="X304" s="285" t="s">
        <v>1023</v>
      </c>
      <c r="AC304" t="s">
        <v>1202</v>
      </c>
      <c r="AD304" t="s">
        <v>1203</v>
      </c>
    </row>
    <row r="305" spans="1:46" ht="13.5" customHeight="1">
      <c r="C305" s="112" t="s">
        <v>226</v>
      </c>
      <c r="D305" s="112" t="s">
        <v>227</v>
      </c>
      <c r="E305" s="112" t="s">
        <v>51</v>
      </c>
      <c r="F305" s="112" t="s">
        <v>49</v>
      </c>
      <c r="G305" s="112" t="s">
        <v>50</v>
      </c>
      <c r="H305" s="112" t="s">
        <v>53</v>
      </c>
      <c r="I305" s="112" t="s">
        <v>54</v>
      </c>
      <c r="J305" s="112" t="s">
        <v>228</v>
      </c>
      <c r="K305" s="112" t="s">
        <v>825</v>
      </c>
      <c r="P305" s="12" t="s">
        <v>122</v>
      </c>
      <c r="Q305" s="11" t="s">
        <v>5</v>
      </c>
      <c r="R305" s="12" t="s">
        <v>6</v>
      </c>
      <c r="S305" s="12" t="s">
        <v>7</v>
      </c>
      <c r="T305" s="13" t="s">
        <v>8</v>
      </c>
      <c r="U305" s="3" t="s">
        <v>22</v>
      </c>
      <c r="V305" s="13" t="s">
        <v>25</v>
      </c>
      <c r="W305" s="12" t="s">
        <v>26</v>
      </c>
      <c r="X305" s="12" t="s">
        <v>9</v>
      </c>
      <c r="AC305" s="189">
        <f>AC303+AC302+AC289</f>
        <v>39.585951999998237</v>
      </c>
      <c r="AD305" s="177">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2" t="s">
        <v>226</v>
      </c>
      <c r="D311" s="112" t="s">
        <v>227</v>
      </c>
      <c r="E311" s="112" t="s">
        <v>51</v>
      </c>
      <c r="F311" s="112" t="s">
        <v>49</v>
      </c>
      <c r="G311" s="112" t="s">
        <v>50</v>
      </c>
      <c r="H311" s="112" t="s">
        <v>53</v>
      </c>
      <c r="I311" s="112" t="s">
        <v>54</v>
      </c>
      <c r="J311" s="112" t="s">
        <v>228</v>
      </c>
      <c r="K311" s="112"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6"/>
      <c r="N312" s="185" t="s">
        <v>1132</v>
      </c>
      <c r="O312" s="84"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2">
        <f>W312-V312</f>
        <v>-3123312.6</v>
      </c>
      <c r="Y312" s="331">
        <f>X312*8/1000000</f>
        <v>-24.986500800000002</v>
      </c>
      <c r="Z312" s="330"/>
      <c r="AA312" s="77">
        <f>AR312</f>
        <v>3.6394991999999999</v>
      </c>
      <c r="AC312" s="184">
        <f>AC310+AK312</f>
        <v>28.626000000000001</v>
      </c>
      <c r="AD312">
        <f>AC312*0.6</f>
        <v>17.175599999999999</v>
      </c>
      <c r="AE312" s="99">
        <f>AC312-AD312</f>
        <v>11.450400000000002</v>
      </c>
      <c r="AH312" s="279" t="str">
        <f>AL312</f>
        <v>TRK_205_1</v>
      </c>
      <c r="AI312" s="279" t="s">
        <v>1109</v>
      </c>
      <c r="AJ312" s="40">
        <f>X312*8/1000000</f>
        <v>-24.986500800000002</v>
      </c>
      <c r="AK312" s="40">
        <f>V312*8/1000000</f>
        <v>28.626000000000001</v>
      </c>
      <c r="AL312" s="286" t="s">
        <v>38</v>
      </c>
      <c r="AM312" s="286" t="s">
        <v>1073</v>
      </c>
      <c r="AN312">
        <v>1.348517</v>
      </c>
      <c r="AO312">
        <v>1.8080499999999999</v>
      </c>
      <c r="AP312">
        <v>0.45953300000000002</v>
      </c>
      <c r="AQ312" s="287">
        <v>4.0438879999999999</v>
      </c>
      <c r="AR312">
        <f>AQ312*0.9</f>
        <v>3.6394991999999999</v>
      </c>
      <c r="AS312" s="286">
        <f>AR312</f>
        <v>3.6394991999999999</v>
      </c>
    </row>
    <row r="313" spans="1:46" ht="13.5" customHeight="1" thickBot="1">
      <c r="O313" s="84" t="str">
        <f>AI313</f>
        <v>205/22:11</v>
      </c>
      <c r="P313" s="32" t="str">
        <f>MID(AL313,5,5)</f>
        <v>205_2</v>
      </c>
      <c r="Q313" s="3"/>
      <c r="R313" s="3"/>
      <c r="S313" s="21"/>
      <c r="T313" s="21"/>
      <c r="U313" s="3"/>
      <c r="V313" s="20">
        <f>T313+U313*$V$38</f>
        <v>0</v>
      </c>
      <c r="W313" s="183">
        <f>AA313*1000000/8+X312</f>
        <v>-242405.06250000047</v>
      </c>
      <c r="X313" s="332">
        <f>W313-V313</f>
        <v>-242405.06250000047</v>
      </c>
      <c r="Y313" s="331">
        <f>X313*8/1000000</f>
        <v>-1.9392405000000037</v>
      </c>
      <c r="Z313" s="330"/>
      <c r="AA313" s="77">
        <f>AR313</f>
        <v>23.047260299999998</v>
      </c>
      <c r="AH313" s="279" t="str">
        <f>AL313</f>
        <v>TRK_205_2</v>
      </c>
      <c r="AI313" t="s">
        <v>1110</v>
      </c>
      <c r="AJ313" s="40">
        <f>X313*8/1000000</f>
        <v>-1.9392405000000037</v>
      </c>
      <c r="AK313" s="40">
        <f>V313*8/1000000</f>
        <v>0</v>
      </c>
      <c r="AL313" t="s">
        <v>1074</v>
      </c>
      <c r="AM313" t="s">
        <v>1075</v>
      </c>
      <c r="AN313">
        <v>0.26355099999999998</v>
      </c>
      <c r="AO313">
        <v>3.173559</v>
      </c>
      <c r="AP313">
        <v>2.9100079999999999</v>
      </c>
      <c r="AQ313" s="287">
        <v>25.608066999999998</v>
      </c>
      <c r="AR313">
        <f>AQ313*0.9</f>
        <v>23.047260299999998</v>
      </c>
      <c r="AS313" s="286">
        <f>AS312+AR313</f>
        <v>26.686759499999997</v>
      </c>
      <c r="AT313">
        <f>28.626</f>
        <v>28.626000000000001</v>
      </c>
    </row>
    <row r="314" spans="1:46" ht="13.5" customHeight="1">
      <c r="M314" s="406"/>
      <c r="N314" s="405" t="s">
        <v>1133</v>
      </c>
      <c r="O314" s="404" t="str">
        <f>AI314</f>
        <v>207/04:26</v>
      </c>
      <c r="P314" s="403" t="str">
        <f>MID(AL314,5,5)</f>
        <v>207_1</v>
      </c>
      <c r="Q314" s="251">
        <v>645951790</v>
      </c>
      <c r="R314" s="251">
        <v>645952358</v>
      </c>
      <c r="S314" s="402">
        <f>R314-Q314</f>
        <v>568</v>
      </c>
      <c r="T314" s="402">
        <v>3759250</v>
      </c>
      <c r="U314" s="251"/>
      <c r="V314" s="401">
        <f>T314+U314*$V$38</f>
        <v>3759250</v>
      </c>
      <c r="W314" s="400">
        <f>AA314*1000000/8+X313</f>
        <v>845500.87499999953</v>
      </c>
      <c r="X314" s="399">
        <f>W314-V314</f>
        <v>-2913749.1250000005</v>
      </c>
      <c r="Y314" s="398">
        <f>X314*8/1000000</f>
        <v>-23.309993000000002</v>
      </c>
      <c r="Z314" s="397"/>
      <c r="AA314" s="396">
        <f>AR314</f>
        <v>8.7032474999999998</v>
      </c>
      <c r="AB314" s="395"/>
      <c r="AC314" s="394">
        <f>AC312+AK314</f>
        <v>58.7</v>
      </c>
      <c r="AD314" s="99">
        <f>AC314+AC312</f>
        <v>87.326000000000008</v>
      </c>
      <c r="AE314" t="s">
        <v>5688</v>
      </c>
      <c r="AF314" s="99"/>
      <c r="AH314" s="279" t="str">
        <f>AL314</f>
        <v>TRK_207_1</v>
      </c>
      <c r="AI314" t="s">
        <v>1111</v>
      </c>
      <c r="AJ314" s="40">
        <f>X314*8/1000000</f>
        <v>-23.309993000000002</v>
      </c>
      <c r="AK314" s="40">
        <f>V314*8/1000000</f>
        <v>30.074000000000002</v>
      </c>
      <c r="AL314" s="286" t="s">
        <v>1072</v>
      </c>
      <c r="AM314" s="286" t="s">
        <v>1076</v>
      </c>
      <c r="AN314">
        <v>0.34161599999999998</v>
      </c>
      <c r="AO314">
        <v>1.4405110000000001</v>
      </c>
      <c r="AP314">
        <v>1.098895</v>
      </c>
      <c r="AQ314" s="287">
        <v>9.6702750000000002</v>
      </c>
      <c r="AR314">
        <f>AQ314*0.9</f>
        <v>8.7032474999999998</v>
      </c>
      <c r="AS314" s="286">
        <f>AS313+AR314</f>
        <v>35.390006999999997</v>
      </c>
    </row>
    <row r="315" spans="1:46" ht="13.5" customHeight="1">
      <c r="M315">
        <f>16+18+66+90+23+164+33</f>
        <v>410</v>
      </c>
      <c r="N315" s="142" t="s">
        <v>1135</v>
      </c>
      <c r="O315" s="393" t="str">
        <f>AI315</f>
        <v>207/22:05</v>
      </c>
      <c r="P315" s="392" t="str">
        <f>MID(AL315,5,5)</f>
        <v>207_2</v>
      </c>
      <c r="Q315" s="2"/>
      <c r="R315" s="2"/>
      <c r="S315" s="391"/>
      <c r="T315" s="391"/>
      <c r="U315" s="2"/>
      <c r="V315" s="312">
        <f>T315+U315*$V$38</f>
        <v>0</v>
      </c>
      <c r="W315" s="390">
        <f>AA315*1000000/8+X314</f>
        <v>-2606388.4375000005</v>
      </c>
      <c r="X315" s="389">
        <f>W315-V315</f>
        <v>-2606388.4375000005</v>
      </c>
      <c r="Y315" s="388">
        <f>X315*8/1000000</f>
        <v>-20.851107500000005</v>
      </c>
      <c r="Z315" s="387"/>
      <c r="AA315" s="386">
        <f>AR315</f>
        <v>2.4588855000000001</v>
      </c>
      <c r="AB315" s="142"/>
      <c r="AC315" s="385"/>
      <c r="AD315" s="99">
        <f>AC314-AC312</f>
        <v>30.074000000000002</v>
      </c>
      <c r="AH315" s="279" t="str">
        <f>AL315</f>
        <v>TRK_207_2</v>
      </c>
      <c r="AI315" t="s">
        <v>1131</v>
      </c>
      <c r="AJ315" s="40">
        <f>X315*8/1000000</f>
        <v>-20.851107500000005</v>
      </c>
      <c r="AK315" s="40">
        <f>V315*8/1000000</f>
        <v>0</v>
      </c>
      <c r="AL315" t="s">
        <v>1077</v>
      </c>
      <c r="AM315" t="s">
        <v>1078</v>
      </c>
      <c r="AN315">
        <v>0.26087700000000003</v>
      </c>
      <c r="AO315">
        <v>0.57134200000000002</v>
      </c>
      <c r="AP315">
        <v>0.31046499999999999</v>
      </c>
      <c r="AQ315" s="287">
        <v>2.7320950000000002</v>
      </c>
      <c r="AR315">
        <f>AQ315*0.9</f>
        <v>2.4588855000000001</v>
      </c>
      <c r="AS315" s="286">
        <f>AS314+AR315</f>
        <v>37.848892499999998</v>
      </c>
    </row>
    <row r="316" spans="1:46" ht="13.5" customHeight="1" thickBot="1">
      <c r="M316" s="384" t="s">
        <v>1233</v>
      </c>
      <c r="N316" s="373"/>
      <c r="O316" s="383" t="str">
        <f>AI316</f>
        <v>208/22:00</v>
      </c>
      <c r="P316" s="382" t="str">
        <f>MID(AL316,5,5)</f>
        <v>208_1</v>
      </c>
      <c r="Q316" s="380"/>
      <c r="R316" s="380"/>
      <c r="S316" s="381"/>
      <c r="T316" s="381"/>
      <c r="U316" s="380"/>
      <c r="V316" s="379">
        <f>T316+U316*$V$38</f>
        <v>0</v>
      </c>
      <c r="W316" s="378">
        <f>AA316*1000000/8+X315</f>
        <v>-4106.9500000006519</v>
      </c>
      <c r="X316" s="377">
        <f>W316-V316</f>
        <v>-4106.9500000006519</v>
      </c>
      <c r="Y316" s="376">
        <f>X316*8/1000000</f>
        <v>-3.2855600000005217E-2</v>
      </c>
      <c r="Z316" s="375">
        <f>AA316+AA315+AA314</f>
        <v>31.980384900000001</v>
      </c>
      <c r="AA316" s="374">
        <f>AR316</f>
        <v>20.8182519</v>
      </c>
      <c r="AB316" s="373">
        <f>SUM(AA312:AA316)</f>
        <v>58.667144399999998</v>
      </c>
      <c r="AC316" s="372"/>
      <c r="AH316" s="279" t="str">
        <f>AL316</f>
        <v>TRK_208_1</v>
      </c>
      <c r="AI316" t="s">
        <v>1112</v>
      </c>
      <c r="AJ316" s="40">
        <f>X316*8/1000000</f>
        <v>-3.2855600000005217E-2</v>
      </c>
      <c r="AK316" s="40">
        <f>V316*8/1000000</f>
        <v>0</v>
      </c>
      <c r="AL316" t="s">
        <v>746</v>
      </c>
      <c r="AM316" t="s">
        <v>1079</v>
      </c>
      <c r="AN316">
        <v>0.31857600000000003</v>
      </c>
      <c r="AO316">
        <v>2.9471430000000001</v>
      </c>
      <c r="AP316">
        <v>2.6285669999999999</v>
      </c>
      <c r="AQ316" s="287">
        <v>23.131391000000001</v>
      </c>
      <c r="AR316">
        <f>AQ316*0.9</f>
        <v>20.8182519</v>
      </c>
      <c r="AS316" s="286">
        <f>AS315+AR316</f>
        <v>58.667144399999998</v>
      </c>
      <c r="AT316" t="s">
        <v>1080</v>
      </c>
    </row>
    <row r="317" spans="1:46" ht="13.5" customHeight="1">
      <c r="O317" s="34" t="s">
        <v>1250</v>
      </c>
      <c r="P317" s="371" t="s">
        <v>1167</v>
      </c>
      <c r="Q317" s="371" t="s">
        <v>1168</v>
      </c>
      <c r="R317" s="371">
        <v>611968056</v>
      </c>
      <c r="S317" s="371">
        <v>1</v>
      </c>
      <c r="T317" s="371" t="s">
        <v>27</v>
      </c>
      <c r="U317" s="371" t="s">
        <v>937</v>
      </c>
      <c r="V317" s="371" t="s">
        <v>118</v>
      </c>
      <c r="W317" s="371"/>
      <c r="X317" s="371"/>
      <c r="Y317" s="331"/>
      <c r="Z317" s="330"/>
      <c r="AA317" s="77"/>
      <c r="AJ317" s="40"/>
      <c r="AK317" s="40"/>
      <c r="AQ317" s="287"/>
      <c r="AS317" s="286"/>
    </row>
    <row r="318" spans="1:46" ht="13.5" customHeight="1">
      <c r="O318" s="84"/>
      <c r="P318" s="285" t="s">
        <v>1169</v>
      </c>
      <c r="Q318" s="284" t="s">
        <v>1170</v>
      </c>
      <c r="R318" s="288">
        <v>611992316</v>
      </c>
      <c r="S318" s="285">
        <v>8</v>
      </c>
      <c r="T318" s="285" t="s">
        <v>27</v>
      </c>
      <c r="U318" s="285" t="s">
        <v>1171</v>
      </c>
      <c r="V318" s="285" t="s">
        <v>101</v>
      </c>
      <c r="W318" s="285" t="s">
        <v>102</v>
      </c>
      <c r="X318" s="285" t="s">
        <v>1172</v>
      </c>
      <c r="Y318" s="331"/>
      <c r="Z318" s="330"/>
      <c r="AA318" s="77"/>
      <c r="AJ318" s="40"/>
      <c r="AK318" s="40"/>
      <c r="AQ318" s="287"/>
      <c r="AS318" s="286"/>
    </row>
    <row r="319" spans="1:46" ht="13.5" customHeight="1">
      <c r="O319" s="84"/>
      <c r="P319" s="285" t="s">
        <v>1173</v>
      </c>
      <c r="Q319" s="285" t="s">
        <v>1174</v>
      </c>
      <c r="R319" s="285">
        <v>611992336</v>
      </c>
      <c r="S319" s="285">
        <v>1</v>
      </c>
      <c r="T319" s="285" t="s">
        <v>27</v>
      </c>
      <c r="U319" s="285" t="s">
        <v>1171</v>
      </c>
      <c r="V319" s="285" t="s">
        <v>118</v>
      </c>
      <c r="W319" s="285"/>
      <c r="X319" s="285" t="s">
        <v>1172</v>
      </c>
      <c r="Y319" s="331"/>
      <c r="Z319" s="330"/>
      <c r="AA319" s="77"/>
      <c r="AJ319" s="40"/>
      <c r="AK319" s="40"/>
      <c r="AQ319" s="287"/>
      <c r="AS319" s="286"/>
    </row>
    <row r="320" spans="1:46" ht="13.5" customHeight="1">
      <c r="O320" s="84"/>
      <c r="P320" s="285" t="s">
        <v>1175</v>
      </c>
      <c r="Q320" s="285" t="s">
        <v>1176</v>
      </c>
      <c r="R320" s="288">
        <v>611992341</v>
      </c>
      <c r="S320" s="285">
        <v>1</v>
      </c>
      <c r="T320" s="285" t="s">
        <v>27</v>
      </c>
      <c r="U320" s="285" t="s">
        <v>1171</v>
      </c>
      <c r="V320" s="285" t="s">
        <v>118</v>
      </c>
      <c r="W320" s="285"/>
      <c r="X320" s="285" t="s">
        <v>1172</v>
      </c>
      <c r="Y320" s="331"/>
      <c r="Z320" s="330"/>
      <c r="AA320" s="77"/>
      <c r="AJ320" s="40"/>
      <c r="AK320" s="40"/>
      <c r="AQ320" s="287"/>
      <c r="AS320" s="286"/>
    </row>
    <row r="321" spans="3:45" ht="13.5" customHeight="1">
      <c r="O321" s="84"/>
      <c r="P321" s="285" t="s">
        <v>1177</v>
      </c>
      <c r="Q321" s="285" t="s">
        <v>1178</v>
      </c>
      <c r="R321" s="285">
        <v>611992832</v>
      </c>
      <c r="S321" s="285">
        <v>0</v>
      </c>
      <c r="T321" s="285" t="s">
        <v>111</v>
      </c>
      <c r="U321" s="285" t="s">
        <v>1179</v>
      </c>
      <c r="V321" s="285" t="s">
        <v>1180</v>
      </c>
      <c r="W321" s="285"/>
      <c r="X321" s="285" t="s">
        <v>1172</v>
      </c>
      <c r="Y321" s="331"/>
      <c r="Z321" s="330"/>
      <c r="AA321" s="77"/>
      <c r="AJ321" s="40"/>
      <c r="AK321" s="40"/>
      <c r="AQ321" s="287"/>
      <c r="AS321" s="286"/>
    </row>
    <row r="322" spans="3:45" ht="13.5" customHeight="1">
      <c r="O322" s="84"/>
      <c r="P322" s="285" t="s">
        <v>1177</v>
      </c>
      <c r="Q322" s="285" t="s">
        <v>1178</v>
      </c>
      <c r="R322" s="285">
        <v>611992832</v>
      </c>
      <c r="S322" s="285">
        <v>0</v>
      </c>
      <c r="T322" s="285" t="s">
        <v>111</v>
      </c>
      <c r="U322" s="285" t="s">
        <v>1179</v>
      </c>
      <c r="V322" s="285" t="s">
        <v>1181</v>
      </c>
      <c r="W322" s="285"/>
      <c r="X322" s="285" t="s">
        <v>1172</v>
      </c>
      <c r="Y322" s="331"/>
      <c r="Z322" s="330"/>
      <c r="AA322" s="77"/>
      <c r="AJ322" s="40"/>
      <c r="AK322" s="40"/>
      <c r="AQ322" s="287"/>
      <c r="AS322" s="286"/>
    </row>
    <row r="323" spans="3:45" ht="13.5" customHeight="1">
      <c r="O323" s="84"/>
      <c r="P323" s="285" t="s">
        <v>1177</v>
      </c>
      <c r="Q323" s="285" t="s">
        <v>1178</v>
      </c>
      <c r="R323" s="285">
        <v>611992832</v>
      </c>
      <c r="S323" s="285">
        <v>0</v>
      </c>
      <c r="T323" s="285" t="s">
        <v>111</v>
      </c>
      <c r="U323" s="285" t="s">
        <v>1179</v>
      </c>
      <c r="V323" s="285" t="s">
        <v>1182</v>
      </c>
      <c r="W323" s="285"/>
      <c r="X323" s="285" t="s">
        <v>1172</v>
      </c>
      <c r="Y323" s="331"/>
      <c r="Z323" s="330"/>
      <c r="AA323" s="77"/>
      <c r="AJ323" s="40"/>
      <c r="AK323" s="40"/>
      <c r="AQ323" s="287"/>
      <c r="AS323" s="286"/>
    </row>
    <row r="324" spans="3:45" ht="13.5" customHeight="1">
      <c r="O324" s="84"/>
      <c r="P324" s="285" t="s">
        <v>1177</v>
      </c>
      <c r="Q324" s="285" t="s">
        <v>1178</v>
      </c>
      <c r="R324" s="285">
        <v>611992832</v>
      </c>
      <c r="S324" s="285">
        <v>0</v>
      </c>
      <c r="T324" s="285" t="s">
        <v>111</v>
      </c>
      <c r="U324" s="285" t="s">
        <v>1179</v>
      </c>
      <c r="V324" s="285" t="s">
        <v>113</v>
      </c>
      <c r="W324" s="285"/>
      <c r="X324" s="285" t="s">
        <v>1172</v>
      </c>
      <c r="Y324" s="331"/>
      <c r="Z324" s="330"/>
      <c r="AA324" s="77"/>
      <c r="AJ324" s="40"/>
      <c r="AK324" s="40"/>
      <c r="AQ324" s="287"/>
      <c r="AS324" s="286"/>
    </row>
    <row r="325" spans="3:45" ht="13.5" customHeight="1">
      <c r="O325" s="370" t="s">
        <v>1212</v>
      </c>
      <c r="P325" s="285" t="s">
        <v>1177</v>
      </c>
      <c r="Q325" s="285" t="s">
        <v>1178</v>
      </c>
      <c r="R325" s="289">
        <v>611992832</v>
      </c>
      <c r="S325" s="285">
        <v>0</v>
      </c>
      <c r="T325" s="285" t="s">
        <v>111</v>
      </c>
      <c r="U325" s="285" t="s">
        <v>1179</v>
      </c>
      <c r="V325" s="284" t="s">
        <v>1183</v>
      </c>
      <c r="W325" s="285"/>
      <c r="X325" s="285" t="s">
        <v>1172</v>
      </c>
      <c r="Y325" s="331"/>
      <c r="Z325" s="330"/>
      <c r="AA325" s="77"/>
      <c r="AJ325" s="40"/>
      <c r="AK325" s="40"/>
      <c r="AQ325" s="287"/>
      <c r="AS325" s="286"/>
    </row>
    <row r="326" spans="3:45" ht="13.5" customHeight="1">
      <c r="O326" s="84"/>
      <c r="P326" s="285" t="s">
        <v>1177</v>
      </c>
      <c r="Q326" s="285" t="s">
        <v>1178</v>
      </c>
      <c r="R326" s="285">
        <v>611992832</v>
      </c>
      <c r="S326" s="285">
        <v>0</v>
      </c>
      <c r="T326" s="285" t="s">
        <v>111</v>
      </c>
      <c r="U326" s="285" t="s">
        <v>1179</v>
      </c>
      <c r="V326" s="285" t="s">
        <v>1184</v>
      </c>
      <c r="W326" s="285"/>
      <c r="X326" s="285" t="s">
        <v>1172</v>
      </c>
      <c r="Y326" s="331"/>
      <c r="Z326" s="330"/>
      <c r="AA326" s="77"/>
      <c r="AJ326" s="40"/>
      <c r="AK326" s="40"/>
      <c r="AQ326" s="287"/>
      <c r="AS326" s="286"/>
    </row>
    <row r="327" spans="3:45" ht="13.5" customHeight="1">
      <c r="M327" s="204" t="str" cm="1">
        <f t="array" aca="1" ref="M327" ca="1">MID(met2utc(R328),3,12)</f>
        <v>25-133/18:11</v>
      </c>
      <c r="O327" s="84"/>
      <c r="P327" s="285" t="s">
        <v>1177</v>
      </c>
      <c r="Q327" s="285" t="s">
        <v>1178</v>
      </c>
      <c r="R327" s="285">
        <v>611992832</v>
      </c>
      <c r="S327" s="285">
        <v>0</v>
      </c>
      <c r="T327" s="285" t="s">
        <v>111</v>
      </c>
      <c r="U327" s="285" t="s">
        <v>1179</v>
      </c>
      <c r="V327" s="285" t="s">
        <v>756</v>
      </c>
      <c r="W327" s="285"/>
      <c r="X327" s="285" t="s">
        <v>1172</v>
      </c>
      <c r="Y327" s="331"/>
      <c r="Z327" s="330"/>
      <c r="AA327" s="77"/>
      <c r="AJ327" s="40"/>
      <c r="AK327" s="40"/>
      <c r="AQ327" s="287"/>
      <c r="AS327" s="286"/>
    </row>
    <row r="328" spans="3:45" ht="13.5" customHeight="1">
      <c r="C328" s="3"/>
      <c r="D328" s="3"/>
      <c r="E328" s="3"/>
      <c r="F328" s="3"/>
      <c r="G328" s="3"/>
      <c r="H328" s="3"/>
      <c r="I328" s="3"/>
      <c r="J328" s="3" t="s">
        <v>228</v>
      </c>
      <c r="K328" s="3" t="s">
        <v>825</v>
      </c>
      <c r="L328" s="47" t="str">
        <f>M303</f>
        <v>25-128/04:02</v>
      </c>
      <c r="M328" s="47" t="s">
        <v>1162</v>
      </c>
      <c r="N328" t="s">
        <v>1069</v>
      </c>
      <c r="O328" s="84" t="str">
        <f>AI328</f>
        <v>211/03:05</v>
      </c>
      <c r="P328" s="32" t="str">
        <f t="shared" ref="P328:P335" si="115">MID(AL328,5,5)</f>
        <v>211_1</v>
      </c>
      <c r="Q328" s="85">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2">
        <f t="shared" ref="X328:X335" si="118">W328-V328</f>
        <v>2.7939677238464355E-9</v>
      </c>
      <c r="Y328" s="331"/>
      <c r="Z328" s="330"/>
      <c r="AA328" s="77">
        <f>AR328</f>
        <v>5.4531045000000002</v>
      </c>
      <c r="AC328" s="129">
        <f>AC315+AK328</f>
        <v>5.4202488999999723</v>
      </c>
      <c r="AH328" s="279" t="str">
        <f>AL328</f>
        <v>TRK_211_1</v>
      </c>
      <c r="AI328" t="s">
        <v>1113</v>
      </c>
      <c r="AJ328" s="40">
        <f>X328*8/1000000</f>
        <v>2.2351741790771485E-14</v>
      </c>
      <c r="AK328" s="40">
        <f>V328*8/1000000</f>
        <v>5.4202488999999723</v>
      </c>
      <c r="AL328" t="s">
        <v>39</v>
      </c>
      <c r="AM328" t="s">
        <v>1081</v>
      </c>
      <c r="AN328">
        <v>0.87197400000000003</v>
      </c>
      <c r="AO328">
        <v>1.560497</v>
      </c>
      <c r="AP328">
        <v>0.688523</v>
      </c>
      <c r="AQ328" s="287">
        <v>6.059005</v>
      </c>
      <c r="AR328">
        <f>AQ328*0.9</f>
        <v>5.4531045000000002</v>
      </c>
      <c r="AS328">
        <f>AS316+AR328</f>
        <v>64.120248899999993</v>
      </c>
    </row>
    <row r="329" spans="3:45" ht="13.5" customHeight="1">
      <c r="C329" s="3"/>
      <c r="D329" s="3"/>
      <c r="E329" s="3"/>
      <c r="F329" s="3"/>
      <c r="G329" s="3"/>
      <c r="H329" s="3"/>
      <c r="I329" s="3"/>
      <c r="J329" s="3" t="s">
        <v>228</v>
      </c>
      <c r="K329" s="3" t="s">
        <v>825</v>
      </c>
      <c r="L329" s="47" t="str">
        <f t="shared" ref="L329:L335" si="119">M328</f>
        <v>25-133/18:11</v>
      </c>
      <c r="M329" s="47" t="s">
        <v>1163</v>
      </c>
      <c r="N329" t="s">
        <v>1069</v>
      </c>
      <c r="O329" s="84" t="str">
        <f>AI329</f>
        <v>212/03:35</v>
      </c>
      <c r="P329" s="32" t="str">
        <f t="shared" si="115"/>
        <v>212_1</v>
      </c>
      <c r="Q329" s="58">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2">
        <f t="shared" si="118"/>
        <v>-3.3993273973464966E-8</v>
      </c>
      <c r="Y329" s="331"/>
      <c r="Z329" s="330"/>
      <c r="AA329" s="77">
        <f>AR329</f>
        <v>10.612962</v>
      </c>
      <c r="AC329" s="129">
        <f>AK329+AC328</f>
        <v>16.033210900000242</v>
      </c>
      <c r="AH329" s="279" t="str">
        <f>AL329</f>
        <v>TRK_212_1</v>
      </c>
      <c r="AI329" t="s">
        <v>1114</v>
      </c>
      <c r="AJ329" s="40">
        <f>X329*8/1000000</f>
        <v>-2.7194619178771972E-13</v>
      </c>
      <c r="AK329" s="40">
        <f>V329*8/1000000</f>
        <v>10.612962000000271</v>
      </c>
      <c r="AL329" t="s">
        <v>779</v>
      </c>
      <c r="AM329" t="s">
        <v>1082</v>
      </c>
      <c r="AN329">
        <v>0.31300499999999998</v>
      </c>
      <c r="AO329">
        <v>1.653025</v>
      </c>
      <c r="AP329">
        <v>1.34002</v>
      </c>
      <c r="AQ329" s="287">
        <v>11.79218</v>
      </c>
      <c r="AR329">
        <f>AQ329*0.9</f>
        <v>10.612962</v>
      </c>
      <c r="AS329">
        <f>AS328+AR329</f>
        <v>74.733210899999989</v>
      </c>
    </row>
    <row r="330" spans="3:45" ht="13.5" customHeight="1">
      <c r="J330" s="3" t="s">
        <v>228</v>
      </c>
      <c r="K330" s="3" t="s">
        <v>825</v>
      </c>
      <c r="L330" s="47" t="str">
        <f t="shared" si="119"/>
        <v>25-144/16:53</v>
      </c>
      <c r="M330" s="47" t="s">
        <v>1164</v>
      </c>
      <c r="N330" t="s">
        <v>1069</v>
      </c>
      <c r="O330" s="84" t="str">
        <f>AI330</f>
        <v>212/13:50</v>
      </c>
      <c r="P330" s="32" t="str">
        <f t="shared" si="115"/>
        <v>212_2</v>
      </c>
      <c r="Q330" s="58">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2">
        <f t="shared" si="118"/>
        <v>3.0733644962310791E-8</v>
      </c>
      <c r="Y330" s="331"/>
      <c r="Z330" s="330"/>
      <c r="AA330" s="77">
        <f>AR330</f>
        <v>4.8993723000000005</v>
      </c>
      <c r="AC330" s="129">
        <f>AK330+AC329</f>
        <v>20.932583199999996</v>
      </c>
      <c r="AH330" s="279" t="str">
        <f>AL330</f>
        <v>TRK_212_2</v>
      </c>
      <c r="AI330" t="s">
        <v>1115</v>
      </c>
      <c r="AJ330" s="40">
        <f>X330*8/1000000</f>
        <v>2.4586915969848635E-13</v>
      </c>
      <c r="AK330" s="40">
        <f>V330*8/1000000</f>
        <v>4.8993722999997544</v>
      </c>
      <c r="AL330" t="s">
        <v>783</v>
      </c>
      <c r="AM330" t="s">
        <v>1083</v>
      </c>
      <c r="AN330">
        <v>0.200989</v>
      </c>
      <c r="AO330">
        <v>0.81959700000000002</v>
      </c>
      <c r="AP330">
        <v>0.61860800000000005</v>
      </c>
      <c r="AQ330" s="287">
        <v>5.4437470000000001</v>
      </c>
      <c r="AR330">
        <f>AQ330*0.9</f>
        <v>4.8993723000000005</v>
      </c>
      <c r="AS330">
        <f>AS329+AR330</f>
        <v>79.632583199999985</v>
      </c>
    </row>
    <row r="331" spans="3:45" ht="13.5" customHeight="1">
      <c r="J331" s="3" t="s">
        <v>228</v>
      </c>
      <c r="K331" s="3" t="s">
        <v>825</v>
      </c>
      <c r="L331" s="47" t="str">
        <f t="shared" si="119"/>
        <v>25-149/18:09</v>
      </c>
      <c r="M331" s="47" t="s">
        <v>1234</v>
      </c>
      <c r="N331" t="s">
        <v>1069</v>
      </c>
      <c r="O331" s="84" t="str">
        <f>AI331</f>
        <v>213/02:25</v>
      </c>
      <c r="P331" s="32" t="str">
        <f t="shared" si="115"/>
        <v>213_1</v>
      </c>
      <c r="Q331" s="58">
        <f t="shared" si="120"/>
        <v>610848056.61678576</v>
      </c>
      <c r="R331" s="186">
        <f>R325-20</f>
        <v>611992812</v>
      </c>
      <c r="S331" s="21">
        <f t="shared" si="116"/>
        <v>1144755.3832142353</v>
      </c>
      <c r="T331" s="21">
        <f>S331*$S$4</f>
        <v>1605895.5563962641</v>
      </c>
      <c r="U331" s="3">
        <v>0</v>
      </c>
      <c r="V331" s="20">
        <f t="shared" si="117"/>
        <v>1605895.5563962641</v>
      </c>
      <c r="W331" s="20">
        <f>AA331*1000000/8</f>
        <v>1831892.625</v>
      </c>
      <c r="X331" s="187">
        <f t="shared" si="118"/>
        <v>225997.06860373588</v>
      </c>
      <c r="Y331" s="331"/>
      <c r="Z331" s="330"/>
      <c r="AA331" s="77">
        <f>AR331</f>
        <v>14.655141</v>
      </c>
      <c r="AC331" s="129">
        <f>AK331+AC330</f>
        <v>33.779747651170112</v>
      </c>
      <c r="AH331" s="279" t="str">
        <f>AL331</f>
        <v>TRK_213_1</v>
      </c>
      <c r="AI331" t="s">
        <v>1116</v>
      </c>
      <c r="AJ331" s="40">
        <f>X331*8/1000000</f>
        <v>1.8079765488298871</v>
      </c>
      <c r="AK331" s="40">
        <f>V331*8/1000000</f>
        <v>12.847164451170112</v>
      </c>
      <c r="AL331" t="s">
        <v>40</v>
      </c>
      <c r="AM331" t="s">
        <v>1084</v>
      </c>
      <c r="AN331">
        <v>0.22583300000000001</v>
      </c>
      <c r="AO331">
        <v>2.0762299999999998</v>
      </c>
      <c r="AP331">
        <v>1.8503970000000001</v>
      </c>
      <c r="AQ331" s="287">
        <v>16.28349</v>
      </c>
      <c r="AR331">
        <f>AQ331*0.9</f>
        <v>14.655141</v>
      </c>
      <c r="AS331">
        <f>AS330+AR331</f>
        <v>94.287724199999985</v>
      </c>
    </row>
    <row r="332" spans="3:45" ht="13.5" customHeight="1">
      <c r="J332" s="3" t="s">
        <v>228</v>
      </c>
      <c r="K332" s="3" t="s">
        <v>825</v>
      </c>
      <c r="L332" s="47" t="str">
        <f t="shared" si="119"/>
        <v>25-163/08:37</v>
      </c>
      <c r="M332" s="47" t="s">
        <v>1245</v>
      </c>
      <c r="N332" t="s">
        <v>1185</v>
      </c>
      <c r="O332" s="84" t="s">
        <v>1266</v>
      </c>
      <c r="P332" s="32" t="str">
        <f t="shared" si="115"/>
        <v/>
      </c>
      <c r="Q332" s="58">
        <f t="shared" si="120"/>
        <v>611992809</v>
      </c>
      <c r="R332" s="21">
        <f>((W332)/$S$5)+Q332</f>
        <v>612053956.5177387</v>
      </c>
      <c r="S332" s="21">
        <f t="shared" si="116"/>
        <v>61147.517738699913</v>
      </c>
      <c r="T332" s="21">
        <f>S332*$S$5</f>
        <v>225997.06860379208</v>
      </c>
      <c r="U332" s="3">
        <v>0</v>
      </c>
      <c r="V332" s="20">
        <f t="shared" si="117"/>
        <v>225997.06860379208</v>
      </c>
      <c r="W332" s="183">
        <f>X331</f>
        <v>225997.06860373588</v>
      </c>
      <c r="X332" s="332">
        <f t="shared" si="118"/>
        <v>-5.6199496611952782E-8</v>
      </c>
      <c r="Y332" s="331"/>
      <c r="Z332" s="330"/>
      <c r="AA332" s="77"/>
      <c r="AC332" s="129"/>
      <c r="AH332" s="279"/>
      <c r="AJ332" s="40"/>
      <c r="AK332" s="40"/>
      <c r="AQ332" s="287"/>
    </row>
    <row r="333" spans="3:45" ht="13.5" customHeight="1">
      <c r="J333" s="3" t="s">
        <v>228</v>
      </c>
      <c r="K333" s="3" t="s">
        <v>825</v>
      </c>
      <c r="L333" s="47" t="str">
        <f t="shared" si="119"/>
        <v>25-163/17:07</v>
      </c>
      <c r="M333" s="47" t="s">
        <v>1246</v>
      </c>
      <c r="N333" t="s">
        <v>1185</v>
      </c>
      <c r="O333" s="84" t="str">
        <f>AI333</f>
        <v>213/22:40</v>
      </c>
      <c r="P333" s="32" t="str">
        <f t="shared" si="115"/>
        <v>213_2</v>
      </c>
      <c r="Q333" s="58">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2">
        <f t="shared" si="118"/>
        <v>1.9324943423271179E-7</v>
      </c>
      <c r="Y333" s="331"/>
      <c r="Z333" s="330"/>
      <c r="AA333" s="77">
        <f>AR333</f>
        <v>21.463278299999999</v>
      </c>
      <c r="AC333" s="129">
        <f>AK333+AC331</f>
        <v>55.243025951168562</v>
      </c>
      <c r="AH333" s="279" t="str">
        <f>AL333</f>
        <v>TRK_213_2</v>
      </c>
      <c r="AI333" t="s">
        <v>1117</v>
      </c>
      <c r="AJ333" s="40">
        <f>X333*8/1000000</f>
        <v>1.5459954738616944E-12</v>
      </c>
      <c r="AK333" s="40">
        <f>V333*8/1000000</f>
        <v>21.463278299998453</v>
      </c>
      <c r="AL333" t="s">
        <v>1085</v>
      </c>
      <c r="AM333" t="s">
        <v>1086</v>
      </c>
      <c r="AN333">
        <v>0.25551299999999999</v>
      </c>
      <c r="AO333">
        <v>2.9655230000000001</v>
      </c>
      <c r="AP333">
        <v>2.71001</v>
      </c>
      <c r="AQ333" s="287">
        <v>23.848087</v>
      </c>
      <c r="AR333">
        <f>AQ333*0.9</f>
        <v>21.463278299999999</v>
      </c>
      <c r="AS333">
        <f>AS331+AR333</f>
        <v>115.75100249999998</v>
      </c>
    </row>
    <row r="334" spans="3:45" ht="13.5" customHeight="1">
      <c r="J334" s="3" t="s">
        <v>228</v>
      </c>
      <c r="K334" s="3" t="s">
        <v>825</v>
      </c>
      <c r="L334" s="47" t="str">
        <f t="shared" si="119"/>
        <v>25-172/02:45</v>
      </c>
      <c r="M334" s="47" t="s">
        <v>1247</v>
      </c>
      <c r="N334" t="s">
        <v>1185</v>
      </c>
      <c r="O334" s="84" t="str">
        <f>AI334</f>
        <v>214/11:25</v>
      </c>
      <c r="P334" s="32" t="str">
        <f t="shared" si="115"/>
        <v>214_1</v>
      </c>
      <c r="Q334" s="58">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2">
        <f t="shared" si="118"/>
        <v>5.5064447224140167E-8</v>
      </c>
      <c r="Y334" s="331"/>
      <c r="Z334" s="330"/>
      <c r="AA334" s="77">
        <f>AR334</f>
        <v>6.7295015999999999</v>
      </c>
      <c r="AC334" s="129">
        <f>AK334+AC333</f>
        <v>61.97252755116812</v>
      </c>
      <c r="AH334" s="279" t="str">
        <f>AL334</f>
        <v>TRK_214_1</v>
      </c>
      <c r="AI334" t="s">
        <v>1118</v>
      </c>
      <c r="AJ334" s="40">
        <f>X334*8/1000000</f>
        <v>4.4051557779312134E-13</v>
      </c>
      <c r="AK334" s="40">
        <f>V334*8/1000000</f>
        <v>6.7295015999995593</v>
      </c>
      <c r="AL334" t="s">
        <v>41</v>
      </c>
      <c r="AM334" t="s">
        <v>1087</v>
      </c>
      <c r="AN334">
        <v>0.35693000000000003</v>
      </c>
      <c r="AO334">
        <v>1.206615</v>
      </c>
      <c r="AP334">
        <v>0.84968500000000002</v>
      </c>
      <c r="AQ334" s="287">
        <v>7.4772239999999996</v>
      </c>
      <c r="AR334">
        <f>AQ334*0.9</f>
        <v>6.7295015999999999</v>
      </c>
      <c r="AS334">
        <f>AS333+AR334</f>
        <v>122.48050409999999</v>
      </c>
    </row>
    <row r="335" spans="3:45" ht="13.5" customHeight="1">
      <c r="J335" s="3" t="s">
        <v>228</v>
      </c>
      <c r="K335" s="3" t="s">
        <v>825</v>
      </c>
      <c r="L335" s="47" t="str">
        <f t="shared" si="119"/>
        <v>25-174/17:59</v>
      </c>
      <c r="M335" s="47" t="s">
        <v>1235</v>
      </c>
      <c r="N335" t="s">
        <v>1185</v>
      </c>
      <c r="O335" s="84" t="str">
        <f>AI335</f>
        <v>214/23:00</v>
      </c>
      <c r="P335" s="32" t="str">
        <f t="shared" si="115"/>
        <v>214_2</v>
      </c>
      <c r="Q335" s="58">
        <f t="shared" si="120"/>
        <v>613007454.63604379</v>
      </c>
      <c r="R335" s="188">
        <f>R343</f>
        <v>613564800</v>
      </c>
      <c r="S335" s="21">
        <f t="shared" si="116"/>
        <v>557345.363956213</v>
      </c>
      <c r="T335" s="21">
        <f>S335*$S$5</f>
        <v>2059910.5754754029</v>
      </c>
      <c r="U335" s="3">
        <v>0</v>
      </c>
      <c r="V335" s="20">
        <f t="shared" si="117"/>
        <v>2059910.5754754029</v>
      </c>
      <c r="W335" s="20">
        <f>AA335*1000000/8</f>
        <v>2355370.875</v>
      </c>
      <c r="X335" s="187">
        <f t="shared" si="118"/>
        <v>295460.29952459713</v>
      </c>
      <c r="Y335" s="331"/>
      <c r="Z335" s="330"/>
      <c r="AA335" s="77">
        <f>AR335</f>
        <v>18.842967000000002</v>
      </c>
      <c r="AC335" s="129">
        <f>AK335+AC334</f>
        <v>78.45181215497135</v>
      </c>
      <c r="AH335" s="279" t="str">
        <f>AL335</f>
        <v>TRK_214_2</v>
      </c>
      <c r="AI335" t="s">
        <v>1119</v>
      </c>
      <c r="AJ335" s="40">
        <f>X335*8/1000000</f>
        <v>2.363682396196777</v>
      </c>
      <c r="AK335" s="40">
        <f>V335*8/1000000</f>
        <v>16.479284603803222</v>
      </c>
      <c r="AL335" t="s">
        <v>1088</v>
      </c>
      <c r="AM335" t="s">
        <v>1089</v>
      </c>
      <c r="AN335">
        <v>0.215169</v>
      </c>
      <c r="AO335">
        <v>2.5943320000000001</v>
      </c>
      <c r="AP335">
        <v>2.3791630000000001</v>
      </c>
      <c r="AQ335" s="287">
        <v>20.936630000000001</v>
      </c>
      <c r="AR335">
        <f>AQ335*0.9</f>
        <v>18.842967000000002</v>
      </c>
      <c r="AS335">
        <f>AS334+AR335</f>
        <v>141.32347110000001</v>
      </c>
    </row>
    <row r="336" spans="3:45" ht="13.5" customHeight="1">
      <c r="J336" s="3"/>
      <c r="K336" s="3"/>
      <c r="L336" s="47"/>
      <c r="M336" s="47"/>
      <c r="O336" s="84"/>
      <c r="P336" s="285" t="s">
        <v>1213</v>
      </c>
      <c r="Q336" s="284" t="s">
        <v>1214</v>
      </c>
      <c r="R336" s="290">
        <v>613564318</v>
      </c>
      <c r="S336" s="285">
        <v>7</v>
      </c>
      <c r="T336" s="285" t="s">
        <v>27</v>
      </c>
      <c r="U336" s="285" t="s">
        <v>1215</v>
      </c>
      <c r="V336" s="285" t="s">
        <v>101</v>
      </c>
      <c r="W336" s="285" t="s">
        <v>102</v>
      </c>
      <c r="X336" s="285" t="s">
        <v>1216</v>
      </c>
      <c r="Y336" s="331"/>
      <c r="Z336" s="330"/>
      <c r="AA336" s="77"/>
      <c r="AC336" s="129"/>
      <c r="AH336" s="279"/>
      <c r="AJ336" s="40"/>
      <c r="AK336" s="40"/>
      <c r="AQ336" s="287"/>
    </row>
    <row r="337" spans="7:45" ht="13.5" customHeight="1">
      <c r="J337" s="3"/>
      <c r="K337" s="3"/>
      <c r="L337" s="47"/>
      <c r="M337" s="47"/>
      <c r="O337" s="84"/>
      <c r="P337" s="285" t="s">
        <v>1217</v>
      </c>
      <c r="Q337" s="285" t="s">
        <v>1218</v>
      </c>
      <c r="R337" s="285">
        <v>613564338</v>
      </c>
      <c r="S337" s="285">
        <v>1</v>
      </c>
      <c r="T337" s="285" t="s">
        <v>27</v>
      </c>
      <c r="U337" s="285" t="s">
        <v>1215</v>
      </c>
      <c r="V337" s="285" t="s">
        <v>118</v>
      </c>
      <c r="W337" s="285"/>
      <c r="X337" s="285" t="s">
        <v>1216</v>
      </c>
      <c r="Y337" s="331"/>
      <c r="Z337" s="330"/>
      <c r="AA337" s="77"/>
      <c r="AC337" s="129"/>
      <c r="AH337" s="279"/>
      <c r="AJ337" s="40"/>
      <c r="AK337" s="40"/>
      <c r="AQ337" s="287"/>
    </row>
    <row r="338" spans="7:45" ht="13.5" customHeight="1">
      <c r="J338" s="3"/>
      <c r="K338" s="3"/>
      <c r="L338" s="47"/>
      <c r="M338" s="47"/>
      <c r="O338" s="84"/>
      <c r="P338" s="285" t="s">
        <v>1219</v>
      </c>
      <c r="Q338" s="285" t="s">
        <v>1220</v>
      </c>
      <c r="R338" s="285">
        <v>613564343</v>
      </c>
      <c r="S338" s="285">
        <v>1</v>
      </c>
      <c r="T338" s="285" t="s">
        <v>27</v>
      </c>
      <c r="U338" s="285" t="s">
        <v>1215</v>
      </c>
      <c r="V338" s="285" t="s">
        <v>118</v>
      </c>
      <c r="W338" s="285"/>
      <c r="X338" s="285" t="s">
        <v>1216</v>
      </c>
      <c r="Y338" s="331"/>
      <c r="Z338" s="330"/>
      <c r="AA338" s="77"/>
      <c r="AC338" s="129"/>
      <c r="AH338" s="279"/>
      <c r="AJ338" s="40"/>
      <c r="AK338" s="40"/>
      <c r="AQ338" s="287"/>
    </row>
    <row r="339" spans="7:45" ht="13.5" customHeight="1">
      <c r="J339" s="3"/>
      <c r="K339" s="3"/>
      <c r="L339" s="47"/>
      <c r="M339" s="47"/>
      <c r="O339" s="84"/>
      <c r="P339" s="285" t="s">
        <v>1221</v>
      </c>
      <c r="Q339" s="285" t="s">
        <v>1222</v>
      </c>
      <c r="R339" s="285">
        <v>613564800</v>
      </c>
      <c r="S339" s="285">
        <v>0</v>
      </c>
      <c r="T339" s="285" t="s">
        <v>111</v>
      </c>
      <c r="U339" s="285" t="s">
        <v>436</v>
      </c>
      <c r="V339" s="285" t="s">
        <v>1180</v>
      </c>
      <c r="W339" s="285"/>
      <c r="X339" s="285" t="s">
        <v>1216</v>
      </c>
      <c r="Y339" s="331"/>
      <c r="Z339" s="330"/>
      <c r="AA339" s="77"/>
      <c r="AC339" s="129"/>
      <c r="AH339" s="279"/>
      <c r="AJ339" s="40"/>
      <c r="AK339" s="40"/>
      <c r="AQ339" s="287"/>
    </row>
    <row r="340" spans="7:45" ht="13.5" customHeight="1">
      <c r="J340" s="3"/>
      <c r="K340" s="3"/>
      <c r="L340" s="47"/>
      <c r="M340" s="47"/>
      <c r="O340" s="84"/>
      <c r="P340" s="285" t="s">
        <v>1221</v>
      </c>
      <c r="Q340" s="285" t="s">
        <v>1222</v>
      </c>
      <c r="R340" s="285">
        <v>613564800</v>
      </c>
      <c r="S340" s="285">
        <v>0</v>
      </c>
      <c r="T340" s="285" t="s">
        <v>111</v>
      </c>
      <c r="U340" s="285" t="s">
        <v>436</v>
      </c>
      <c r="V340" s="285" t="s">
        <v>1181</v>
      </c>
      <c r="W340" s="285"/>
      <c r="X340" s="285" t="s">
        <v>1216</v>
      </c>
      <c r="Y340" s="331"/>
      <c r="Z340" s="330"/>
      <c r="AA340" s="77"/>
      <c r="AC340" s="129"/>
      <c r="AH340" s="279"/>
      <c r="AJ340" s="40"/>
      <c r="AK340" s="40"/>
      <c r="AQ340" s="287"/>
    </row>
    <row r="341" spans="7:45" ht="13.5" customHeight="1">
      <c r="J341" s="3"/>
      <c r="K341" s="3"/>
      <c r="L341" s="47"/>
      <c r="M341" s="47"/>
      <c r="O341" s="84"/>
      <c r="P341" s="285" t="s">
        <v>1221</v>
      </c>
      <c r="Q341" s="285" t="s">
        <v>1222</v>
      </c>
      <c r="R341" s="285">
        <v>613564800</v>
      </c>
      <c r="S341" s="285">
        <v>0</v>
      </c>
      <c r="T341" s="285" t="s">
        <v>111</v>
      </c>
      <c r="U341" s="285" t="s">
        <v>436</v>
      </c>
      <c r="V341" s="285" t="s">
        <v>1182</v>
      </c>
      <c r="W341" s="285"/>
      <c r="X341" s="285" t="s">
        <v>1216</v>
      </c>
      <c r="Y341" s="331"/>
      <c r="Z341" s="330"/>
      <c r="AA341" s="77"/>
      <c r="AC341" s="129"/>
      <c r="AH341" s="279"/>
      <c r="AJ341" s="40"/>
      <c r="AK341" s="40"/>
      <c r="AQ341" s="287"/>
    </row>
    <row r="342" spans="7:45" ht="13.5" customHeight="1">
      <c r="J342" s="3"/>
      <c r="K342" s="3"/>
      <c r="L342" s="47"/>
      <c r="M342" s="47"/>
      <c r="O342" s="84"/>
      <c r="P342" s="285" t="s">
        <v>1221</v>
      </c>
      <c r="Q342" s="285" t="s">
        <v>1222</v>
      </c>
      <c r="R342" s="285">
        <v>613564800</v>
      </c>
      <c r="S342" s="285">
        <v>0</v>
      </c>
      <c r="T342" s="285" t="s">
        <v>111</v>
      </c>
      <c r="U342" s="285" t="s">
        <v>436</v>
      </c>
      <c r="V342" s="285" t="s">
        <v>113</v>
      </c>
      <c r="W342" s="285"/>
      <c r="X342" s="285" t="s">
        <v>1216</v>
      </c>
      <c r="Y342" s="331"/>
      <c r="Z342" s="330"/>
      <c r="AA342" s="77"/>
      <c r="AC342" s="129"/>
      <c r="AH342" s="279"/>
      <c r="AJ342" s="40"/>
      <c r="AK342" s="40"/>
      <c r="AQ342" s="287"/>
    </row>
    <row r="343" spans="7:45" ht="13.5" customHeight="1">
      <c r="J343" s="3"/>
      <c r="K343" s="3"/>
      <c r="L343" s="47"/>
      <c r="M343" s="47"/>
      <c r="O343" s="84" t="s">
        <v>1223</v>
      </c>
      <c r="P343" s="285" t="s">
        <v>1221</v>
      </c>
      <c r="Q343" s="285" t="s">
        <v>1222</v>
      </c>
      <c r="R343" s="291">
        <v>613564800</v>
      </c>
      <c r="S343" s="285">
        <v>0</v>
      </c>
      <c r="T343" s="285" t="s">
        <v>111</v>
      </c>
      <c r="U343" s="285" t="s">
        <v>436</v>
      </c>
      <c r="V343" s="284" t="s">
        <v>1200</v>
      </c>
      <c r="W343" s="285"/>
      <c r="X343" s="285" t="s">
        <v>1216</v>
      </c>
      <c r="Y343" s="331"/>
      <c r="Z343" s="330"/>
      <c r="AA343" s="77"/>
      <c r="AC343" s="129"/>
      <c r="AH343" s="279"/>
      <c r="AJ343" s="40"/>
      <c r="AK343" s="40"/>
      <c r="AQ343" s="287"/>
    </row>
    <row r="344" spans="7:45" ht="13.5" customHeight="1">
      <c r="J344" s="3"/>
      <c r="K344" s="3"/>
      <c r="L344" s="47"/>
      <c r="M344" s="47"/>
      <c r="O344" s="84"/>
      <c r="P344" s="285" t="s">
        <v>1221</v>
      </c>
      <c r="Q344" s="285" t="s">
        <v>1222</v>
      </c>
      <c r="R344" s="285">
        <v>613564800</v>
      </c>
      <c r="S344" s="285">
        <v>0</v>
      </c>
      <c r="T344" s="285" t="s">
        <v>111</v>
      </c>
      <c r="U344" s="285" t="s">
        <v>436</v>
      </c>
      <c r="V344" s="285" t="s">
        <v>1184</v>
      </c>
      <c r="W344" s="285"/>
      <c r="X344" s="285" t="s">
        <v>1216</v>
      </c>
      <c r="Y344" s="331"/>
      <c r="Z344" s="330"/>
      <c r="AA344" s="77"/>
      <c r="AC344" s="129"/>
      <c r="AH344" s="279"/>
      <c r="AJ344" s="40"/>
      <c r="AK344" s="40"/>
      <c r="AQ344" s="287"/>
    </row>
    <row r="345" spans="7:45" ht="13.5" customHeight="1">
      <c r="J345" s="3"/>
      <c r="K345" s="3"/>
      <c r="L345" s="47"/>
      <c r="M345" s="47"/>
      <c r="O345" s="84"/>
      <c r="P345" s="285" t="s">
        <v>1221</v>
      </c>
      <c r="Q345" s="285" t="s">
        <v>1222</v>
      </c>
      <c r="R345" s="285">
        <v>613564800</v>
      </c>
      <c r="S345" s="285">
        <v>0</v>
      </c>
      <c r="T345" s="285" t="s">
        <v>111</v>
      </c>
      <c r="U345" s="285" t="s">
        <v>436</v>
      </c>
      <c r="V345" s="285" t="s">
        <v>756</v>
      </c>
      <c r="W345" s="285"/>
      <c r="X345" s="285" t="s">
        <v>1216</v>
      </c>
      <c r="Y345" s="331"/>
      <c r="Z345" s="330"/>
      <c r="AA345" s="77"/>
      <c r="AC345" s="129"/>
      <c r="AH345" s="279"/>
      <c r="AJ345" s="40"/>
      <c r="AK345" s="40"/>
      <c r="AQ345" s="287"/>
    </row>
    <row r="346" spans="7:45" ht="13.5" customHeight="1">
      <c r="J346" s="3" t="s">
        <v>228</v>
      </c>
      <c r="K346" s="3" t="s">
        <v>825</v>
      </c>
      <c r="L346" s="47" t="str">
        <f>M335</f>
        <v>25-181/04:48</v>
      </c>
      <c r="M346" s="47" t="s">
        <v>1248</v>
      </c>
      <c r="N346" t="s">
        <v>1224</v>
      </c>
      <c r="O346" s="84" t="s">
        <v>1266</v>
      </c>
      <c r="P346" s="32" t="str">
        <f>MID(AL346,5,5)</f>
        <v/>
      </c>
      <c r="Q346" s="369">
        <f>R343-3</f>
        <v>613564797</v>
      </c>
      <c r="R346" s="21">
        <f>((W346)/$S$2)+Q346</f>
        <v>614149095.70580232</v>
      </c>
      <c r="S346" s="21">
        <f>R346-Q346</f>
        <v>584298.70580232143</v>
      </c>
      <c r="T346" s="21">
        <f>S346*$S$2</f>
        <v>295460.29952462157</v>
      </c>
      <c r="U346" s="3">
        <v>0</v>
      </c>
      <c r="V346" s="20">
        <f>T346+U346*$V$38</f>
        <v>295460.29952462157</v>
      </c>
      <c r="W346" s="183">
        <f>X335</f>
        <v>295460.29952459713</v>
      </c>
      <c r="X346" s="332">
        <f>W346-V346</f>
        <v>-2.4447217583656311E-8</v>
      </c>
      <c r="Y346" s="331"/>
      <c r="Z346" s="330"/>
      <c r="AA346" s="77"/>
      <c r="AB346">
        <f>W346*8/1000000</f>
        <v>2.363682396196777</v>
      </c>
      <c r="AC346" s="129">
        <f>AK346+AC335</f>
        <v>80.815494551168328</v>
      </c>
      <c r="AH346" s="279"/>
      <c r="AJ346" s="40">
        <f>X346*8/1000000</f>
        <v>-1.955777406692505E-13</v>
      </c>
      <c r="AK346" s="40">
        <f>V346*8/1000000</f>
        <v>2.3636823961969724</v>
      </c>
      <c r="AQ346" s="287"/>
    </row>
    <row r="347" spans="7:45" ht="13.5" customHeight="1">
      <c r="G347" s="175"/>
      <c r="H347" s="175"/>
      <c r="I347" s="175"/>
      <c r="J347" s="3" t="s">
        <v>228</v>
      </c>
      <c r="K347" s="3" t="s">
        <v>825</v>
      </c>
      <c r="L347" s="47" t="str">
        <f>M346</f>
        <v>25-187/23:06</v>
      </c>
      <c r="M347" s="47" t="s">
        <v>1249</v>
      </c>
      <c r="N347" t="s">
        <v>1224</v>
      </c>
      <c r="O347" s="84" t="str">
        <f>AI347</f>
        <v>215/14:20</v>
      </c>
      <c r="P347" s="32" t="str">
        <f>MID(AL347,5,5)</f>
        <v>215_1</v>
      </c>
      <c r="Q347" s="58">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2">
        <f>W347-V347</f>
        <v>-2.6251655071973801E-8</v>
      </c>
      <c r="Y347" s="331"/>
      <c r="Z347" s="330"/>
      <c r="AA347" s="77">
        <f>AR347</f>
        <v>2.8357281000000003</v>
      </c>
      <c r="AC347" s="129">
        <f>AK347+AC346</f>
        <v>83.651222651168538</v>
      </c>
      <c r="AE347" s="99"/>
      <c r="AH347" s="279" t="str">
        <f>AL347</f>
        <v>TRK_215_1</v>
      </c>
      <c r="AI347" t="s">
        <v>1120</v>
      </c>
      <c r="AJ347" s="40">
        <f>X347*8/1000000</f>
        <v>-2.1001324057579041E-13</v>
      </c>
      <c r="AK347" s="40">
        <f>V347*8/1000000</f>
        <v>2.8357281000002099</v>
      </c>
      <c r="AL347" t="s">
        <v>795</v>
      </c>
      <c r="AM347" t="s">
        <v>1090</v>
      </c>
      <c r="AN347">
        <v>0.22704199999999999</v>
      </c>
      <c r="AO347">
        <v>0.58508800000000005</v>
      </c>
      <c r="AP347">
        <v>0.35804599999999998</v>
      </c>
      <c r="AQ347" s="287">
        <v>3.1508090000000002</v>
      </c>
      <c r="AR347">
        <f>AQ347*0.9</f>
        <v>2.8357281000000003</v>
      </c>
      <c r="AS347">
        <f>AS335+AR347</f>
        <v>144.15919920000002</v>
      </c>
    </row>
    <row r="348" spans="7:45" ht="13.5" customHeight="1">
      <c r="G348" s="175"/>
      <c r="H348" s="175"/>
      <c r="I348" s="175"/>
      <c r="J348" s="3"/>
      <c r="K348" s="3"/>
      <c r="L348" s="47" t="str">
        <f>M347</f>
        <v>25-196/01:49</v>
      </c>
      <c r="M348" s="47" t="s">
        <v>1186</v>
      </c>
      <c r="N348" t="s">
        <v>1225</v>
      </c>
      <c r="O348" s="84" t="str">
        <f>AI348</f>
        <v>216/03:34</v>
      </c>
      <c r="P348" s="32" t="str">
        <f>MID(AL348,5,5)</f>
        <v>216_1</v>
      </c>
      <c r="Q348" s="58">
        <f>R347-3</f>
        <v>614850077.39412427</v>
      </c>
      <c r="R348" s="196">
        <f>Q219-3</f>
        <v>615306093</v>
      </c>
      <c r="S348" s="21">
        <f>R348-Q348</f>
        <v>456015.60587573051</v>
      </c>
      <c r="T348" s="21">
        <f>S348*$S$2</f>
        <v>230591.82942213837</v>
      </c>
      <c r="U348" s="3">
        <v>0</v>
      </c>
      <c r="V348" s="20">
        <f>T348+U348*$V$38</f>
        <v>230591.82942213837</v>
      </c>
      <c r="W348" s="20">
        <f>AA348*1000000/8</f>
        <v>1016345.8125000002</v>
      </c>
      <c r="X348" s="187">
        <f>W348-V348</f>
        <v>785753.98307786183</v>
      </c>
      <c r="Y348" s="331"/>
      <c r="Z348" s="330"/>
      <c r="AA348" s="77">
        <f>AR348</f>
        <v>8.1307665000000018</v>
      </c>
      <c r="AB348">
        <f>V348*8/1000000</f>
        <v>1.844734635377107</v>
      </c>
      <c r="AC348" s="129">
        <f>AK348+AC347</f>
        <v>85.495957286545647</v>
      </c>
      <c r="AE348" s="99"/>
      <c r="AH348" s="279" t="str">
        <f>AL348</f>
        <v>TRK_216_1</v>
      </c>
      <c r="AI348" t="s">
        <v>1130</v>
      </c>
      <c r="AJ348" s="40">
        <f>X348*8/1000000</f>
        <v>6.2860318646228945</v>
      </c>
      <c r="AK348" s="40">
        <f>V348*8/1000000</f>
        <v>1.844734635377107</v>
      </c>
      <c r="AL348" t="s">
        <v>797</v>
      </c>
      <c r="AM348" t="s">
        <v>1091</v>
      </c>
      <c r="AN348">
        <v>0.23466000000000001</v>
      </c>
      <c r="AO348">
        <v>1.2612719999999999</v>
      </c>
      <c r="AP348">
        <v>1.0266120000000001</v>
      </c>
      <c r="AQ348" s="287">
        <v>9.0341850000000008</v>
      </c>
      <c r="AR348">
        <f>AQ348*0.9</f>
        <v>8.1307665000000018</v>
      </c>
      <c r="AS348">
        <f>AS347+AR348</f>
        <v>152.28996570000001</v>
      </c>
    </row>
    <row r="349" spans="7:45" ht="13.5" customHeight="1">
      <c r="G349" s="175"/>
      <c r="H349" s="175"/>
      <c r="I349" s="175"/>
      <c r="J349" s="3"/>
      <c r="K349" s="3"/>
      <c r="L349" s="47"/>
      <c r="M349" s="47"/>
      <c r="O349" s="84"/>
      <c r="P349" s="193" t="s">
        <v>1197</v>
      </c>
      <c r="Q349" s="193" t="s">
        <v>24</v>
      </c>
      <c r="R349" s="193" t="s">
        <v>1197</v>
      </c>
      <c r="S349" s="193" t="s">
        <v>24</v>
      </c>
      <c r="T349" s="21" t="s">
        <v>1231</v>
      </c>
      <c r="U349" s="3"/>
      <c r="V349" s="191">
        <v>615306096</v>
      </c>
      <c r="W349" s="191">
        <v>615339021</v>
      </c>
      <c r="X349" s="368"/>
      <c r="Y349" s="331"/>
      <c r="Z349" s="330"/>
      <c r="AA349" s="77"/>
      <c r="AC349" s="129"/>
      <c r="AE349" s="99"/>
      <c r="AH349" s="279"/>
      <c r="AJ349" s="40"/>
      <c r="AK349" s="40"/>
      <c r="AQ349" s="287"/>
    </row>
    <row r="350" spans="7:45" ht="13.5" customHeight="1">
      <c r="G350" s="175"/>
      <c r="H350" s="175"/>
      <c r="I350" s="175"/>
      <c r="J350" s="3"/>
      <c r="K350" s="3"/>
      <c r="L350" s="47"/>
      <c r="M350" s="47"/>
      <c r="O350" s="84"/>
      <c r="P350" s="193" t="s">
        <v>1187</v>
      </c>
      <c r="Q350" s="194" t="s">
        <v>770</v>
      </c>
      <c r="R350" s="292">
        <v>615306096</v>
      </c>
      <c r="S350" s="293">
        <v>615339021</v>
      </c>
      <c r="T350" s="21"/>
      <c r="U350" s="3"/>
      <c r="V350" s="192" t="s">
        <v>1252</v>
      </c>
      <c r="W350" s="191"/>
      <c r="X350" s="368"/>
      <c r="Y350" s="331"/>
      <c r="Z350" s="330"/>
      <c r="AA350" s="77"/>
      <c r="AC350" s="129"/>
      <c r="AE350" s="99"/>
      <c r="AH350" s="279"/>
      <c r="AJ350" s="40"/>
      <c r="AK350" s="40"/>
      <c r="AQ350" s="287"/>
    </row>
    <row r="351" spans="7:45" ht="13.5" customHeight="1">
      <c r="G351" s="175"/>
      <c r="H351" s="175"/>
      <c r="I351" s="175"/>
      <c r="J351" s="3"/>
      <c r="K351" s="3"/>
      <c r="L351" s="47"/>
      <c r="M351" s="47"/>
      <c r="N351" s="6" t="s">
        <v>1236</v>
      </c>
      <c r="O351" s="84" t="s">
        <v>19</v>
      </c>
      <c r="P351" s="285" t="s">
        <v>1188</v>
      </c>
      <c r="Q351" s="285" t="s">
        <v>1189</v>
      </c>
      <c r="R351" s="294">
        <v>615779216</v>
      </c>
      <c r="S351" s="285">
        <v>7</v>
      </c>
      <c r="T351" s="285" t="s">
        <v>27</v>
      </c>
      <c r="U351" s="285" t="s">
        <v>1190</v>
      </c>
      <c r="V351" s="285" t="s">
        <v>101</v>
      </c>
      <c r="W351" s="285" t="s">
        <v>102</v>
      </c>
      <c r="X351" s="285" t="s">
        <v>1191</v>
      </c>
      <c r="Y351" s="331"/>
      <c r="Z351" s="330"/>
      <c r="AA351" s="77"/>
      <c r="AC351" s="129"/>
      <c r="AE351" s="99"/>
      <c r="AH351" s="279"/>
      <c r="AJ351" s="40"/>
      <c r="AK351" s="40"/>
      <c r="AQ351" s="287"/>
    </row>
    <row r="352" spans="7:45" ht="13.5" customHeight="1">
      <c r="G352" s="175"/>
      <c r="H352" s="175"/>
      <c r="I352" s="175"/>
      <c r="J352" s="3"/>
      <c r="K352" s="3"/>
      <c r="L352" s="47"/>
      <c r="M352" s="47"/>
      <c r="O352" s="84"/>
      <c r="P352" s="285" t="s">
        <v>1192</v>
      </c>
      <c r="Q352" s="285" t="s">
        <v>1193</v>
      </c>
      <c r="R352" s="285">
        <v>615779236</v>
      </c>
      <c r="S352" s="285">
        <v>1</v>
      </c>
      <c r="T352" s="285" t="s">
        <v>27</v>
      </c>
      <c r="U352" s="285" t="s">
        <v>1190</v>
      </c>
      <c r="V352" s="285" t="s">
        <v>118</v>
      </c>
      <c r="W352" s="285"/>
      <c r="X352" s="285" t="s">
        <v>1191</v>
      </c>
      <c r="Y352" s="331"/>
      <c r="Z352" s="330"/>
      <c r="AA352" s="77"/>
      <c r="AC352" s="129"/>
      <c r="AE352" s="99"/>
      <c r="AH352" s="279"/>
      <c r="AJ352" s="40"/>
      <c r="AK352" s="40"/>
      <c r="AQ352" s="287"/>
    </row>
    <row r="353" spans="7:45" ht="13.5" customHeight="1">
      <c r="G353" s="175"/>
      <c r="H353" s="175"/>
      <c r="I353" s="175"/>
      <c r="J353" s="3"/>
      <c r="K353" s="3"/>
      <c r="L353" s="47"/>
      <c r="M353" s="47"/>
      <c r="O353" s="84"/>
      <c r="P353" s="285" t="s">
        <v>1194</v>
      </c>
      <c r="Q353" s="285" t="s">
        <v>1195</v>
      </c>
      <c r="R353" s="285">
        <v>615779241</v>
      </c>
      <c r="S353" s="285">
        <v>1</v>
      </c>
      <c r="T353" s="285" t="s">
        <v>27</v>
      </c>
      <c r="U353" s="285" t="s">
        <v>1190</v>
      </c>
      <c r="V353" s="285" t="s">
        <v>118</v>
      </c>
      <c r="W353" s="285"/>
      <c r="X353" s="285" t="s">
        <v>1191</v>
      </c>
      <c r="Y353" s="331"/>
      <c r="Z353" s="330"/>
      <c r="AA353" s="77"/>
      <c r="AC353" s="129"/>
      <c r="AE353" s="99"/>
      <c r="AH353" s="279"/>
      <c r="AJ353" s="40"/>
      <c r="AK353" s="40"/>
      <c r="AQ353" s="287"/>
    </row>
    <row r="354" spans="7:45" ht="13.5" customHeight="1">
      <c r="G354" s="175"/>
      <c r="H354" s="175"/>
      <c r="I354" s="175"/>
      <c r="J354" s="3"/>
      <c r="K354" s="3"/>
      <c r="L354" s="47"/>
      <c r="M354" s="47"/>
      <c r="O354" s="84"/>
      <c r="P354" s="285" t="s">
        <v>1198</v>
      </c>
      <c r="Q354" s="285" t="s">
        <v>1199</v>
      </c>
      <c r="R354" s="285">
        <v>615779712</v>
      </c>
      <c r="S354" s="285">
        <v>0</v>
      </c>
      <c r="T354" s="285" t="s">
        <v>111</v>
      </c>
      <c r="U354" s="285" t="s">
        <v>1190</v>
      </c>
      <c r="V354" s="285" t="s">
        <v>1180</v>
      </c>
      <c r="W354" s="285"/>
      <c r="X354" s="285" t="s">
        <v>1191</v>
      </c>
      <c r="Y354" s="331"/>
      <c r="Z354" s="330"/>
      <c r="AA354" s="77"/>
      <c r="AC354" s="129"/>
      <c r="AE354" s="99"/>
      <c r="AH354" s="279"/>
      <c r="AJ354" s="40"/>
      <c r="AK354" s="40"/>
      <c r="AQ354" s="287"/>
    </row>
    <row r="355" spans="7:45" ht="13.5" customHeight="1">
      <c r="G355" s="175"/>
      <c r="H355" s="175"/>
      <c r="I355" s="175"/>
      <c r="J355" s="3"/>
      <c r="K355" s="3"/>
      <c r="L355" s="47"/>
      <c r="M355" s="47"/>
      <c r="O355" s="84"/>
      <c r="P355" s="285" t="s">
        <v>1198</v>
      </c>
      <c r="Q355" s="285" t="s">
        <v>1199</v>
      </c>
      <c r="R355" s="285">
        <v>615779712</v>
      </c>
      <c r="S355" s="285">
        <v>0</v>
      </c>
      <c r="T355" s="285" t="s">
        <v>111</v>
      </c>
      <c r="U355" s="285" t="s">
        <v>1190</v>
      </c>
      <c r="V355" s="285" t="s">
        <v>1181</v>
      </c>
      <c r="W355" s="285"/>
      <c r="X355" s="285" t="s">
        <v>1191</v>
      </c>
      <c r="Y355" s="331"/>
      <c r="Z355" s="330"/>
      <c r="AA355" s="77"/>
      <c r="AC355" s="129"/>
      <c r="AE355" s="99"/>
      <c r="AH355" s="279"/>
      <c r="AJ355" s="40"/>
      <c r="AK355" s="40"/>
      <c r="AQ355" s="287"/>
    </row>
    <row r="356" spans="7:45" ht="13.5" customHeight="1">
      <c r="G356" s="175"/>
      <c r="H356" s="175"/>
      <c r="I356" s="175"/>
      <c r="J356" s="3"/>
      <c r="K356" s="3"/>
      <c r="L356" s="47"/>
      <c r="M356" s="47"/>
      <c r="O356" s="84"/>
      <c r="P356" s="285" t="s">
        <v>1198</v>
      </c>
      <c r="Q356" s="285" t="s">
        <v>1199</v>
      </c>
      <c r="R356" s="285">
        <v>615779712</v>
      </c>
      <c r="S356" s="285">
        <v>0</v>
      </c>
      <c r="T356" s="285" t="s">
        <v>111</v>
      </c>
      <c r="U356" s="285" t="s">
        <v>1190</v>
      </c>
      <c r="V356" s="285" t="s">
        <v>1182</v>
      </c>
      <c r="W356" s="285"/>
      <c r="X356" s="285" t="s">
        <v>1191</v>
      </c>
      <c r="Y356" s="331"/>
      <c r="Z356" s="330"/>
      <c r="AA356" s="77"/>
      <c r="AC356" s="129"/>
      <c r="AE356" s="99"/>
      <c r="AH356" s="279"/>
      <c r="AJ356" s="40"/>
      <c r="AK356" s="40"/>
      <c r="AQ356" s="287"/>
    </row>
    <row r="357" spans="7:45" ht="13.5" customHeight="1">
      <c r="G357" s="175"/>
      <c r="H357" s="175"/>
      <c r="I357" s="175"/>
      <c r="J357" s="3"/>
      <c r="K357" s="3"/>
      <c r="L357" s="47"/>
      <c r="M357" s="47"/>
      <c r="O357" s="84"/>
      <c r="P357" s="285" t="s">
        <v>1198</v>
      </c>
      <c r="Q357" s="285" t="s">
        <v>1199</v>
      </c>
      <c r="R357" s="285">
        <v>615779712</v>
      </c>
      <c r="S357" s="285">
        <v>0</v>
      </c>
      <c r="T357" s="285" t="s">
        <v>111</v>
      </c>
      <c r="U357" s="285" t="s">
        <v>1190</v>
      </c>
      <c r="V357" s="285" t="s">
        <v>113</v>
      </c>
      <c r="W357" s="285"/>
      <c r="X357" s="285" t="s">
        <v>1191</v>
      </c>
      <c r="Y357" s="331"/>
      <c r="Z357" s="330"/>
      <c r="AA357" s="77"/>
      <c r="AC357" s="129"/>
      <c r="AE357" s="99"/>
      <c r="AH357" s="279"/>
      <c r="AJ357" s="40"/>
      <c r="AK357" s="40"/>
      <c r="AQ357" s="287"/>
    </row>
    <row r="358" spans="7:45" ht="13.5" customHeight="1">
      <c r="G358" s="175"/>
      <c r="H358" s="175"/>
      <c r="I358" s="175"/>
      <c r="J358" s="3"/>
      <c r="K358" s="3"/>
      <c r="L358" s="47"/>
      <c r="M358" s="47"/>
      <c r="O358" s="84"/>
      <c r="P358" s="285" t="s">
        <v>1198</v>
      </c>
      <c r="Q358" s="285" t="s">
        <v>1199</v>
      </c>
      <c r="R358" s="285">
        <v>615779712</v>
      </c>
      <c r="S358" s="285">
        <v>0</v>
      </c>
      <c r="T358" s="285" t="s">
        <v>111</v>
      </c>
      <c r="U358" s="285" t="s">
        <v>1190</v>
      </c>
      <c r="V358" s="284" t="s">
        <v>1200</v>
      </c>
      <c r="W358" s="285"/>
      <c r="X358" s="285" t="s">
        <v>1191</v>
      </c>
      <c r="Y358" s="331"/>
      <c r="Z358" s="330"/>
      <c r="AA358" s="77"/>
      <c r="AC358" s="129"/>
      <c r="AE358" s="99"/>
      <c r="AH358" s="279"/>
      <c r="AJ358" s="40"/>
      <c r="AK358" s="40"/>
      <c r="AQ358" s="287"/>
    </row>
    <row r="359" spans="7:45" ht="13.5" customHeight="1">
      <c r="G359" s="175"/>
      <c r="H359" s="175"/>
      <c r="I359" s="175"/>
      <c r="J359" s="3"/>
      <c r="K359" s="3"/>
      <c r="L359" s="47"/>
      <c r="M359" s="47"/>
      <c r="O359" s="84"/>
      <c r="P359" s="285" t="s">
        <v>1198</v>
      </c>
      <c r="Q359" s="285" t="s">
        <v>1199</v>
      </c>
      <c r="R359" s="285">
        <v>615779712</v>
      </c>
      <c r="S359" s="285">
        <v>0</v>
      </c>
      <c r="T359" s="285" t="s">
        <v>1232</v>
      </c>
      <c r="U359" s="285" t="s">
        <v>1190</v>
      </c>
      <c r="V359" s="285" t="s">
        <v>1184</v>
      </c>
      <c r="W359" s="285"/>
      <c r="X359" s="285" t="s">
        <v>1191</v>
      </c>
      <c r="Y359" s="331"/>
      <c r="Z359" s="330"/>
      <c r="AA359" s="77"/>
      <c r="AC359" s="129"/>
      <c r="AE359" s="99"/>
      <c r="AH359" s="279"/>
      <c r="AJ359" s="40"/>
      <c r="AK359" s="40"/>
      <c r="AQ359" s="287"/>
    </row>
    <row r="360" spans="7:45" ht="13.5" customHeight="1">
      <c r="G360" s="175"/>
      <c r="H360" s="175"/>
      <c r="I360" s="175"/>
      <c r="J360" s="3"/>
      <c r="K360" s="3"/>
      <c r="L360" s="204" t="str" cm="1">
        <f t="array" aca="1" ref="L360" ca="1">MID(met2utc(Q361),3,12)</f>
        <v>25-206/19:54</v>
      </c>
      <c r="M360" s="47">
        <f>(218-206)*3600/1000000</f>
        <v>4.3200000000000002E-2</v>
      </c>
      <c r="O360" s="84"/>
      <c r="P360" s="285" t="s">
        <v>1198</v>
      </c>
      <c r="Q360" s="285" t="s">
        <v>1199</v>
      </c>
      <c r="R360" s="285">
        <v>615779712</v>
      </c>
      <c r="S360" s="285">
        <v>0</v>
      </c>
      <c r="T360" s="285" t="s">
        <v>111</v>
      </c>
      <c r="U360" s="285" t="s">
        <v>1190</v>
      </c>
      <c r="V360" s="285" t="s">
        <v>756</v>
      </c>
      <c r="W360" s="285"/>
      <c r="X360" s="285" t="s">
        <v>1191</v>
      </c>
      <c r="Y360" s="331"/>
      <c r="Z360" s="330"/>
      <c r="AA360" s="77"/>
      <c r="AC360" s="129"/>
      <c r="AE360" s="99"/>
      <c r="AH360" s="279"/>
      <c r="AJ360" s="40"/>
      <c r="AK360" s="40"/>
      <c r="AQ360" s="287"/>
    </row>
    <row r="361" spans="7:45" ht="13.5" customHeight="1">
      <c r="G361" s="175"/>
      <c r="H361" s="175"/>
      <c r="I361" s="175"/>
      <c r="J361" s="3" t="s">
        <v>228</v>
      </c>
      <c r="K361" s="3" t="s">
        <v>825</v>
      </c>
      <c r="L361" s="47" t="s">
        <v>1201</v>
      </c>
      <c r="M361" s="47" t="s">
        <v>1229</v>
      </c>
      <c r="N361" t="s">
        <v>1224</v>
      </c>
      <c r="O361" s="34" t="s">
        <v>1237</v>
      </c>
      <c r="P361" s="32" t="str">
        <f>MID(AL361,5,5)</f>
        <v/>
      </c>
      <c r="Q361" s="294">
        <f>R351-5</f>
        <v>615779211</v>
      </c>
      <c r="R361" s="190">
        <f>R363+20</f>
        <v>616808241</v>
      </c>
      <c r="S361" s="21">
        <f>R361-Q361</f>
        <v>1029030</v>
      </c>
      <c r="T361" s="21">
        <f>S361*$S$2</f>
        <v>520346.03020784812</v>
      </c>
      <c r="U361" s="3">
        <v>0</v>
      </c>
      <c r="V361" s="20">
        <f>T361+U361*$V$38</f>
        <v>520346.03020784812</v>
      </c>
      <c r="W361" s="183">
        <f>X348</f>
        <v>785753.98307786183</v>
      </c>
      <c r="X361" s="187">
        <f>W361-V361</f>
        <v>265407.95287001372</v>
      </c>
      <c r="Y361" s="331"/>
      <c r="Z361" s="330"/>
      <c r="AA361" s="77"/>
      <c r="AB361">
        <f>V361*8/1000000</f>
        <v>4.1627682416627847</v>
      </c>
      <c r="AC361" s="129">
        <f>AK361+AC348</f>
        <v>89.658725528208436</v>
      </c>
      <c r="AH361" s="279"/>
      <c r="AJ361" s="40">
        <f>X361*8/1000000</f>
        <v>2.1232636229601098</v>
      </c>
      <c r="AK361" s="40">
        <f>V361*8/1000000</f>
        <v>4.1627682416627847</v>
      </c>
      <c r="AL361" s="295"/>
      <c r="AM361" s="295"/>
      <c r="AN361" s="295"/>
      <c r="AO361" s="295"/>
      <c r="AP361" s="295"/>
      <c r="AQ361" s="296"/>
    </row>
    <row r="362" spans="7:45" ht="13.5" customHeight="1">
      <c r="G362" s="175"/>
      <c r="H362" s="175"/>
      <c r="I362" s="175"/>
      <c r="J362" s="3"/>
      <c r="K362" s="3"/>
      <c r="L362" s="47"/>
      <c r="M362" s="205" t="str" cm="1">
        <f t="array" aca="1" ref="M362" ca="1">MID(met2utc(R361),3,12)</f>
        <v>25-218/17:45</v>
      </c>
      <c r="O362" s="34"/>
      <c r="P362" s="280" t="s">
        <v>1204</v>
      </c>
      <c r="Q362" s="280" t="s">
        <v>1205</v>
      </c>
      <c r="R362" s="297">
        <v>616807877</v>
      </c>
      <c r="S362" s="280">
        <v>0</v>
      </c>
      <c r="T362" s="280" t="s">
        <v>111</v>
      </c>
      <c r="U362" s="280" t="s">
        <v>938</v>
      </c>
      <c r="V362" s="280" t="s">
        <v>1206</v>
      </c>
      <c r="W362" s="280"/>
      <c r="X362" s="280" t="s">
        <v>1207</v>
      </c>
      <c r="Y362" s="331"/>
      <c r="Z362" s="330"/>
      <c r="AA362" s="77"/>
      <c r="AC362" s="129"/>
      <c r="AE362" s="99"/>
      <c r="AH362" s="279"/>
      <c r="AJ362" s="40"/>
      <c r="AK362" s="40"/>
      <c r="AQ362" s="287"/>
    </row>
    <row r="363" spans="7:45" ht="13.5" customHeight="1">
      <c r="G363" s="175"/>
      <c r="H363" s="175"/>
      <c r="I363" s="175"/>
      <c r="J363" s="3"/>
      <c r="K363" s="3"/>
      <c r="L363" s="47"/>
      <c r="M363" s="47"/>
      <c r="O363" s="34" t="s">
        <v>1227</v>
      </c>
      <c r="P363" s="280" t="s">
        <v>1208</v>
      </c>
      <c r="Q363" s="280" t="s">
        <v>1209</v>
      </c>
      <c r="R363" s="298">
        <v>616808221</v>
      </c>
      <c r="S363" s="280">
        <v>1</v>
      </c>
      <c r="T363" s="280" t="s">
        <v>27</v>
      </c>
      <c r="U363" s="280" t="s">
        <v>357</v>
      </c>
      <c r="V363" s="280" t="s">
        <v>118</v>
      </c>
      <c r="W363" s="280"/>
      <c r="X363" s="280" t="s">
        <v>1207</v>
      </c>
      <c r="Y363" s="331"/>
      <c r="Z363" s="330"/>
      <c r="AA363" s="77"/>
      <c r="AC363" s="129"/>
      <c r="AE363" s="99"/>
      <c r="AH363" s="279"/>
      <c r="AJ363" s="40"/>
      <c r="AK363" s="40"/>
      <c r="AQ363" s="287"/>
    </row>
    <row r="364" spans="7:45" ht="13.5" customHeight="1">
      <c r="G364" s="175"/>
      <c r="H364" s="175"/>
      <c r="I364" s="175"/>
      <c r="J364" s="3"/>
      <c r="K364" s="3"/>
      <c r="L364" s="47"/>
      <c r="M364" s="47"/>
      <c r="O364" s="84" t="s">
        <v>1226</v>
      </c>
      <c r="P364" s="280" t="s">
        <v>1030</v>
      </c>
      <c r="Q364" s="280" t="s">
        <v>1031</v>
      </c>
      <c r="R364" s="299">
        <v>616842836</v>
      </c>
      <c r="S364" s="280">
        <v>7</v>
      </c>
      <c r="T364" s="280" t="s">
        <v>27</v>
      </c>
      <c r="U364" s="280" t="s">
        <v>1032</v>
      </c>
      <c r="V364" s="280" t="s">
        <v>101</v>
      </c>
      <c r="W364" s="280" t="s">
        <v>102</v>
      </c>
      <c r="X364" s="280" t="s">
        <v>1033</v>
      </c>
      <c r="Y364" s="331"/>
      <c r="Z364" s="330"/>
      <c r="AA364" s="77"/>
      <c r="AC364" s="129"/>
      <c r="AE364" s="99"/>
      <c r="AH364" s="279"/>
      <c r="AJ364" s="40"/>
      <c r="AK364" s="40"/>
      <c r="AQ364" s="287"/>
    </row>
    <row r="365" spans="7:45" ht="13.5" customHeight="1">
      <c r="G365" s="175"/>
      <c r="H365" s="175"/>
      <c r="I365" s="175"/>
      <c r="J365" s="3"/>
      <c r="K365" s="3"/>
      <c r="L365" s="204" t="str" cm="1">
        <f t="array" aca="1" ref="L365" ca="1">MID(met2utc(Q366),3,12)</f>
        <v>25-219/03:21</v>
      </c>
      <c r="M365" s="47"/>
      <c r="O365" s="84"/>
      <c r="P365" s="281" t="s">
        <v>1210</v>
      </c>
      <c r="Q365" s="281" t="s">
        <v>1211</v>
      </c>
      <c r="R365" s="300">
        <v>616843328</v>
      </c>
      <c r="S365" s="281">
        <v>0</v>
      </c>
      <c r="T365" s="281" t="s">
        <v>111</v>
      </c>
      <c r="U365" s="281" t="s">
        <v>1032</v>
      </c>
      <c r="V365" s="281" t="s">
        <v>1200</v>
      </c>
      <c r="W365" s="281"/>
      <c r="X365" s="281" t="s">
        <v>1033</v>
      </c>
      <c r="Y365" s="331"/>
      <c r="Z365" s="330"/>
      <c r="AA365" s="77"/>
      <c r="AC365" s="129"/>
      <c r="AE365" s="99"/>
      <c r="AH365" s="279"/>
      <c r="AJ365" s="40"/>
      <c r="AK365" s="40"/>
      <c r="AQ365" s="287"/>
    </row>
    <row r="366" spans="7:45" ht="13.5" customHeight="1">
      <c r="J366" s="3" t="s">
        <v>228</v>
      </c>
      <c r="K366" s="3" t="s">
        <v>825</v>
      </c>
      <c r="L366" s="47" t="s">
        <v>1228</v>
      </c>
      <c r="M366" s="47" t="s">
        <v>1238</v>
      </c>
      <c r="N366" t="s">
        <v>1230</v>
      </c>
      <c r="O366" s="34" t="s">
        <v>1226</v>
      </c>
      <c r="P366" s="32" t="str">
        <f>MID(AL366,5,5)</f>
        <v/>
      </c>
      <c r="Q366" s="367">
        <f>R364-5</f>
        <v>616842831</v>
      </c>
      <c r="R366" s="21">
        <f>((W366)/$S$2)+Q366</f>
        <v>617367698.54945111</v>
      </c>
      <c r="S366" s="21">
        <f>R366-Q366</f>
        <v>524867.54945111275</v>
      </c>
      <c r="T366" s="21">
        <f>S366*$S$2</f>
        <v>265407.95286999206</v>
      </c>
      <c r="U366" s="3">
        <v>0</v>
      </c>
      <c r="V366" s="20">
        <f>T366+U366*$V$38</f>
        <v>265407.95286999206</v>
      </c>
      <c r="W366" s="183">
        <f>X361</f>
        <v>265407.95287001372</v>
      </c>
      <c r="X366" s="332">
        <f>W366-V366</f>
        <v>2.1653249859809875E-8</v>
      </c>
      <c r="Y366" s="331"/>
      <c r="Z366" s="330"/>
      <c r="AA366" s="77"/>
      <c r="AB366">
        <f>V366*8/1000000</f>
        <v>2.1232636229599366</v>
      </c>
      <c r="AC366" s="129">
        <f>AK366+AC361</f>
        <v>91.781989151168375</v>
      </c>
      <c r="AH366" s="279"/>
      <c r="AJ366" s="40">
        <f>X366*8/1000000</f>
        <v>1.73225998878479E-13</v>
      </c>
      <c r="AK366" s="40">
        <f>V366*8/1000000</f>
        <v>2.1232636229599366</v>
      </c>
      <c r="AL366" s="295"/>
      <c r="AM366" s="295"/>
      <c r="AN366" s="295"/>
      <c r="AO366" s="295"/>
      <c r="AP366" s="295"/>
      <c r="AQ366" s="296"/>
    </row>
    <row r="367" spans="7:45" ht="13.5" customHeight="1">
      <c r="J367" s="3" t="s">
        <v>228</v>
      </c>
      <c r="K367" s="3" t="s">
        <v>825</v>
      </c>
      <c r="L367" s="47" t="str">
        <f>M366</f>
        <v>25-225/05:09</v>
      </c>
      <c r="M367" s="47" t="s">
        <v>1239</v>
      </c>
      <c r="N367" t="s">
        <v>1230</v>
      </c>
      <c r="O367" s="84" t="str">
        <f>AI367</f>
        <v>216/21:24</v>
      </c>
      <c r="P367" s="32" t="str">
        <f>MID(AL367,5,5)</f>
        <v>216_2</v>
      </c>
      <c r="Q367" s="58">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2">
        <f>W367-V367</f>
        <v>2.3748725652694702E-8</v>
      </c>
      <c r="Y367" s="331"/>
      <c r="Z367" s="330"/>
      <c r="AA367" s="77">
        <f>AR367</f>
        <v>16.904185200000001</v>
      </c>
      <c r="AC367" s="129">
        <f>AK367+AC348</f>
        <v>102.40014248654546</v>
      </c>
      <c r="AH367" s="279" t="str">
        <f>AL367</f>
        <v>TRK_216_2</v>
      </c>
      <c r="AI367" t="s">
        <v>1121</v>
      </c>
      <c r="AJ367" s="40">
        <f>X367*8/1000000</f>
        <v>1.8998980522155762E-13</v>
      </c>
      <c r="AK367" s="40">
        <f>V367*8/1000000</f>
        <v>16.904185199999809</v>
      </c>
      <c r="AL367" s="295" t="s">
        <v>1092</v>
      </c>
      <c r="AM367" s="295" t="s">
        <v>1093</v>
      </c>
      <c r="AN367" s="295">
        <v>0.265287</v>
      </c>
      <c r="AO367" s="295">
        <v>2.399654</v>
      </c>
      <c r="AP367" s="295">
        <v>2.1343670000000001</v>
      </c>
      <c r="AQ367" s="296">
        <v>18.782427999999999</v>
      </c>
      <c r="AR367">
        <f>AQ367*0.9</f>
        <v>16.904185200000001</v>
      </c>
      <c r="AS367">
        <f>AR367+AS348</f>
        <v>169.19415090000001</v>
      </c>
    </row>
    <row r="368" spans="7:45" ht="13.5" customHeight="1">
      <c r="J368" s="3" t="s">
        <v>228</v>
      </c>
      <c r="K368" s="3" t="s">
        <v>825</v>
      </c>
      <c r="L368" s="47" t="str">
        <f>M367</f>
        <v>25-273/13:54</v>
      </c>
      <c r="M368" s="47" t="s">
        <v>1240</v>
      </c>
      <c r="N368" t="s">
        <v>1230</v>
      </c>
      <c r="O368" s="84" t="str">
        <f>AI368</f>
        <v>217/14:19</v>
      </c>
      <c r="P368" s="32" t="str">
        <f>MID(AL368,5,5)</f>
        <v>217_1</v>
      </c>
      <c r="Q368" s="58">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2">
        <f>W368-V368</f>
        <v>2.7706846594810486E-8</v>
      </c>
      <c r="Y368" s="331"/>
      <c r="Z368" s="330"/>
      <c r="AA368" s="77">
        <f>AR368</f>
        <v>2.6176166999999997</v>
      </c>
      <c r="AC368" s="129">
        <f>AK368+AC367</f>
        <v>105.01775918654523</v>
      </c>
      <c r="AH368" s="279" t="str">
        <f>AL368</f>
        <v>TRK_217_1</v>
      </c>
      <c r="AI368" t="s">
        <v>1122</v>
      </c>
      <c r="AJ368" s="40">
        <f>X368*8/1000000</f>
        <v>2.216547727584839E-13</v>
      </c>
      <c r="AK368" s="40">
        <f>V368*8/1000000</f>
        <v>2.6176166999997781</v>
      </c>
      <c r="AL368" t="s">
        <v>1094</v>
      </c>
      <c r="AM368" t="s">
        <v>1095</v>
      </c>
      <c r="AN368">
        <v>0.24232699999999999</v>
      </c>
      <c r="AO368">
        <v>0.57283399999999995</v>
      </c>
      <c r="AP368">
        <v>0.330507</v>
      </c>
      <c r="AQ368" s="287">
        <v>2.9084629999999998</v>
      </c>
      <c r="AR368">
        <f>AQ368*0.9</f>
        <v>2.6176166999999997</v>
      </c>
      <c r="AS368">
        <f>AS367+AR368</f>
        <v>171.81176760000002</v>
      </c>
    </row>
    <row r="369" spans="3:45" ht="13.5" customHeight="1">
      <c r="J369" s="3" t="s">
        <v>228</v>
      </c>
      <c r="K369" s="3" t="s">
        <v>825</v>
      </c>
      <c r="L369" s="47" t="str">
        <f>M368</f>
        <v>25-281/01:38</v>
      </c>
      <c r="M369" s="47" t="s">
        <v>1241</v>
      </c>
      <c r="N369" t="s">
        <v>1230</v>
      </c>
      <c r="O369" s="84" t="str">
        <f>AI369</f>
        <v>218/03:29</v>
      </c>
      <c r="P369" s="32" t="str">
        <f>MID(AL369,5,5)</f>
        <v>218_1</v>
      </c>
      <c r="Q369" s="58">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2">
        <f>W369-V369</f>
        <v>1.9557774066925049E-8</v>
      </c>
      <c r="Y369" s="331"/>
      <c r="Z369" s="330"/>
      <c r="AA369" s="77">
        <f>AR369</f>
        <v>8.8730405999999995</v>
      </c>
      <c r="AC369" s="129">
        <f>AK369+AC368</f>
        <v>113.89079978654507</v>
      </c>
      <c r="AH369" s="279" t="str">
        <f>AL369</f>
        <v>TRK_218_1</v>
      </c>
      <c r="AI369" t="s">
        <v>1123</v>
      </c>
      <c r="AJ369" s="40">
        <f>X369*8/1000000</f>
        <v>1.5646219253540038E-13</v>
      </c>
      <c r="AK369" s="40">
        <f>V369*8/1000000</f>
        <v>8.8730405999998432</v>
      </c>
      <c r="AL369" t="s">
        <v>1096</v>
      </c>
      <c r="AM369" t="s">
        <v>1097</v>
      </c>
      <c r="AN369">
        <v>0.23408999999999999</v>
      </c>
      <c r="AO369">
        <v>1.3544229999999999</v>
      </c>
      <c r="AP369">
        <v>1.120333</v>
      </c>
      <c r="AQ369" s="287">
        <v>9.8589339999999996</v>
      </c>
      <c r="AR369">
        <f>AQ369*0.9</f>
        <v>8.8730405999999995</v>
      </c>
      <c r="AS369">
        <f>AS368+AR369</f>
        <v>180.68480820000002</v>
      </c>
    </row>
    <row r="370" spans="3:45" ht="13.5" customHeight="1">
      <c r="J370" s="3" t="s">
        <v>228</v>
      </c>
      <c r="K370" s="3" t="s">
        <v>825</v>
      </c>
      <c r="L370" s="47" t="str">
        <f>M369</f>
        <v>25-306/10:55</v>
      </c>
      <c r="M370" s="47" t="s">
        <v>1242</v>
      </c>
      <c r="N370" t="s">
        <v>1230</v>
      </c>
      <c r="O370" s="84" t="str">
        <f>AI370</f>
        <v>218/11:19</v>
      </c>
      <c r="P370" s="32" t="str">
        <f>MID(AL370,5,5)</f>
        <v>218_2</v>
      </c>
      <c r="Q370" s="58">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2">
        <f>W370-V370</f>
        <v>0</v>
      </c>
      <c r="Y370" s="331"/>
      <c r="Z370" s="330"/>
      <c r="AA370" s="77">
        <f>AR370</f>
        <v>9.1141325999999996</v>
      </c>
      <c r="AC370" s="129">
        <f>AK370+AC369</f>
        <v>123.00493238654508</v>
      </c>
      <c r="AH370" s="279" t="str">
        <f>AL370</f>
        <v>TRK_218_2</v>
      </c>
      <c r="AI370" t="s">
        <v>1124</v>
      </c>
      <c r="AJ370" s="40">
        <f>X370*8/1000000</f>
        <v>0</v>
      </c>
      <c r="AK370" s="40">
        <f>V370*8/1000000</f>
        <v>9.1141326000000031</v>
      </c>
      <c r="AL370" t="s">
        <v>1098</v>
      </c>
      <c r="AM370" t="s">
        <v>1099</v>
      </c>
      <c r="AN370">
        <v>0.186725</v>
      </c>
      <c r="AO370">
        <v>1.337499</v>
      </c>
      <c r="AP370">
        <v>1.150774</v>
      </c>
      <c r="AQ370" s="287">
        <v>10.126814</v>
      </c>
      <c r="AR370">
        <f>AQ370*0.9</f>
        <v>9.1141325999999996</v>
      </c>
      <c r="AS370">
        <f>AS369+AR370</f>
        <v>189.79894080000003</v>
      </c>
    </row>
    <row r="371" spans="3:45" ht="13.5" customHeight="1">
      <c r="J371" s="3"/>
      <c r="K371" s="3"/>
      <c r="L371" s="3"/>
      <c r="M371" s="205" t="str" cm="1">
        <f t="array" aca="1" ref="M371" ca="1">MID(met2utc(R370),3,12)</f>
        <v>25-332/12:45</v>
      </c>
      <c r="N371" s="3"/>
      <c r="O371" s="3"/>
      <c r="P371" s="277" t="s">
        <v>1149</v>
      </c>
      <c r="Q371" s="301" t="s">
        <v>1150</v>
      </c>
      <c r="R371" s="301">
        <v>646883515</v>
      </c>
      <c r="S371" s="277">
        <v>0</v>
      </c>
      <c r="T371" s="277" t="s">
        <v>409</v>
      </c>
      <c r="U371" s="277" t="s">
        <v>1151</v>
      </c>
      <c r="V371" s="277" t="s">
        <v>573</v>
      </c>
      <c r="W371" s="277"/>
      <c r="X371" s="277" t="s">
        <v>1139</v>
      </c>
    </row>
    <row r="372" spans="3:45" ht="13.5" customHeight="1">
      <c r="J372" s="3"/>
      <c r="K372" s="3"/>
      <c r="P372" s="277" t="s">
        <v>1136</v>
      </c>
      <c r="Q372" s="301" t="s">
        <v>1137</v>
      </c>
      <c r="R372" s="301">
        <v>646884115</v>
      </c>
      <c r="S372" s="277">
        <v>0</v>
      </c>
      <c r="T372" s="277" t="s">
        <v>409</v>
      </c>
      <c r="U372" s="277" t="s">
        <v>1138</v>
      </c>
      <c r="V372" s="301" t="s">
        <v>802</v>
      </c>
      <c r="W372" s="277"/>
      <c r="X372" s="277" t="s">
        <v>1139</v>
      </c>
    </row>
    <row r="373" spans="3:45" ht="13.5" customHeight="1">
      <c r="H373" t="s">
        <v>53</v>
      </c>
      <c r="J373" s="3"/>
      <c r="K373" s="3"/>
      <c r="P373" s="277" t="s">
        <v>1140</v>
      </c>
      <c r="Q373" s="277" t="s">
        <v>1141</v>
      </c>
      <c r="R373" s="277">
        <v>646884118</v>
      </c>
      <c r="S373" s="277">
        <v>0</v>
      </c>
      <c r="T373" s="277" t="s">
        <v>409</v>
      </c>
      <c r="U373" s="277" t="s">
        <v>1138</v>
      </c>
      <c r="V373" s="301" t="s">
        <v>808</v>
      </c>
      <c r="W373" s="277"/>
      <c r="X373" s="277" t="s">
        <v>1139</v>
      </c>
    </row>
    <row r="374" spans="3:45" ht="13.5" customHeight="1">
      <c r="J374" s="3"/>
      <c r="K374" s="3"/>
      <c r="L374" s="3"/>
      <c r="M374" s="3"/>
      <c r="N374" s="3"/>
      <c r="O374" s="3"/>
      <c r="P374" s="277" t="s">
        <v>1142</v>
      </c>
      <c r="Q374" s="277" t="s">
        <v>1143</v>
      </c>
      <c r="R374" s="277">
        <v>646884121</v>
      </c>
      <c r="S374" s="277">
        <v>0</v>
      </c>
      <c r="T374" s="277" t="s">
        <v>409</v>
      </c>
      <c r="U374" s="277" t="s">
        <v>1138</v>
      </c>
      <c r="V374" s="301" t="s">
        <v>445</v>
      </c>
      <c r="W374" s="277"/>
      <c r="X374" s="277" t="s">
        <v>1139</v>
      </c>
    </row>
    <row r="375" spans="3:45" ht="13.5" customHeight="1">
      <c r="J375" s="3"/>
      <c r="K375" s="3"/>
      <c r="L375" s="3"/>
      <c r="M375" s="3"/>
      <c r="N375" s="3"/>
      <c r="O375" s="3"/>
      <c r="P375" s="277" t="s">
        <v>1144</v>
      </c>
      <c r="Q375" s="277" t="s">
        <v>1145</v>
      </c>
      <c r="R375" s="277">
        <v>646884124</v>
      </c>
      <c r="S375" s="277">
        <v>0</v>
      </c>
      <c r="T375" s="277" t="s">
        <v>409</v>
      </c>
      <c r="U375" s="277" t="s">
        <v>1138</v>
      </c>
      <c r="V375" s="301" t="s">
        <v>449</v>
      </c>
      <c r="W375" s="277"/>
      <c r="X375" s="277" t="s">
        <v>1139</v>
      </c>
    </row>
    <row r="376" spans="3:45" ht="13.5" customHeight="1">
      <c r="C376" s="112" t="s">
        <v>226</v>
      </c>
      <c r="D376" s="112" t="s">
        <v>227</v>
      </c>
      <c r="E376" s="112" t="s">
        <v>51</v>
      </c>
      <c r="F376" s="112" t="s">
        <v>49</v>
      </c>
      <c r="G376" s="112" t="s">
        <v>50</v>
      </c>
      <c r="H376" s="112" t="s">
        <v>53</v>
      </c>
      <c r="I376" s="112" t="s">
        <v>54</v>
      </c>
      <c r="J376" s="112" t="s">
        <v>228</v>
      </c>
      <c r="K376" s="112" t="s">
        <v>825</v>
      </c>
      <c r="L376" s="3"/>
      <c r="M376" s="3"/>
      <c r="N376" s="3"/>
      <c r="O376" s="3"/>
      <c r="P376" s="277" t="s">
        <v>1146</v>
      </c>
      <c r="Q376" s="277" t="s">
        <v>1147</v>
      </c>
      <c r="R376" s="277">
        <v>646884715</v>
      </c>
      <c r="S376" s="277">
        <v>0</v>
      </c>
      <c r="T376" s="277" t="s">
        <v>409</v>
      </c>
      <c r="U376" s="277" t="s">
        <v>1148</v>
      </c>
      <c r="V376" s="277" t="s">
        <v>411</v>
      </c>
      <c r="W376" s="277"/>
      <c r="X376" s="277" t="s">
        <v>1139</v>
      </c>
    </row>
    <row r="377" spans="3:45" ht="13.5" customHeight="1">
      <c r="J377" s="3"/>
      <c r="K377" s="3"/>
      <c r="L377" s="3" t="s">
        <v>1265</v>
      </c>
      <c r="M377" s="204" t="str" cm="1">
        <f t="array" aca="1" ref="M377" ca="1">MID(met2utc(R378),3,12)</f>
        <v>26-208/16:54</v>
      </c>
      <c r="N377" s="3"/>
      <c r="O377" s="3"/>
      <c r="P377" s="277" t="s">
        <v>1152</v>
      </c>
      <c r="Q377" s="277" t="s">
        <v>1153</v>
      </c>
      <c r="R377" s="277">
        <v>646885315</v>
      </c>
      <c r="S377" s="277">
        <v>0</v>
      </c>
      <c r="T377" s="277" t="s">
        <v>409</v>
      </c>
      <c r="U377" s="277" t="s">
        <v>1154</v>
      </c>
      <c r="V377" s="277" t="s">
        <v>1155</v>
      </c>
      <c r="W377" s="277"/>
      <c r="X377" s="277" t="s">
        <v>1139</v>
      </c>
    </row>
    <row r="378" spans="3:45" ht="13.5" customHeight="1">
      <c r="C378" s="3">
        <v>103</v>
      </c>
      <c r="D378" s="3">
        <v>109</v>
      </c>
      <c r="E378" t="s">
        <v>51</v>
      </c>
      <c r="F378" t="s">
        <v>49</v>
      </c>
      <c r="G378" s="3" t="s">
        <v>50</v>
      </c>
      <c r="H378" t="s">
        <v>53</v>
      </c>
      <c r="I378" t="s">
        <v>54</v>
      </c>
      <c r="L378" s="78" t="str" cm="1">
        <f t="array" aca="1" ref="L378" ca="1">MID(met2utc(Q378),3,12)</f>
        <v>26-201/20:09</v>
      </c>
      <c r="M378" s="78" t="s">
        <v>1158</v>
      </c>
      <c r="N378" t="s">
        <v>1161</v>
      </c>
      <c r="O378" s="84" t="str">
        <f>AI378</f>
        <v>218/21:19</v>
      </c>
      <c r="P378" s="32" t="str">
        <f>MID(AL378,5,5)</f>
        <v>218_3</v>
      </c>
      <c r="Q378" s="85">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2">
        <f>W378-V378</f>
        <v>2.123415470123291E-7</v>
      </c>
      <c r="Y378" s="331"/>
      <c r="Z378" s="330"/>
      <c r="AA378" s="77">
        <f>AQ378</f>
        <v>23.440767000000001</v>
      </c>
      <c r="AC378" s="118">
        <f>AK378</f>
        <v>23.440766999998303</v>
      </c>
      <c r="AH378" s="279" t="str">
        <f>AL378</f>
        <v>TRK_218_3</v>
      </c>
      <c r="AI378" t="s">
        <v>1125</v>
      </c>
      <c r="AJ378" s="40">
        <f>X378*8/1000000</f>
        <v>1.6987323760986329E-12</v>
      </c>
      <c r="AK378" s="40">
        <f>V378*8/1000000</f>
        <v>23.440766999998303</v>
      </c>
      <c r="AL378" s="302" t="s">
        <v>1100</v>
      </c>
      <c r="AM378" s="302" t="s">
        <v>1101</v>
      </c>
      <c r="AN378" s="302">
        <v>0.19877600000000001</v>
      </c>
      <c r="AO378" s="302">
        <v>2.8624990000000001</v>
      </c>
      <c r="AP378" s="302">
        <v>2.6637230000000001</v>
      </c>
      <c r="AQ378" s="303">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8" t="str">
        <f>M378</f>
        <v>26-208/16:54</v>
      </c>
      <c r="M379" s="78" t="s">
        <v>1159</v>
      </c>
      <c r="N379" t="s">
        <v>1161</v>
      </c>
      <c r="O379" s="84" t="str">
        <f>AI379</f>
        <v>219/10:04</v>
      </c>
      <c r="P379" s="32" t="str">
        <f>MID(AL379,5,5)</f>
        <v>219_1</v>
      </c>
      <c r="Q379" s="58">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2">
        <f>W379-V379</f>
        <v>-8.8708475232124329E-8</v>
      </c>
      <c r="Y379" s="331"/>
      <c r="Z379" s="330"/>
      <c r="AA379" s="77">
        <f>AQ379</f>
        <v>10.758489000000001</v>
      </c>
      <c r="AC379" s="118">
        <f>AC378+AK379</f>
        <v>34.199255999999011</v>
      </c>
      <c r="AH379" s="279" t="str">
        <f>AL379</f>
        <v>TRK_219_1</v>
      </c>
      <c r="AI379" t="s">
        <v>1126</v>
      </c>
      <c r="AJ379" s="40">
        <f>X379*8/1000000</f>
        <v>-7.0966780185699461E-13</v>
      </c>
      <c r="AK379" s="40">
        <f>V379*8/1000000</f>
        <v>10.75848900000071</v>
      </c>
      <c r="AL379" s="302" t="s">
        <v>42</v>
      </c>
      <c r="AM379" s="302" t="s">
        <v>1102</v>
      </c>
      <c r="AN379" s="302">
        <v>0.35693000000000003</v>
      </c>
      <c r="AO379" s="302">
        <v>1.5794859999999999</v>
      </c>
      <c r="AP379" s="302">
        <v>1.222556</v>
      </c>
      <c r="AQ379" s="303">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8" t="str">
        <f>M379</f>
        <v>26-211/20:31</v>
      </c>
      <c r="M380" s="78" t="s">
        <v>1160</v>
      </c>
      <c r="N380" t="s">
        <v>1161</v>
      </c>
      <c r="O380" s="84" t="str">
        <f>AI380</f>
        <v>220/03:04</v>
      </c>
      <c r="P380" s="32" t="str">
        <f>MID(AL380,5,5)</f>
        <v>220_1</v>
      </c>
      <c r="Q380" s="58">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2">
        <f>W380-V380</f>
        <v>-8.6612999439239502E-8</v>
      </c>
      <c r="Y380" s="331"/>
      <c r="Z380" s="330"/>
      <c r="AA380" s="77">
        <f>AQ380</f>
        <v>26.977333999999999</v>
      </c>
      <c r="AC380" s="118">
        <f>AC379+AK380</f>
        <v>61.176589999999706</v>
      </c>
      <c r="AH380" s="279" t="str">
        <f>AL380</f>
        <v>TRK_220_1</v>
      </c>
      <c r="AI380" t="s">
        <v>1127</v>
      </c>
      <c r="AJ380" s="40">
        <f>X380*8/1000000</f>
        <v>-6.92903995513916E-13</v>
      </c>
      <c r="AK380" s="40">
        <f>V380*8/1000000</f>
        <v>26.977334000000692</v>
      </c>
      <c r="AL380" s="302" t="s">
        <v>1103</v>
      </c>
      <c r="AM380" s="302" t="s">
        <v>1104</v>
      </c>
      <c r="AN380" s="302">
        <v>0.22890099999999999</v>
      </c>
      <c r="AO380" s="302">
        <v>3.2945069999999999</v>
      </c>
      <c r="AP380" s="302">
        <v>3.0656059999999998</v>
      </c>
      <c r="AQ380" s="303">
        <v>26.977333999999999</v>
      </c>
      <c r="AR380">
        <f>AQ380*0.9</f>
        <v>24.279600599999998</v>
      </c>
      <c r="AS380">
        <f>AS379+AR380</f>
        <v>244.85787180000003</v>
      </c>
    </row>
    <row r="381" spans="3:45" ht="13.5" customHeight="1">
      <c r="J381" s="3" t="s">
        <v>228</v>
      </c>
      <c r="K381" s="3" t="s">
        <v>825</v>
      </c>
      <c r="L381" s="47" t="str">
        <f>M370</f>
        <v>25-332/12:45</v>
      </c>
      <c r="M381" s="47" t="s">
        <v>1243</v>
      </c>
      <c r="N381" t="s">
        <v>1230</v>
      </c>
      <c r="O381" s="84" t="str">
        <f>AI381</f>
        <v>221/03:04</v>
      </c>
      <c r="P381" s="32" t="str">
        <f>MID(AL381,5,5)</f>
        <v>221_1</v>
      </c>
      <c r="Q381" s="58">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2">
        <f>W381-V381</f>
        <v>1.9790604710578918E-9</v>
      </c>
      <c r="Y381" s="331"/>
      <c r="Z381" s="330"/>
      <c r="AA381" s="77">
        <f>AR381</f>
        <v>7.4125403999999993</v>
      </c>
      <c r="AC381" s="129">
        <f>AK381+AC370</f>
        <v>130.41747278654506</v>
      </c>
      <c r="AH381" s="279" t="str">
        <f>AL381</f>
        <v>TRK_221_1</v>
      </c>
      <c r="AI381" t="s">
        <v>1128</v>
      </c>
      <c r="AJ381" s="40">
        <f>X381*8/1000000</f>
        <v>1.5832483768463135E-14</v>
      </c>
      <c r="AK381" s="40">
        <f>V381*8/1000000</f>
        <v>7.4125403999999833</v>
      </c>
      <c r="AL381" t="s">
        <v>1105</v>
      </c>
      <c r="AM381" t="s">
        <v>1106</v>
      </c>
      <c r="AN381">
        <v>0.27500799999999997</v>
      </c>
      <c r="AO381">
        <v>1.2109350000000001</v>
      </c>
      <c r="AP381">
        <v>0.93592699999999995</v>
      </c>
      <c r="AQ381" s="287">
        <v>8.2361559999999994</v>
      </c>
      <c r="AR381">
        <f>AQ381*0.9</f>
        <v>7.4125403999999993</v>
      </c>
      <c r="AS381">
        <f>AS380+AR381</f>
        <v>252.27041220000004</v>
      </c>
    </row>
    <row r="382" spans="3:45" ht="13.5" customHeight="1">
      <c r="J382" s="3" t="s">
        <v>228</v>
      </c>
      <c r="K382" s="3" t="s">
        <v>825</v>
      </c>
      <c r="L382" s="47" t="str">
        <f>M381</f>
        <v>25-342/17:45</v>
      </c>
      <c r="M382" s="47" t="s">
        <v>1244</v>
      </c>
      <c r="N382" t="s">
        <v>5613</v>
      </c>
      <c r="O382" s="84" t="str">
        <f>AI382</f>
        <v>221/09:44</v>
      </c>
      <c r="P382" s="32" t="str">
        <f>MID(AL382,5,5)</f>
        <v>221_2</v>
      </c>
      <c r="Q382" s="58">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2">
        <f>W382-V382</f>
        <v>-2.5611370801925659E-8</v>
      </c>
      <c r="Y382" s="331"/>
      <c r="Z382" s="330"/>
      <c r="AA382" s="77">
        <f>AR382</f>
        <v>11.412846</v>
      </c>
      <c r="AC382" s="129">
        <f>AK382+AC381</f>
        <v>141.83031878654526</v>
      </c>
      <c r="AD382" s="99"/>
      <c r="AH382" s="279" t="str">
        <f>AL382</f>
        <v>TRK_221_2</v>
      </c>
      <c r="AI382" t="s">
        <v>1129</v>
      </c>
      <c r="AJ382" s="40">
        <f>X382*8/1000000</f>
        <v>-2.0489096641540528E-13</v>
      </c>
      <c r="AK382" s="40">
        <f>V382*8/1000000</f>
        <v>11.412846000000204</v>
      </c>
      <c r="AL382" t="s">
        <v>1107</v>
      </c>
      <c r="AM382" t="s">
        <v>1108</v>
      </c>
      <c r="AN382">
        <v>0.179698</v>
      </c>
      <c r="AO382">
        <v>1.620714</v>
      </c>
      <c r="AP382">
        <v>1.4410160000000001</v>
      </c>
      <c r="AQ382" s="287">
        <v>12.68094</v>
      </c>
      <c r="AR382">
        <f>AQ382*0.9</f>
        <v>11.412846</v>
      </c>
      <c r="AS382" s="304">
        <f>AS381+AR382</f>
        <v>263.68325820000001</v>
      </c>
    </row>
    <row r="383" spans="3:45" ht="13.5" customHeight="1">
      <c r="M383" s="205" t="str" cm="1">
        <f t="array" aca="1" ref="M383" ca="1">MID(met2utc(R382),3,12)</f>
        <v>26-021/09:25</v>
      </c>
      <c r="AK383" s="40"/>
      <c r="AQ383" s="287">
        <f>SUM(AQ312:AQ382)</f>
        <v>292.98139800000007</v>
      </c>
      <c r="AR383" s="304">
        <f>SUM(AR312:AR382)</f>
        <v>263.68325820000001</v>
      </c>
      <c r="AS383">
        <f>AR383-AS382</f>
        <v>0</v>
      </c>
    </row>
    <row r="385" spans="10:30" ht="13.5" customHeight="1">
      <c r="J385" t="s">
        <v>228</v>
      </c>
      <c r="K385" t="s">
        <v>825</v>
      </c>
      <c r="L385" s="47" t="str">
        <f>M382</f>
        <v>26-021/09:25</v>
      </c>
      <c r="M385" s="47" t="s">
        <v>1255</v>
      </c>
      <c r="N385" t="s">
        <v>5613</v>
      </c>
      <c r="O385" s="84" t="s">
        <v>1257</v>
      </c>
      <c r="P385" s="32" t="s">
        <v>1254</v>
      </c>
      <c r="Q385" s="58">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2">
        <f>W385-V385</f>
        <v>-1.5599653124809265E-8</v>
      </c>
      <c r="Y385" s="331"/>
      <c r="Z385" s="330"/>
      <c r="AA385" s="77">
        <v>12</v>
      </c>
      <c r="AC385" s="129">
        <f>AC382+AA385</f>
        <v>153.83031878654526</v>
      </c>
      <c r="AD385" s="99">
        <f>AC385-AC361</f>
        <v>64.171593258336827</v>
      </c>
    </row>
    <row r="386" spans="10:30" ht="13.5" customHeight="1">
      <c r="M386" s="205" t="str" cm="1">
        <f t="array" aca="1" ref="M386" ca="1">MID(met2utc(R385),3,12)</f>
        <v>26-055/17:25</v>
      </c>
      <c r="O386" s="84" t="s">
        <v>1256</v>
      </c>
    </row>
    <row r="390" spans="10:30" ht="15"/>
    <row r="391" spans="10:30" ht="15"/>
    <row r="392" spans="10:30" ht="15"/>
    <row r="393" spans="10:30" ht="15"/>
    <row r="394" spans="10:30" ht="15">
      <c r="Z394" s="308"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7" t="s">
        <v>5686</v>
      </c>
      <c r="Q402" s="277" t="s">
        <v>5685</v>
      </c>
      <c r="R402" s="366">
        <v>616843136</v>
      </c>
      <c r="S402" s="277">
        <v>7</v>
      </c>
      <c r="T402" s="277" t="s">
        <v>27</v>
      </c>
      <c r="U402" s="277" t="s">
        <v>1032</v>
      </c>
      <c r="V402" s="277" t="s">
        <v>151</v>
      </c>
      <c r="W402" s="277" t="s">
        <v>152</v>
      </c>
      <c r="X402" s="277" t="s">
        <v>5659</v>
      </c>
      <c r="Y402" s="363"/>
      <c r="Z402" s="363"/>
      <c r="AA402" s="363"/>
      <c r="AJ402" s="3"/>
      <c r="AK402" s="3"/>
    </row>
    <row r="403" spans="3:40" ht="13.5" customHeight="1">
      <c r="O403" t="s">
        <v>5684</v>
      </c>
      <c r="P403" s="277" t="s">
        <v>5683</v>
      </c>
      <c r="Q403" s="277" t="s">
        <v>5682</v>
      </c>
      <c r="R403" s="365">
        <v>616844816</v>
      </c>
      <c r="S403" s="277">
        <v>0</v>
      </c>
      <c r="T403" s="277" t="s">
        <v>409</v>
      </c>
      <c r="U403" s="277" t="s">
        <v>367</v>
      </c>
      <c r="V403" s="277" t="s">
        <v>802</v>
      </c>
      <c r="W403" s="277"/>
      <c r="X403" s="277" t="s">
        <v>5659</v>
      </c>
      <c r="Y403" s="363"/>
      <c r="Z403" s="363"/>
      <c r="AA403" s="363"/>
      <c r="AJ403" s="3"/>
      <c r="AK403" s="3"/>
    </row>
    <row r="404" spans="3:40" ht="13.5" customHeight="1">
      <c r="O404" t="s">
        <v>5681</v>
      </c>
      <c r="P404" s="277" t="s">
        <v>5680</v>
      </c>
      <c r="Q404" s="277" t="s">
        <v>5679</v>
      </c>
      <c r="R404" s="277">
        <v>616844819</v>
      </c>
      <c r="S404" s="277">
        <v>0</v>
      </c>
      <c r="T404" s="277" t="s">
        <v>409</v>
      </c>
      <c r="U404" s="277" t="s">
        <v>367</v>
      </c>
      <c r="V404" s="277" t="s">
        <v>808</v>
      </c>
      <c r="W404" s="277"/>
      <c r="X404" s="364" t="s">
        <v>5659</v>
      </c>
      <c r="Y404" s="363"/>
      <c r="Z404" s="363"/>
      <c r="AA404" s="363"/>
      <c r="AJ404" s="3"/>
      <c r="AK404" s="3"/>
    </row>
    <row r="405" spans="3:40" ht="13.5" customHeight="1">
      <c r="O405" t="s">
        <v>5678</v>
      </c>
      <c r="P405" s="277" t="s">
        <v>5677</v>
      </c>
      <c r="Q405" s="277" t="s">
        <v>5676</v>
      </c>
      <c r="R405" s="277">
        <v>616844822</v>
      </c>
      <c r="S405" s="277">
        <v>0</v>
      </c>
      <c r="T405" s="277" t="s">
        <v>409</v>
      </c>
      <c r="U405" s="277" t="s">
        <v>367</v>
      </c>
      <c r="V405" s="277" t="s">
        <v>813</v>
      </c>
      <c r="W405" s="277"/>
      <c r="X405" s="277" t="s">
        <v>5659</v>
      </c>
      <c r="Y405" s="363"/>
      <c r="Z405" s="363"/>
      <c r="AA405" s="363"/>
      <c r="AJ405" s="3"/>
      <c r="AK405" s="3"/>
    </row>
    <row r="406" spans="3:40" ht="13.5" customHeight="1">
      <c r="O406" t="s">
        <v>5675</v>
      </c>
      <c r="P406" s="277" t="s">
        <v>5674</v>
      </c>
      <c r="Q406" s="277" t="s">
        <v>5673</v>
      </c>
      <c r="R406" s="277">
        <v>616844825</v>
      </c>
      <c r="S406" s="277">
        <v>0</v>
      </c>
      <c r="T406" s="277" t="s">
        <v>409</v>
      </c>
      <c r="U406" s="277" t="s">
        <v>367</v>
      </c>
      <c r="V406" s="277" t="s">
        <v>449</v>
      </c>
      <c r="W406" s="277"/>
      <c r="X406" s="277" t="s">
        <v>5659</v>
      </c>
      <c r="Y406" s="363"/>
      <c r="Z406" s="363"/>
      <c r="AA406" s="363"/>
      <c r="AJ406" s="3"/>
      <c r="AK406" s="3"/>
    </row>
    <row r="407" spans="3:40" ht="13.5" customHeight="1">
      <c r="O407" t="s">
        <v>5672</v>
      </c>
      <c r="P407" s="277" t="s">
        <v>5671</v>
      </c>
      <c r="Q407" s="277" t="s">
        <v>5670</v>
      </c>
      <c r="R407" s="277">
        <v>616844876</v>
      </c>
      <c r="S407" s="277">
        <v>0</v>
      </c>
      <c r="T407" s="277" t="s">
        <v>409</v>
      </c>
      <c r="U407" s="277" t="s">
        <v>367</v>
      </c>
      <c r="V407" s="277" t="s">
        <v>940</v>
      </c>
      <c r="W407" s="277"/>
      <c r="X407" s="277" t="s">
        <v>5659</v>
      </c>
      <c r="Y407" s="363"/>
      <c r="Z407" s="363"/>
      <c r="AA407" s="363"/>
      <c r="AB407" t="s">
        <v>5669</v>
      </c>
      <c r="AJ407" s="3"/>
      <c r="AK407" s="3"/>
    </row>
    <row r="408" spans="3:40" ht="13.5" customHeight="1">
      <c r="O408" t="s">
        <v>5668</v>
      </c>
      <c r="P408" s="277" t="s">
        <v>5667</v>
      </c>
      <c r="Q408" s="277" t="s">
        <v>5666</v>
      </c>
      <c r="R408" s="277">
        <v>616845476</v>
      </c>
      <c r="S408" s="277">
        <v>0</v>
      </c>
      <c r="T408" s="277" t="s">
        <v>409</v>
      </c>
      <c r="U408" s="277" t="s">
        <v>5665</v>
      </c>
      <c r="V408" s="277" t="s">
        <v>818</v>
      </c>
      <c r="W408" s="277"/>
      <c r="X408" s="277" t="s">
        <v>5659</v>
      </c>
      <c r="Y408" s="363"/>
      <c r="Z408" s="363"/>
      <c r="AA408" s="363"/>
      <c r="AB408" t="s">
        <v>5664</v>
      </c>
      <c r="AJ408" s="3"/>
      <c r="AK408" s="3"/>
    </row>
    <row r="409" spans="3:40" ht="13.5" customHeight="1">
      <c r="O409" t="s">
        <v>5663</v>
      </c>
      <c r="P409" s="277" t="s">
        <v>5662</v>
      </c>
      <c r="Q409" s="277" t="s">
        <v>5661</v>
      </c>
      <c r="R409" s="277">
        <v>616846076</v>
      </c>
      <c r="S409" s="277">
        <v>0</v>
      </c>
      <c r="T409" s="277" t="s">
        <v>409</v>
      </c>
      <c r="U409" s="277" t="s">
        <v>5660</v>
      </c>
      <c r="V409" s="277" t="s">
        <v>965</v>
      </c>
      <c r="W409" s="277"/>
      <c r="X409" s="277" t="s">
        <v>5659</v>
      </c>
      <c r="Y409" s="363"/>
      <c r="Z409" s="363"/>
      <c r="AA409" s="363"/>
      <c r="AJ409" s="3"/>
      <c r="AK409" s="3"/>
    </row>
    <row r="410" spans="3:40" ht="13.5" customHeight="1">
      <c r="AJ410" s="3"/>
      <c r="AK410" s="3"/>
    </row>
    <row r="411" spans="3:40" ht="15">
      <c r="L411" t="s">
        <v>5658</v>
      </c>
      <c r="M411" t="s">
        <v>5657</v>
      </c>
      <c r="T411" s="362" t="s">
        <v>5656</v>
      </c>
      <c r="U411" s="3"/>
      <c r="V411" s="362" t="s">
        <v>5656</v>
      </c>
      <c r="W411" t="s">
        <v>5655</v>
      </c>
      <c r="X411" s="361" t="s">
        <v>1015</v>
      </c>
      <c r="AH411" t="s">
        <v>5654</v>
      </c>
      <c r="AI411" t="s">
        <v>5653</v>
      </c>
      <c r="AJ411" t="s">
        <v>5652</v>
      </c>
      <c r="AK411" t="s">
        <v>742</v>
      </c>
      <c r="AL411" t="s">
        <v>743</v>
      </c>
      <c r="AM411" t="s">
        <v>745</v>
      </c>
      <c r="AN411" s="328" t="s">
        <v>5651</v>
      </c>
    </row>
    <row r="412" spans="3:40" ht="13.5" customHeight="1">
      <c r="C412" s="3">
        <v>104</v>
      </c>
      <c r="D412" s="3">
        <v>105</v>
      </c>
      <c r="E412" t="s">
        <v>51</v>
      </c>
      <c r="F412" t="s">
        <v>49</v>
      </c>
      <c r="G412" t="s">
        <v>50</v>
      </c>
      <c r="H412" t="s">
        <v>53</v>
      </c>
      <c r="I412" t="s">
        <v>54</v>
      </c>
      <c r="L412" s="78" t="str" cm="1">
        <f t="array" aca="1" ref="L412" ca="1">MID(met2utc(Q412),3,12)</f>
        <v>25-219/03:26</v>
      </c>
      <c r="M412" s="78" t="str" cm="1">
        <f t="array" aca="1" ref="M412" ca="1">MID(met2utc(R412),3,12)</f>
        <v>25-219/03:55</v>
      </c>
      <c r="N412" t="s">
        <v>5650</v>
      </c>
      <c r="O412" s="326" t="str">
        <f>AG412</f>
        <v>222/21:49</v>
      </c>
      <c r="P412" s="32" t="str">
        <f>MID(AH412,5,5)</f>
        <v>222_2</v>
      </c>
      <c r="Q412" s="341">
        <f>R402-5</f>
        <v>616843131</v>
      </c>
      <c r="R412" s="341">
        <f>R403</f>
        <v>616844816</v>
      </c>
      <c r="S412" s="21">
        <f>R412-Q412</f>
        <v>1685</v>
      </c>
      <c r="T412" s="21">
        <f>$V$38</f>
        <v>197375</v>
      </c>
      <c r="U412" s="3">
        <v>1</v>
      </c>
      <c r="V412" s="20">
        <f>T412</f>
        <v>197375</v>
      </c>
      <c r="W412" s="20">
        <f>AA412*1000000/8</f>
        <v>1540429.8</v>
      </c>
      <c r="X412" s="195">
        <f>W412-V412</f>
        <v>1343054.8</v>
      </c>
      <c r="Y412" s="331"/>
      <c r="Z412" s="330"/>
      <c r="AA412" s="77">
        <f>AN412</f>
        <v>12.323438400000001</v>
      </c>
      <c r="AC412" s="118">
        <f>AE412</f>
        <v>1.579</v>
      </c>
      <c r="AD412" s="3">
        <f t="shared" ref="AD412:AD441" si="121">X412*8/1000000</f>
        <v>10.7444384</v>
      </c>
      <c r="AE412" s="3">
        <f t="shared" ref="AE412:AE442" si="122">V412*8/1000000</f>
        <v>1.579</v>
      </c>
      <c r="AF412" s="329" t="str">
        <f>AH412</f>
        <v>TRK_222_2</v>
      </c>
      <c r="AG412" s="279" t="s">
        <v>5649</v>
      </c>
      <c r="AH412" t="s">
        <v>5648</v>
      </c>
      <c r="AI412" t="s">
        <v>5647</v>
      </c>
      <c r="AJ412">
        <v>0.79937899999999995</v>
      </c>
      <c r="AK412">
        <v>2.2664550000000001</v>
      </c>
      <c r="AL412">
        <v>1.467076</v>
      </c>
      <c r="AM412">
        <v>12.910265000000001</v>
      </c>
      <c r="AN412" s="328">
        <f>AL412*8*1.05</f>
        <v>12.323438400000001</v>
      </c>
    </row>
    <row r="413" spans="3:40" ht="13.5" customHeight="1">
      <c r="C413" s="3">
        <v>104</v>
      </c>
      <c r="D413" s="3">
        <v>105</v>
      </c>
      <c r="E413" t="s">
        <v>51</v>
      </c>
      <c r="F413" t="s">
        <v>49</v>
      </c>
      <c r="G413" t="s">
        <v>50</v>
      </c>
      <c r="H413" t="s">
        <v>53</v>
      </c>
      <c r="I413" t="s">
        <v>54</v>
      </c>
      <c r="L413" s="78" t="str" cm="1">
        <f t="array" aca="1" ref="L413" ca="1">MID(met2utc(Q413),3,12)</f>
        <v>25-219/03:54</v>
      </c>
      <c r="M413" s="78" t="str" cm="1">
        <f t="array" aca="1" ref="M413" ca="1">MID(met2utc(R413),3,12)</f>
        <v>25-221/09:57</v>
      </c>
      <c r="N413" t="s">
        <v>5573</v>
      </c>
      <c r="P413" s="32" t="s">
        <v>5646</v>
      </c>
      <c r="Q413" s="341">
        <f>R412-1</f>
        <v>616844815</v>
      </c>
      <c r="R413" s="21">
        <f>W413/$V$31+Q413</f>
        <v>617039347.06783485</v>
      </c>
      <c r="S413" s="21">
        <f>R413-Q413</f>
        <v>194532.06783485413</v>
      </c>
      <c r="T413" s="21">
        <f>S413*$V$31</f>
        <v>1343054.8000003838</v>
      </c>
      <c r="U413" s="3">
        <v>0</v>
      </c>
      <c r="V413" s="20">
        <f>T413</f>
        <v>1343054.8000003838</v>
      </c>
      <c r="W413" s="183">
        <f>X412</f>
        <v>1343054.8</v>
      </c>
      <c r="X413" s="332">
        <f>W413-V413</f>
        <v>-3.8370490074157715E-7</v>
      </c>
      <c r="Y413" s="331"/>
      <c r="Z413" s="330"/>
      <c r="AA413" s="77"/>
      <c r="AC413" s="118">
        <f>AE413+AC412</f>
        <v>12.32343840000307</v>
      </c>
      <c r="AD413" s="3">
        <f t="shared" si="121"/>
        <v>-3.0696392059326171E-12</v>
      </c>
      <c r="AE413" s="3">
        <f t="shared" si="122"/>
        <v>10.744438400003069</v>
      </c>
      <c r="AF413" s="329"/>
      <c r="AG413" s="279"/>
      <c r="AN413" s="328"/>
    </row>
    <row r="414" spans="3:40" ht="13.5" customHeight="1">
      <c r="C414" s="3">
        <v>104</v>
      </c>
      <c r="D414" s="3">
        <v>105</v>
      </c>
      <c r="E414" t="s">
        <v>51</v>
      </c>
      <c r="F414" t="s">
        <v>49</v>
      </c>
      <c r="G414" t="s">
        <v>50</v>
      </c>
      <c r="H414" t="s">
        <v>53</v>
      </c>
      <c r="I414" t="s">
        <v>54</v>
      </c>
      <c r="L414" s="78" t="str" cm="1">
        <f t="array" aca="1" ref="L414" ca="1">MID(met2utc(Q414),3,12)</f>
        <v>25-221/09:57</v>
      </c>
      <c r="M414" s="78" t="str" cm="1">
        <f t="array" aca="1" ref="M414" ca="1">MID(met2utc(R414),3,12)</f>
        <v>25-221/13:51</v>
      </c>
      <c r="N414" t="s">
        <v>5573</v>
      </c>
      <c r="O414" s="326"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2">
        <f>W414-V414</f>
        <v>-2.6816269382834435E-7</v>
      </c>
      <c r="Y414" s="331"/>
      <c r="Z414" s="330"/>
      <c r="AA414" s="77">
        <f t="shared" ref="AA414:AA441" si="123">AN414</f>
        <v>0.77729400000000004</v>
      </c>
      <c r="AC414" s="118">
        <f>AE414+AC413</f>
        <v>13.100732400005215</v>
      </c>
      <c r="AD414" s="3">
        <f t="shared" si="121"/>
        <v>-2.1453015506267548E-12</v>
      </c>
      <c r="AE414" s="3">
        <f t="shared" si="122"/>
        <v>0.77729400000214532</v>
      </c>
      <c r="AF414" s="329" t="str">
        <f t="shared" ref="AF414:AF441" si="124">AH414</f>
        <v>TRK_225_1</v>
      </c>
      <c r="AG414" s="279" t="s">
        <v>5645</v>
      </c>
      <c r="AH414" t="s">
        <v>5644</v>
      </c>
      <c r="AI414" t="s">
        <v>5643</v>
      </c>
      <c r="AJ414">
        <v>1.2552970000000001</v>
      </c>
      <c r="AK414">
        <v>1.3478319999999999</v>
      </c>
      <c r="AL414">
        <v>9.2535000000000006E-2</v>
      </c>
      <c r="AM414">
        <v>0.81430400000000003</v>
      </c>
      <c r="AN414" s="328">
        <f t="shared" ref="AN414:AN441" si="125">AL414*8*1.05</f>
        <v>0.77729400000000004</v>
      </c>
    </row>
    <row r="415" spans="3:40" ht="13.5" customHeight="1">
      <c r="C415" s="3">
        <v>104</v>
      </c>
      <c r="D415" s="3">
        <v>105</v>
      </c>
      <c r="E415" t="s">
        <v>51</v>
      </c>
      <c r="F415" t="s">
        <v>49</v>
      </c>
      <c r="G415" t="s">
        <v>50</v>
      </c>
      <c r="H415" t="s">
        <v>53</v>
      </c>
      <c r="I415" t="s">
        <v>54</v>
      </c>
      <c r="L415" s="78" t="str" cm="1">
        <f t="array" aca="1" ref="L415" ca="1">MID(met2utc(Q415),3,12)</f>
        <v>25-221/13:51</v>
      </c>
      <c r="M415" s="78" t="str" cm="1">
        <f t="array" aca="1" ref="M415" ca="1">MID(met2utc(R415),3,12)</f>
        <v>25-223/08:41</v>
      </c>
      <c r="N415" t="s">
        <v>5573</v>
      </c>
      <c r="O415" s="326" t="str">
        <f>AG415</f>
        <v>225/11:18</v>
      </c>
      <c r="P415" s="32" t="str">
        <f>MID(AH415,5,5)</f>
        <v>225_2</v>
      </c>
      <c r="Q415" s="21">
        <f>R414-1</f>
        <v>617053418.26584733</v>
      </c>
      <c r="R415" s="21">
        <f>W415/$V$31+Q415</f>
        <v>617207598.67824745</v>
      </c>
      <c r="S415" s="21">
        <f>R415-Q415</f>
        <v>154180.41240012646</v>
      </c>
      <c r="T415" s="21">
        <f>S415*$V$31</f>
        <v>1064465.8499997063</v>
      </c>
      <c r="U415" s="360">
        <v>0</v>
      </c>
      <c r="V415" s="359">
        <f>T415</f>
        <v>1064465.8499997063</v>
      </c>
      <c r="W415" s="20">
        <f>AA415*1000000/8</f>
        <v>1064465.8499999999</v>
      </c>
      <c r="X415" s="332">
        <f>W415-V415</f>
        <v>2.935994416475296E-7</v>
      </c>
      <c r="Y415" s="331"/>
      <c r="Z415" s="330" t="s">
        <v>5642</v>
      </c>
      <c r="AA415" s="77">
        <f t="shared" si="123"/>
        <v>8.5157267999999995</v>
      </c>
      <c r="AB415">
        <f>136.337</f>
        <v>136.33699999999999</v>
      </c>
      <c r="AC415" s="118">
        <f>AE415+AC414</f>
        <v>21.616459200002865</v>
      </c>
      <c r="AD415" s="3">
        <f t="shared" si="121"/>
        <v>2.3487955331802368E-12</v>
      </c>
      <c r="AE415" s="3">
        <f t="shared" si="122"/>
        <v>8.5157267999976494</v>
      </c>
      <c r="AF415" s="329" t="str">
        <f t="shared" si="124"/>
        <v>TRK_225_2</v>
      </c>
      <c r="AG415" s="279" t="s">
        <v>5641</v>
      </c>
      <c r="AH415" t="s">
        <v>5640</v>
      </c>
      <c r="AI415" t="s">
        <v>5639</v>
      </c>
      <c r="AJ415">
        <v>0.195578</v>
      </c>
      <c r="AK415">
        <v>1.209355</v>
      </c>
      <c r="AL415">
        <v>1.0137769999999999</v>
      </c>
      <c r="AM415">
        <v>8.9212340000000001</v>
      </c>
      <c r="AN415" s="328">
        <f t="shared" si="125"/>
        <v>8.5157267999999995</v>
      </c>
    </row>
    <row r="416" spans="3:40" ht="13.5" customHeight="1">
      <c r="C416" s="3"/>
      <c r="D416" s="3"/>
      <c r="L416" s="354"/>
      <c r="M416" s="354"/>
      <c r="N416" t="s">
        <v>5632</v>
      </c>
      <c r="O416" s="326"/>
      <c r="P416" s="32"/>
      <c r="Q416" s="190"/>
      <c r="R416" s="190"/>
      <c r="S416" s="190"/>
      <c r="T416" s="190"/>
      <c r="U416" s="337"/>
      <c r="V416" s="336"/>
      <c r="W416" s="336"/>
      <c r="X416" s="358"/>
      <c r="Y416" s="331">
        <f>W416*8/1000000</f>
        <v>0</v>
      </c>
      <c r="Z416" s="357">
        <f>AA416</f>
        <v>17.080744799999998</v>
      </c>
      <c r="AA416" s="77">
        <f t="shared" si="123"/>
        <v>17.080744799999998</v>
      </c>
      <c r="AB416">
        <f>AB415/194</f>
        <v>0.70276804123711334</v>
      </c>
      <c r="AC416" s="350">
        <f>AA416</f>
        <v>17.080744799999998</v>
      </c>
      <c r="AD416" s="3">
        <f t="shared" si="121"/>
        <v>0</v>
      </c>
      <c r="AE416" s="3">
        <f t="shared" si="122"/>
        <v>0</v>
      </c>
      <c r="AF416" s="346" t="str">
        <f t="shared" si="124"/>
        <v>TRK_225_3</v>
      </c>
      <c r="AG416" s="279" t="s">
        <v>5638</v>
      </c>
      <c r="AH416" t="s">
        <v>5637</v>
      </c>
      <c r="AI416" t="s">
        <v>5636</v>
      </c>
      <c r="AJ416">
        <v>0.33697700000000003</v>
      </c>
      <c r="AK416">
        <v>2.3703989999999999</v>
      </c>
      <c r="AL416">
        <v>2.0334219999999998</v>
      </c>
      <c r="AM416">
        <v>17.894114999999999</v>
      </c>
      <c r="AN416" s="328">
        <f t="shared" si="125"/>
        <v>17.080744799999998</v>
      </c>
    </row>
    <row r="417" spans="3:41" ht="13.5" customHeight="1">
      <c r="C417" s="3"/>
      <c r="D417" s="3"/>
      <c r="L417" s="354"/>
      <c r="M417" s="354"/>
      <c r="N417" t="s">
        <v>5632</v>
      </c>
      <c r="O417" s="326"/>
      <c r="P417" s="32"/>
      <c r="Q417" s="190"/>
      <c r="R417" s="190"/>
      <c r="S417" s="190"/>
      <c r="T417" s="190"/>
      <c r="U417" s="337"/>
      <c r="V417" s="336"/>
      <c r="W417" s="336"/>
      <c r="X417" s="356"/>
      <c r="Y417" s="331"/>
      <c r="Z417" s="355">
        <f>Z416+AA417</f>
        <v>27.389569199999997</v>
      </c>
      <c r="AA417" s="77">
        <f t="shared" si="123"/>
        <v>10.308824400000001</v>
      </c>
      <c r="AC417" s="350">
        <f>AC416+AA417</f>
        <v>27.389569199999997</v>
      </c>
      <c r="AD417" s="3">
        <f t="shared" si="121"/>
        <v>0</v>
      </c>
      <c r="AE417" s="3">
        <f t="shared" si="122"/>
        <v>0</v>
      </c>
      <c r="AF417" s="346" t="str">
        <f t="shared" si="124"/>
        <v>TRK_226_1</v>
      </c>
      <c r="AG417" s="279" t="s">
        <v>5635</v>
      </c>
      <c r="AH417" t="s">
        <v>5634</v>
      </c>
      <c r="AI417" t="s">
        <v>5633</v>
      </c>
      <c r="AJ417">
        <v>6.2488000000000002E-2</v>
      </c>
      <c r="AK417">
        <v>1.2897289999999999</v>
      </c>
      <c r="AL417">
        <v>1.227241</v>
      </c>
      <c r="AM417">
        <v>10.799721999999999</v>
      </c>
      <c r="AN417" s="328">
        <f t="shared" si="125"/>
        <v>10.308824400000001</v>
      </c>
    </row>
    <row r="418" spans="3:41" ht="13.5" customHeight="1">
      <c r="C418" s="3"/>
      <c r="D418" s="3"/>
      <c r="L418" s="354"/>
      <c r="M418" s="354"/>
      <c r="N418" t="s">
        <v>5632</v>
      </c>
      <c r="O418" s="326"/>
      <c r="P418" s="32"/>
      <c r="Q418" s="190">
        <v>645951790</v>
      </c>
      <c r="R418" s="190">
        <v>645952407</v>
      </c>
      <c r="S418" s="190"/>
      <c r="T418" s="190">
        <v>4081250</v>
      </c>
      <c r="U418" s="337"/>
      <c r="V418" s="353">
        <f>T418</f>
        <v>4081250</v>
      </c>
      <c r="W418" s="353">
        <f>Z418*1000000/8</f>
        <v>4081486.4999999995</v>
      </c>
      <c r="X418" s="352">
        <f t="shared" ref="X418:X425" si="126">W418-V418</f>
        <v>236.49999999953434</v>
      </c>
      <c r="Y418" s="331">
        <f>W418*8/1000000</f>
        <v>32.651891999999997</v>
      </c>
      <c r="Z418" s="351">
        <f>Z417+AA418</f>
        <v>32.651891999999997</v>
      </c>
      <c r="AA418" s="77">
        <f t="shared" si="123"/>
        <v>5.2623228000000006</v>
      </c>
      <c r="AB418">
        <f>(Z418/194)*235</f>
        <v>39.55254958762886</v>
      </c>
      <c r="AC418" s="350">
        <f>AC417+AA418</f>
        <v>32.651891999999997</v>
      </c>
      <c r="AD418" s="3">
        <f t="shared" si="121"/>
        <v>1.8919999999962747E-3</v>
      </c>
      <c r="AE418" s="3">
        <f t="shared" si="122"/>
        <v>32.65</v>
      </c>
      <c r="AF418" s="346" t="str">
        <f t="shared" si="124"/>
        <v>TRK_227_1_</v>
      </c>
      <c r="AG418" s="279" t="s">
        <v>5631</v>
      </c>
      <c r="AH418" t="s">
        <v>5630</v>
      </c>
      <c r="AI418" t="s">
        <v>5629</v>
      </c>
      <c r="AJ418">
        <v>0.41222799999999998</v>
      </c>
      <c r="AK418">
        <v>1.0386949999999999</v>
      </c>
      <c r="AL418">
        <v>0.626467</v>
      </c>
      <c r="AM418">
        <v>5.5129089999999996</v>
      </c>
      <c r="AN418" s="328">
        <f t="shared" si="125"/>
        <v>5.2623228000000006</v>
      </c>
    </row>
    <row r="419" spans="3:41" ht="13.5" customHeight="1">
      <c r="C419" s="3">
        <v>104</v>
      </c>
      <c r="D419" s="3">
        <v>105</v>
      </c>
      <c r="E419" t="s">
        <v>51</v>
      </c>
      <c r="F419" t="s">
        <v>49</v>
      </c>
      <c r="G419" t="s">
        <v>50</v>
      </c>
      <c r="H419" t="s">
        <v>53</v>
      </c>
      <c r="I419" t="s">
        <v>54</v>
      </c>
      <c r="L419" s="78" t="str" cm="1">
        <f t="array" aca="1" ref="L419" ca="1">MID(met2utc(Q419),3,12)</f>
        <v>25-223/08:41</v>
      </c>
      <c r="M419" s="78" t="str" cm="1">
        <f t="array" aca="1" ref="M419" ca="1">MID(met2utc(R419),3,12)</f>
        <v>25-225/23:55</v>
      </c>
      <c r="N419" t="s">
        <v>5573</v>
      </c>
      <c r="O419" s="326"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2">
        <f t="shared" si="126"/>
        <v>3.3667311072349548E-7</v>
      </c>
      <c r="Y419" s="331"/>
      <c r="Z419" s="330"/>
      <c r="AA419" s="77">
        <f t="shared" si="123"/>
        <v>12.573674400000002</v>
      </c>
      <c r="AB419">
        <f>Z418*0.687</f>
        <v>22.431849803999999</v>
      </c>
      <c r="AC419" s="118">
        <f>AE419+AC418</f>
        <v>45.225566399997305</v>
      </c>
      <c r="AD419" s="3">
        <f t="shared" si="121"/>
        <v>2.6933848857879639E-12</v>
      </c>
      <c r="AE419" s="3">
        <f t="shared" si="122"/>
        <v>12.573674399997309</v>
      </c>
      <c r="AF419" s="329" t="str">
        <f t="shared" si="124"/>
        <v>TRK_228_1</v>
      </c>
      <c r="AG419" s="279" t="s">
        <v>5628</v>
      </c>
      <c r="AH419" t="s">
        <v>5627</v>
      </c>
      <c r="AI419" t="s">
        <v>5626</v>
      </c>
      <c r="AJ419">
        <v>0.49110900000000002</v>
      </c>
      <c r="AK419">
        <v>1.987975</v>
      </c>
      <c r="AL419">
        <v>1.496866</v>
      </c>
      <c r="AM419">
        <v>13.172416999999999</v>
      </c>
      <c r="AN419" s="328">
        <f t="shared" si="125"/>
        <v>12.573674400000002</v>
      </c>
    </row>
    <row r="420" spans="3:41" ht="13.5" customHeight="1">
      <c r="J420" t="s">
        <v>228</v>
      </c>
      <c r="K420" t="s">
        <v>825</v>
      </c>
      <c r="L420" s="94" t="str" cm="1">
        <f t="array" aca="1" ref="L420" ca="1">MID(met2utc(Q420),3,12)</f>
        <v>26-055/17:25</v>
      </c>
      <c r="M420" s="94" t="str" cm="1">
        <f t="array" aca="1" ref="M420" ca="1">MID(met2utc(R420),3,12)</f>
        <v>26-081/05:08</v>
      </c>
      <c r="N420" t="s">
        <v>5613</v>
      </c>
      <c r="O420" s="326" t="str">
        <f t="shared" si="127"/>
        <v>229/10:58</v>
      </c>
      <c r="P420" s="32" t="str">
        <f t="shared" si="128"/>
        <v>229_1</v>
      </c>
      <c r="Q420" s="58">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2">
        <f t="shared" si="126"/>
        <v>-1.862645149230957E-9</v>
      </c>
      <c r="Y420" s="331"/>
      <c r="Z420" s="330"/>
      <c r="AA420" s="77">
        <f t="shared" si="123"/>
        <v>8.9086788000000006</v>
      </c>
      <c r="AC420" s="129">
        <f>AE420</f>
        <v>8.9086788000000148</v>
      </c>
      <c r="AD420" s="3">
        <f t="shared" si="121"/>
        <v>-1.4901161193847656E-14</v>
      </c>
      <c r="AE420" s="3">
        <f t="shared" si="122"/>
        <v>8.9086788000000148</v>
      </c>
      <c r="AF420" s="329" t="str">
        <f t="shared" si="124"/>
        <v>TRK_229_1</v>
      </c>
      <c r="AG420" s="279" t="s">
        <v>5625</v>
      </c>
      <c r="AH420" t="s">
        <v>5624</v>
      </c>
      <c r="AI420" t="s">
        <v>5623</v>
      </c>
      <c r="AJ420">
        <v>6.9262000000000004E-2</v>
      </c>
      <c r="AK420">
        <v>1.1298189999999999</v>
      </c>
      <c r="AL420">
        <v>1.060557</v>
      </c>
      <c r="AM420">
        <v>9.3329039999999992</v>
      </c>
      <c r="AN420" s="328">
        <f t="shared" si="125"/>
        <v>8.9086788000000006</v>
      </c>
    </row>
    <row r="421" spans="3:41" ht="13.5" customHeight="1">
      <c r="J421" t="s">
        <v>228</v>
      </c>
      <c r="K421" t="s">
        <v>825</v>
      </c>
      <c r="L421" s="94" t="str" cm="1">
        <f t="array" aca="1" ref="L421" ca="1">MID(met2utc(Q421),3,12)</f>
        <v>26-081/05:08</v>
      </c>
      <c r="M421" s="94" t="str" cm="1">
        <f t="array" aca="1" ref="M421" ca="1">MID(met2utc(R421),3,12)</f>
        <v>26-106/15:00</v>
      </c>
      <c r="N421" t="s">
        <v>5613</v>
      </c>
      <c r="O421" s="326" t="str">
        <f t="shared" si="127"/>
        <v>229/21:48</v>
      </c>
      <c r="P421" s="32" t="str">
        <f t="shared" si="128"/>
        <v>229_2</v>
      </c>
      <c r="Q421" s="58">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2">
        <f t="shared" si="126"/>
        <v>2.4214386940002441E-8</v>
      </c>
      <c r="Y421" s="331"/>
      <c r="Z421" s="330"/>
      <c r="AA421" s="77">
        <f t="shared" si="123"/>
        <v>8.8816224000000012</v>
      </c>
      <c r="AC421" s="129">
        <f>AE421+AC420</f>
        <v>17.790301199999821</v>
      </c>
      <c r="AD421" s="3">
        <f t="shared" si="121"/>
        <v>1.9371509552001952E-13</v>
      </c>
      <c r="AE421" s="3">
        <f t="shared" si="122"/>
        <v>8.8816223999998059</v>
      </c>
      <c r="AF421" s="329" t="str">
        <f t="shared" si="124"/>
        <v>TRK_229_2</v>
      </c>
      <c r="AG421" s="279" t="s">
        <v>5622</v>
      </c>
      <c r="AH421" t="s">
        <v>5621</v>
      </c>
      <c r="AI421" t="s">
        <v>5620</v>
      </c>
      <c r="AJ421">
        <v>6.1191000000000002E-2</v>
      </c>
      <c r="AK421">
        <v>1.118527</v>
      </c>
      <c r="AL421">
        <v>1.0573360000000001</v>
      </c>
      <c r="AM421">
        <v>9.3045550000000006</v>
      </c>
      <c r="AN421" s="328">
        <f t="shared" si="125"/>
        <v>8.8816224000000012</v>
      </c>
    </row>
    <row r="422" spans="3:41" ht="13.5" customHeight="1">
      <c r="J422" t="s">
        <v>228</v>
      </c>
      <c r="K422" t="s">
        <v>825</v>
      </c>
      <c r="L422" s="94" t="str" cm="1">
        <f t="array" aca="1" ref="L422" ca="1">MID(met2utc(Q422),3,12)</f>
        <v>26-106/15:00</v>
      </c>
      <c r="M422" s="94" t="str" cm="1">
        <f t="array" aca="1" ref="M422" ca="1">MID(met2utc(R422),3,12)</f>
        <v>26-130/04:11</v>
      </c>
      <c r="N422" t="s">
        <v>5613</v>
      </c>
      <c r="O422" s="326" t="str">
        <f t="shared" si="127"/>
        <v>230/10:58</v>
      </c>
      <c r="P422" s="32" t="str">
        <f t="shared" si="128"/>
        <v>230_1</v>
      </c>
      <c r="Q422" s="58">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2">
        <f t="shared" si="126"/>
        <v>-1.2223608791828156E-8</v>
      </c>
      <c r="Y422" s="331"/>
      <c r="Z422" s="330"/>
      <c r="AA422" s="77">
        <f t="shared" si="123"/>
        <v>8.2308660000000007</v>
      </c>
      <c r="AC422" s="129">
        <f>AE422+AC421</f>
        <v>26.021167199999919</v>
      </c>
      <c r="AD422" s="3">
        <f t="shared" si="121"/>
        <v>-9.7788870334625248E-14</v>
      </c>
      <c r="AE422" s="3">
        <f t="shared" si="122"/>
        <v>8.2308660000000984</v>
      </c>
      <c r="AF422" s="329" t="str">
        <f t="shared" si="124"/>
        <v>TRK_230_1</v>
      </c>
      <c r="AG422" s="279" t="s">
        <v>5619</v>
      </c>
      <c r="AH422" t="s">
        <v>5618</v>
      </c>
      <c r="AI422" t="s">
        <v>5617</v>
      </c>
      <c r="AJ422">
        <v>0.22567200000000001</v>
      </c>
      <c r="AK422">
        <v>1.2055370000000001</v>
      </c>
      <c r="AL422">
        <v>0.97986499999999999</v>
      </c>
      <c r="AM422">
        <v>8.6228119999999997</v>
      </c>
      <c r="AN422" s="328">
        <f t="shared" si="125"/>
        <v>8.2308660000000007</v>
      </c>
    </row>
    <row r="423" spans="3:41" ht="13.5" customHeight="1">
      <c r="J423" t="s">
        <v>228</v>
      </c>
      <c r="K423" t="s">
        <v>825</v>
      </c>
      <c r="L423" s="94" t="str" cm="1">
        <f t="array" aca="1" ref="L423" ca="1">MID(met2utc(Q423),3,12)</f>
        <v>26-130/04:11</v>
      </c>
      <c r="M423" s="94" t="str" cm="1">
        <f t="array" aca="1" ref="M423" ca="1">MID(met2utc(R423),3,12)</f>
        <v>26-152/11:31</v>
      </c>
      <c r="N423" t="s">
        <v>5613</v>
      </c>
      <c r="O423" s="326" t="str">
        <f t="shared" si="127"/>
        <v>231/10:07</v>
      </c>
      <c r="P423" s="32" t="str">
        <f t="shared" si="128"/>
        <v>231_1</v>
      </c>
      <c r="Q423" s="58">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2">
        <f t="shared" si="126"/>
        <v>-1.57160684466362E-8</v>
      </c>
      <c r="Y423" s="331"/>
      <c r="Z423" s="330"/>
      <c r="AA423" s="77">
        <f t="shared" si="123"/>
        <v>7.7961408000000008</v>
      </c>
      <c r="AC423" s="129">
        <f>AE423+AC422</f>
        <v>33.817308000000047</v>
      </c>
      <c r="AD423" s="3">
        <f t="shared" si="121"/>
        <v>-1.257285475730896E-13</v>
      </c>
      <c r="AE423" s="3">
        <f t="shared" si="122"/>
        <v>7.7961408000001269</v>
      </c>
      <c r="AF423" s="329" t="str">
        <f t="shared" si="124"/>
        <v>TRK_231_1_</v>
      </c>
      <c r="AG423" s="279" t="s">
        <v>5616</v>
      </c>
      <c r="AH423" t="s">
        <v>5615</v>
      </c>
      <c r="AI423" t="s">
        <v>5614</v>
      </c>
      <c r="AJ423">
        <v>0.44786999999999999</v>
      </c>
      <c r="AK423">
        <v>1.375982</v>
      </c>
      <c r="AL423">
        <v>0.92811200000000005</v>
      </c>
      <c r="AM423">
        <v>8.1673880000000008</v>
      </c>
      <c r="AN423" s="328">
        <f t="shared" si="125"/>
        <v>7.7961408000000008</v>
      </c>
      <c r="AO423">
        <f>SUM(AN412:AN423)</f>
        <v>100.65933360000001</v>
      </c>
    </row>
    <row r="424" spans="3:41" ht="13.5" customHeight="1">
      <c r="J424" t="s">
        <v>228</v>
      </c>
      <c r="K424" t="s">
        <v>825</v>
      </c>
      <c r="L424" s="94" t="str" cm="1">
        <f t="array" aca="1" ref="L424" ca="1">MID(met2utc(Q424),3,12)</f>
        <v>26-152/11:31</v>
      </c>
      <c r="M424" s="94" t="str" cm="1">
        <f t="array" aca="1" ref="M424" ca="1">MID(met2utc(R424),3,12)</f>
        <v>26-172/04:55</v>
      </c>
      <c r="N424" t="s">
        <v>5613</v>
      </c>
      <c r="O424" s="326" t="str">
        <f t="shared" si="127"/>
        <v>232/02:47</v>
      </c>
      <c r="P424" s="32" t="str">
        <f t="shared" si="128"/>
        <v>232_1</v>
      </c>
      <c r="Q424" s="58">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2">
        <f t="shared" si="126"/>
        <v>-6.7520886659622192E-9</v>
      </c>
      <c r="Y424" s="331"/>
      <c r="Z424" s="330"/>
      <c r="AA424" s="77">
        <f t="shared" si="123"/>
        <v>6.894342</v>
      </c>
      <c r="AB424" s="99"/>
      <c r="AC424" s="129">
        <f>AE424+AC423</f>
        <v>40.711650000000098</v>
      </c>
      <c r="AD424" s="3">
        <f t="shared" si="121"/>
        <v>-5.4016709327697754E-14</v>
      </c>
      <c r="AE424" s="3">
        <f t="shared" si="122"/>
        <v>6.8943420000000541</v>
      </c>
      <c r="AF424" s="329" t="str">
        <f t="shared" si="124"/>
        <v>TRK_232_1</v>
      </c>
      <c r="AG424" s="279" t="s">
        <v>5612</v>
      </c>
      <c r="AH424" t="s">
        <v>5611</v>
      </c>
      <c r="AI424" t="s">
        <v>5610</v>
      </c>
      <c r="AJ424">
        <v>0.24752199999999999</v>
      </c>
      <c r="AK424">
        <v>1.0682769999999999</v>
      </c>
      <c r="AL424">
        <v>0.82075500000000001</v>
      </c>
      <c r="AM424">
        <v>7.2226429999999997</v>
      </c>
      <c r="AN424" s="269">
        <f t="shared" si="125"/>
        <v>6.894342</v>
      </c>
    </row>
    <row r="425" spans="3:41" ht="13.5" customHeight="1">
      <c r="J425" t="s">
        <v>228</v>
      </c>
      <c r="K425" t="s">
        <v>825</v>
      </c>
      <c r="L425" s="94" t="str" cm="1">
        <f t="array" aca="1" ref="L425" ca="1">MID(met2utc(Q425),3,12)</f>
        <v>26-172/04:55</v>
      </c>
      <c r="M425" s="94" t="str" cm="1">
        <f t="array" aca="1" ref="M425" ca="1">MID(met2utc(R425),3,12)</f>
        <v>26-188/18:08</v>
      </c>
      <c r="N425" t="s">
        <v>5452</v>
      </c>
      <c r="O425" s="326" t="str">
        <f t="shared" si="127"/>
        <v>232/11:17</v>
      </c>
      <c r="P425" s="32" t="str">
        <f t="shared" si="128"/>
        <v>232_2</v>
      </c>
      <c r="Q425" s="58">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2">
        <f t="shared" si="126"/>
        <v>-2.3981556296348572E-8</v>
      </c>
      <c r="Y425" s="331"/>
      <c r="Z425" s="330"/>
      <c r="AA425" s="77">
        <f t="shared" si="123"/>
        <v>5.7846096000000005</v>
      </c>
      <c r="AC425" s="129">
        <f>AE425+AC424</f>
        <v>46.496259600000293</v>
      </c>
      <c r="AD425" s="3">
        <f t="shared" si="121"/>
        <v>-1.9185245037078857E-13</v>
      </c>
      <c r="AE425" s="3">
        <f t="shared" si="122"/>
        <v>5.7846096000001923</v>
      </c>
      <c r="AF425" s="329" t="str">
        <f t="shared" si="124"/>
        <v>TRK_232_2</v>
      </c>
      <c r="AG425" s="279" t="s">
        <v>5609</v>
      </c>
      <c r="AH425" t="s">
        <v>5608</v>
      </c>
      <c r="AI425" t="s">
        <v>5607</v>
      </c>
      <c r="AJ425">
        <v>0.19355900000000001</v>
      </c>
      <c r="AK425">
        <v>0.88220299999999996</v>
      </c>
      <c r="AL425">
        <v>0.68864400000000003</v>
      </c>
      <c r="AM425">
        <v>6.0600639999999997</v>
      </c>
      <c r="AN425" s="269">
        <f t="shared" si="125"/>
        <v>5.7846096000000005</v>
      </c>
    </row>
    <row r="426" spans="3:41" ht="13.5" customHeight="1">
      <c r="L426" s="286"/>
      <c r="M426" s="286"/>
      <c r="O426" s="326" t="str">
        <f t="shared" si="127"/>
        <v>232/22:57</v>
      </c>
      <c r="P426" s="32" t="str">
        <f t="shared" si="128"/>
        <v>232_3</v>
      </c>
      <c r="Q426" s="337"/>
      <c r="R426" s="337"/>
      <c r="S426" s="286"/>
      <c r="T426" s="337"/>
      <c r="U426" s="286"/>
      <c r="V426" s="286"/>
      <c r="W426" s="286"/>
      <c r="X426" s="286"/>
      <c r="Y426" s="331"/>
      <c r="Z426" s="349">
        <f>AA426</f>
        <v>19.9636332</v>
      </c>
      <c r="AA426" s="77">
        <f t="shared" si="123"/>
        <v>19.9636332</v>
      </c>
      <c r="AB426">
        <f>(Z428/194)*235</f>
        <v>67.556049371134023</v>
      </c>
      <c r="AC426" s="347">
        <f>AC418+Z426</f>
        <v>52.615525199999993</v>
      </c>
      <c r="AD426" s="3">
        <f t="shared" si="121"/>
        <v>0</v>
      </c>
      <c r="AE426" s="3">
        <f t="shared" si="122"/>
        <v>0</v>
      </c>
      <c r="AF426" s="346" t="str">
        <f t="shared" si="124"/>
        <v>TRK_232_3</v>
      </c>
      <c r="AG426" s="279" t="s">
        <v>5606</v>
      </c>
      <c r="AH426" t="s">
        <v>5605</v>
      </c>
      <c r="AI426" t="s">
        <v>5604</v>
      </c>
      <c r="AJ426">
        <v>6.3396999999999995E-2</v>
      </c>
      <c r="AK426">
        <v>2.4400200000000001</v>
      </c>
      <c r="AL426">
        <v>2.3766229999999999</v>
      </c>
      <c r="AM426">
        <v>20.914285</v>
      </c>
      <c r="AN426" s="269">
        <f t="shared" si="125"/>
        <v>19.9636332</v>
      </c>
    </row>
    <row r="427" spans="3:41" ht="13.5" customHeight="1">
      <c r="L427" s="286"/>
      <c r="M427" s="286"/>
      <c r="O427" s="326" t="str">
        <f t="shared" si="127"/>
        <v>233/12:02</v>
      </c>
      <c r="P427" s="32" t="str">
        <f t="shared" si="128"/>
        <v>233_1</v>
      </c>
      <c r="Q427" s="286"/>
      <c r="R427" s="286"/>
      <c r="S427" s="286"/>
      <c r="T427" s="286"/>
      <c r="U427" s="286"/>
      <c r="V427" s="286"/>
      <c r="W427" s="286"/>
      <c r="X427" s="286"/>
      <c r="Y427" s="331"/>
      <c r="Z427" s="349">
        <f>AA427+AA426</f>
        <v>31.822946399999999</v>
      </c>
      <c r="AA427" s="77">
        <f t="shared" si="123"/>
        <v>11.859313200000001</v>
      </c>
      <c r="AB427">
        <f>Z428*0.687</f>
        <v>38.313766587600007</v>
      </c>
      <c r="AC427" s="347">
        <f>AC426+AA427</f>
        <v>64.474838399999996</v>
      </c>
      <c r="AD427" s="3">
        <f t="shared" si="121"/>
        <v>0</v>
      </c>
      <c r="AE427" s="3">
        <f t="shared" si="122"/>
        <v>0</v>
      </c>
      <c r="AF427" s="346" t="str">
        <f t="shared" si="124"/>
        <v>TRK_233_1</v>
      </c>
      <c r="AG427" s="279" t="s">
        <v>5603</v>
      </c>
      <c r="AH427" t="s">
        <v>5602</v>
      </c>
      <c r="AI427" t="s">
        <v>5601</v>
      </c>
      <c r="AJ427">
        <v>0.21144499999999999</v>
      </c>
      <c r="AK427">
        <v>1.6232679999999999</v>
      </c>
      <c r="AL427">
        <v>1.4118230000000001</v>
      </c>
      <c r="AM427">
        <v>12.424046000000001</v>
      </c>
      <c r="AN427" s="269">
        <f t="shared" si="125"/>
        <v>11.859313200000001</v>
      </c>
    </row>
    <row r="428" spans="3:41" ht="13.5" customHeight="1">
      <c r="L428" s="286"/>
      <c r="M428" s="286"/>
      <c r="O428" s="326" t="str">
        <f t="shared" si="127"/>
        <v>234/02:32</v>
      </c>
      <c r="P428" s="32" t="str">
        <f t="shared" si="128"/>
        <v>234_1</v>
      </c>
      <c r="Q428" s="337">
        <v>645952406</v>
      </c>
      <c r="R428" s="337">
        <v>645953459</v>
      </c>
      <c r="S428" s="286"/>
      <c r="T428" s="337">
        <v>6971250</v>
      </c>
      <c r="U428" s="286"/>
      <c r="V428" s="286">
        <f>T428</f>
        <v>6971250</v>
      </c>
      <c r="W428" s="286">
        <f>Z428*1000000/8</f>
        <v>6971209.3500000006</v>
      </c>
      <c r="X428" s="286">
        <f t="shared" ref="X428:X441" si="134">W428-V428</f>
        <v>-40.649999999441206</v>
      </c>
      <c r="Y428" s="331"/>
      <c r="Z428" s="335">
        <f>AA428+Z427</f>
        <v>55.769674800000004</v>
      </c>
      <c r="AA428" s="77">
        <f t="shared" si="123"/>
        <v>23.946728400000001</v>
      </c>
      <c r="AC428" s="347">
        <f>AC427+AA428</f>
        <v>88.421566799999994</v>
      </c>
      <c r="AD428" s="3">
        <f t="shared" si="121"/>
        <v>-3.2519999999552966E-4</v>
      </c>
      <c r="AE428" s="3">
        <f t="shared" si="122"/>
        <v>55.77</v>
      </c>
      <c r="AF428" s="346" t="str">
        <f t="shared" si="124"/>
        <v>TRK_234_1</v>
      </c>
      <c r="AG428" s="279" t="s">
        <v>5600</v>
      </c>
      <c r="AH428" t="s">
        <v>5599</v>
      </c>
      <c r="AI428" t="s">
        <v>5598</v>
      </c>
      <c r="AJ428">
        <v>7.4108999999999994E-2</v>
      </c>
      <c r="AK428">
        <v>2.9249100000000001</v>
      </c>
      <c r="AL428">
        <v>2.8508010000000001</v>
      </c>
      <c r="AM428">
        <v>25.087050000000001</v>
      </c>
      <c r="AN428" s="269">
        <f t="shared" si="125"/>
        <v>23.946728400000001</v>
      </c>
    </row>
    <row r="429" spans="3:41" ht="13.5" customHeight="1">
      <c r="C429" s="3">
        <v>104</v>
      </c>
      <c r="D429" s="3">
        <v>105</v>
      </c>
      <c r="E429" t="s">
        <v>51</v>
      </c>
      <c r="F429" t="s">
        <v>49</v>
      </c>
      <c r="G429" t="s">
        <v>50</v>
      </c>
      <c r="H429" t="s">
        <v>53</v>
      </c>
      <c r="I429" t="s">
        <v>54</v>
      </c>
      <c r="L429" s="78" t="str" cm="1">
        <f t="array" aca="1" ref="L429" ca="1">MID(met2utc(Q429),3,12)</f>
        <v>25-225/23:55</v>
      </c>
      <c r="M429" s="78" t="str" cm="1">
        <f t="array" aca="1" ref="M429" ca="1">MID(met2utc(R429),3,12)</f>
        <v>25-226/20:49</v>
      </c>
      <c r="N429" t="s">
        <v>5573</v>
      </c>
      <c r="O429" s="326"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2">
        <f t="shared" si="134"/>
        <v>2.4167820811271667E-7</v>
      </c>
      <c r="Y429" s="331"/>
      <c r="Z429" s="330"/>
      <c r="AA429" s="77">
        <f t="shared" si="123"/>
        <v>4.1558916000000004</v>
      </c>
      <c r="AC429" s="118">
        <f>AA429+AC419</f>
        <v>49.381457999997309</v>
      </c>
      <c r="AD429" s="3">
        <f t="shared" si="121"/>
        <v>1.9334256649017335E-12</v>
      </c>
      <c r="AE429" s="3">
        <f t="shared" si="122"/>
        <v>4.1558915999980668</v>
      </c>
      <c r="AF429" s="329" t="str">
        <f t="shared" si="124"/>
        <v>TRK_235_1_</v>
      </c>
      <c r="AG429" s="279" t="s">
        <v>5597</v>
      </c>
      <c r="AH429" t="s">
        <v>5596</v>
      </c>
      <c r="AI429" t="s">
        <v>5595</v>
      </c>
      <c r="AJ429">
        <v>0.43607800000000002</v>
      </c>
      <c r="AK429">
        <v>0.93082699999999996</v>
      </c>
      <c r="AL429">
        <v>0.49474899999999999</v>
      </c>
      <c r="AM429">
        <v>4.3537949999999999</v>
      </c>
      <c r="AN429" s="269">
        <f t="shared" si="125"/>
        <v>4.1558916000000004</v>
      </c>
    </row>
    <row r="430" spans="3:41" ht="13.5" customHeight="1">
      <c r="C430" s="3">
        <v>104</v>
      </c>
      <c r="D430" s="3">
        <v>105</v>
      </c>
      <c r="E430" t="s">
        <v>51</v>
      </c>
      <c r="F430" t="s">
        <v>49</v>
      </c>
      <c r="G430" s="3" t="s">
        <v>50</v>
      </c>
      <c r="H430" t="s">
        <v>53</v>
      </c>
      <c r="I430" t="s">
        <v>54</v>
      </c>
      <c r="L430" s="78" t="str" cm="1">
        <f t="array" aca="1" ref="L430" ca="1">MID(met2utc(Q430),3,12)</f>
        <v>25-226/20:49</v>
      </c>
      <c r="M430" s="78" t="str" cm="1">
        <f t="array" aca="1" ref="M430" ca="1">MID(met2utc(R430),3,12)</f>
        <v>25-227/23:14</v>
      </c>
      <c r="N430" t="s">
        <v>5573</v>
      </c>
      <c r="O430" s="326" t="str">
        <f t="shared" si="127"/>
        <v>235/12:12</v>
      </c>
      <c r="P430" s="32" t="str">
        <f t="shared" si="128"/>
        <v>235_2</v>
      </c>
      <c r="Q430" s="58">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2">
        <f t="shared" si="134"/>
        <v>2.8428621590137482E-7</v>
      </c>
      <c r="Y430" s="331"/>
      <c r="Z430" s="330"/>
      <c r="AA430" s="77">
        <f t="shared" si="123"/>
        <v>5.2523603999999997</v>
      </c>
      <c r="AC430" s="118">
        <f>AC429+AA430</f>
        <v>54.63381839999731</v>
      </c>
      <c r="AD430" s="3">
        <f t="shared" si="121"/>
        <v>2.2742897272109987E-12</v>
      </c>
      <c r="AE430" s="3">
        <f t="shared" si="122"/>
        <v>5.2523603999977251</v>
      </c>
      <c r="AF430" s="329" t="str">
        <f t="shared" si="124"/>
        <v>TRK_235_2</v>
      </c>
      <c r="AG430" s="279" t="s">
        <v>5594</v>
      </c>
      <c r="AH430" t="s">
        <v>5593</v>
      </c>
      <c r="AI430" t="s">
        <v>5592</v>
      </c>
      <c r="AJ430">
        <v>0.187865</v>
      </c>
      <c r="AK430">
        <v>0.81314600000000004</v>
      </c>
      <c r="AL430">
        <v>0.62528099999999998</v>
      </c>
      <c r="AM430">
        <v>5.5024699999999998</v>
      </c>
      <c r="AN430" s="269">
        <f t="shared" si="125"/>
        <v>5.2523603999999997</v>
      </c>
      <c r="AO430">
        <f>SUM(AN424:AN430)</f>
        <v>77.856878400000014</v>
      </c>
    </row>
    <row r="431" spans="3:41" ht="13.5" customHeight="1">
      <c r="C431" s="3">
        <v>104</v>
      </c>
      <c r="D431" s="3">
        <v>105</v>
      </c>
      <c r="E431" t="s">
        <v>51</v>
      </c>
      <c r="F431" t="s">
        <v>49</v>
      </c>
      <c r="G431" s="3" t="s">
        <v>50</v>
      </c>
      <c r="H431" t="s">
        <v>53</v>
      </c>
      <c r="I431" t="s">
        <v>54</v>
      </c>
      <c r="L431" s="78" t="str" cm="1">
        <f t="array" aca="1" ref="L431" ca="1">MID(met2utc(Q431),3,12)</f>
        <v>25-227/23:14</v>
      </c>
      <c r="M431" s="78" t="str" cm="1">
        <f t="array" aca="1" ref="M431" ca="1">MID(met2utc(R431),3,12)</f>
        <v>25-230/07:06</v>
      </c>
      <c r="N431" t="s">
        <v>5573</v>
      </c>
      <c r="O431" s="326" t="str">
        <f t="shared" si="127"/>
        <v>235/21:07</v>
      </c>
      <c r="P431" s="32" t="str">
        <f t="shared" si="128"/>
        <v>235_3</v>
      </c>
      <c r="Q431" s="58">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2">
        <f t="shared" si="134"/>
        <v>-1.0547228157520294E-7</v>
      </c>
      <c r="Y431" s="331"/>
      <c r="Z431" s="330"/>
      <c r="AA431" s="77">
        <f t="shared" si="123"/>
        <v>11.108412000000001</v>
      </c>
      <c r="AC431" s="118">
        <f>AC430+AA431</f>
        <v>65.742230399997311</v>
      </c>
      <c r="AD431" s="3">
        <f t="shared" si="121"/>
        <v>-8.4377825260162355E-13</v>
      </c>
      <c r="AE431" s="3">
        <f t="shared" si="122"/>
        <v>11.108412000000845</v>
      </c>
      <c r="AF431" s="329" t="str">
        <f t="shared" si="124"/>
        <v>TRK_235_3</v>
      </c>
      <c r="AG431" s="279" t="s">
        <v>5591</v>
      </c>
      <c r="AH431" t="s">
        <v>5590</v>
      </c>
      <c r="AI431" t="s">
        <v>5589</v>
      </c>
      <c r="AJ431">
        <v>0.19467000000000001</v>
      </c>
      <c r="AK431">
        <v>1.5170999999999999</v>
      </c>
      <c r="AL431">
        <v>1.32243</v>
      </c>
      <c r="AM431">
        <v>11.637388</v>
      </c>
      <c r="AN431" s="328">
        <f t="shared" si="125"/>
        <v>11.108412000000001</v>
      </c>
    </row>
    <row r="432" spans="3:41" ht="13.5" customHeight="1">
      <c r="C432" s="3">
        <v>104</v>
      </c>
      <c r="D432" s="3">
        <v>105</v>
      </c>
      <c r="E432" t="s">
        <v>51</v>
      </c>
      <c r="F432" t="s">
        <v>49</v>
      </c>
      <c r="G432" s="3" t="s">
        <v>50</v>
      </c>
      <c r="H432" t="s">
        <v>53</v>
      </c>
      <c r="I432" t="s">
        <v>54</v>
      </c>
      <c r="L432" s="78" t="str" cm="1">
        <f t="array" aca="1" ref="L432" ca="1">MID(met2utc(Q432),3,12)</f>
        <v>25-230/07:06</v>
      </c>
      <c r="M432" s="78" t="str" cm="1">
        <f t="array" aca="1" ref="M432" ca="1">MID(met2utc(R432),3,12)</f>
        <v>25-231/17:06</v>
      </c>
      <c r="N432" t="s">
        <v>5573</v>
      </c>
      <c r="O432" s="326" t="str">
        <f t="shared" si="127"/>
        <v>236/11:17</v>
      </c>
      <c r="P432" s="32" t="str">
        <f t="shared" si="128"/>
        <v>236_1</v>
      </c>
      <c r="Q432" s="58">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2">
        <f t="shared" si="134"/>
        <v>3.1979288905858994E-7</v>
      </c>
      <c r="Y432" s="331"/>
      <c r="Z432" s="330"/>
      <c r="AA432" s="77">
        <f t="shared" si="123"/>
        <v>6.7593540000000001</v>
      </c>
      <c r="AC432" s="118">
        <f>AC431+AA432</f>
        <v>72.501584399997313</v>
      </c>
      <c r="AD432" s="3">
        <f t="shared" si="121"/>
        <v>2.5583431124687194E-12</v>
      </c>
      <c r="AE432" s="3">
        <f t="shared" si="122"/>
        <v>6.7593539999974412</v>
      </c>
      <c r="AF432" s="329" t="str">
        <f t="shared" si="124"/>
        <v>TRK_236_1</v>
      </c>
      <c r="AG432" s="279" t="s">
        <v>5588</v>
      </c>
      <c r="AH432" t="s">
        <v>5587</v>
      </c>
      <c r="AI432" t="s">
        <v>5586</v>
      </c>
      <c r="AJ432">
        <v>0.22892599999999999</v>
      </c>
      <c r="AK432">
        <v>1.0336110000000001</v>
      </c>
      <c r="AL432">
        <v>0.80468499999999998</v>
      </c>
      <c r="AM432">
        <v>7.0812299999999997</v>
      </c>
      <c r="AN432" s="328">
        <f t="shared" si="125"/>
        <v>6.7593540000000001</v>
      </c>
    </row>
    <row r="433" spans="3:41" ht="13.5" customHeight="1">
      <c r="J433" t="s">
        <v>228</v>
      </c>
      <c r="K433" t="s">
        <v>825</v>
      </c>
      <c r="L433" s="94" t="str" cm="1">
        <f t="array" aca="1" ref="L433" ca="1">MID(met2utc(Q433),3,12)</f>
        <v>26-188/18:08</v>
      </c>
      <c r="M433" s="94" t="str" cm="1">
        <f t="array" aca="1" ref="M433" ca="1">MID(met2utc(R433),3,12)</f>
        <v>26-211/00:47</v>
      </c>
      <c r="N433" t="s">
        <v>5533</v>
      </c>
      <c r="O433" s="326" t="str">
        <f t="shared" si="127"/>
        <v>237/00:31</v>
      </c>
      <c r="P433" s="32" t="str">
        <f t="shared" si="128"/>
        <v>237_1</v>
      </c>
      <c r="Q433" s="58">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2">
        <f t="shared" si="134"/>
        <v>-7.2177499532699585E-9</v>
      </c>
      <c r="Y433" s="331"/>
      <c r="Z433" s="330"/>
      <c r="AA433" s="77">
        <f t="shared" si="123"/>
        <v>7.7863296000000002</v>
      </c>
      <c r="AC433" s="129">
        <f>AC425+AE433</f>
        <v>54.282589200000352</v>
      </c>
      <c r="AD433" s="3">
        <f t="shared" si="121"/>
        <v>-5.774199962615967E-14</v>
      </c>
      <c r="AE433" s="3">
        <f t="shared" si="122"/>
        <v>7.7863296000000579</v>
      </c>
      <c r="AF433" s="329" t="str">
        <f t="shared" si="124"/>
        <v>TRK_237_1</v>
      </c>
      <c r="AG433" s="279" t="s">
        <v>5585</v>
      </c>
      <c r="AH433" t="s">
        <v>5584</v>
      </c>
      <c r="AI433" t="s">
        <v>5583</v>
      </c>
      <c r="AJ433">
        <v>0.22267700000000001</v>
      </c>
      <c r="AK433">
        <v>1.149621</v>
      </c>
      <c r="AL433">
        <v>0.92694399999999999</v>
      </c>
      <c r="AM433">
        <v>8.1571119999999997</v>
      </c>
      <c r="AN433" s="328">
        <f t="shared" si="125"/>
        <v>7.7863296000000002</v>
      </c>
    </row>
    <row r="434" spans="3:41" ht="13.5" customHeight="1">
      <c r="J434" t="s">
        <v>228</v>
      </c>
      <c r="K434" t="s">
        <v>825</v>
      </c>
      <c r="L434" s="94" t="str" cm="1">
        <f t="array" aca="1" ref="L434" ca="1">MID(met2utc(Q434),3,12)</f>
        <v>26-211/00:47</v>
      </c>
      <c r="M434" s="94" t="str" cm="1">
        <f t="array" aca="1" ref="M434" ca="1">MID(met2utc(R434),3,12)</f>
        <v>26-218/23:58</v>
      </c>
      <c r="N434" t="s">
        <v>5533</v>
      </c>
      <c r="O434" s="326" t="str">
        <f t="shared" si="127"/>
        <v>237/13:01</v>
      </c>
      <c r="P434" s="32" t="str">
        <f t="shared" si="128"/>
        <v>237_2</v>
      </c>
      <c r="Q434" s="58">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2">
        <f t="shared" si="134"/>
        <v>-2.3690517991781235E-8</v>
      </c>
      <c r="Y434" s="331"/>
      <c r="Z434" s="330"/>
      <c r="AA434" s="77">
        <f t="shared" si="123"/>
        <v>2.784138</v>
      </c>
      <c r="AC434" s="129">
        <f>AE434+AC433</f>
        <v>57.066727200000543</v>
      </c>
      <c r="AD434" s="3">
        <f t="shared" si="121"/>
        <v>-1.8952414393424989E-13</v>
      </c>
      <c r="AE434" s="3">
        <f t="shared" si="122"/>
        <v>2.7841380000001896</v>
      </c>
      <c r="AF434" s="329" t="str">
        <f t="shared" si="124"/>
        <v>TRK_237_2</v>
      </c>
      <c r="AG434" s="279" t="s">
        <v>5582</v>
      </c>
      <c r="AH434" t="s">
        <v>5581</v>
      </c>
      <c r="AI434" t="s">
        <v>5580</v>
      </c>
      <c r="AJ434">
        <v>0.220665</v>
      </c>
      <c r="AK434">
        <v>0.55210999999999999</v>
      </c>
      <c r="AL434">
        <v>0.33144499999999999</v>
      </c>
      <c r="AM434">
        <v>2.9167139999999998</v>
      </c>
      <c r="AN434" s="328">
        <f t="shared" si="125"/>
        <v>2.784138</v>
      </c>
    </row>
    <row r="435" spans="3:41" ht="13.5" customHeight="1">
      <c r="L435" s="348"/>
      <c r="M435" s="348"/>
      <c r="O435" s="326" t="str">
        <f t="shared" si="127"/>
        <v>237/21:31</v>
      </c>
      <c r="P435" s="32" t="str">
        <f t="shared" si="128"/>
        <v>237_3</v>
      </c>
      <c r="Q435" s="339">
        <v>645953458</v>
      </c>
      <c r="R435" s="286">
        <v>645953885</v>
      </c>
      <c r="S435" s="190"/>
      <c r="T435" s="190">
        <v>2821250</v>
      </c>
      <c r="U435" s="337"/>
      <c r="V435" s="336">
        <f>T435</f>
        <v>2821250</v>
      </c>
      <c r="W435" s="286">
        <f t="shared" si="136"/>
        <v>2821305.9000000004</v>
      </c>
      <c r="X435" s="286">
        <f t="shared" si="134"/>
        <v>55.900000000372529</v>
      </c>
      <c r="Y435" s="331"/>
      <c r="Z435" s="335">
        <f>AA435</f>
        <v>22.570447200000004</v>
      </c>
      <c r="AA435" s="77">
        <f t="shared" si="123"/>
        <v>22.570447200000004</v>
      </c>
      <c r="AB435">
        <f>(Z435/194)*235</f>
        <v>27.340490164948459</v>
      </c>
      <c r="AC435" s="347">
        <f>AC428+AA435</f>
        <v>110.992014</v>
      </c>
      <c r="AD435" s="3">
        <f t="shared" si="121"/>
        <v>4.4720000000298023E-4</v>
      </c>
      <c r="AE435" s="3">
        <f t="shared" si="122"/>
        <v>22.57</v>
      </c>
      <c r="AF435" s="346" t="str">
        <f t="shared" si="124"/>
        <v>TRK_237_3</v>
      </c>
      <c r="AG435" s="279" t="s">
        <v>5579</v>
      </c>
      <c r="AH435" t="s">
        <v>5578</v>
      </c>
      <c r="AI435" t="s">
        <v>5577</v>
      </c>
      <c r="AJ435">
        <v>0.19519500000000001</v>
      </c>
      <c r="AK435">
        <v>2.8821530000000002</v>
      </c>
      <c r="AL435">
        <v>2.6869580000000002</v>
      </c>
      <c r="AM435">
        <v>23.645235</v>
      </c>
      <c r="AN435" s="328">
        <f t="shared" si="125"/>
        <v>22.570447200000004</v>
      </c>
    </row>
    <row r="436" spans="3:41" ht="13.5" customHeight="1">
      <c r="J436" t="s">
        <v>228</v>
      </c>
      <c r="K436" t="s">
        <v>825</v>
      </c>
      <c r="L436" s="94" t="str" cm="1">
        <f t="array" aca="1" ref="L436" ca="1">MID(met2utc(Q436),3,12)</f>
        <v>26-218/23:58</v>
      </c>
      <c r="M436" s="94" t="str" cm="1">
        <f t="array" aca="1" ref="M436" ca="1">MID(met2utc(R436),3,12)</f>
        <v>26-230/18:29</v>
      </c>
      <c r="N436" t="s">
        <v>5533</v>
      </c>
      <c r="O436" s="326" t="str">
        <f t="shared" si="127"/>
        <v>238/12:21</v>
      </c>
      <c r="P436" s="32" t="str">
        <f t="shared" si="128"/>
        <v>238_1</v>
      </c>
      <c r="Q436" s="58">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2">
        <f t="shared" si="134"/>
        <v>1.1641532182693481E-8</v>
      </c>
      <c r="Y436" s="331"/>
      <c r="Z436" s="330"/>
      <c r="AA436" s="77">
        <f t="shared" si="123"/>
        <v>4.1144124</v>
      </c>
      <c r="AB436" s="99">
        <f>Z435*0.687</f>
        <v>15.505897226400004</v>
      </c>
      <c r="AC436" s="129">
        <f>AC434+AE436</f>
        <v>61.181139600000449</v>
      </c>
      <c r="AD436" s="3">
        <f t="shared" si="121"/>
        <v>9.3132257461547856E-14</v>
      </c>
      <c r="AE436" s="3">
        <f t="shared" si="122"/>
        <v>4.1144123999999067</v>
      </c>
      <c r="AF436" s="329" t="str">
        <f t="shared" si="124"/>
        <v>TRK_238_1</v>
      </c>
      <c r="AG436" s="279" t="s">
        <v>5576</v>
      </c>
      <c r="AH436" t="s">
        <v>5575</v>
      </c>
      <c r="AI436" t="s">
        <v>5574</v>
      </c>
      <c r="AJ436">
        <v>0.21891099999999999</v>
      </c>
      <c r="AK436">
        <v>0.70872199999999996</v>
      </c>
      <c r="AL436">
        <v>0.489811</v>
      </c>
      <c r="AM436">
        <v>4.3103360000000004</v>
      </c>
      <c r="AN436" s="328">
        <f t="shared" si="125"/>
        <v>4.1144124</v>
      </c>
    </row>
    <row r="437" spans="3:41" ht="13.5" customHeight="1">
      <c r="C437" s="3">
        <v>104</v>
      </c>
      <c r="D437" s="3">
        <v>105</v>
      </c>
      <c r="E437" t="s">
        <v>51</v>
      </c>
      <c r="F437" t="s">
        <v>49</v>
      </c>
      <c r="G437" s="3" t="s">
        <v>50</v>
      </c>
      <c r="H437" t="s">
        <v>53</v>
      </c>
      <c r="I437" t="s">
        <v>54</v>
      </c>
      <c r="L437" s="78" t="str" cm="1">
        <f t="array" aca="1" ref="L437" ca="1">MID(met2utc(Q437),3,12)</f>
        <v>25-231/17:06</v>
      </c>
      <c r="M437" s="78" t="str" cm="1">
        <f t="array" aca="1" ref="M437" ca="1">MID(met2utc(R437),3,12)</f>
        <v>25-234/20:09</v>
      </c>
      <c r="N437" t="s">
        <v>5573</v>
      </c>
      <c r="O437" s="326" t="str">
        <f t="shared" si="127"/>
        <v>239/21:26</v>
      </c>
      <c r="P437" s="32" t="str">
        <f t="shared" si="128"/>
        <v>239_1</v>
      </c>
      <c r="Q437" s="58">
        <f>R432-1</f>
        <v>617929086.23394144</v>
      </c>
      <c r="R437" s="345">
        <f>W437/$V$31+Q437</f>
        <v>618199294.06914234</v>
      </c>
      <c r="S437" s="21">
        <f t="shared" si="137"/>
        <v>270207.8352009058</v>
      </c>
      <c r="T437" s="21">
        <f>S437*$V$31</f>
        <v>1865522.4000002535</v>
      </c>
      <c r="U437" s="3">
        <v>0</v>
      </c>
      <c r="V437" s="20">
        <f>T437+U437*$V$34</f>
        <v>1865522.4000002535</v>
      </c>
      <c r="W437" s="20">
        <f t="shared" si="136"/>
        <v>1865522.4000000001</v>
      </c>
      <c r="X437" s="332">
        <f t="shared" si="134"/>
        <v>-2.5331974029541016E-7</v>
      </c>
      <c r="Y437" s="331"/>
      <c r="Z437" s="330"/>
      <c r="AA437" s="77">
        <f t="shared" si="123"/>
        <v>14.924179200000001</v>
      </c>
      <c r="AC437" s="118">
        <f>AE437+AC432</f>
        <v>87.425763599999343</v>
      </c>
      <c r="AD437" s="3">
        <f t="shared" si="121"/>
        <v>-2.0265579223632812E-12</v>
      </c>
      <c r="AE437" s="3">
        <f t="shared" si="122"/>
        <v>14.924179200002028</v>
      </c>
      <c r="AF437" s="329" t="str">
        <f t="shared" si="124"/>
        <v>TRK_239_1_</v>
      </c>
      <c r="AG437" s="279" t="s">
        <v>5572</v>
      </c>
      <c r="AH437" t="s">
        <v>5571</v>
      </c>
      <c r="AI437" t="s">
        <v>5570</v>
      </c>
      <c r="AJ437">
        <v>0.52125299999999997</v>
      </c>
      <c r="AK437">
        <v>2.2979409999999998</v>
      </c>
      <c r="AL437">
        <v>1.776688</v>
      </c>
      <c r="AM437">
        <v>15.634855</v>
      </c>
      <c r="AN437" s="328">
        <f t="shared" si="125"/>
        <v>14.924179200000001</v>
      </c>
    </row>
    <row r="438" spans="3:41" ht="13.5" customHeight="1">
      <c r="C438" s="3">
        <v>103</v>
      </c>
      <c r="D438" s="3">
        <v>109</v>
      </c>
      <c r="E438" t="s">
        <v>51</v>
      </c>
      <c r="F438" t="s">
        <v>49</v>
      </c>
      <c r="G438" s="3" t="s">
        <v>50</v>
      </c>
      <c r="H438" t="s">
        <v>53</v>
      </c>
      <c r="I438" t="s">
        <v>54</v>
      </c>
      <c r="L438" s="78" t="str" cm="1">
        <f t="array" aca="1" ref="L438" ca="1">MID(met2utc(Q438),3,12)</f>
        <v>26-219/18:07</v>
      </c>
      <c r="M438" s="78" t="str" cm="1">
        <f t="array" aca="1" ref="M438" ca="1">MID(met2utc(R438),3,12)</f>
        <v>26-222/04:44</v>
      </c>
      <c r="N438" t="s">
        <v>5569</v>
      </c>
      <c r="O438" s="326" t="str">
        <f t="shared" si="127"/>
        <v>240/09:21</v>
      </c>
      <c r="P438" s="32" t="str">
        <f t="shared" si="128"/>
        <v>240_1</v>
      </c>
      <c r="Q438" s="58">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2">
        <f t="shared" si="134"/>
        <v>-2.0628795027732849E-7</v>
      </c>
      <c r="Y438" s="331"/>
      <c r="Z438" s="330"/>
      <c r="AA438" s="77">
        <f t="shared" si="123"/>
        <v>8.8994220000000013</v>
      </c>
      <c r="AC438" s="118">
        <f>AC437+AA438</f>
        <v>96.325185599999344</v>
      </c>
      <c r="AD438" s="3">
        <f t="shared" si="121"/>
        <v>-1.6503036022186279E-12</v>
      </c>
      <c r="AE438" s="3">
        <f t="shared" si="122"/>
        <v>8.8994220000016515</v>
      </c>
      <c r="AF438" s="329" t="str">
        <f t="shared" si="124"/>
        <v>TRK_240_1</v>
      </c>
      <c r="AG438" s="279" t="s">
        <v>5568</v>
      </c>
      <c r="AH438" t="s">
        <v>5567</v>
      </c>
      <c r="AI438" t="s">
        <v>5566</v>
      </c>
      <c r="AJ438">
        <v>0.20555799999999999</v>
      </c>
      <c r="AK438">
        <v>1.2650129999999999</v>
      </c>
      <c r="AL438">
        <v>1.059455</v>
      </c>
      <c r="AM438">
        <v>9.3232040000000005</v>
      </c>
      <c r="AN438" s="328">
        <f t="shared" si="125"/>
        <v>8.8994220000000013</v>
      </c>
    </row>
    <row r="439" spans="3:41" ht="13.5" customHeight="1">
      <c r="C439" s="3">
        <v>103</v>
      </c>
      <c r="D439" s="3">
        <v>109</v>
      </c>
      <c r="E439" t="s">
        <v>51</v>
      </c>
      <c r="F439" t="s">
        <v>49</v>
      </c>
      <c r="G439" s="3" t="s">
        <v>50</v>
      </c>
      <c r="H439" t="s">
        <v>53</v>
      </c>
      <c r="I439" t="s">
        <v>54</v>
      </c>
      <c r="L439" s="78" t="str" cm="1">
        <f t="array" aca="1" ref="L439" ca="1">MID(met2utc(Q439),3,12)</f>
        <v>26-222/04:44</v>
      </c>
      <c r="M439" s="78" t="str" cm="1">
        <f t="array" aca="1" ref="M439" ca="1">MID(met2utc(R439),3,12)</f>
        <v>26-227/19:05</v>
      </c>
      <c r="N439" t="s">
        <v>5559</v>
      </c>
      <c r="O439" s="326" t="str">
        <f t="shared" si="127"/>
        <v>241/02:26</v>
      </c>
      <c r="P439" s="32" t="str">
        <f t="shared" si="128"/>
        <v>241_1</v>
      </c>
      <c r="Q439" s="58">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2">
        <f t="shared" si="134"/>
        <v>3.1245872378349304E-7</v>
      </c>
      <c r="Y439" s="331"/>
      <c r="Z439" s="330"/>
      <c r="AA439" s="77">
        <f t="shared" si="123"/>
        <v>20.395393200000001</v>
      </c>
      <c r="AC439" s="118">
        <f>AC438+AA439</f>
        <v>116.72057879999934</v>
      </c>
      <c r="AD439" s="3">
        <f t="shared" si="121"/>
        <v>2.4996697902679445E-12</v>
      </c>
      <c r="AE439" s="3">
        <f t="shared" si="122"/>
        <v>20.3953931999975</v>
      </c>
      <c r="AF439" s="329" t="str">
        <f t="shared" si="124"/>
        <v>TRK_241_1</v>
      </c>
      <c r="AG439" s="279" t="s">
        <v>5565</v>
      </c>
      <c r="AH439" t="s">
        <v>5564</v>
      </c>
      <c r="AI439" t="s">
        <v>5563</v>
      </c>
      <c r="AJ439">
        <v>0.224053</v>
      </c>
      <c r="AK439">
        <v>2.6520760000000001</v>
      </c>
      <c r="AL439">
        <v>2.428023</v>
      </c>
      <c r="AM439">
        <v>21.366603999999999</v>
      </c>
      <c r="AN439" s="328">
        <f t="shared" si="125"/>
        <v>20.395393200000001</v>
      </c>
    </row>
    <row r="440" spans="3:41" ht="13.5" customHeight="1">
      <c r="C440" s="3">
        <v>103</v>
      </c>
      <c r="D440" s="3">
        <v>109</v>
      </c>
      <c r="E440" t="s">
        <v>51</v>
      </c>
      <c r="F440" t="s">
        <v>49</v>
      </c>
      <c r="G440" s="3" t="s">
        <v>50</v>
      </c>
      <c r="H440" t="s">
        <v>53</v>
      </c>
      <c r="I440" t="s">
        <v>54</v>
      </c>
      <c r="L440" s="78" t="str" cm="1">
        <f t="array" aca="1" ref="L440" ca="1">MID(met2utc(Q440),3,12)</f>
        <v>26-227/19:05</v>
      </c>
      <c r="M440" s="78" t="str" cm="1">
        <f t="array" aca="1" ref="M440" ca="1">MID(met2utc(R440),3,12)</f>
        <v>26-230/03:37</v>
      </c>
      <c r="N440" t="s">
        <v>5559</v>
      </c>
      <c r="O440" s="326" t="str">
        <f t="shared" si="127"/>
        <v>242/09:01</v>
      </c>
      <c r="P440" s="32" t="str">
        <f t="shared" si="128"/>
        <v>242_1</v>
      </c>
      <c r="Q440" s="58">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2">
        <f t="shared" si="134"/>
        <v>1.1478550732135773E-7</v>
      </c>
      <c r="Y440" s="331"/>
      <c r="Z440" s="330"/>
      <c r="AA440" s="77">
        <f t="shared" si="123"/>
        <v>8.5820196000000006</v>
      </c>
      <c r="AC440" s="118">
        <f>AC439+AA440</f>
        <v>125.30259839999934</v>
      </c>
      <c r="AD440" s="3">
        <f t="shared" si="121"/>
        <v>9.1828405857086172E-13</v>
      </c>
      <c r="AE440" s="3">
        <f t="shared" si="122"/>
        <v>8.582019599999084</v>
      </c>
      <c r="AF440" s="329" t="str">
        <f t="shared" si="124"/>
        <v>TRK_242_1</v>
      </c>
      <c r="AG440" s="279" t="s">
        <v>5562</v>
      </c>
      <c r="AH440" t="s">
        <v>5561</v>
      </c>
      <c r="AI440" t="s">
        <v>5560</v>
      </c>
      <c r="AJ440">
        <v>0.31891399999999998</v>
      </c>
      <c r="AK440">
        <v>1.3405830000000001</v>
      </c>
      <c r="AL440">
        <v>1.0216689999999999</v>
      </c>
      <c r="AM440">
        <v>8.9906830000000006</v>
      </c>
      <c r="AN440" s="328">
        <f t="shared" si="125"/>
        <v>8.5820196000000006</v>
      </c>
    </row>
    <row r="441" spans="3:41" ht="13.5" customHeight="1">
      <c r="C441" s="3">
        <v>103</v>
      </c>
      <c r="D441" s="3">
        <v>109</v>
      </c>
      <c r="E441" t="s">
        <v>51</v>
      </c>
      <c r="F441" t="s">
        <v>49</v>
      </c>
      <c r="G441" s="3" t="s">
        <v>50</v>
      </c>
      <c r="H441" t="s">
        <v>53</v>
      </c>
      <c r="I441" t="s">
        <v>54</v>
      </c>
      <c r="L441" s="78" t="str" cm="1">
        <f t="array" aca="1" ref="L441" ca="1">MID(met2utc(Q441),3,12)</f>
        <v>26-230/03:37</v>
      </c>
      <c r="M441" s="78" t="str" cm="1">
        <f t="array" aca="1" ref="M441" ca="1">MID(met2utc(R441),3,12)</f>
        <v>26-233/13:54</v>
      </c>
      <c r="N441" t="s">
        <v>5559</v>
      </c>
      <c r="O441" s="326" t="str">
        <f t="shared" si="127"/>
        <v>243/00:10</v>
      </c>
      <c r="P441" s="32" t="str">
        <f t="shared" si="128"/>
        <v>243_1</v>
      </c>
      <c r="Q441" s="58">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2">
        <f t="shared" si="134"/>
        <v>8.0792233347892761E-8</v>
      </c>
      <c r="Y441" s="331"/>
      <c r="Z441" s="330"/>
      <c r="AA441" s="77">
        <f t="shared" si="123"/>
        <v>12.491144400000001</v>
      </c>
      <c r="AB441">
        <f>SUM(AA431:AA441)</f>
        <v>120.4152516</v>
      </c>
      <c r="AC441" s="118">
        <f>AC440+AA441</f>
        <v>137.79374279999934</v>
      </c>
      <c r="AD441" s="3">
        <f t="shared" si="121"/>
        <v>6.4633786678314205E-13</v>
      </c>
      <c r="AE441" s="3">
        <f t="shared" si="122"/>
        <v>12.491144399999357</v>
      </c>
      <c r="AF441" s="329" t="str">
        <f t="shared" si="124"/>
        <v>TRK_243_1_</v>
      </c>
      <c r="AG441" s="279" t="s">
        <v>5558</v>
      </c>
      <c r="AH441" t="s">
        <v>5557</v>
      </c>
      <c r="AI441" t="s">
        <v>5556</v>
      </c>
      <c r="AJ441">
        <v>0.38433699999999998</v>
      </c>
      <c r="AK441">
        <v>1.871378</v>
      </c>
      <c r="AL441">
        <v>1.4870410000000001</v>
      </c>
      <c r="AM441">
        <v>13.08596</v>
      </c>
      <c r="AN441" s="328">
        <f t="shared" si="125"/>
        <v>12.491144400000001</v>
      </c>
      <c r="AO441">
        <f>SUM(AN431:AN441)</f>
        <v>120.4152516</v>
      </c>
    </row>
    <row r="442" spans="3:41" ht="13.5" customHeight="1">
      <c r="V442" s="20"/>
      <c r="W442" s="20">
        <f t="shared" si="136"/>
        <v>87306.701030927827</v>
      </c>
      <c r="AA442" s="77">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4" t="str" cm="1">
        <f t="array" aca="1" ref="L452" ca="1">MID(met2utc(Q452),3,12)</f>
        <v>26-230/18:29</v>
      </c>
      <c r="M452" s="94" t="str" cm="1">
        <f t="array" aca="1" ref="M452" ca="1">MID(met2utc(R452),3,12)</f>
        <v>26-233/07:32</v>
      </c>
      <c r="N452" t="s">
        <v>5533</v>
      </c>
      <c r="O452" s="326" t="str">
        <f t="shared" ref="O452:O464" si="138">AG452</f>
        <v>246T02:55</v>
      </c>
      <c r="P452" s="32" t="str">
        <f>MID(AH452,5,5)</f>
        <v>246_1</v>
      </c>
      <c r="Q452" s="58">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2">
        <f t="shared" ref="X452:X464" si="141">W452-V452</f>
        <v>-1.021544449031353E-8</v>
      </c>
      <c r="Y452" s="331"/>
      <c r="Z452" s="330"/>
      <c r="AA452" s="77">
        <f t="shared" ref="AA452:AA463" si="142">AN452</f>
        <v>0.88907280000000011</v>
      </c>
      <c r="AC452" s="129">
        <f>AC444+AE452</f>
        <v>0.88907280000008193</v>
      </c>
      <c r="AD452" s="3">
        <f t="shared" ref="AD452:AD463" si="143">X452*8/1000000</f>
        <v>-8.1723555922508245E-14</v>
      </c>
      <c r="AE452" s="3">
        <f t="shared" ref="AE452:AE463" si="144">V452*8/1000000</f>
        <v>0.88907280000008193</v>
      </c>
      <c r="AF452" s="329" t="str">
        <f t="shared" ref="AF452:AF463" si="145">AH452</f>
        <v>TRK_246_1</v>
      </c>
      <c r="AG452" t="str">
        <f>MID(AP452,6,9)</f>
        <v>246T02:55</v>
      </c>
      <c r="AH452" t="s">
        <v>5553</v>
      </c>
      <c r="AI452" t="s">
        <v>5552</v>
      </c>
      <c r="AJ452">
        <v>2.3385389999999999</v>
      </c>
      <c r="AK452">
        <v>2.4443809999999999</v>
      </c>
      <c r="AL452">
        <v>0.10584200000000001</v>
      </c>
      <c r="AM452">
        <v>0.93141300000000005</v>
      </c>
      <c r="AN452" s="328">
        <f t="shared" ref="AN452:AN463" si="146">AL452*8*1.05</f>
        <v>0.88907280000000011</v>
      </c>
      <c r="AP452" s="327" t="s">
        <v>5551</v>
      </c>
    </row>
    <row r="453" spans="3:42" ht="13.5" customHeight="1">
      <c r="C453" s="3">
        <v>104</v>
      </c>
      <c r="D453" s="3">
        <v>105</v>
      </c>
      <c r="G453" s="3"/>
      <c r="I453" t="s">
        <v>54</v>
      </c>
      <c r="L453" s="78" t="str" cm="1">
        <f t="array" aca="1" ref="L453" ca="1">MID(met2utc(Q453),3,12)</f>
        <v>25-234/20:09</v>
      </c>
      <c r="M453" s="78" t="str" cm="1">
        <f t="array" aca="1" ref="M453" ca="1">MID(met2utc(R453),3,12)</f>
        <v>25-302/03:10</v>
      </c>
      <c r="N453" t="s">
        <v>5512</v>
      </c>
      <c r="O453" s="326" t="str">
        <f t="shared" si="138"/>
        <v>247T00:35</v>
      </c>
      <c r="P453" s="32" t="str">
        <f t="shared" ref="P453:P464" si="147">MID(AH453,5,5)</f>
        <v>247_1</v>
      </c>
      <c r="Q453" s="344">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2">
        <f t="shared" si="141"/>
        <v>-2.514570951461792E-8</v>
      </c>
      <c r="Y453" s="331"/>
      <c r="Z453" s="330"/>
      <c r="AA453" s="77">
        <f t="shared" si="142"/>
        <v>25.618068000000001</v>
      </c>
      <c r="AC453" s="118">
        <f>AC452+AA453</f>
        <v>26.507140800000084</v>
      </c>
      <c r="AD453" s="3">
        <f t="shared" si="143"/>
        <v>-2.0116567611694335E-13</v>
      </c>
      <c r="AE453" s="3">
        <f t="shared" si="144"/>
        <v>25.6180680000002</v>
      </c>
      <c r="AF453" s="329" t="str">
        <f t="shared" si="145"/>
        <v>TRK_247_1</v>
      </c>
      <c r="AG453" t="str">
        <f>MID(AP453,6,9)</f>
        <v>247T00:35</v>
      </c>
      <c r="AH453" t="s">
        <v>5550</v>
      </c>
      <c r="AI453" t="s">
        <v>5549</v>
      </c>
      <c r="AJ453">
        <v>0.25876399999999999</v>
      </c>
      <c r="AK453">
        <v>3.3085339999999999</v>
      </c>
      <c r="AL453">
        <v>3.0497700000000001</v>
      </c>
      <c r="AM453">
        <v>26.837975</v>
      </c>
      <c r="AN453" s="328">
        <f t="shared" si="146"/>
        <v>25.618068000000001</v>
      </c>
      <c r="AP453" s="327" t="s">
        <v>5548</v>
      </c>
    </row>
    <row r="454" spans="3:42" ht="13.5" customHeight="1">
      <c r="C454" s="3">
        <v>104</v>
      </c>
      <c r="D454" s="3">
        <v>105</v>
      </c>
      <c r="G454" s="3"/>
      <c r="I454" t="s">
        <v>54</v>
      </c>
      <c r="L454" s="78" t="str" cm="1">
        <f t="array" aca="1" ref="L454" ca="1">MID(met2utc(Q454),3,12)</f>
        <v>25-302/03:10</v>
      </c>
      <c r="M454" s="78" t="str" cm="1">
        <f t="array" aca="1" ref="M454" ca="1">MID(met2utc(R454),3,12)</f>
        <v>25-341/10:22</v>
      </c>
      <c r="N454" t="s">
        <v>5512</v>
      </c>
      <c r="O454" s="326" t="str">
        <f t="shared" si="138"/>
        <v>247T20:25</v>
      </c>
      <c r="P454" s="32" t="str">
        <f t="shared" si="147"/>
        <v>247_2</v>
      </c>
      <c r="Q454" s="58">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2">
        <f t="shared" si="141"/>
        <v>0</v>
      </c>
      <c r="Y454" s="331"/>
      <c r="Z454" s="330"/>
      <c r="AA454" s="77">
        <f t="shared" si="142"/>
        <v>14.961609600000001</v>
      </c>
      <c r="AC454" s="118">
        <f>AC453+AE454</f>
        <v>41.468750400000083</v>
      </c>
      <c r="AD454" s="3">
        <f t="shared" si="143"/>
        <v>0</v>
      </c>
      <c r="AE454" s="3">
        <f t="shared" si="144"/>
        <v>14.961609599999997</v>
      </c>
      <c r="AF454" s="329" t="str">
        <f t="shared" si="145"/>
        <v>TRK_247_2_</v>
      </c>
      <c r="AG454" t="str">
        <f>MID(AP454,6,9)</f>
        <v>247T20:25</v>
      </c>
      <c r="AH454" t="s">
        <v>5547</v>
      </c>
      <c r="AI454" t="s">
        <v>5546</v>
      </c>
      <c r="AJ454">
        <v>0.38963700000000001</v>
      </c>
      <c r="AK454">
        <v>2.1707809999999998</v>
      </c>
      <c r="AL454">
        <v>1.7811440000000001</v>
      </c>
      <c r="AM454">
        <v>15.674068999999999</v>
      </c>
      <c r="AN454" s="328">
        <f t="shared" si="146"/>
        <v>14.961609600000001</v>
      </c>
      <c r="AP454" s="327" t="s">
        <v>5545</v>
      </c>
    </row>
    <row r="455" spans="3:42" ht="13.5" customHeight="1">
      <c r="C455" s="3">
        <v>104</v>
      </c>
      <c r="D455" s="3">
        <v>105</v>
      </c>
      <c r="G455" s="3"/>
      <c r="I455" t="s">
        <v>54</v>
      </c>
      <c r="L455" s="78" t="str" cm="1">
        <f t="array" aca="1" ref="L455" ca="1">MID(met2utc(Q455),3,12)</f>
        <v>25-341/10:22</v>
      </c>
      <c r="M455" s="78" t="str" cm="1">
        <f t="array" aca="1" ref="M455" ca="1">MID(met2utc(R455),3,12)</f>
        <v>25-363/22:37</v>
      </c>
      <c r="N455" t="s">
        <v>5512</v>
      </c>
      <c r="O455" s="326" t="str">
        <f t="shared" si="138"/>
        <v>248T09:30</v>
      </c>
      <c r="P455" s="32" t="str">
        <f t="shared" si="147"/>
        <v>248_1</v>
      </c>
      <c r="Q455" s="58">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2">
        <f t="shared" si="141"/>
        <v>2.9336661100387573E-8</v>
      </c>
      <c r="Y455" s="331"/>
      <c r="Z455" s="330"/>
      <c r="AA455" s="77">
        <f t="shared" si="142"/>
        <v>8.5697220000000005</v>
      </c>
      <c r="AC455" s="118">
        <f>AC454+AE455</f>
        <v>50.038472399999847</v>
      </c>
      <c r="AD455" s="3">
        <f t="shared" si="143"/>
        <v>2.3469328880310059E-13</v>
      </c>
      <c r="AE455" s="3">
        <f t="shared" si="144"/>
        <v>8.569721999999766</v>
      </c>
      <c r="AF455" s="329" t="str">
        <f t="shared" si="145"/>
        <v>TRK_248_1</v>
      </c>
      <c r="AG455" t="str">
        <f>MID(AP455,6,9)</f>
        <v>248T09:30</v>
      </c>
      <c r="AH455" t="s">
        <v>5544</v>
      </c>
      <c r="AI455" t="s">
        <v>5543</v>
      </c>
      <c r="AJ455">
        <v>0.21471999999999999</v>
      </c>
      <c r="AK455">
        <v>1.2349250000000001</v>
      </c>
      <c r="AL455">
        <v>1.020205</v>
      </c>
      <c r="AM455">
        <v>8.9778009999999995</v>
      </c>
      <c r="AN455" s="328">
        <f t="shared" si="146"/>
        <v>8.5697220000000005</v>
      </c>
      <c r="AP455" s="327" t="s">
        <v>5542</v>
      </c>
    </row>
    <row r="456" spans="3:42" ht="13.5" customHeight="1">
      <c r="C456" s="3">
        <v>104</v>
      </c>
      <c r="D456" s="3">
        <v>105</v>
      </c>
      <c r="G456" s="3"/>
      <c r="I456" t="s">
        <v>54</v>
      </c>
      <c r="L456" s="78" t="str" cm="1">
        <f t="array" aca="1" ref="L456" ca="1">MID(met2utc(Q456),3,12)</f>
        <v>25-363/22:37</v>
      </c>
      <c r="M456" s="78" t="str" cm="1">
        <f t="array" aca="1" ref="M456" ca="1">MID(met2utc(R456),3,12)</f>
        <v>26-022/14:54</v>
      </c>
      <c r="N456" t="s">
        <v>5512</v>
      </c>
      <c r="O456" s="326" t="str">
        <f t="shared" si="138"/>
        <v>248/23:59</v>
      </c>
      <c r="P456" s="32" t="str">
        <f t="shared" si="147"/>
        <v>248_2</v>
      </c>
      <c r="Q456" s="58">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2">
        <f t="shared" si="141"/>
        <v>-9.5460563898086548E-9</v>
      </c>
      <c r="Y456" s="331"/>
      <c r="Z456" s="330"/>
      <c r="AA456" s="77">
        <f t="shared" si="142"/>
        <v>9.0144096000000005</v>
      </c>
      <c r="AC456" s="118">
        <f>AC455+AE456</f>
        <v>59.052881999999926</v>
      </c>
      <c r="AD456" s="3">
        <f t="shared" si="143"/>
        <v>-7.6368451118469239E-14</v>
      </c>
      <c r="AE456" s="3">
        <f t="shared" si="144"/>
        <v>9.0144096000000768</v>
      </c>
      <c r="AF456" s="329" t="str">
        <f t="shared" si="145"/>
        <v>TRK_248_2</v>
      </c>
      <c r="AG456" t="s">
        <v>5541</v>
      </c>
      <c r="AH456" t="s">
        <v>5540</v>
      </c>
      <c r="AI456" t="s">
        <v>5539</v>
      </c>
      <c r="AJ456">
        <v>0.21366599999999999</v>
      </c>
      <c r="AK456">
        <v>1.28681</v>
      </c>
      <c r="AL456">
        <v>1.0731440000000001</v>
      </c>
      <c r="AM456">
        <v>9.4436699999999991</v>
      </c>
      <c r="AN456" s="328">
        <f t="shared" si="146"/>
        <v>9.0144096000000005</v>
      </c>
      <c r="AP456" s="327" t="s">
        <v>5538</v>
      </c>
    </row>
    <row r="457" spans="3:42" ht="13.5" customHeight="1">
      <c r="C457" s="3">
        <v>104</v>
      </c>
      <c r="D457" s="3">
        <v>105</v>
      </c>
      <c r="G457" s="3"/>
      <c r="I457" t="s">
        <v>54</v>
      </c>
      <c r="L457" s="78" t="str" cm="1">
        <f t="array" aca="1" ref="L457" ca="1">MID(met2utc(Q457),3,12)</f>
        <v>26-022/14:54</v>
      </c>
      <c r="M457" s="78" t="str" cm="1">
        <f t="array" aca="1" ref="M457" ca="1">MID(met2utc(R457),3,12)</f>
        <v>26-042/23:40</v>
      </c>
      <c r="N457" t="s">
        <v>5512</v>
      </c>
      <c r="O457" s="326" t="str">
        <f t="shared" si="138"/>
        <v>250/02:19</v>
      </c>
      <c r="P457" s="32" t="str">
        <f t="shared" si="147"/>
        <v>250_1</v>
      </c>
      <c r="Q457" s="58">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2">
        <f t="shared" si="141"/>
        <v>-1.280568540096283E-8</v>
      </c>
      <c r="Y457" s="331"/>
      <c r="Z457" s="330"/>
      <c r="AA457" s="77">
        <f t="shared" si="142"/>
        <v>7.7529564000000004</v>
      </c>
      <c r="AC457" s="118">
        <f>AC456+AE457</f>
        <v>66.805838400000027</v>
      </c>
      <c r="AD457" s="3">
        <f t="shared" si="143"/>
        <v>-1.0244548320770264E-13</v>
      </c>
      <c r="AE457" s="3">
        <f t="shared" si="144"/>
        <v>7.7529564000001026</v>
      </c>
      <c r="AF457" s="329" t="str">
        <f t="shared" si="145"/>
        <v>TRK_250_1</v>
      </c>
      <c r="AG457" t="s">
        <v>5537</v>
      </c>
      <c r="AH457" t="s">
        <v>5536</v>
      </c>
      <c r="AI457" t="s">
        <v>5535</v>
      </c>
      <c r="AJ457">
        <v>0.32174000000000003</v>
      </c>
      <c r="AK457">
        <v>1.2447109999999999</v>
      </c>
      <c r="AL457">
        <v>0.92297099999999999</v>
      </c>
      <c r="AM457">
        <v>8.1221420000000002</v>
      </c>
      <c r="AN457" s="328">
        <f t="shared" si="146"/>
        <v>7.7529564000000004</v>
      </c>
      <c r="AP457" s="327" t="s">
        <v>5534</v>
      </c>
    </row>
    <row r="458" spans="3:42" ht="13.5" customHeight="1">
      <c r="J458" t="s">
        <v>228</v>
      </c>
      <c r="K458" t="s">
        <v>825</v>
      </c>
      <c r="L458" s="94" t="str" cm="1">
        <f t="array" aca="1" ref="L458" ca="1">MID(met2utc(Q458),3,12)</f>
        <v>26-233/07:32</v>
      </c>
      <c r="M458" s="94" t="str" cm="1">
        <f t="array" aca="1" ref="M458" ca="1">MID(met2utc(R458),3,12)</f>
        <v>26-248/00:38</v>
      </c>
      <c r="N458" t="s">
        <v>5533</v>
      </c>
      <c r="O458" s="326" t="str">
        <f t="shared" si="138"/>
        <v>250/11:04</v>
      </c>
      <c r="P458" s="32" t="str">
        <f t="shared" si="147"/>
        <v>250_2</v>
      </c>
      <c r="Q458" s="58">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2">
        <f t="shared" si="141"/>
        <v>2.9103830456733704E-8</v>
      </c>
      <c r="Y458" s="331"/>
      <c r="Z458" s="330"/>
      <c r="AA458" s="77">
        <f t="shared" si="142"/>
        <v>5.1421776000000001</v>
      </c>
      <c r="AC458" s="129">
        <f>AC450+AE458</f>
        <v>5.1421775999997674</v>
      </c>
      <c r="AD458" s="3">
        <f t="shared" si="143"/>
        <v>2.3283064365386963E-13</v>
      </c>
      <c r="AE458" s="3">
        <f t="shared" si="144"/>
        <v>5.1421775999997674</v>
      </c>
      <c r="AF458" s="329" t="str">
        <f t="shared" si="145"/>
        <v>TRK_250_2</v>
      </c>
      <c r="AG458" t="s">
        <v>5532</v>
      </c>
      <c r="AH458" t="s">
        <v>5531</v>
      </c>
      <c r="AI458" t="s">
        <v>5530</v>
      </c>
      <c r="AJ458">
        <v>0.19039600000000001</v>
      </c>
      <c r="AK458">
        <v>0.80256000000000005</v>
      </c>
      <c r="AL458">
        <v>0.61216400000000004</v>
      </c>
      <c r="AM458">
        <v>5.387041</v>
      </c>
      <c r="AN458" s="328">
        <f t="shared" si="146"/>
        <v>5.1421776000000001</v>
      </c>
      <c r="AP458" s="327" t="s">
        <v>5529</v>
      </c>
    </row>
    <row r="459" spans="3:42" ht="15.75">
      <c r="C459" s="3">
        <v>104</v>
      </c>
      <c r="D459" s="3">
        <v>105</v>
      </c>
      <c r="G459" s="3"/>
      <c r="I459" t="s">
        <v>54</v>
      </c>
      <c r="L459" s="78" t="str" cm="1">
        <f t="array" aca="1" ref="L459" ca="1">MID(met2utc(Q459),3,12)</f>
        <v>26-042/23:40</v>
      </c>
      <c r="M459" s="78" t="str" cm="1">
        <f t="array" aca="1" ref="M459" ca="1">MID(met2utc(R459),3,12)</f>
        <v>26-086/15:51</v>
      </c>
      <c r="N459" t="s">
        <v>5512</v>
      </c>
      <c r="O459" s="326" t="str">
        <f t="shared" si="138"/>
        <v>250/21:44</v>
      </c>
      <c r="P459" s="32" t="str">
        <f t="shared" si="147"/>
        <v>250_3</v>
      </c>
      <c r="Q459" s="58">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2">
        <f t="shared" si="141"/>
        <v>2.3981556296348572E-8</v>
      </c>
      <c r="Y459" s="331"/>
      <c r="Z459" s="330"/>
      <c r="AA459" s="77">
        <f t="shared" si="142"/>
        <v>16.6268256</v>
      </c>
      <c r="AC459" s="118">
        <f>AC457+AE459</f>
        <v>83.432663999999832</v>
      </c>
      <c r="AD459" s="3">
        <f t="shared" si="143"/>
        <v>1.9185245037078857E-13</v>
      </c>
      <c r="AE459" s="3">
        <f t="shared" si="144"/>
        <v>16.626825599999808</v>
      </c>
      <c r="AF459" s="329" t="str">
        <f t="shared" si="145"/>
        <v>TRK_250_3</v>
      </c>
      <c r="AG459" t="s">
        <v>5528</v>
      </c>
      <c r="AH459" t="s">
        <v>5527</v>
      </c>
      <c r="AI459" t="s">
        <v>5526</v>
      </c>
      <c r="AJ459">
        <v>0.20722699999999999</v>
      </c>
      <c r="AK459">
        <v>2.1866110000000001</v>
      </c>
      <c r="AL459">
        <v>1.979384</v>
      </c>
      <c r="AM459">
        <v>17.418583000000002</v>
      </c>
      <c r="AN459" s="328">
        <f t="shared" si="146"/>
        <v>16.6268256</v>
      </c>
      <c r="AP459" s="327" t="s">
        <v>5525</v>
      </c>
    </row>
    <row r="460" spans="3:42" ht="13.5" customHeight="1">
      <c r="C460" s="3">
        <v>104</v>
      </c>
      <c r="D460" s="3">
        <v>105</v>
      </c>
      <c r="G460" s="3"/>
      <c r="I460" t="s">
        <v>54</v>
      </c>
      <c r="L460" s="78" t="str" cm="1">
        <f t="array" aca="1" ref="L460" ca="1">MID(met2utc(Q460),3,12)</f>
        <v>26-086/15:51</v>
      </c>
      <c r="M460" s="78" t="str" cm="1">
        <f t="array" aca="1" ref="M460" ca="1">MID(met2utc(R460),3,12)</f>
        <v>26-127/01:44</v>
      </c>
      <c r="N460" t="s">
        <v>5512</v>
      </c>
      <c r="O460" s="326" t="str">
        <f t="shared" si="138"/>
        <v>251/20:34</v>
      </c>
      <c r="P460" s="32" t="str">
        <f t="shared" si="147"/>
        <v>251_1</v>
      </c>
      <c r="Q460" s="58">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2">
        <f t="shared" si="141"/>
        <v>-1.909211277961731E-8</v>
      </c>
      <c r="Y460" s="331"/>
      <c r="Z460" s="330"/>
      <c r="AA460" s="77">
        <f t="shared" si="142"/>
        <v>15.384969600000002</v>
      </c>
      <c r="AC460" s="118">
        <f>AC459+AE460</f>
        <v>98.817633599999994</v>
      </c>
      <c r="AD460" s="3">
        <f t="shared" si="143"/>
        <v>-1.5273690223693848E-13</v>
      </c>
      <c r="AE460" s="3">
        <f t="shared" si="144"/>
        <v>15.384969600000154</v>
      </c>
      <c r="AF460" s="329" t="str">
        <f t="shared" si="145"/>
        <v>TRK_251_1_</v>
      </c>
      <c r="AG460" t="s">
        <v>5524</v>
      </c>
      <c r="AH460" t="s">
        <v>5523</v>
      </c>
      <c r="AI460" t="s">
        <v>5522</v>
      </c>
      <c r="AJ460">
        <v>0.43609599999999998</v>
      </c>
      <c r="AK460">
        <v>2.2676400000000001</v>
      </c>
      <c r="AL460">
        <v>1.8315440000000001</v>
      </c>
      <c r="AM460">
        <v>16.117588000000001</v>
      </c>
      <c r="AN460" s="328">
        <f t="shared" si="146"/>
        <v>15.384969600000002</v>
      </c>
      <c r="AP460" s="327" t="s">
        <v>5521</v>
      </c>
    </row>
    <row r="461" spans="3:42" ht="13.5" customHeight="1">
      <c r="C461" s="3">
        <v>104</v>
      </c>
      <c r="D461" s="3">
        <v>105</v>
      </c>
      <c r="G461" s="3"/>
      <c r="I461" t="s">
        <v>54</v>
      </c>
      <c r="L461" s="78" t="str" cm="1">
        <f t="array" aca="1" ref="L461" ca="1">MID(met2utc(Q461),3,12)</f>
        <v>26-127/01:44</v>
      </c>
      <c r="M461" s="78" t="str" cm="1">
        <f t="array" aca="1" ref="M461" ca="1">MID(met2utc(R461),3,12)</f>
        <v>26-146/12:29</v>
      </c>
      <c r="N461" t="s">
        <v>5512</v>
      </c>
      <c r="O461" s="326" t="str">
        <f t="shared" si="138"/>
        <v>252/09:54</v>
      </c>
      <c r="P461" s="32" t="str">
        <f t="shared" si="147"/>
        <v>252_1</v>
      </c>
      <c r="Q461" s="58">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2">
        <f t="shared" si="141"/>
        <v>-1.1059455573558807E-8</v>
      </c>
      <c r="Y461" s="331"/>
      <c r="Z461" s="330"/>
      <c r="AA461" s="77">
        <f t="shared" si="142"/>
        <v>7.4035920000000006</v>
      </c>
      <c r="AC461" s="118">
        <f>AC460+AE461</f>
        <v>106.22122560000008</v>
      </c>
      <c r="AD461" s="3">
        <f t="shared" si="143"/>
        <v>-8.8475644588470464E-14</v>
      </c>
      <c r="AE461" s="3">
        <f t="shared" si="144"/>
        <v>7.4035920000000894</v>
      </c>
      <c r="AF461" s="329" t="str">
        <f t="shared" si="145"/>
        <v>TRK_252_1</v>
      </c>
      <c r="AG461" t="s">
        <v>5520</v>
      </c>
      <c r="AH461" t="s">
        <v>5519</v>
      </c>
      <c r="AI461" t="s">
        <v>5518</v>
      </c>
      <c r="AJ461">
        <v>0.21474299999999999</v>
      </c>
      <c r="AK461">
        <v>1.096123</v>
      </c>
      <c r="AL461">
        <v>0.88138000000000005</v>
      </c>
      <c r="AM461">
        <v>7.7561460000000002</v>
      </c>
      <c r="AN461" s="328">
        <f t="shared" si="146"/>
        <v>7.4035920000000006</v>
      </c>
      <c r="AP461" s="327" t="s">
        <v>5517</v>
      </c>
    </row>
    <row r="462" spans="3:42" ht="13.5" customHeight="1">
      <c r="C462" s="3">
        <v>104</v>
      </c>
      <c r="D462" s="3">
        <v>105</v>
      </c>
      <c r="G462" s="3"/>
      <c r="I462" t="s">
        <v>54</v>
      </c>
      <c r="L462" s="78" t="str" cm="1">
        <f t="array" aca="1" ref="L462" ca="1">MID(met2utc(Q462),3,12)</f>
        <v>26-146/12:28</v>
      </c>
      <c r="M462" s="78" t="str" cm="1">
        <f t="array" aca="1" ref="M462" ca="1">MID(met2utc(R462),3,12)</f>
        <v>26-168/23:24</v>
      </c>
      <c r="N462" t="s">
        <v>5512</v>
      </c>
      <c r="O462" s="326" t="str">
        <f t="shared" si="138"/>
        <v>253/00:44</v>
      </c>
      <c r="P462" s="32" t="str">
        <f t="shared" si="147"/>
        <v>253_1</v>
      </c>
      <c r="Q462" s="58">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2">
        <f t="shared" si="141"/>
        <v>3.0500814318656921E-8</v>
      </c>
      <c r="Y462" s="331"/>
      <c r="Z462" s="330"/>
      <c r="AA462" s="77">
        <f t="shared" si="142"/>
        <v>8.5486883999999996</v>
      </c>
      <c r="AC462" s="118">
        <f>AC461+AE462</f>
        <v>114.76991399999984</v>
      </c>
      <c r="AD462" s="3">
        <f t="shared" si="143"/>
        <v>2.440065145492554E-13</v>
      </c>
      <c r="AE462" s="3">
        <f t="shared" si="144"/>
        <v>8.5486883999997563</v>
      </c>
      <c r="AF462" s="329" t="str">
        <f t="shared" si="145"/>
        <v>TRK_253_1</v>
      </c>
      <c r="AG462" t="s">
        <v>5516</v>
      </c>
      <c r="AH462" t="s">
        <v>5515</v>
      </c>
      <c r="AI462" t="s">
        <v>5514</v>
      </c>
      <c r="AJ462">
        <v>0.21449499999999999</v>
      </c>
      <c r="AK462">
        <v>1.2321960000000001</v>
      </c>
      <c r="AL462">
        <v>1.017701</v>
      </c>
      <c r="AM462">
        <v>8.9557699999999993</v>
      </c>
      <c r="AN462" s="328">
        <f t="shared" si="146"/>
        <v>8.5486883999999996</v>
      </c>
      <c r="AP462" s="327" t="s">
        <v>5513</v>
      </c>
    </row>
    <row r="463" spans="3:42" ht="13.5" customHeight="1">
      <c r="C463" s="3">
        <v>104</v>
      </c>
      <c r="D463" s="3">
        <v>105</v>
      </c>
      <c r="G463" s="3"/>
      <c r="I463" t="s">
        <v>54</v>
      </c>
      <c r="L463" s="78" t="str" cm="1">
        <f t="array" aca="1" ref="L463" ca="1">MID(met2utc(Q463),3,12)</f>
        <v>26-168/23:24</v>
      </c>
      <c r="M463" s="78" t="str" cm="1">
        <f t="array" aca="1" ref="M463" ca="1">MID(met2utc(R463),3,12)</f>
        <v>26-170/15:09</v>
      </c>
      <c r="N463" t="s">
        <v>5512</v>
      </c>
      <c r="O463" s="326" t="str">
        <f t="shared" si="138"/>
        <v>253/11:14</v>
      </c>
      <c r="P463" s="32" t="str">
        <f t="shared" si="147"/>
        <v>253_2</v>
      </c>
      <c r="Q463" s="58">
        <f>R462-1</f>
        <v>644044581.36275935</v>
      </c>
      <c r="R463" s="176">
        <f>$Q$281+1</f>
        <v>644187672.24185646</v>
      </c>
      <c r="S463" s="21">
        <f t="shared" si="139"/>
        <v>143090.87909710407</v>
      </c>
      <c r="T463" s="21">
        <f>S463*$V$32</f>
        <v>78811.773252701852</v>
      </c>
      <c r="U463" s="3">
        <v>0</v>
      </c>
      <c r="V463" s="20">
        <f t="shared" si="148"/>
        <v>78811.773252701852</v>
      </c>
      <c r="W463" s="20">
        <f t="shared" si="140"/>
        <v>528262.35</v>
      </c>
      <c r="X463" s="332">
        <f t="shared" si="141"/>
        <v>449450.57674729812</v>
      </c>
      <c r="Y463" s="331"/>
      <c r="Z463" s="330"/>
      <c r="AA463" s="77">
        <f t="shared" si="142"/>
        <v>4.2260987999999999</v>
      </c>
      <c r="AC463" s="118">
        <f>AC462+AE463</f>
        <v>115.40040818602147</v>
      </c>
      <c r="AD463" s="3">
        <f t="shared" si="143"/>
        <v>3.5956046139783848</v>
      </c>
      <c r="AE463" s="3">
        <f t="shared" si="144"/>
        <v>0.63049418602161478</v>
      </c>
      <c r="AF463" s="329" t="str">
        <f t="shared" si="145"/>
        <v>TRK_253_2</v>
      </c>
      <c r="AG463" t="s">
        <v>5511</v>
      </c>
      <c r="AH463" t="s">
        <v>5510</v>
      </c>
      <c r="AI463" t="s">
        <v>5509</v>
      </c>
      <c r="AJ463">
        <v>0.205984</v>
      </c>
      <c r="AK463">
        <v>0.70909100000000003</v>
      </c>
      <c r="AL463">
        <v>0.50310699999999997</v>
      </c>
      <c r="AM463">
        <v>4.4273449999999999</v>
      </c>
      <c r="AN463" s="328">
        <f t="shared" si="146"/>
        <v>4.2260987999999999</v>
      </c>
      <c r="AP463" s="327" t="s">
        <v>5508</v>
      </c>
    </row>
    <row r="464" spans="3:42" ht="13.5" customHeight="1">
      <c r="C464" s="3">
        <v>104</v>
      </c>
      <c r="D464" s="3">
        <v>105</v>
      </c>
      <c r="G464" s="3" t="s">
        <v>50</v>
      </c>
      <c r="L464" s="78" t="str" cm="1">
        <f t="array" aca="1" ref="L464" ca="1">MID(met2utc(Q464),3,12)</f>
        <v>25-288/14:53</v>
      </c>
      <c r="M464" s="78" t="str" cm="1">
        <f t="array" aca="1" ref="M464" ca="1">MID(met2utc(R464),3,12)</f>
        <v>25-291/10:24</v>
      </c>
      <c r="N464" s="343" t="s">
        <v>5507</v>
      </c>
      <c r="O464" s="326">
        <f t="shared" si="138"/>
        <v>0</v>
      </c>
      <c r="P464" s="32" t="str">
        <f t="shared" si="147"/>
        <v/>
      </c>
      <c r="Q464" s="58">
        <f>R479-1</f>
        <v>622845950.93747675</v>
      </c>
      <c r="R464" s="21">
        <f>W464/$V$33+Q464</f>
        <v>623088976.83395278</v>
      </c>
      <c r="S464" s="21">
        <f t="shared" si="139"/>
        <v>243025.89647603035</v>
      </c>
      <c r="T464" s="21">
        <f>S464*$V$33</f>
        <v>1227318.7500002778</v>
      </c>
      <c r="U464" s="3">
        <v>0</v>
      </c>
      <c r="V464" s="20">
        <f t="shared" si="148"/>
        <v>1227318.7500002778</v>
      </c>
      <c r="W464" s="340">
        <f>X463+Y466</f>
        <v>1227318.7500000002</v>
      </c>
      <c r="X464" s="332">
        <f t="shared" si="141"/>
        <v>-2.775341272354126E-7</v>
      </c>
      <c r="Y464" s="331"/>
      <c r="Z464" s="330"/>
      <c r="AA464" s="77"/>
      <c r="AC464" s="118"/>
      <c r="AD464" s="3"/>
      <c r="AE464" s="3"/>
      <c r="AF464" s="329"/>
      <c r="AN464" s="328"/>
      <c r="AP464" s="327"/>
    </row>
    <row r="465" spans="3:42" ht="13.5" customHeight="1">
      <c r="C465" s="3"/>
      <c r="D465" s="3"/>
      <c r="G465" s="3"/>
      <c r="L465" s="78"/>
      <c r="M465" s="78"/>
      <c r="O465" s="326"/>
      <c r="P465" s="342" t="s">
        <v>403</v>
      </c>
      <c r="Q465" s="342" t="s">
        <v>404</v>
      </c>
      <c r="R465" s="342">
        <v>611744576</v>
      </c>
      <c r="S465" s="342">
        <v>7</v>
      </c>
      <c r="T465" s="342" t="s">
        <v>27</v>
      </c>
      <c r="U465" s="342" t="s">
        <v>405</v>
      </c>
      <c r="V465" s="342" t="s">
        <v>151</v>
      </c>
      <c r="W465" s="342" t="s">
        <v>152</v>
      </c>
      <c r="X465" s="342" t="s">
        <v>406</v>
      </c>
      <c r="Y465" s="331"/>
      <c r="Z465" s="330"/>
      <c r="AA465" s="77"/>
      <c r="AC465" s="118"/>
      <c r="AD465" s="3" t="e">
        <f>X465*8/1000000</f>
        <v>#VALUE!</v>
      </c>
      <c r="AE465" s="3" t="e">
        <f>V465*8/1000000</f>
        <v>#VALUE!</v>
      </c>
      <c r="AF465" s="329"/>
      <c r="AN465" s="328"/>
      <c r="AP465" s="327"/>
    </row>
    <row r="466" spans="3:42" ht="13.5" customHeight="1">
      <c r="C466" s="3"/>
      <c r="D466" s="3"/>
      <c r="E466" t="s">
        <v>51</v>
      </c>
      <c r="F466" t="s">
        <v>49</v>
      </c>
      <c r="G466" s="3" t="s">
        <v>50</v>
      </c>
      <c r="H466" s="3" t="s">
        <v>53</v>
      </c>
      <c r="I466" s="3" t="s">
        <v>54</v>
      </c>
      <c r="L466" s="78" t="str" cm="1">
        <f t="array" aca="1" ref="L466" ca="1">MID(met2utc(Q466),3,12)</f>
        <v>25-160/03:10</v>
      </c>
      <c r="M466" s="78" t="str" cm="1">
        <f t="array" aca="1" ref="M466" ca="1">MID(met2utc(R466),3,12)</f>
        <v>25-160/03:39</v>
      </c>
      <c r="N466" t="s">
        <v>5506</v>
      </c>
      <c r="O466" s="326" t="str">
        <f>AG466</f>
        <v>253/18:53</v>
      </c>
      <c r="P466" s="32" t="str">
        <f>MID(AH466,5,5)</f>
        <v>253_3</v>
      </c>
      <c r="Q466" s="341">
        <f>R465-5</f>
        <v>611744571</v>
      </c>
      <c r="R466" s="341">
        <f>Q466+1685</f>
        <v>611746256</v>
      </c>
      <c r="S466" s="21">
        <f>R466-Q466</f>
        <v>1685</v>
      </c>
      <c r="T466" s="21">
        <f>$V$38</f>
        <v>197375</v>
      </c>
      <c r="U466" s="3">
        <v>0</v>
      </c>
      <c r="V466" s="20">
        <f>T466+U466*$V$34</f>
        <v>197375</v>
      </c>
      <c r="W466" s="340">
        <f>X463</f>
        <v>449450.57674729812</v>
      </c>
      <c r="X466" s="332">
        <f>W466-V466</f>
        <v>252075.57674729812</v>
      </c>
      <c r="Y466" s="331">
        <f>Z466-W466</f>
        <v>777868.17325270211</v>
      </c>
      <c r="Z466" s="330">
        <f>AA466*1000000/8</f>
        <v>1227318.7500000002</v>
      </c>
      <c r="AA466" s="77">
        <f>AN466</f>
        <v>9.8185500000000019</v>
      </c>
      <c r="AB466">
        <f>W466*8/1000000</f>
        <v>3.5956046139783848</v>
      </c>
      <c r="AC466" s="118">
        <f>AC463+AE466</f>
        <v>116.97940818602146</v>
      </c>
      <c r="AD466" s="3">
        <f>X466*8/1000000</f>
        <v>2.0166046139783851</v>
      </c>
      <c r="AE466" s="3">
        <f>V466*8/1000000</f>
        <v>1.579</v>
      </c>
      <c r="AF466" s="329" t="str">
        <f>AH466</f>
        <v>TRK_253_3</v>
      </c>
      <c r="AG466" t="s">
        <v>5505</v>
      </c>
      <c r="AH466" t="s">
        <v>5504</v>
      </c>
      <c r="AI466" t="s">
        <v>5503</v>
      </c>
      <c r="AJ466">
        <v>0.18677099999999999</v>
      </c>
      <c r="AK466">
        <v>1.3556459999999999</v>
      </c>
      <c r="AL466">
        <v>1.1688750000000001</v>
      </c>
      <c r="AM466">
        <v>10.286102</v>
      </c>
      <c r="AN466" s="328">
        <f>AL466*8*1.05</f>
        <v>9.8185500000000019</v>
      </c>
      <c r="AP466" s="327" t="s">
        <v>5502</v>
      </c>
    </row>
    <row r="467" spans="3:42" ht="13.5" customHeight="1">
      <c r="C467" s="3">
        <v>103</v>
      </c>
      <c r="D467" s="3">
        <v>110</v>
      </c>
      <c r="G467" s="3"/>
      <c r="I467" t="s">
        <v>54</v>
      </c>
      <c r="L467" s="78" t="str" cm="1">
        <f t="array" aca="1" ref="L467" ca="1">MID(met2utc(Q467),3,12)</f>
        <v>25-160/03:38</v>
      </c>
      <c r="M467" s="78" t="str" cm="1">
        <f t="array" aca="1" ref="M467" ca="1">MID(met2utc(R467),3,12)</f>
        <v>25-168/02:20</v>
      </c>
      <c r="N467" t="s">
        <v>5501</v>
      </c>
      <c r="O467" s="326">
        <f>AG467</f>
        <v>0</v>
      </c>
      <c r="P467" s="32" t="str">
        <f>MID(AH467,5,5)</f>
        <v/>
      </c>
      <c r="Q467" s="58">
        <f>R466-1</f>
        <v>611746255</v>
      </c>
      <c r="R467" s="21">
        <f>W467/$V$26+Q467</f>
        <v>612432758.69837558</v>
      </c>
      <c r="S467" s="21">
        <f>R467-Q467</f>
        <v>686503.6983755827</v>
      </c>
      <c r="T467" s="21">
        <f>S467*$V$26</f>
        <v>252075.57674728427</v>
      </c>
      <c r="U467" s="3">
        <v>0</v>
      </c>
      <c r="V467" s="20">
        <f>T467+U467*$V$34</f>
        <v>252075.57674728427</v>
      </c>
      <c r="W467" s="340">
        <f>X466</f>
        <v>252075.57674729812</v>
      </c>
      <c r="X467" s="332">
        <f>W467-V467</f>
        <v>1.3853423297405243E-8</v>
      </c>
      <c r="Y467" s="331"/>
      <c r="Z467" s="330"/>
      <c r="AA467" s="77"/>
      <c r="AC467" s="118"/>
      <c r="AD467" s="3">
        <f>X467*8/1000000</f>
        <v>1.1082738637924195E-13</v>
      </c>
      <c r="AE467" s="3">
        <f>V467*8/1000000</f>
        <v>2.0166046139782741</v>
      </c>
      <c r="AF467" s="329"/>
      <c r="AN467" s="328"/>
      <c r="AP467" s="327"/>
    </row>
    <row r="468" spans="3:42" ht="13.5" customHeight="1">
      <c r="C468" s="3">
        <v>103</v>
      </c>
      <c r="D468" s="3">
        <v>110</v>
      </c>
      <c r="G468" s="3"/>
      <c r="I468" t="s">
        <v>54</v>
      </c>
      <c r="L468" s="78" t="str" cm="1">
        <f t="array" aca="1" ref="L468" ca="1">MID(met2utc(Q468),3,12)</f>
        <v>25-168/02:20</v>
      </c>
      <c r="M468" s="78" t="str" cm="1">
        <f t="array" aca="1" ref="M468" ca="1">MID(met2utc(R468),3,12)</f>
        <v>25-181/02:10</v>
      </c>
      <c r="N468" t="s">
        <v>5501</v>
      </c>
      <c r="O468" s="326" t="str">
        <f>AG468</f>
        <v>255/00:23</v>
      </c>
      <c r="P468" s="32" t="str">
        <f>MID(AH468,5,5)</f>
        <v>255_1</v>
      </c>
      <c r="Q468" s="58">
        <f>R467-1</f>
        <v>612432757.69837558</v>
      </c>
      <c r="R468" s="341">
        <f>$R$166</f>
        <v>613555316</v>
      </c>
      <c r="S468" s="21">
        <f>R468-Q468</f>
        <v>1122558.3016244173</v>
      </c>
      <c r="T468" s="21">
        <f>S468*$V$26</f>
        <v>412189.37637771573</v>
      </c>
      <c r="U468" s="3">
        <v>0</v>
      </c>
      <c r="V468" s="20">
        <f>T468+U468*$V$34</f>
        <v>412189.37637771573</v>
      </c>
      <c r="W468" s="20">
        <f>AA468*1000000/8</f>
        <v>1254691.2000000002</v>
      </c>
      <c r="X468" s="332">
        <f>W468-V468</f>
        <v>842501.82362228446</v>
      </c>
      <c r="Y468" s="331"/>
      <c r="Z468" s="330"/>
      <c r="AA468" s="77">
        <f>AN468</f>
        <v>10.037529600000001</v>
      </c>
      <c r="AC468" s="118">
        <f>AC466+AE468</f>
        <v>120.27692319704319</v>
      </c>
      <c r="AD468" s="3">
        <f>X468*8/1000000</f>
        <v>6.7400145889782754</v>
      </c>
      <c r="AE468" s="3">
        <f>V468*8/1000000</f>
        <v>3.297515011021726</v>
      </c>
      <c r="AF468" s="329" t="str">
        <f>AH468</f>
        <v>TRK_255_1_</v>
      </c>
      <c r="AG468" t="s">
        <v>5500</v>
      </c>
      <c r="AH468" t="s">
        <v>5499</v>
      </c>
      <c r="AI468" t="s">
        <v>5498</v>
      </c>
      <c r="AJ468">
        <v>0.49954100000000001</v>
      </c>
      <c r="AK468">
        <v>1.694485</v>
      </c>
      <c r="AL468">
        <v>1.194944</v>
      </c>
      <c r="AM468">
        <v>10.515509</v>
      </c>
      <c r="AN468" s="328">
        <f>AL468*8*1.05</f>
        <v>10.037529600000001</v>
      </c>
      <c r="AP468" s="327" t="s">
        <v>5497</v>
      </c>
    </row>
    <row r="469" spans="3:42" ht="13.5" customHeight="1">
      <c r="C469" s="3">
        <v>104</v>
      </c>
      <c r="D469" s="3">
        <v>105</v>
      </c>
      <c r="G469" s="3"/>
      <c r="I469" t="s">
        <v>54</v>
      </c>
      <c r="L469" s="78" t="str" cm="1">
        <f t="array" aca="1" ref="L469" ca="1">MID(met2utc(Q469),3,12)</f>
        <v>26-179/03:29</v>
      </c>
      <c r="M469" s="78" t="str" cm="1">
        <f t="array" aca="1" ref="M469" ca="1">MID(met2utc(R469),3,12)</f>
        <v>26-196/20:24</v>
      </c>
      <c r="N469" s="17" t="s">
        <v>5496</v>
      </c>
      <c r="O469" s="326" t="s">
        <v>1266</v>
      </c>
      <c r="P469" s="32"/>
      <c r="Q469" s="341">
        <f>R270-5</f>
        <v>644923310</v>
      </c>
      <c r="R469" s="21">
        <f>W469/$V$23+Q469</f>
        <v>646452958.70104468</v>
      </c>
      <c r="S469" s="21">
        <f>R469-Q469</f>
        <v>1529648.7010446787</v>
      </c>
      <c r="T469" s="21">
        <f>S469*$V$23</f>
        <v>842501.82362226443</v>
      </c>
      <c r="U469" s="3">
        <v>0</v>
      </c>
      <c r="V469" s="20">
        <f>T469+U469*$V$34</f>
        <v>842501.82362226443</v>
      </c>
      <c r="W469" s="340">
        <f>X468</f>
        <v>842501.82362228446</v>
      </c>
      <c r="X469" s="332">
        <f>W469-V469</f>
        <v>2.0023435354232788E-8</v>
      </c>
      <c r="Y469" s="331"/>
      <c r="Z469" s="330"/>
      <c r="AA469" s="77"/>
      <c r="AC469" s="118"/>
      <c r="AD469" s="3"/>
      <c r="AE469" s="3"/>
      <c r="AF469" s="329"/>
      <c r="AN469" s="328"/>
      <c r="AP469" s="327"/>
    </row>
    <row r="470" spans="3:42" ht="13.5" customHeight="1">
      <c r="C470" s="3">
        <v>104</v>
      </c>
      <c r="D470" s="3">
        <v>105</v>
      </c>
      <c r="G470" s="3"/>
      <c r="I470" t="s">
        <v>54</v>
      </c>
      <c r="L470" s="78" t="str" cm="1">
        <f t="array" aca="1" ref="L470" ca="1">MID(met2utc(Q470),3,12)</f>
        <v>26-196/20:24</v>
      </c>
      <c r="M470" s="78" t="str" cm="1">
        <f t="array" aca="1" ref="M470" ca="1">MID(met2utc(R470),3,12)</f>
        <v>26-201/20:09</v>
      </c>
      <c r="N470" s="17" t="s">
        <v>5496</v>
      </c>
      <c r="O470" s="326" t="str">
        <f>AG470</f>
        <v>256/00:53</v>
      </c>
      <c r="P470" s="32" t="str">
        <f>MID(AH470,5,5)</f>
        <v>256_1</v>
      </c>
      <c r="Q470" s="58">
        <f>R469-1</f>
        <v>646452957.70104468</v>
      </c>
      <c r="R470" s="341">
        <f>$Q$378+1</f>
        <v>646884111</v>
      </c>
      <c r="S470" s="21">
        <f>R470-Q470</f>
        <v>431153.29895532131</v>
      </c>
      <c r="T470" s="21">
        <f>S470*$V$23</f>
        <v>237471.15294023557</v>
      </c>
      <c r="U470" s="3">
        <v>0</v>
      </c>
      <c r="V470" s="20">
        <f>T470+U470*$V$34</f>
        <v>237471.15294023557</v>
      </c>
      <c r="W470" s="20">
        <f>AA470*1000000/8</f>
        <v>1026811.7999999999</v>
      </c>
      <c r="X470" s="332">
        <f>W470-V470</f>
        <v>789340.64705976436</v>
      </c>
      <c r="Y470" s="331"/>
      <c r="Z470" s="330"/>
      <c r="AA470" s="77">
        <f>AN470</f>
        <v>8.2144943999999995</v>
      </c>
      <c r="AC470" s="118">
        <f>AC468+AE470</f>
        <v>122.17669242056508</v>
      </c>
      <c r="AD470" s="3">
        <f>X470*8/1000000</f>
        <v>6.3147251764781149</v>
      </c>
      <c r="AE470" s="3">
        <f>V470*8/1000000</f>
        <v>1.8997692235218846</v>
      </c>
      <c r="AF470" s="329" t="str">
        <f>AH470</f>
        <v>TRK_256_1</v>
      </c>
      <c r="AG470" t="s">
        <v>5495</v>
      </c>
      <c r="AH470" t="s">
        <v>5494</v>
      </c>
      <c r="AI470" t="s">
        <v>5493</v>
      </c>
      <c r="AJ470">
        <v>0.301508</v>
      </c>
      <c r="AK470">
        <v>1.2794239999999999</v>
      </c>
      <c r="AL470">
        <v>0.97791600000000001</v>
      </c>
      <c r="AM470">
        <v>8.605658</v>
      </c>
      <c r="AN470" s="328">
        <f>AL470*8*1.05</f>
        <v>8.2144943999999995</v>
      </c>
      <c r="AP470" s="327" t="s">
        <v>5492</v>
      </c>
    </row>
    <row r="471" spans="3:42" ht="13.5" customHeight="1">
      <c r="C471" s="3"/>
      <c r="D471" s="3"/>
      <c r="G471" s="3"/>
      <c r="L471" s="78"/>
      <c r="M471" s="78"/>
      <c r="O471" s="326"/>
      <c r="P471" s="308" t="s">
        <v>5491</v>
      </c>
      <c r="Q471" s="308">
        <v>621555962</v>
      </c>
      <c r="R471" s="308">
        <v>0</v>
      </c>
      <c r="S471" s="308" t="s">
        <v>409</v>
      </c>
      <c r="T471" s="308" t="s">
        <v>1043</v>
      </c>
      <c r="U471" s="308" t="s">
        <v>416</v>
      </c>
      <c r="V471" s="308" t="s">
        <v>417</v>
      </c>
      <c r="W471" s="20"/>
      <c r="X471" s="332"/>
      <c r="Y471" s="331"/>
      <c r="Z471" s="330"/>
      <c r="AA471" s="77"/>
      <c r="AC471" s="118"/>
      <c r="AD471" s="3"/>
      <c r="AE471" s="3"/>
      <c r="AF471" s="329"/>
      <c r="AN471" s="328"/>
      <c r="AP471" s="327"/>
    </row>
    <row r="472" spans="3:42" ht="13.5" customHeight="1">
      <c r="C472" s="3">
        <v>104</v>
      </c>
      <c r="D472" s="3">
        <v>105</v>
      </c>
      <c r="G472" s="3" t="s">
        <v>50</v>
      </c>
      <c r="L472" s="78" t="str" cm="1">
        <f t="array" aca="1" ref="L472" ca="1">MID(met2utc(Q472),3,12)</f>
        <v>25-273/16:34</v>
      </c>
      <c r="M472" s="78" t="str" cm="1">
        <f t="array" aca="1" ref="M472" ca="1">MID(met2utc(R472),3,12)</f>
        <v>25-275/11:59</v>
      </c>
      <c r="N472" t="s">
        <v>5466</v>
      </c>
      <c r="O472" s="326" t="s">
        <v>1266</v>
      </c>
      <c r="P472" s="32"/>
      <c r="Q472" s="341">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0">
        <f>X470</f>
        <v>789340.64705976436</v>
      </c>
      <c r="X472" s="332">
        <f t="shared" ref="X472:X483" si="153">W472-V472</f>
        <v>1.8242280930280685E-7</v>
      </c>
      <c r="Y472" s="331"/>
      <c r="Z472" s="330"/>
      <c r="AA472" s="77"/>
      <c r="AC472" s="118"/>
      <c r="AD472" s="3"/>
      <c r="AE472" s="3"/>
      <c r="AF472" s="329"/>
      <c r="AN472" s="328"/>
      <c r="AP472" s="327"/>
    </row>
    <row r="473" spans="3:42" ht="13.5" customHeight="1">
      <c r="C473" s="3">
        <v>104</v>
      </c>
      <c r="D473" s="3">
        <v>105</v>
      </c>
      <c r="G473" s="3" t="s">
        <v>50</v>
      </c>
      <c r="L473" s="78" t="str" cm="1">
        <f t="array" aca="1" ref="L473" ca="1">MID(met2utc(Q473),3,12)</f>
        <v>25-275/11:59</v>
      </c>
      <c r="M473" s="78" t="str" cm="1">
        <f t="array" aca="1" ref="M473" ca="1">MID(met2utc(R473),3,12)</f>
        <v>25-277/01:06</v>
      </c>
      <c r="N473" t="s">
        <v>5466</v>
      </c>
      <c r="O473" s="326" t="str">
        <f t="shared" ref="O473:O480" si="154">AG473</f>
        <v>256/10:08</v>
      </c>
      <c r="P473" s="32" t="str">
        <f t="shared" ref="P473:P480" si="155">MID(AH473,5,5)</f>
        <v>256_2</v>
      </c>
      <c r="Q473" s="58">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2">
        <f t="shared" si="153"/>
        <v>-2.6659108698368073E-8</v>
      </c>
      <c r="Y473" s="331"/>
      <c r="Z473" s="330"/>
      <c r="AA473" s="77">
        <f t="shared" ref="AA473:AA480" si="158">AN473</f>
        <v>5.3997384000000004</v>
      </c>
      <c r="AC473" s="118">
        <f>AC470+AE473</f>
        <v>127.57643082056529</v>
      </c>
      <c r="AD473" s="3">
        <f t="shared" ref="AD473:AD480" si="159">X473*8/1000000</f>
        <v>-2.1327286958694459E-13</v>
      </c>
      <c r="AE473" s="3">
        <f t="shared" ref="AE473:AE480" si="160">V473*8/1000000</f>
        <v>5.3997384000002135</v>
      </c>
      <c r="AF473" s="329" t="str">
        <f t="shared" ref="AF473:AF480" si="161">AH473</f>
        <v>TRK_256_2</v>
      </c>
      <c r="AG473" t="s">
        <v>5490</v>
      </c>
      <c r="AH473" t="s">
        <v>5489</v>
      </c>
      <c r="AI473" t="s">
        <v>5488</v>
      </c>
      <c r="AJ473">
        <v>0.30713200000000002</v>
      </c>
      <c r="AK473">
        <v>0.94995799999999997</v>
      </c>
      <c r="AL473">
        <v>0.64282600000000001</v>
      </c>
      <c r="AM473">
        <v>5.6568680000000002</v>
      </c>
      <c r="AN473" s="328">
        <f t="shared" ref="AN473:AN480" si="162">AL473*8*1.05</f>
        <v>5.3997384000000004</v>
      </c>
      <c r="AP473" s="327" t="s">
        <v>5487</v>
      </c>
    </row>
    <row r="474" spans="3:42" ht="13.5" customHeight="1">
      <c r="C474" s="3">
        <v>104</v>
      </c>
      <c r="D474" s="3">
        <v>105</v>
      </c>
      <c r="G474" s="3" t="s">
        <v>50</v>
      </c>
      <c r="L474" s="78" t="str" cm="1">
        <f t="array" aca="1" ref="L474" ca="1">MID(met2utc(Q474),3,12)</f>
        <v>25-277/01:06</v>
      </c>
      <c r="M474" s="78" t="str" cm="1">
        <f t="array" aca="1" ref="M474" ca="1">MID(met2utc(R474),3,12)</f>
        <v>25-278/12:58</v>
      </c>
      <c r="N474" t="s">
        <v>5466</v>
      </c>
      <c r="O474" s="326" t="str">
        <f t="shared" si="154"/>
        <v>256/18:43</v>
      </c>
      <c r="P474" s="32" t="str">
        <f t="shared" si="155"/>
        <v>256_3</v>
      </c>
      <c r="Q474" s="58">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2">
        <f t="shared" si="153"/>
        <v>-1.7927959561347961E-8</v>
      </c>
      <c r="Y474" s="331"/>
      <c r="Z474" s="330"/>
      <c r="AA474" s="77">
        <f t="shared" si="158"/>
        <v>5.2174415999999999</v>
      </c>
      <c r="AC474" s="118">
        <f>AC473+AE474</f>
        <v>132.79387242056544</v>
      </c>
      <c r="AD474" s="3">
        <f t="shared" si="159"/>
        <v>-1.4342367649078369E-13</v>
      </c>
      <c r="AE474" s="3">
        <f t="shared" si="160"/>
        <v>5.2174416000001429</v>
      </c>
      <c r="AF474" s="329" t="str">
        <f t="shared" si="161"/>
        <v>TRK_256_3</v>
      </c>
      <c r="AG474" t="s">
        <v>5486</v>
      </c>
      <c r="AH474" t="s">
        <v>5485</v>
      </c>
      <c r="AI474" t="s">
        <v>5484</v>
      </c>
      <c r="AJ474">
        <v>0.19022</v>
      </c>
      <c r="AK474">
        <v>0.81134399999999995</v>
      </c>
      <c r="AL474">
        <v>0.62112400000000001</v>
      </c>
      <c r="AM474">
        <v>5.4658920000000002</v>
      </c>
      <c r="AN474" s="328">
        <f t="shared" si="162"/>
        <v>5.2174415999999999</v>
      </c>
      <c r="AP474" s="327" t="s">
        <v>5483</v>
      </c>
    </row>
    <row r="475" spans="3:42" ht="13.5" customHeight="1">
      <c r="C475" s="3">
        <v>104</v>
      </c>
      <c r="D475" s="3">
        <v>105</v>
      </c>
      <c r="G475" s="3" t="s">
        <v>50</v>
      </c>
      <c r="L475" s="78" t="str" cm="1">
        <f t="array" aca="1" ref="L475" ca="1">MID(met2utc(Q475),3,12)</f>
        <v>25-278/12:58</v>
      </c>
      <c r="M475" s="78" t="str" cm="1">
        <f t="array" aca="1" ref="M475" ca="1">MID(met2utc(R475),3,12)</f>
        <v>25-280/08:13</v>
      </c>
      <c r="N475" t="s">
        <v>5466</v>
      </c>
      <c r="O475" s="326" t="str">
        <f t="shared" si="154"/>
        <v>257/09:58</v>
      </c>
      <c r="P475" s="32" t="str">
        <f t="shared" si="155"/>
        <v>257_1</v>
      </c>
      <c r="Q475" s="58">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2">
        <f t="shared" si="153"/>
        <v>0</v>
      </c>
      <c r="Y475" s="331"/>
      <c r="Z475" s="330"/>
      <c r="AA475" s="77">
        <f t="shared" si="158"/>
        <v>6.2906676000000008</v>
      </c>
      <c r="AC475" s="118">
        <f>AC474+AE475</f>
        <v>139.08454002056544</v>
      </c>
      <c r="AD475" s="3">
        <f t="shared" si="159"/>
        <v>0</v>
      </c>
      <c r="AE475" s="3">
        <f t="shared" si="160"/>
        <v>6.2906676000000035</v>
      </c>
      <c r="AF475" s="329" t="str">
        <f t="shared" si="161"/>
        <v>TRK_257_1</v>
      </c>
      <c r="AG475" t="s">
        <v>5482</v>
      </c>
      <c r="AH475" t="s">
        <v>5481</v>
      </c>
      <c r="AI475" t="s">
        <v>5480</v>
      </c>
      <c r="AJ475">
        <v>0.241893</v>
      </c>
      <c r="AK475">
        <v>0.99078200000000005</v>
      </c>
      <c r="AL475">
        <v>0.74888900000000003</v>
      </c>
      <c r="AM475">
        <v>6.5902269999999996</v>
      </c>
      <c r="AN475" s="328">
        <f t="shared" si="162"/>
        <v>6.2906676000000008</v>
      </c>
      <c r="AP475" s="327" t="s">
        <v>5479</v>
      </c>
    </row>
    <row r="476" spans="3:42" ht="13.5" customHeight="1">
      <c r="C476" s="3">
        <v>104</v>
      </c>
      <c r="D476" s="3">
        <v>105</v>
      </c>
      <c r="G476" s="3" t="s">
        <v>50</v>
      </c>
      <c r="L476" s="78" t="str" cm="1">
        <f t="array" aca="1" ref="L476" ca="1">MID(met2utc(Q476),3,12)</f>
        <v>25-280/08:13</v>
      </c>
      <c r="M476" s="78" t="str" cm="1">
        <f t="array" aca="1" ref="M476" ca="1">MID(met2utc(R476),3,12)</f>
        <v>25-280/23:41</v>
      </c>
      <c r="N476" t="s">
        <v>5466</v>
      </c>
      <c r="O476" s="326" t="str">
        <f t="shared" si="154"/>
        <v>258/10:53</v>
      </c>
      <c r="P476" s="32" t="str">
        <f t="shared" si="155"/>
        <v>258_1</v>
      </c>
      <c r="Q476" s="58">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2">
        <f t="shared" si="153"/>
        <v>-1.5867408365011215E-7</v>
      </c>
      <c r="Y476" s="331"/>
      <c r="Z476" s="330"/>
      <c r="AA476" s="77">
        <f t="shared" si="158"/>
        <v>2.2477644000000003</v>
      </c>
      <c r="AC476" s="118">
        <f>AC475+AE476</f>
        <v>141.33230442056671</v>
      </c>
      <c r="AD476" s="3">
        <f t="shared" si="159"/>
        <v>-1.2693926692008973E-12</v>
      </c>
      <c r="AE476" s="3">
        <f t="shared" si="160"/>
        <v>2.24776440000127</v>
      </c>
      <c r="AF476" s="329" t="str">
        <f t="shared" si="161"/>
        <v>TRK_258_1_</v>
      </c>
      <c r="AG476" t="s">
        <v>5478</v>
      </c>
      <c r="AH476" t="s">
        <v>5477</v>
      </c>
      <c r="AI476" t="s">
        <v>5476</v>
      </c>
      <c r="AJ476">
        <v>0.45894099999999999</v>
      </c>
      <c r="AK476">
        <v>0.72653199999999996</v>
      </c>
      <c r="AL476">
        <v>0.26759100000000002</v>
      </c>
      <c r="AM476">
        <v>2.3547989999999999</v>
      </c>
      <c r="AN476" s="328">
        <f t="shared" si="162"/>
        <v>2.2477644000000003</v>
      </c>
      <c r="AP476" s="327" t="s">
        <v>5475</v>
      </c>
    </row>
    <row r="477" spans="3:42" ht="13.5" customHeight="1">
      <c r="C477" s="3">
        <v>104</v>
      </c>
      <c r="D477" s="3">
        <v>105</v>
      </c>
      <c r="G477" s="3" t="s">
        <v>50</v>
      </c>
      <c r="L477" s="78" t="str" cm="1">
        <f t="array" aca="1" ref="L477" ca="1">MID(met2utc(Q477),3,12)</f>
        <v>25-280/23:41</v>
      </c>
      <c r="M477" s="78" t="str" cm="1">
        <f t="array" aca="1" ref="M477" ca="1">MID(met2utc(R477),3,12)</f>
        <v>25-285/03:37</v>
      </c>
      <c r="N477" t="s">
        <v>5466</v>
      </c>
      <c r="O477" s="326" t="str">
        <f t="shared" si="154"/>
        <v>258/20:07</v>
      </c>
      <c r="P477" s="32" t="str">
        <f t="shared" si="155"/>
        <v>258_2</v>
      </c>
      <c r="Q477" s="58">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2">
        <f t="shared" si="153"/>
        <v>-2.0605511963367462E-7</v>
      </c>
      <c r="Y477" s="331"/>
      <c r="Z477" s="330"/>
      <c r="AA477" s="77">
        <f t="shared" si="158"/>
        <v>14.5352172</v>
      </c>
      <c r="AC477" s="118">
        <f>AC476+AE477</f>
        <v>155.86752162056837</v>
      </c>
      <c r="AD477" s="3">
        <f t="shared" si="159"/>
        <v>-1.6484409570693971E-12</v>
      </c>
      <c r="AE477" s="3">
        <f t="shared" si="160"/>
        <v>14.535217200001648</v>
      </c>
      <c r="AF477" s="329" t="str">
        <f t="shared" si="161"/>
        <v>TRK_258_2</v>
      </c>
      <c r="AG477" t="s">
        <v>5474</v>
      </c>
      <c r="AH477" t="s">
        <v>5473</v>
      </c>
      <c r="AI477" t="s">
        <v>5472</v>
      </c>
      <c r="AJ477">
        <v>0.198909</v>
      </c>
      <c r="AK477">
        <v>1.929292</v>
      </c>
      <c r="AL477">
        <v>1.730383</v>
      </c>
      <c r="AM477">
        <v>15.227372000000001</v>
      </c>
      <c r="AN477" s="328">
        <f t="shared" si="162"/>
        <v>14.5352172</v>
      </c>
      <c r="AP477" s="327" t="s">
        <v>5471</v>
      </c>
    </row>
    <row r="478" spans="3:42" ht="13.5" customHeight="1">
      <c r="C478" s="3">
        <v>104</v>
      </c>
      <c r="D478" s="3">
        <v>105</v>
      </c>
      <c r="G478" s="3" t="s">
        <v>50</v>
      </c>
      <c r="L478" s="78" t="str" cm="1">
        <f t="array" aca="1" ref="L478" ca="1">MID(met2utc(Q478),3,12)</f>
        <v>25-285/03:37</v>
      </c>
      <c r="M478" s="78" t="str" cm="1">
        <f t="array" aca="1" ref="M478" ca="1">MID(met2utc(R478),3,12)</f>
        <v>25-286/01:17</v>
      </c>
      <c r="N478" t="s">
        <v>5466</v>
      </c>
      <c r="O478" s="326" t="str">
        <f t="shared" si="154"/>
        <v>259/10:52</v>
      </c>
      <c r="P478" s="32" t="str">
        <f t="shared" si="155"/>
        <v>259_1</v>
      </c>
      <c r="Q478" s="58">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2">
        <f t="shared" si="153"/>
        <v>-2.9284274205565453E-7</v>
      </c>
      <c r="Y478" s="331"/>
      <c r="Z478" s="330"/>
      <c r="AA478" s="77">
        <f t="shared" si="158"/>
        <v>3.1511172000000003</v>
      </c>
      <c r="AC478" s="118">
        <f>AC476+AE478</f>
        <v>144.48342162056906</v>
      </c>
      <c r="AD478" s="3">
        <f t="shared" si="159"/>
        <v>-2.3427419364452362E-12</v>
      </c>
      <c r="AE478" s="3">
        <f t="shared" si="160"/>
        <v>3.1511172000023429</v>
      </c>
      <c r="AF478" s="329" t="str">
        <f t="shared" si="161"/>
        <v>TRK_259_1</v>
      </c>
      <c r="AG478" t="s">
        <v>5470</v>
      </c>
      <c r="AH478" t="s">
        <v>5469</v>
      </c>
      <c r="AI478" t="s">
        <v>5468</v>
      </c>
      <c r="AJ478">
        <v>0.22928699999999999</v>
      </c>
      <c r="AK478">
        <v>0.60441999999999996</v>
      </c>
      <c r="AL478">
        <v>0.37513299999999999</v>
      </c>
      <c r="AM478">
        <v>3.3011680000000001</v>
      </c>
      <c r="AN478" s="328">
        <f t="shared" si="162"/>
        <v>3.1511172000000003</v>
      </c>
      <c r="AP478" s="327" t="s">
        <v>5467</v>
      </c>
    </row>
    <row r="479" spans="3:42" ht="13.5" customHeight="1">
      <c r="C479" s="3">
        <v>104</v>
      </c>
      <c r="D479" s="3">
        <v>105</v>
      </c>
      <c r="G479" s="3" t="s">
        <v>50</v>
      </c>
      <c r="L479" s="78" t="str" cm="1">
        <f t="array" aca="1" ref="L479" ca="1">MID(met2utc(Q479),3,12)</f>
        <v>25-286/01:17</v>
      </c>
      <c r="M479" s="78" t="str" cm="1">
        <f t="array" aca="1" ref="M479" ca="1">MID(met2utc(R479),3,12)</f>
        <v>25-288/14:53</v>
      </c>
      <c r="N479" t="s">
        <v>5466</v>
      </c>
      <c r="O479" s="326" t="str">
        <f t="shared" si="154"/>
        <v>261/00:32</v>
      </c>
      <c r="P479" s="32" t="str">
        <f t="shared" si="155"/>
        <v>261_1</v>
      </c>
      <c r="Q479" s="58">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2">
        <f t="shared" si="153"/>
        <v>-5.5413693189620972E-8</v>
      </c>
      <c r="Y479" s="331"/>
      <c r="Z479" s="330"/>
      <c r="AA479" s="77">
        <f t="shared" si="158"/>
        <v>8.9610192000000009</v>
      </c>
      <c r="AC479" s="118">
        <f>AC477+AE479</f>
        <v>164.8285408205688</v>
      </c>
      <c r="AD479" s="3">
        <f t="shared" si="159"/>
        <v>-4.433095455169678E-13</v>
      </c>
      <c r="AE479" s="3">
        <f t="shared" si="160"/>
        <v>8.9610192000004449</v>
      </c>
      <c r="AF479" s="329" t="str">
        <f t="shared" si="161"/>
        <v>TRK_261_1_</v>
      </c>
      <c r="AG479" t="s">
        <v>5465</v>
      </c>
      <c r="AH479" t="s">
        <v>5464</v>
      </c>
      <c r="AI479" t="s">
        <v>5463</v>
      </c>
      <c r="AJ479">
        <v>0.53908</v>
      </c>
      <c r="AK479">
        <v>1.6058680000000001</v>
      </c>
      <c r="AL479">
        <v>1.0667880000000001</v>
      </c>
      <c r="AM479">
        <v>9.3877330000000008</v>
      </c>
      <c r="AN479" s="328">
        <f t="shared" si="162"/>
        <v>8.9610192000000009</v>
      </c>
      <c r="AP479" s="327" t="s">
        <v>5462</v>
      </c>
    </row>
    <row r="480" spans="3:42" ht="13.5" customHeight="1">
      <c r="N480" s="286" t="s">
        <v>5457</v>
      </c>
      <c r="O480" s="326" t="str">
        <f t="shared" si="154"/>
        <v>261/23:22</v>
      </c>
      <c r="P480" s="32" t="str">
        <f t="shared" si="155"/>
        <v>261_3</v>
      </c>
      <c r="Q480" s="339">
        <f>R435-1</f>
        <v>645953884</v>
      </c>
      <c r="R480" s="338">
        <f>Z487</f>
        <v>645954474.13390243</v>
      </c>
      <c r="S480" s="190"/>
      <c r="T480" s="190"/>
      <c r="U480" s="337"/>
      <c r="V480" s="336">
        <f>V487</f>
        <v>2347763.7749999999</v>
      </c>
      <c r="W480" s="20">
        <f t="shared" si="157"/>
        <v>4695527.55</v>
      </c>
      <c r="X480" s="332">
        <f t="shared" si="153"/>
        <v>2347763.7749999999</v>
      </c>
      <c r="Y480" s="331"/>
      <c r="Z480" s="335">
        <f>AE480</f>
        <v>18.782110199999998</v>
      </c>
      <c r="AA480" s="77">
        <f t="shared" si="158"/>
        <v>37.564220399999996</v>
      </c>
      <c r="AC480" s="118">
        <f>AC479+AE480</f>
        <v>183.61065102056881</v>
      </c>
      <c r="AD480" s="3">
        <f t="shared" si="159"/>
        <v>18.782110199999998</v>
      </c>
      <c r="AE480" s="3">
        <f t="shared" si="160"/>
        <v>18.782110199999998</v>
      </c>
      <c r="AF480" s="329" t="str">
        <f t="shared" si="161"/>
        <v>TRK_261_3</v>
      </c>
      <c r="AG480" t="s">
        <v>5461</v>
      </c>
      <c r="AH480" t="s">
        <v>5460</v>
      </c>
      <c r="AI480" t="s">
        <v>5459</v>
      </c>
      <c r="AJ480">
        <v>0.29404599999999997</v>
      </c>
      <c r="AK480">
        <v>4.7659770000000004</v>
      </c>
      <c r="AL480">
        <v>4.4719309999999997</v>
      </c>
      <c r="AM480">
        <v>39.352995</v>
      </c>
      <c r="AN480" s="328">
        <f t="shared" si="162"/>
        <v>37.564220399999996</v>
      </c>
      <c r="AP480" s="327" t="s">
        <v>5458</v>
      </c>
    </row>
    <row r="481" spans="10:42" ht="13.5" customHeight="1">
      <c r="N481" s="286" t="s">
        <v>5457</v>
      </c>
      <c r="O481" s="326"/>
      <c r="P481" s="32"/>
      <c r="Q481" s="339">
        <f>Q488</f>
        <v>645954473.13390243</v>
      </c>
      <c r="R481" s="338">
        <f>Z488</f>
        <v>645955063.86945069</v>
      </c>
      <c r="S481" s="190"/>
      <c r="T481" s="190"/>
      <c r="U481" s="337"/>
      <c r="V481" s="336">
        <f>V488</f>
        <v>2347763.7749999999</v>
      </c>
      <c r="W481" s="340">
        <f>X480</f>
        <v>2347763.7749999999</v>
      </c>
      <c r="X481" s="332">
        <f t="shared" si="153"/>
        <v>0</v>
      </c>
      <c r="Y481" s="331"/>
      <c r="Z481" s="335"/>
      <c r="AA481" s="77"/>
      <c r="AC481" s="118"/>
      <c r="AD481" s="3"/>
      <c r="AE481" s="3"/>
      <c r="AF481" s="329"/>
      <c r="AN481" s="328"/>
      <c r="AP481" s="327"/>
    </row>
    <row r="482" spans="10:42" ht="13.5" customHeight="1">
      <c r="N482" s="286" t="s">
        <v>5457</v>
      </c>
      <c r="O482" s="326" t="str">
        <f>AG482</f>
        <v>263/08:07</v>
      </c>
      <c r="P482" s="32" t="str">
        <f>MID(AH482,5,5)</f>
        <v>263_1</v>
      </c>
      <c r="Q482" s="339">
        <f>Q489</f>
        <v>645955062.86945069</v>
      </c>
      <c r="R482" s="338">
        <f>Z489</f>
        <v>645955295.29034281</v>
      </c>
      <c r="S482" s="190"/>
      <c r="T482" s="190"/>
      <c r="U482" s="337"/>
      <c r="V482" s="336">
        <f>V489</f>
        <v>921356.1</v>
      </c>
      <c r="W482" s="20">
        <f>AA482*1000000/8</f>
        <v>921356.1</v>
      </c>
      <c r="X482" s="332">
        <f t="shared" si="153"/>
        <v>0</v>
      </c>
      <c r="Y482" s="331"/>
      <c r="Z482" s="335">
        <f>AA482</f>
        <v>7.3708488000000001</v>
      </c>
      <c r="AA482" s="77">
        <f>AN482</f>
        <v>7.3708488000000001</v>
      </c>
      <c r="AC482" s="118">
        <f>AC480+AE482</f>
        <v>190.98149982056881</v>
      </c>
      <c r="AD482" s="3">
        <f>X482*8/1000000</f>
        <v>0</v>
      </c>
      <c r="AE482" s="3">
        <f>V482*8/1000000</f>
        <v>7.3708488000000001</v>
      </c>
      <c r="AF482" s="329" t="str">
        <f>AH482</f>
        <v>TRK_263_1</v>
      </c>
      <c r="AG482" t="s">
        <v>5456</v>
      </c>
      <c r="AH482" t="s">
        <v>5455</v>
      </c>
      <c r="AI482" t="s">
        <v>5454</v>
      </c>
      <c r="AJ482">
        <v>0.28040999999999999</v>
      </c>
      <c r="AK482">
        <v>1.1578919999999999</v>
      </c>
      <c r="AL482">
        <v>0.87748199999999998</v>
      </c>
      <c r="AM482">
        <v>7.7218369999999998</v>
      </c>
      <c r="AN482" s="328">
        <f>AL482*8*1.05</f>
        <v>7.3708488000000001</v>
      </c>
      <c r="AP482" s="327" t="s">
        <v>5453</v>
      </c>
    </row>
    <row r="483" spans="10:42" ht="13.5" customHeight="1">
      <c r="J483" t="s">
        <v>228</v>
      </c>
      <c r="K483" t="s">
        <v>825</v>
      </c>
      <c r="L483" s="94" t="str" cm="1">
        <f t="array" aca="1" ref="L483" ca="1">MID(met2utc(Q483),3,12)</f>
        <v>26-248/00:37</v>
      </c>
      <c r="M483" s="94" t="str" cm="1">
        <f t="array" aca="1" ref="M483" ca="1">MID(met2utc(R483),3,12)</f>
        <v>26-263/15:51</v>
      </c>
      <c r="N483" t="s">
        <v>5452</v>
      </c>
      <c r="O483" s="326" t="str">
        <f>AG483</f>
        <v>263/18:11</v>
      </c>
      <c r="P483" s="32" t="str">
        <f>MID(AH483,5,5)</f>
        <v>263_2</v>
      </c>
      <c r="Q483" s="58">
        <f>R458-3</f>
        <v>650874593.07753575</v>
      </c>
      <c r="R483" s="334">
        <v>652225386</v>
      </c>
      <c r="S483" s="333">
        <f>R483-Q483</f>
        <v>1350792.9224642515</v>
      </c>
      <c r="T483" s="333">
        <f>S483*$S$2</f>
        <v>683050.7709562704</v>
      </c>
      <c r="U483" s="3">
        <v>0</v>
      </c>
      <c r="V483" s="20">
        <f>T483+U483*$V$38</f>
        <v>683050.7709562704</v>
      </c>
      <c r="W483" s="20">
        <f>AA483*1000000/8</f>
        <v>703327.8</v>
      </c>
      <c r="X483" s="332">
        <f t="shared" si="153"/>
        <v>20277.02904372965</v>
      </c>
      <c r="Y483" s="331"/>
      <c r="Z483" s="330"/>
      <c r="AA483" s="77">
        <f>AN483</f>
        <v>5.6266224000000005</v>
      </c>
      <c r="AC483" s="129">
        <f>AE483+AC458</f>
        <v>10.60658376764993</v>
      </c>
      <c r="AD483" s="3">
        <f>X483*8/1000000</f>
        <v>0.1622162323498372</v>
      </c>
      <c r="AE483" s="3">
        <f>V483*8/1000000</f>
        <v>5.4644061676501634</v>
      </c>
      <c r="AF483" s="329" t="str">
        <f>AH483</f>
        <v>TRK_263_2</v>
      </c>
      <c r="AG483" t="s">
        <v>5451</v>
      </c>
      <c r="AH483" t="s">
        <v>5450</v>
      </c>
      <c r="AI483" t="s">
        <v>5449</v>
      </c>
      <c r="AJ483">
        <v>0.195407</v>
      </c>
      <c r="AK483">
        <v>0.86524299999999998</v>
      </c>
      <c r="AL483">
        <v>0.66983599999999999</v>
      </c>
      <c r="AM483">
        <v>5.8945550000000004</v>
      </c>
      <c r="AN483" s="328">
        <f>AL483*8*1.05</f>
        <v>5.6266224000000005</v>
      </c>
      <c r="AP483" s="327" t="s">
        <v>5448</v>
      </c>
    </row>
    <row r="484" spans="10:42" ht="13.5" customHeight="1">
      <c r="O484" s="326"/>
      <c r="AM484">
        <f>SUM(AM452:AM483)</f>
        <v>260.41025799999994</v>
      </c>
    </row>
    <row r="485" spans="10:42" ht="13.5" customHeight="1">
      <c r="O485" s="326"/>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7">
        <v>645953884</v>
      </c>
      <c r="R487">
        <v>645955455</v>
      </c>
      <c r="S487">
        <f>R487-Q487</f>
        <v>1571</v>
      </c>
      <c r="U487" s="324">
        <f>AA480/2</f>
        <v>18.782110199999998</v>
      </c>
      <c r="V487" s="5">
        <f>U487*1000000/8</f>
        <v>2347763.7749999999</v>
      </c>
      <c r="W487">
        <f>50*1000000/8</f>
        <v>6250000</v>
      </c>
      <c r="X487">
        <f>V487/W487</f>
        <v>0.37564220399999998</v>
      </c>
      <c r="Y487">
        <f>X487*S487</f>
        <v>590.13390248399992</v>
      </c>
      <c r="Z487" s="325">
        <f>Q487+Y487</f>
        <v>645954474.13390243</v>
      </c>
    </row>
    <row r="488" spans="10:42" ht="13.5" customHeight="1">
      <c r="Q488" s="307">
        <f>Z487-1</f>
        <v>645954473.13390243</v>
      </c>
      <c r="R488">
        <v>645955455</v>
      </c>
      <c r="S488" s="5">
        <f>R488-Q488</f>
        <v>981.86609756946564</v>
      </c>
      <c r="U488" s="324">
        <f>U487</f>
        <v>18.782110199999998</v>
      </c>
      <c r="V488" s="5">
        <f>U488*1000000/8</f>
        <v>2347763.7749999999</v>
      </c>
      <c r="W488">
        <f>W487-V487</f>
        <v>3902236.2250000001</v>
      </c>
      <c r="X488">
        <f>V488/W488</f>
        <v>0.60164573327438675</v>
      </c>
      <c r="Y488">
        <f>X488*S488</f>
        <v>590.73554824944176</v>
      </c>
      <c r="Z488" s="307">
        <f>Q488+Y488</f>
        <v>645955063.86945069</v>
      </c>
    </row>
    <row r="489" spans="10:42" ht="13.5" customHeight="1">
      <c r="P489" t="s">
        <v>5432</v>
      </c>
      <c r="Q489" s="307">
        <f>Z488-1</f>
        <v>645955062.86945069</v>
      </c>
      <c r="R489">
        <v>645955455</v>
      </c>
      <c r="S489" s="5">
        <f>R489-Q489</f>
        <v>392.13054931163788</v>
      </c>
      <c r="U489" s="324">
        <f>AA482</f>
        <v>7.3708488000000001</v>
      </c>
      <c r="V489" s="5">
        <f>U489*1000000/8</f>
        <v>921356.1</v>
      </c>
      <c r="W489">
        <f>W488-V488</f>
        <v>1554472.4500000002</v>
      </c>
      <c r="X489">
        <f>V489/W489</f>
        <v>0.59271304550942661</v>
      </c>
      <c r="Y489">
        <f>X489*S489</f>
        <v>232.42089211978526</v>
      </c>
      <c r="Z489" s="307">
        <f>Q489+Y489</f>
        <v>645955295.29034281</v>
      </c>
    </row>
    <row r="490" spans="10:42" ht="13.5" customHeight="1">
      <c r="Q490" s="5">
        <f>Z489-1</f>
        <v>645955294.29034281</v>
      </c>
      <c r="R490">
        <v>645955455</v>
      </c>
      <c r="S490" s="5">
        <f>R490-Q490</f>
        <v>160.70965719223022</v>
      </c>
      <c r="U490" s="324">
        <f>50-U487-U488-U489</f>
        <v>5.0649308000000035</v>
      </c>
      <c r="V490" s="5">
        <f>U490*1000000/8</f>
        <v>633116.35000000044</v>
      </c>
      <c r="W490">
        <f>W489-V489</f>
        <v>633116.35000000021</v>
      </c>
      <c r="X490">
        <f>V490/W490</f>
        <v>1.0000000000000004</v>
      </c>
      <c r="Y490">
        <f>X490*S490</f>
        <v>160.70965719223031</v>
      </c>
      <c r="Z490" s="5">
        <f>Q490+Y490</f>
        <v>645955455</v>
      </c>
    </row>
  </sheetData>
  <conditionalFormatting sqref="C1:K1048576">
    <cfRule type="expression" dxfId="43" priority="2" stopIfTrue="1">
      <formula>_xlfn.TEXTJOIN("",FALSE,$E1:$K1)="HSK3DT1DT2DT3DT4SDT1HSK4"</formula>
    </cfRule>
    <cfRule type="expression" dxfId="42" priority="10" stopIfTrue="1">
      <formula>AND(_xlfn.TEXTJOIN("",FALSE,$E1:$I1) &lt;&gt;"",_xlfn.TEXTJOIN("",FALSE,$J1:$K1) &lt;&gt; "")</formula>
    </cfRule>
  </conditionalFormatting>
  <conditionalFormatting sqref="E1:K1048576">
    <cfRule type="expression" dxfId="41" priority="11" stopIfTrue="1">
      <formula>NOT(OR(EXACT(E1,""),EXACT(E1,E$1)))</formula>
    </cfRule>
  </conditionalFormatting>
  <conditionalFormatting sqref="O1:P1048576 E1:K1048576">
    <cfRule type="expression" dxfId="40" priority="8" stopIfTrue="1">
      <formula>AND(_xlfn.XOR(_xlfn.TEXTJOIN("",TRUE,$E1:$I1)&lt;&gt;"",_xlfn.TEXTJOIN("",TRUE,$J1:$K1)&lt;&gt;""),$O1="",$P1="")</formula>
    </cfRule>
  </conditionalFormatting>
  <conditionalFormatting sqref="X9">
    <cfRule type="expression" dxfId="39"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8424-D560-408F-8969-3A6CA8469EC4}">
  <sheetPr codeName="Sheet3"/>
  <dimension ref="A1:L74"/>
  <sheetViews>
    <sheetView workbookViewId="0">
      <selection activeCell="B16" sqref="B16:B17"/>
    </sheetView>
  </sheetViews>
  <sheetFormatPr defaultRowHeight="15"/>
  <cols>
    <col min="1" max="1" width="20.28515625" bestFit="1" customWidth="1"/>
    <col min="2" max="2" width="10" bestFit="1" customWidth="1"/>
    <col min="3" max="3" width="7" bestFit="1" customWidth="1"/>
    <col min="4" max="4" width="7.28515625" bestFit="1" customWidth="1"/>
    <col min="5" max="5" width="4.42578125" style="211" bestFit="1" customWidth="1"/>
    <col min="6" max="6" width="16.28515625" style="238" customWidth="1"/>
    <col min="7" max="7" width="15.85546875" style="209" bestFit="1" customWidth="1"/>
    <col min="8" max="8" width="11.28515625" style="209" bestFit="1" customWidth="1"/>
    <col min="9" max="9" width="13.42578125" style="209" bestFit="1" customWidth="1"/>
    <col min="10" max="10" width="11.140625" style="209" bestFit="1" customWidth="1"/>
    <col min="11" max="11" width="8.85546875" style="209" bestFit="1" customWidth="1"/>
    <col min="12" max="12" width="4.5703125" style="211" bestFit="1" customWidth="1"/>
  </cols>
  <sheetData>
    <row r="1" spans="1:12">
      <c r="G1" s="238"/>
      <c r="H1" s="213"/>
      <c r="I1" s="213"/>
      <c r="J1" s="238"/>
      <c r="K1" s="238"/>
    </row>
    <row r="2" spans="1:12">
      <c r="E2" s="235"/>
      <c r="F2" s="234"/>
      <c r="G2" s="233"/>
      <c r="H2" s="213"/>
      <c r="I2" s="213"/>
      <c r="J2" s="212"/>
      <c r="K2" s="212"/>
    </row>
    <row r="3" spans="1:12">
      <c r="I3" s="213"/>
      <c r="J3" s="212"/>
      <c r="K3" s="212"/>
    </row>
    <row r="4" spans="1:12">
      <c r="I4" s="213"/>
      <c r="J4" s="212"/>
      <c r="K4" s="212"/>
    </row>
    <row r="5" spans="1:12">
      <c r="G5" s="212"/>
      <c r="H5" s="213"/>
      <c r="I5" s="213"/>
      <c r="J5" s="212"/>
      <c r="K5" s="212"/>
    </row>
    <row r="6" spans="1:12">
      <c r="G6" s="212"/>
      <c r="H6" s="213"/>
      <c r="I6" s="213"/>
      <c r="J6" s="212"/>
      <c r="K6" s="212"/>
    </row>
    <row r="7" spans="1:12">
      <c r="G7" s="212"/>
      <c r="H7" s="213"/>
      <c r="I7" s="213"/>
      <c r="J7" s="212"/>
      <c r="K7" s="212"/>
    </row>
    <row r="8" spans="1:12">
      <c r="G8" s="212"/>
      <c r="H8" s="213"/>
      <c r="I8" s="213"/>
      <c r="J8" s="212"/>
      <c r="K8" s="212"/>
    </row>
    <row r="9" spans="1:12">
      <c r="G9" s="212"/>
      <c r="H9" s="213"/>
      <c r="I9" s="213"/>
      <c r="J9" s="212"/>
      <c r="K9" s="212"/>
    </row>
    <row r="10" spans="1:12">
      <c r="G10" s="212"/>
      <c r="H10" s="213"/>
      <c r="I10" s="213"/>
      <c r="J10" s="212"/>
      <c r="K10" s="212"/>
    </row>
    <row r="11" spans="1:12">
      <c r="G11" s="212"/>
      <c r="H11" s="213"/>
      <c r="I11" s="213"/>
      <c r="J11" s="212"/>
      <c r="K11" s="212"/>
    </row>
    <row r="12" spans="1:12">
      <c r="G12" s="212"/>
      <c r="H12" s="213"/>
      <c r="I12" s="213"/>
      <c r="J12" s="212"/>
      <c r="K12" s="212"/>
    </row>
    <row r="13" spans="1:12" ht="30">
      <c r="A13" t="s">
        <v>5348</v>
      </c>
      <c r="B13" t="s">
        <v>5282</v>
      </c>
      <c r="C13" t="s">
        <v>5283</v>
      </c>
      <c r="D13" t="s">
        <v>5286</v>
      </c>
      <c r="E13" s="211" t="s">
        <v>2</v>
      </c>
      <c r="F13" s="248" t="s">
        <v>5364</v>
      </c>
      <c r="G13" s="224" t="s">
        <v>5308</v>
      </c>
      <c r="H13" s="223" t="s">
        <v>5360</v>
      </c>
      <c r="I13" s="222" t="s">
        <v>5361</v>
      </c>
      <c r="J13" s="215" t="s">
        <v>5355</v>
      </c>
      <c r="K13" s="244" t="s">
        <v>5356</v>
      </c>
      <c r="L13" s="211" t="s">
        <v>3</v>
      </c>
    </row>
    <row r="14" spans="1:12">
      <c r="A14" t="s">
        <v>5889</v>
      </c>
      <c r="B14">
        <v>457617119</v>
      </c>
      <c r="C14" t="s">
        <v>433</v>
      </c>
      <c r="D14" t="s">
        <v>5890</v>
      </c>
      <c r="F14" s="238" t="str" cm="1">
        <f t="array" aca="1" ref="F14" ca="1">MID(met2utc(SWAP_Commanding[[#This Row],[MET]]),3,15)</f>
        <v>20-203/06:00:01</v>
      </c>
      <c r="G14" s="212" t="str">
        <f>_xlfn.TEXTJOIN("+",TRUE,$C14:$D14)</f>
        <v>ON</v>
      </c>
      <c r="H14" s="213">
        <f>IF($C14="ON",$B14,IF(RIGHT($H13,9)="MET Start","",IF(AND($K14&lt;&gt;0,$K13=1),$B14,$H13)))</f>
        <v>457617119</v>
      </c>
      <c r="I14" s="213">
        <f>IF($C14="OFF",$B14,IF($B15="",$B14+31500000,IF($K14=1,$B15,I15)))</f>
        <v>457617600</v>
      </c>
      <c r="J14" s="212">
        <f>IF($G14="ON",0,IF(OR(J13="",LEFT(J13,6)="Offset"),"",J13+1))</f>
        <v>0</v>
      </c>
      <c r="K14" s="212">
        <f>IF($G14="OFF",0,IF(AND($J15&lt;&gt;0,$J14&lt;&gt;9,$G15&lt;&gt;"MAC+111",($B15-$B14)&lt;7200),K15+1,1))</f>
        <v>10</v>
      </c>
    </row>
    <row r="15" spans="1:12">
      <c r="A15" t="s">
        <v>5891</v>
      </c>
      <c r="B15">
        <v>457617344</v>
      </c>
      <c r="C15" t="s">
        <v>5892</v>
      </c>
      <c r="D15" t="s">
        <v>5893</v>
      </c>
      <c r="F15" s="238" t="str" cm="1">
        <f t="array" aca="1" ref="F15" ca="1">MID(met2utc(SWAP_Commanding[[#This Row],[MET]]),3,15)</f>
        <v>20-203/06:03:46</v>
      </c>
      <c r="G15" s="212" t="str">
        <f>_xlfn.TEXTJOIN("+",TRUE,$C15:$D15)</f>
        <v>MODE+HVENG</v>
      </c>
      <c r="H15" s="213">
        <f>IF($C15="ON",$B15,IF(RIGHT($H14,9)="MET Start","",IF(AND($K15&lt;&gt;0,$K14=1),$B15,$H14)))</f>
        <v>457617119</v>
      </c>
      <c r="I15" s="213">
        <f>IF($C15="OFF",$B15,IF($B16="",$B15+31500000,IF($K15=1,$B16,I16)))</f>
        <v>457617600</v>
      </c>
      <c r="J15" s="212">
        <f>IF($G15="ON",0,IF(OR(J14="",LEFT(J14,6)="Offset"),"",J14+1))</f>
        <v>1</v>
      </c>
      <c r="K15" s="212">
        <f>IF($G15="OFF",0,IF(AND($J16&lt;&gt;0,$J15&lt;&gt;9,$G16&lt;&gt;"MAC+111",($B16-$B15)&lt;7200),K16+1,1))</f>
        <v>9</v>
      </c>
    </row>
    <row r="16" spans="1:12">
      <c r="A16" t="s">
        <v>5894</v>
      </c>
      <c r="B16">
        <v>457617344</v>
      </c>
      <c r="C16" t="s">
        <v>898</v>
      </c>
      <c r="D16" t="s">
        <v>890</v>
      </c>
      <c r="F16" s="238" t="str" cm="1">
        <f t="array" aca="1" ref="F16" ca="1">MID(met2utc(SWAP_Commanding[[#This Row],[MET]]),3,15)</f>
        <v>20-203/06:03:46</v>
      </c>
      <c r="G16" s="212" t="str">
        <f>_xlfn.TEXTJOIN("+",TRUE,$C16:$D16)</f>
        <v>HK+1S</v>
      </c>
      <c r="H16" s="213">
        <f>IF($C16="ON",$B16,IF(RIGHT($H15,9)="MET Start","",IF(AND($K16&lt;&gt;0,$K15=1),$B16,$H15)))</f>
        <v>457617119</v>
      </c>
      <c r="I16" s="213">
        <f>IF($C16="OFF",$B16,IF($B17="",$B16+31500000,IF($K16=1,$B17,I17)))</f>
        <v>457617600</v>
      </c>
      <c r="J16" s="212">
        <f>IF($G16="ON",0,IF(OR(J15="",LEFT(J15,6)="Offset"),"",J15+1))</f>
        <v>2</v>
      </c>
      <c r="K16" s="212">
        <f>IF($G16="OFF",0,IF(AND($J17&lt;&gt;0,$J16&lt;&gt;9,$G17&lt;&gt;"MAC+111",($B17-$B16)&lt;7200),K17+1,1))</f>
        <v>8</v>
      </c>
    </row>
    <row r="17" spans="1:11">
      <c r="A17" t="s">
        <v>5891</v>
      </c>
      <c r="B17">
        <v>457617472</v>
      </c>
      <c r="C17" t="s">
        <v>5892</v>
      </c>
      <c r="D17" t="s">
        <v>5895</v>
      </c>
      <c r="F17" s="238" t="str" cm="1">
        <f t="array" aca="1" ref="F17" ca="1">MID(met2utc(SWAP_Commanding[[#This Row],[MET]]),3,15)</f>
        <v>20-203/06:05:54</v>
      </c>
      <c r="G17" s="212" t="str">
        <f>_xlfn.TEXTJOIN("+",TRUE,$C17:$D17)</f>
        <v>MODE+HVSCI</v>
      </c>
      <c r="H17" s="213">
        <f>IF($C17="ON",$B17,IF(RIGHT($H16,9)="MET Start","",IF(AND($K17&lt;&gt;0,$K16=1),$B17,$H16)))</f>
        <v>457617119</v>
      </c>
      <c r="I17" s="213">
        <f>IF($C17="OFF",$B17,IF($B18="",$B17+31500000,IF($K17=1,$B18,I18)))</f>
        <v>457617600</v>
      </c>
      <c r="J17" s="212">
        <f>IF($G17="ON",0,IF(OR(J16="",LEFT(J16,6)="Offset"),"",J16+1))</f>
        <v>3</v>
      </c>
      <c r="K17" s="212">
        <f>IF($G17="OFF",0,IF(AND($J18&lt;&gt;0,$J17&lt;&gt;9,$G18&lt;&gt;"MAC+111",($B18-$B17)&lt;7200),K18+1,1))</f>
        <v>7</v>
      </c>
    </row>
    <row r="18" spans="1:11">
      <c r="A18" t="s">
        <v>5894</v>
      </c>
      <c r="B18">
        <v>457617472</v>
      </c>
      <c r="C18" t="s">
        <v>898</v>
      </c>
      <c r="D18" t="s">
        <v>878</v>
      </c>
      <c r="F18" s="238" t="str" cm="1">
        <f t="array" aca="1" ref="F18" ca="1">MID(met2utc(SWAP_Commanding[[#This Row],[MET]]),3,15)</f>
        <v>20-203/06:05:54</v>
      </c>
      <c r="G18" s="212" t="str">
        <f>_xlfn.TEXTJOIN("+",TRUE,$C18:$D18)</f>
        <v>HK+1H</v>
      </c>
      <c r="H18" s="213">
        <f>IF($C18="ON",$B18,IF(RIGHT($H17,9)="MET Start","",IF(AND($K18&lt;&gt;0,$K17=1),$B18,$H17)))</f>
        <v>457617119</v>
      </c>
      <c r="I18" s="213">
        <f>IF($C18="OFF",$B18,IF($B19="",$B18+31500000,IF($K18=1,$B19,I19)))</f>
        <v>457617600</v>
      </c>
      <c r="J18" s="212">
        <f>IF($G18="ON",0,IF(OR(J17="",LEFT(J17,6)="Offset"),"",J17+1))</f>
        <v>4</v>
      </c>
      <c r="K18" s="212">
        <f>IF($G18="OFF",0,IF(AND($J19&lt;&gt;0,$J18&lt;&gt;9,$G19&lt;&gt;"MAC+111",($B19-$B18)&lt;7200),K19+1,1))</f>
        <v>6</v>
      </c>
    </row>
    <row r="19" spans="1:11">
      <c r="A19" t="s">
        <v>5896</v>
      </c>
      <c r="B19">
        <v>457617472</v>
      </c>
      <c r="C19" t="s">
        <v>5897</v>
      </c>
      <c r="D19" t="s">
        <v>884</v>
      </c>
      <c r="F19" s="238" t="str" cm="1">
        <f t="array" aca="1" ref="F19" ca="1">MID(met2utc(SWAP_Commanding[[#This Row],[MET]]),3,15)</f>
        <v>20-203/06:05:54</v>
      </c>
      <c r="G19" s="212" t="str">
        <f>_xlfn.TEXTJOIN("+",TRUE,$C19:$D19)</f>
        <v>RT+64S</v>
      </c>
      <c r="H19" s="213">
        <f>IF($C19="ON",$B19,IF(RIGHT($H18,9)="MET Start","",IF(AND($K19&lt;&gt;0,$K18=1),$B19,$H18)))</f>
        <v>457617119</v>
      </c>
      <c r="I19" s="213">
        <f>IF($C19="OFF",$B19,IF($B20="",$B19+31500000,IF($K19=1,$B20,I20)))</f>
        <v>457617600</v>
      </c>
      <c r="J19" s="212">
        <f>IF($G19="ON",0,IF(OR(J18="",LEFT(J18,6)="Offset"),"",J18+1))</f>
        <v>5</v>
      </c>
      <c r="K19" s="212">
        <f>IF($G19="OFF",0,IF(AND($J20&lt;&gt;0,$J19&lt;&gt;9,$G20&lt;&gt;"MAC+111",($B20-$B19)&lt;7200),K20+1,1))</f>
        <v>5</v>
      </c>
    </row>
    <row r="20" spans="1:11">
      <c r="A20" t="s">
        <v>5898</v>
      </c>
      <c r="B20">
        <v>457617472</v>
      </c>
      <c r="C20" t="s">
        <v>5899</v>
      </c>
      <c r="D20" t="s">
        <v>861</v>
      </c>
      <c r="F20" s="238" t="str" cm="1">
        <f t="array" aca="1" ref="F20" ca="1">MID(met2utc(SWAP_Commanding[[#This Row],[MET]]),3,15)</f>
        <v>20-203/06:05:54</v>
      </c>
      <c r="G20" s="212" t="str">
        <f>_xlfn.TEXTJOIN("+",TRUE,$C20:$D20)</f>
        <v>SM+NEVER</v>
      </c>
      <c r="H20" s="213">
        <f>IF($C20="ON",$B20,IF(RIGHT($H19,9)="MET Start","",IF(AND($K20&lt;&gt;0,$K19=1),$B20,$H19)))</f>
        <v>457617119</v>
      </c>
      <c r="I20" s="213">
        <f>IF($C20="OFF",$B20,IF($B21="",$B20+31500000,IF($K20=1,$B21,I21)))</f>
        <v>457617600</v>
      </c>
      <c r="J20" s="212">
        <f>IF($G20="ON",0,IF(OR(J19="",LEFT(J19,6)="Offset"),"",J19+1))</f>
        <v>6</v>
      </c>
      <c r="K20" s="212">
        <f>IF($G20="OFF",0,IF(AND($J21&lt;&gt;0,$J20&lt;&gt;9,$G21&lt;&gt;"MAC+111",($B21-$B20)&lt;7200),K21+1,1))</f>
        <v>4</v>
      </c>
    </row>
    <row r="21" spans="1:11">
      <c r="A21" t="s">
        <v>5900</v>
      </c>
      <c r="B21">
        <v>457617472</v>
      </c>
      <c r="C21" t="s">
        <v>5901</v>
      </c>
      <c r="D21" t="s">
        <v>861</v>
      </c>
      <c r="F21" s="238" t="str" cm="1">
        <f t="array" aca="1" ref="F21" ca="1">MID(met2utc(SWAP_Commanding[[#This Row],[MET]]),3,15)</f>
        <v>20-203/06:05:54</v>
      </c>
      <c r="G21" s="212" t="str">
        <f>_xlfn.TEXTJOIN("+",TRUE,$C21:$D21)</f>
        <v>HX+NEVER</v>
      </c>
      <c r="H21" s="213">
        <f>IF($C21="ON",$B21,IF(RIGHT($H20,9)="MET Start","",IF(AND($K21&lt;&gt;0,$K20=1),$B21,$H20)))</f>
        <v>457617119</v>
      </c>
      <c r="I21" s="213">
        <f>IF($C21="OFF",$B21,IF($B22="",$B21+31500000,IF($K21=1,$B22,I22)))</f>
        <v>457617600</v>
      </c>
      <c r="J21" s="212">
        <f>IF($G21="ON",0,IF(OR(J20="",LEFT(J20,6)="Offset"),"",J20+1))</f>
        <v>7</v>
      </c>
      <c r="K21" s="212">
        <f>IF($G21="OFF",0,IF(AND($J22&lt;&gt;0,$J21&lt;&gt;9,$G22&lt;&gt;"MAC+111",($B22-$B21)&lt;7200),K22+1,1))</f>
        <v>3</v>
      </c>
    </row>
    <row r="22" spans="1:11">
      <c r="A22" t="s">
        <v>5891</v>
      </c>
      <c r="B22">
        <v>457617600</v>
      </c>
      <c r="C22" t="s">
        <v>5892</v>
      </c>
      <c r="D22" t="s">
        <v>5895</v>
      </c>
      <c r="F22" s="238" t="str" cm="1">
        <f t="array" aca="1" ref="F22" ca="1">MID(met2utc(SWAP_Commanding[[#This Row],[MET]]),3,15)</f>
        <v>20-203/06:08:02</v>
      </c>
      <c r="G22" s="212" t="str">
        <f>_xlfn.TEXTJOIN("+",TRUE,$C22:$D22)</f>
        <v>MODE+HVSCI</v>
      </c>
      <c r="H22" s="213">
        <f>IF($C22="ON",$B22,IF(RIGHT($H21,9)="MET Start","",IF(AND($K22&lt;&gt;0,$K21=1),$B22,$H21)))</f>
        <v>457617119</v>
      </c>
      <c r="I22" s="213">
        <f>IF($C22="OFF",$B22,IF($B23="",$B22+31500000,IF($K22=1,$B23,I23)))</f>
        <v>457617600</v>
      </c>
      <c r="J22" s="212">
        <f>IF($G22="ON",0,IF(OR(J21="",LEFT(J21,6)="Offset"),"",J21+1))</f>
        <v>8</v>
      </c>
      <c r="K22" s="212">
        <f>IF($G22="OFF",0,IF(AND($J23&lt;&gt;0,$J22&lt;&gt;9,$G23&lt;&gt;"MAC+111",($B23-$B22)&lt;7200),K23+1,1))</f>
        <v>2</v>
      </c>
    </row>
    <row r="23" spans="1:11">
      <c r="A23" t="s">
        <v>5894</v>
      </c>
      <c r="B23">
        <v>457617600</v>
      </c>
      <c r="C23" t="s">
        <v>898</v>
      </c>
      <c r="D23" t="s">
        <v>878</v>
      </c>
      <c r="F23" s="238" t="str" cm="1">
        <f t="array" aca="1" ref="F23" ca="1">MID(met2utc(SWAP_Commanding[[#This Row],[MET]]),3,15)</f>
        <v>20-203/06:08:02</v>
      </c>
      <c r="G23" s="212" t="str">
        <f>_xlfn.TEXTJOIN("+",TRUE,$C23:$D23)</f>
        <v>HK+1H</v>
      </c>
      <c r="H23" s="213">
        <f>IF($C23="ON",$B23,IF(RIGHT($H22,9)="MET Start","",IF(AND($K23&lt;&gt;0,$K22=1),$B23,$H22)))</f>
        <v>457617119</v>
      </c>
      <c r="I23" s="213">
        <f>IF($C23="OFF",$B23,IF($B24="",$B23+31500000,IF($K23=1,$B24,I24)))</f>
        <v>457617600</v>
      </c>
      <c r="J23" s="212">
        <f>IF($G23="ON",0,IF(OR(J22="",LEFT(J22,6)="Offset"),"",J22+1))</f>
        <v>9</v>
      </c>
      <c r="K23" s="212">
        <f>IF($G23="OFF",0,IF(AND($J24&lt;&gt;0,$J23&lt;&gt;9,$G24&lt;&gt;"MAC+111",($B24-$B23)&lt;7200),K24+1,1))</f>
        <v>1</v>
      </c>
    </row>
    <row r="24" spans="1:11">
      <c r="A24" t="s">
        <v>5896</v>
      </c>
      <c r="B24">
        <v>457617600</v>
      </c>
      <c r="C24" t="s">
        <v>5897</v>
      </c>
      <c r="D24" t="s">
        <v>881</v>
      </c>
      <c r="F24" s="238" t="str" cm="1">
        <f t="array" aca="1" ref="F24" ca="1">MID(met2utc(SWAP_Commanding[[#This Row],[MET]]),3,15)</f>
        <v>20-203/06:08:02</v>
      </c>
      <c r="G24" s="212" t="str">
        <f>_xlfn.TEXTJOIN("+",TRUE,$C24:$D24)</f>
        <v>RT+10M</v>
      </c>
      <c r="H24" s="213">
        <f>IF($C24="ON",$B24,IF(RIGHT($H23,9)="MET Start","",IF(AND($K24&lt;&gt;0,$K23=1),$B24,$H23)))</f>
        <v>457617600</v>
      </c>
      <c r="I24" s="213">
        <f>IF($C24="OFF",$B24,IF($B25="",$B24+31500000,IF($K24=1,$B25,I25)))</f>
        <v>644922415</v>
      </c>
      <c r="J24" s="212">
        <f>IF($G24="ON",0,IF(OR(J23="",LEFT(J23,6)="Offset"),"",J23+1))</f>
        <v>10</v>
      </c>
      <c r="K24" s="212">
        <f>IF($G24="OFF",0,IF(AND($J25&lt;&gt;0,$J24&lt;&gt;9,$G25&lt;&gt;"MAC+111",($B25-$B24)&lt;7200),K25+1,1))</f>
        <v>3</v>
      </c>
    </row>
    <row r="25" spans="1:11">
      <c r="A25" t="s">
        <v>5898</v>
      </c>
      <c r="B25">
        <v>457617600</v>
      </c>
      <c r="C25" t="s">
        <v>5899</v>
      </c>
      <c r="D25" t="s">
        <v>878</v>
      </c>
      <c r="F25" s="238" t="str" cm="1">
        <f t="array" aca="1" ref="F25" ca="1">MID(met2utc(SWAP_Commanding[[#This Row],[MET]]),3,15)</f>
        <v>20-203/06:08:02</v>
      </c>
      <c r="G25" s="212" t="str">
        <f>_xlfn.TEXTJOIN("+",TRUE,$C25:$D25)</f>
        <v>SM+1H</v>
      </c>
      <c r="H25" s="213">
        <f>IF($C25="ON",$B25,IF(RIGHT($H24,9)="MET Start","",IF(AND($K25&lt;&gt;0,$K24=1),$B25,$H24)))</f>
        <v>457617600</v>
      </c>
      <c r="I25" s="213">
        <f>IF($C25="OFF",$B25,IF($B26="",$B25+31500000,IF($K25=1,$B26,I26)))</f>
        <v>644922415</v>
      </c>
      <c r="J25" s="212">
        <f>IF($G25="ON",0,IF(OR(J24="",LEFT(J24,6)="Offset"),"",J24+1))</f>
        <v>11</v>
      </c>
      <c r="K25" s="212">
        <f>IF($G25="OFF",0,IF(AND($J26&lt;&gt;0,$J25&lt;&gt;9,$G26&lt;&gt;"MAC+111",($B26-$B25)&lt;7200),K26+1,1))</f>
        <v>2</v>
      </c>
    </row>
    <row r="26" spans="1:11">
      <c r="A26" t="s">
        <v>5900</v>
      </c>
      <c r="B26">
        <v>457617600</v>
      </c>
      <c r="C26" t="s">
        <v>5901</v>
      </c>
      <c r="D26" t="s">
        <v>865</v>
      </c>
      <c r="F26" s="238" t="str" cm="1">
        <f t="array" aca="1" ref="F26" ca="1">MID(met2utc(SWAP_Commanding[[#This Row],[MET]]),3,15)</f>
        <v>20-203/06:08:02</v>
      </c>
      <c r="G26" s="212" t="str">
        <f>_xlfn.TEXTJOIN("+",TRUE,$C26:$D26)</f>
        <v>HX+24H</v>
      </c>
      <c r="H26" s="213">
        <f>IF($C26="ON",$B26,IF(RIGHT($H25,9)="MET Start","",IF(AND($K26&lt;&gt;0,$K25=1),$B26,$H25)))</f>
        <v>457617600</v>
      </c>
      <c r="I26" s="213">
        <f>IF($C26="OFF",$B26,IF($B27="",$B26+31500000,IF($K26=1,$B27,I27)))</f>
        <v>644922415</v>
      </c>
      <c r="J26" s="212">
        <f>IF($G26="ON",0,IF(OR(J25="",LEFT(J25,6)="Offset"),"",J25+1))</f>
        <v>12</v>
      </c>
      <c r="K26" s="212">
        <f>IF($G26="OFF",0,IF(AND($J27&lt;&gt;0,$J26&lt;&gt;9,$G27&lt;&gt;"MAC+111",($B27-$B26)&lt;7200),K27+1,1))</f>
        <v>1</v>
      </c>
    </row>
    <row r="27" spans="1:11">
      <c r="A27" t="s">
        <v>5889</v>
      </c>
      <c r="B27">
        <v>644922415</v>
      </c>
      <c r="C27" t="s">
        <v>433</v>
      </c>
      <c r="D27" t="s">
        <v>5890</v>
      </c>
      <c r="F27" s="238" t="str" cm="1">
        <f t="array" aca="1" ref="F27" ca="1">MID(met2utc(SWAP_Commanding[[#This Row],[MET]]),3,15)</f>
        <v>26-179/03:14:59</v>
      </c>
      <c r="G27" s="212" t="str">
        <f>_xlfn.TEXTJOIN("+",TRUE,$C27:$D27)</f>
        <v>ON</v>
      </c>
      <c r="H27" s="213">
        <f>IF($C27="ON",$B27,IF(RIGHT($H26,9)="MET Start","",IF(AND($K27&lt;&gt;0,$K26=1),$B27,$H26)))</f>
        <v>644922415</v>
      </c>
      <c r="I27" s="213">
        <f>IF($C27="OFF",$B27,IF($B28="",$B27+31500000,IF($K27=1,$B28,I28)))</f>
        <v>644922880</v>
      </c>
      <c r="J27" s="212">
        <f>IF($G27="ON",0,IF(OR(J26="",LEFT(J26,6)="Offset"),"",J26+1))</f>
        <v>0</v>
      </c>
      <c r="K27" s="212">
        <f>IF($G27="OFF",0,IF(AND($J28&lt;&gt;0,$J27&lt;&gt;9,$G28&lt;&gt;"MAC+111",($B28-$B27)&lt;7200),K28+1,1))</f>
        <v>10</v>
      </c>
    </row>
    <row r="28" spans="1:11">
      <c r="A28" t="s">
        <v>5891</v>
      </c>
      <c r="B28">
        <v>644922624</v>
      </c>
      <c r="C28" t="s">
        <v>5892</v>
      </c>
      <c r="D28" t="s">
        <v>5893</v>
      </c>
      <c r="F28" s="238" t="str" cm="1">
        <f t="array" aca="1" ref="F28" ca="1">MID(met2utc(SWAP_Commanding[[#This Row],[MET]]),3,15)</f>
        <v>26-179/03:18:28</v>
      </c>
      <c r="G28" s="212" t="str">
        <f>_xlfn.TEXTJOIN("+",TRUE,$C28:$D28)</f>
        <v>MODE+HVENG</v>
      </c>
      <c r="H28" s="213">
        <f>IF($C28="ON",$B28,IF(RIGHT($H27,9)="MET Start","",IF(AND($K28&lt;&gt;0,$K27=1),$B28,$H27)))</f>
        <v>644922415</v>
      </c>
      <c r="I28" s="213">
        <f>IF($C28="OFF",$B28,IF($B29="",$B28+31500000,IF($K28=1,$B29,I29)))</f>
        <v>644922880</v>
      </c>
      <c r="J28" s="212">
        <f>IF($G28="ON",0,IF(OR(J27="",LEFT(J27,6)="Offset"),"",J27+1))</f>
        <v>1</v>
      </c>
      <c r="K28" s="212">
        <f>IF($G28="OFF",0,IF(AND($J29&lt;&gt;0,$J28&lt;&gt;9,$G29&lt;&gt;"MAC+111",($B29-$B28)&lt;7200),K29+1,1))</f>
        <v>9</v>
      </c>
    </row>
    <row r="29" spans="1:11">
      <c r="A29" t="s">
        <v>5894</v>
      </c>
      <c r="B29">
        <v>644922624</v>
      </c>
      <c r="C29" t="s">
        <v>898</v>
      </c>
      <c r="D29" t="s">
        <v>890</v>
      </c>
      <c r="F29" s="238" t="str" cm="1">
        <f t="array" aca="1" ref="F29" ca="1">MID(met2utc(SWAP_Commanding[[#This Row],[MET]]),3,15)</f>
        <v>26-179/03:18:28</v>
      </c>
      <c r="G29" s="212" t="str">
        <f>_xlfn.TEXTJOIN("+",TRUE,$C29:$D29)</f>
        <v>HK+1S</v>
      </c>
      <c r="H29" s="213">
        <f>IF($C29="ON",$B29,IF(RIGHT($H28,9)="MET Start","",IF(AND($K29&lt;&gt;0,$K28=1),$B29,$H28)))</f>
        <v>644922415</v>
      </c>
      <c r="I29" s="213">
        <f>IF($C29="OFF",$B29,IF($B30="",$B29+31500000,IF($K29=1,$B30,I30)))</f>
        <v>644922880</v>
      </c>
      <c r="J29" s="212">
        <f>IF($G29="ON",0,IF(OR(J28="",LEFT(J28,6)="Offset"),"",J28+1))</f>
        <v>2</v>
      </c>
      <c r="K29" s="212">
        <f>IF($G29="OFF",0,IF(AND($J30&lt;&gt;0,$J29&lt;&gt;9,$G30&lt;&gt;"MAC+111",($B30-$B29)&lt;7200),K30+1,1))</f>
        <v>8</v>
      </c>
    </row>
    <row r="30" spans="1:11">
      <c r="A30" t="s">
        <v>5891</v>
      </c>
      <c r="B30">
        <v>644922752</v>
      </c>
      <c r="C30" t="s">
        <v>5892</v>
      </c>
      <c r="D30" t="s">
        <v>5895</v>
      </c>
      <c r="F30" s="238" t="str" cm="1">
        <f t="array" aca="1" ref="F30" ca="1">MID(met2utc(SWAP_Commanding[[#This Row],[MET]]),3,15)</f>
        <v>26-179/03:20:36</v>
      </c>
      <c r="G30" s="212" t="str">
        <f>_xlfn.TEXTJOIN("+",TRUE,$C30:$D30)</f>
        <v>MODE+HVSCI</v>
      </c>
      <c r="H30" s="213">
        <f>IF($C30="ON",$B30,IF(RIGHT($H29,9)="MET Start","",IF(AND($K30&lt;&gt;0,$K29=1),$B30,$H29)))</f>
        <v>644922415</v>
      </c>
      <c r="I30" s="213">
        <f>IF($C30="OFF",$B30,IF($B31="",$B30+31500000,IF($K30=1,$B31,I31)))</f>
        <v>644922880</v>
      </c>
      <c r="J30" s="212">
        <f>IF($G30="ON",0,IF(OR(J29="",LEFT(J29,6)="Offset"),"",J29+1))</f>
        <v>3</v>
      </c>
      <c r="K30" s="212">
        <f>IF($G30="OFF",0,IF(AND($J31&lt;&gt;0,$J30&lt;&gt;9,$G31&lt;&gt;"MAC+111",($B31-$B30)&lt;7200),K31+1,1))</f>
        <v>7</v>
      </c>
    </row>
    <row r="31" spans="1:11">
      <c r="A31" t="s">
        <v>5894</v>
      </c>
      <c r="B31">
        <v>644922752</v>
      </c>
      <c r="C31" t="s">
        <v>898</v>
      </c>
      <c r="D31" t="s">
        <v>878</v>
      </c>
      <c r="F31" s="238" t="str" cm="1">
        <f t="array" aca="1" ref="F31" ca="1">MID(met2utc(SWAP_Commanding[[#This Row],[MET]]),3,15)</f>
        <v>26-179/03:20:36</v>
      </c>
      <c r="G31" s="212" t="str">
        <f>_xlfn.TEXTJOIN("+",TRUE,$C31:$D31)</f>
        <v>HK+1H</v>
      </c>
      <c r="H31" s="213">
        <f>IF($C31="ON",$B31,IF(RIGHT($H30,9)="MET Start","",IF(AND($K31&lt;&gt;0,$K30=1),$B31,$H30)))</f>
        <v>644922415</v>
      </c>
      <c r="I31" s="213">
        <f>IF($C31="OFF",$B31,IF($B32="",$B31+31500000,IF($K31=1,$B32,I32)))</f>
        <v>644922880</v>
      </c>
      <c r="J31" s="212">
        <f>IF($G31="ON",0,IF(OR(J30="",LEFT(J30,6)="Offset"),"",J30+1))</f>
        <v>4</v>
      </c>
      <c r="K31" s="212">
        <f>IF($G31="OFF",0,IF(AND($J32&lt;&gt;0,$J31&lt;&gt;9,$G32&lt;&gt;"MAC+111",($B32-$B31)&lt;7200),K32+1,1))</f>
        <v>6</v>
      </c>
    </row>
    <row r="32" spans="1:11">
      <c r="A32" t="s">
        <v>5896</v>
      </c>
      <c r="B32">
        <v>644922752</v>
      </c>
      <c r="C32" t="s">
        <v>5897</v>
      </c>
      <c r="D32" t="s">
        <v>884</v>
      </c>
      <c r="F32" s="238" t="str" cm="1">
        <f t="array" aca="1" ref="F32" ca="1">MID(met2utc(SWAP_Commanding[[#This Row],[MET]]),3,15)</f>
        <v>26-179/03:20:36</v>
      </c>
      <c r="G32" s="212" t="str">
        <f>_xlfn.TEXTJOIN("+",TRUE,$C32:$D32)</f>
        <v>RT+64S</v>
      </c>
      <c r="H32" s="213">
        <f>IF($C32="ON",$B32,IF(RIGHT($H31,9)="MET Start","",IF(AND($K32&lt;&gt;0,$K31=1),$B32,$H31)))</f>
        <v>644922415</v>
      </c>
      <c r="I32" s="213">
        <f>IF($C32="OFF",$B32,IF($B33="",$B32+31500000,IF($K32=1,$B33,I33)))</f>
        <v>644922880</v>
      </c>
      <c r="J32" s="212">
        <f>IF($G32="ON",0,IF(OR(J31="",LEFT(J31,6)="Offset"),"",J31+1))</f>
        <v>5</v>
      </c>
      <c r="K32" s="212">
        <f>IF($G32="OFF",0,IF(AND($J33&lt;&gt;0,$J32&lt;&gt;9,$G33&lt;&gt;"MAC+111",($B33-$B32)&lt;7200),K33+1,1))</f>
        <v>5</v>
      </c>
    </row>
    <row r="33" spans="1:11">
      <c r="A33" t="s">
        <v>5898</v>
      </c>
      <c r="B33">
        <v>644922752</v>
      </c>
      <c r="C33" t="s">
        <v>5899</v>
      </c>
      <c r="D33" t="s">
        <v>861</v>
      </c>
      <c r="F33" s="238" t="str" cm="1">
        <f t="array" aca="1" ref="F33" ca="1">MID(met2utc(SWAP_Commanding[[#This Row],[MET]]),3,15)</f>
        <v>26-179/03:20:36</v>
      </c>
      <c r="G33" s="212" t="str">
        <f>_xlfn.TEXTJOIN("+",TRUE,$C33:$D33)</f>
        <v>SM+NEVER</v>
      </c>
      <c r="H33" s="213">
        <f>IF($C33="ON",$B33,IF(RIGHT($H32,9)="MET Start","",IF(AND($K33&lt;&gt;0,$K32=1),$B33,$H32)))</f>
        <v>644922415</v>
      </c>
      <c r="I33" s="213">
        <f>IF($C33="OFF",$B33,IF($B34="",$B33+31500000,IF($K33=1,$B34,I34)))</f>
        <v>644922880</v>
      </c>
      <c r="J33" s="212">
        <f>IF($G33="ON",0,IF(OR(J32="",LEFT(J32,6)="Offset"),"",J32+1))</f>
        <v>6</v>
      </c>
      <c r="K33" s="212">
        <f>IF($G33="OFF",0,IF(AND($J34&lt;&gt;0,$J33&lt;&gt;9,$G34&lt;&gt;"MAC+111",($B34-$B33)&lt;7200),K34+1,1))</f>
        <v>4</v>
      </c>
    </row>
    <row r="34" spans="1:11">
      <c r="A34" t="s">
        <v>5900</v>
      </c>
      <c r="B34">
        <v>644922752</v>
      </c>
      <c r="C34" t="s">
        <v>5901</v>
      </c>
      <c r="D34" t="s">
        <v>861</v>
      </c>
      <c r="F34" s="238" t="str" cm="1">
        <f t="array" aca="1" ref="F34" ca="1">MID(met2utc(SWAP_Commanding[[#This Row],[MET]]),3,15)</f>
        <v>26-179/03:20:36</v>
      </c>
      <c r="G34" s="212" t="str">
        <f>_xlfn.TEXTJOIN("+",TRUE,$C34:$D34)</f>
        <v>HX+NEVER</v>
      </c>
      <c r="H34" s="213">
        <f>IF($C34="ON",$B34,IF(RIGHT($H33,9)="MET Start","",IF(AND($K34&lt;&gt;0,$K33=1),$B34,$H33)))</f>
        <v>644922415</v>
      </c>
      <c r="I34" s="213">
        <f>IF($C34="OFF",$B34,IF($B35="",$B34+31500000,IF($K34=1,$B35,I35)))</f>
        <v>644922880</v>
      </c>
      <c r="J34" s="212">
        <f>IF($G34="ON",0,IF(OR(J33="",LEFT(J33,6)="Offset"),"",J33+1))</f>
        <v>7</v>
      </c>
      <c r="K34" s="212">
        <f>IF($G34="OFF",0,IF(AND($J35&lt;&gt;0,$J34&lt;&gt;9,$G35&lt;&gt;"MAC+111",($B35-$B34)&lt;7200),K35+1,1))</f>
        <v>3</v>
      </c>
    </row>
    <row r="35" spans="1:11">
      <c r="A35" t="s">
        <v>5891</v>
      </c>
      <c r="B35">
        <v>644922880</v>
      </c>
      <c r="C35" t="s">
        <v>5892</v>
      </c>
      <c r="D35" t="s">
        <v>5895</v>
      </c>
      <c r="F35" s="238" t="str" cm="1">
        <f t="array" aca="1" ref="F35" ca="1">MID(met2utc(SWAP_Commanding[[#This Row],[MET]]),3,15)</f>
        <v>26-179/03:22:44</v>
      </c>
      <c r="G35" s="212" t="str">
        <f>_xlfn.TEXTJOIN("+",TRUE,$C35:$D35)</f>
        <v>MODE+HVSCI</v>
      </c>
      <c r="H35" s="213">
        <f>IF($C35="ON",$B35,IF(RIGHT($H34,9)="MET Start","",IF(AND($K35&lt;&gt;0,$K34=1),$B35,$H34)))</f>
        <v>644922415</v>
      </c>
      <c r="I35" s="213">
        <f>IF($C35="OFF",$B35,IF($B36="",$B35+31500000,IF($K35=1,$B36,I36)))</f>
        <v>644922880</v>
      </c>
      <c r="J35" s="212">
        <f>IF($G35="ON",0,IF(OR(J34="",LEFT(J34,6)="Offset"),"",J34+1))</f>
        <v>8</v>
      </c>
      <c r="K35" s="212">
        <f>IF($G35="OFF",0,IF(AND($J36&lt;&gt;0,$J35&lt;&gt;9,$G36&lt;&gt;"MAC+111",($B36-$B35)&lt;7200),K36+1,1))</f>
        <v>2</v>
      </c>
    </row>
    <row r="36" spans="1:11">
      <c r="A36" t="s">
        <v>5894</v>
      </c>
      <c r="B36">
        <v>644922880</v>
      </c>
      <c r="C36" t="s">
        <v>898</v>
      </c>
      <c r="D36" t="s">
        <v>878</v>
      </c>
      <c r="F36" s="238" t="str" cm="1">
        <f t="array" aca="1" ref="F36" ca="1">MID(met2utc(SWAP_Commanding[[#This Row],[MET]]),3,15)</f>
        <v>26-179/03:22:44</v>
      </c>
      <c r="G36" s="212" t="str">
        <f>_xlfn.TEXTJOIN("+",TRUE,$C36:$D36)</f>
        <v>HK+1H</v>
      </c>
      <c r="H36" s="213">
        <f>IF($C36="ON",$B36,IF(RIGHT($H35,9)="MET Start","",IF(AND($K36&lt;&gt;0,$K35=1),$B36,$H35)))</f>
        <v>644922415</v>
      </c>
      <c r="I36" s="213">
        <f>IF($C36="OFF",$B36,IF($B37="",$B36+31500000,IF($K36=1,$B37,I37)))</f>
        <v>644922880</v>
      </c>
      <c r="J36" s="212">
        <f>IF($G36="ON",0,IF(OR(J35="",LEFT(J35,6)="Offset"),"",J35+1))</f>
        <v>9</v>
      </c>
      <c r="K36" s="212">
        <f>IF($G36="OFF",0,IF(AND($J37&lt;&gt;0,$J36&lt;&gt;9,$G37&lt;&gt;"MAC+111",($B37-$B36)&lt;7200),K37+1,1))</f>
        <v>1</v>
      </c>
    </row>
    <row r="37" spans="1:11">
      <c r="A37" t="s">
        <v>5896</v>
      </c>
      <c r="B37">
        <v>644922880</v>
      </c>
      <c r="C37" t="s">
        <v>5897</v>
      </c>
      <c r="D37" t="s">
        <v>877</v>
      </c>
      <c r="F37" s="238" t="str" cm="1">
        <f t="array" aca="1" ref="F37" ca="1">MID(met2utc(SWAP_Commanding[[#This Row],[MET]]),3,15)</f>
        <v>26-179/03:22:44</v>
      </c>
      <c r="G37" s="212" t="str">
        <f>_xlfn.TEXTJOIN("+",TRUE,$C37:$D37)</f>
        <v>RT+2H</v>
      </c>
      <c r="H37" s="213">
        <f>IF($C37="ON",$B37,IF(RIGHT($H36,9)="MET Start","",IF(AND($K37&lt;&gt;0,$K36=1),$B37,$H36)))</f>
        <v>644922880</v>
      </c>
      <c r="I37" s="213">
        <f>IF($C37="OFF",$B37,IF($B38="",$B37+31500000,IF($K37=1,$B38,I38)))</f>
        <v>645155515</v>
      </c>
      <c r="J37" s="212">
        <f>IF($G37="ON",0,IF(OR(J36="",LEFT(J36,6)="Offset"),"",J36+1))</f>
        <v>10</v>
      </c>
      <c r="K37" s="212">
        <f>IF($G37="OFF",0,IF(AND($J38&lt;&gt;0,$J37&lt;&gt;9,$G38&lt;&gt;"MAC+111",($B38-$B37)&lt;7200),K38+1,1))</f>
        <v>3</v>
      </c>
    </row>
    <row r="38" spans="1:11">
      <c r="A38" t="s">
        <v>5898</v>
      </c>
      <c r="B38">
        <v>644922944</v>
      </c>
      <c r="C38" t="s">
        <v>5899</v>
      </c>
      <c r="D38" t="s">
        <v>878</v>
      </c>
      <c r="F38" s="238" t="str" cm="1">
        <f t="array" aca="1" ref="F38" ca="1">MID(met2utc(SWAP_Commanding[[#This Row],[MET]]),3,15)</f>
        <v>26-179/03:23:48</v>
      </c>
      <c r="G38" s="212" t="str">
        <f>_xlfn.TEXTJOIN("+",TRUE,$C38:$D38)</f>
        <v>SM+1H</v>
      </c>
      <c r="H38" s="213">
        <f>IF($C38="ON",$B38,IF(RIGHT($H37,9)="MET Start","",IF(AND($K38&lt;&gt;0,$K37=1),$B38,$H37)))</f>
        <v>644922880</v>
      </c>
      <c r="I38" s="213">
        <f>IF($C38="OFF",$B38,IF($B39="",$B38+31500000,IF($K38=1,$B39,I39)))</f>
        <v>645155515</v>
      </c>
      <c r="J38" s="212">
        <f>IF($G38="ON",0,IF(OR(J37="",LEFT(J37,6)="Offset"),"",J37+1))</f>
        <v>11</v>
      </c>
      <c r="K38" s="212">
        <f>IF($G38="OFF",0,IF(AND($J39&lt;&gt;0,$J38&lt;&gt;9,$G39&lt;&gt;"MAC+111",($B39-$B38)&lt;7200),K39+1,1))</f>
        <v>2</v>
      </c>
    </row>
    <row r="39" spans="1:11">
      <c r="A39" t="s">
        <v>5900</v>
      </c>
      <c r="B39">
        <v>644922944</v>
      </c>
      <c r="C39" t="s">
        <v>5901</v>
      </c>
      <c r="D39" t="s">
        <v>865</v>
      </c>
      <c r="F39" s="238" t="str" cm="1">
        <f t="array" aca="1" ref="F39" ca="1">MID(met2utc(SWAP_Commanding[[#This Row],[MET]]),3,15)</f>
        <v>26-179/03:23:48</v>
      </c>
      <c r="G39" s="212" t="str">
        <f>_xlfn.TEXTJOIN("+",TRUE,$C39:$D39)</f>
        <v>HX+24H</v>
      </c>
      <c r="H39" s="213">
        <f>IF($C39="ON",$B39,IF(RIGHT($H38,9)="MET Start","",IF(AND($K39&lt;&gt;0,$K38=1),$B39,$H38)))</f>
        <v>644922880</v>
      </c>
      <c r="I39" s="213">
        <f>IF($C39="OFF",$B39,IF($B40="",$B39+31500000,IF($K39=1,$B40,I40)))</f>
        <v>645155515</v>
      </c>
      <c r="J39" s="212">
        <f>IF($G39="ON",0,IF(OR(J38="",LEFT(J38,6)="Offset"),"",J38+1))</f>
        <v>12</v>
      </c>
      <c r="K39" s="212">
        <f>IF($G39="OFF",0,IF(AND($J40&lt;&gt;0,$J39&lt;&gt;9,$G40&lt;&gt;"MAC+111",($B40-$B39)&lt;7200),K40+1,1))</f>
        <v>1</v>
      </c>
    </row>
    <row r="40" spans="1:11">
      <c r="A40" t="s">
        <v>5889</v>
      </c>
      <c r="B40">
        <v>645155515</v>
      </c>
      <c r="C40" t="s">
        <v>433</v>
      </c>
      <c r="D40" t="s">
        <v>5890</v>
      </c>
      <c r="F40" s="238" t="str" cm="1">
        <f t="array" aca="1" ref="F40" ca="1">MID(met2utc(SWAP_Commanding[[#This Row],[MET]]),3,15)</f>
        <v>26-181/19:59:59</v>
      </c>
      <c r="G40" s="212" t="str">
        <f>_xlfn.TEXTJOIN("+",TRUE,$C40:$D40)</f>
        <v>ON</v>
      </c>
      <c r="H40" s="213">
        <f>IF($C40="ON",$B40,IF(RIGHT($H39,9)="MET Start","",IF(AND($K40&lt;&gt;0,$K39=1),$B40,$H39)))</f>
        <v>645155515</v>
      </c>
      <c r="I40" s="213">
        <f>IF($C40="OFF",$B40,IF($B41="",$B40+31500000,IF($K40=1,$B41,I41)))</f>
        <v>645156160</v>
      </c>
      <c r="J40" s="212">
        <f>IF($G40="ON",0,IF(OR(J39="",LEFT(J39,6)="Offset"),"",J39+1))</f>
        <v>0</v>
      </c>
      <c r="K40" s="212">
        <f>IF($G40="OFF",0,IF(AND($J41&lt;&gt;0,$J40&lt;&gt;9,$G41&lt;&gt;"MAC+111",($B41-$B40)&lt;7200),K41+1,1))</f>
        <v>10</v>
      </c>
    </row>
    <row r="41" spans="1:11">
      <c r="A41" t="s">
        <v>5891</v>
      </c>
      <c r="B41">
        <v>645155968</v>
      </c>
      <c r="C41" t="s">
        <v>5892</v>
      </c>
      <c r="D41" t="s">
        <v>5895</v>
      </c>
      <c r="F41" s="238" t="str" cm="1">
        <f t="array" aca="1" ref="F41" ca="1">MID(met2utc(SWAP_Commanding[[#This Row],[MET]]),3,15)</f>
        <v>26-181/20:07:32</v>
      </c>
      <c r="G41" s="212" t="str">
        <f>_xlfn.TEXTJOIN("+",TRUE,$C41:$D41)</f>
        <v>MODE+HVSCI</v>
      </c>
      <c r="H41" s="213">
        <f>IF($C41="ON",$B41,IF(RIGHT($H40,9)="MET Start","",IF(AND($K41&lt;&gt;0,$K40=1),$B41,$H40)))</f>
        <v>645155515</v>
      </c>
      <c r="I41" s="213">
        <f>IF($C41="OFF",$B41,IF($B42="",$B41+31500000,IF($K41=1,$B42,I42)))</f>
        <v>645156160</v>
      </c>
      <c r="J41" s="212">
        <f>IF($G41="ON",0,IF(OR(J40="",LEFT(J40,6)="Offset"),"",J40+1))</f>
        <v>1</v>
      </c>
      <c r="K41" s="212">
        <f>IF($G41="OFF",0,IF(AND($J42&lt;&gt;0,$J41&lt;&gt;9,$G42&lt;&gt;"MAC+111",($B42-$B41)&lt;7200),K42+1,1))</f>
        <v>9</v>
      </c>
    </row>
    <row r="42" spans="1:11">
      <c r="A42" t="s">
        <v>5894</v>
      </c>
      <c r="B42">
        <v>645156032</v>
      </c>
      <c r="C42" t="s">
        <v>898</v>
      </c>
      <c r="D42" t="s">
        <v>878</v>
      </c>
      <c r="F42" s="238" t="str" cm="1">
        <f t="array" aca="1" ref="F42" ca="1">MID(met2utc(SWAP_Commanding[[#This Row],[MET]]),3,15)</f>
        <v>26-181/20:08:36</v>
      </c>
      <c r="G42" s="212" t="str">
        <f>_xlfn.TEXTJOIN("+",TRUE,$C42:$D42)</f>
        <v>HK+1H</v>
      </c>
      <c r="H42" s="213">
        <f>IF($C42="ON",$B42,IF(RIGHT($H41,9)="MET Start","",IF(AND($K42&lt;&gt;0,$K41=1),$B42,$H41)))</f>
        <v>645155515</v>
      </c>
      <c r="I42" s="213">
        <f>IF($C42="OFF",$B42,IF($B43="",$B42+31500000,IF($K42=1,$B43,I43)))</f>
        <v>645156160</v>
      </c>
      <c r="J42" s="212">
        <f>IF($G42="ON",0,IF(OR(J41="",LEFT(J41,6)="Offset"),"",J41+1))</f>
        <v>2</v>
      </c>
      <c r="K42" s="212">
        <f>IF($G42="OFF",0,IF(AND($J43&lt;&gt;0,$J42&lt;&gt;9,$G43&lt;&gt;"MAC+111",($B43-$B42)&lt;7200),K43+1,1))</f>
        <v>8</v>
      </c>
    </row>
    <row r="43" spans="1:11">
      <c r="A43" t="s">
        <v>5896</v>
      </c>
      <c r="B43">
        <v>645156032</v>
      </c>
      <c r="C43" t="s">
        <v>5897</v>
      </c>
      <c r="D43" t="s">
        <v>878</v>
      </c>
      <c r="F43" s="238" t="str" cm="1">
        <f t="array" aca="1" ref="F43" ca="1">MID(met2utc(SWAP_Commanding[[#This Row],[MET]]),3,15)</f>
        <v>26-181/20:08:36</v>
      </c>
      <c r="G43" s="212" t="str">
        <f>_xlfn.TEXTJOIN("+",TRUE,$C43:$D43)</f>
        <v>RT+1H</v>
      </c>
      <c r="H43" s="213">
        <f>IF($C43="ON",$B43,IF(RIGHT($H42,9)="MET Start","",IF(AND($K43&lt;&gt;0,$K42=1),$B43,$H42)))</f>
        <v>645155515</v>
      </c>
      <c r="I43" s="213">
        <f>IF($C43="OFF",$B43,IF($B44="",$B43+31500000,IF($K43=1,$B44,I44)))</f>
        <v>645156160</v>
      </c>
      <c r="J43" s="212">
        <f>IF($G43="ON",0,IF(OR(J42="",LEFT(J42,6)="Offset"),"",J42+1))</f>
        <v>3</v>
      </c>
      <c r="K43" s="212">
        <f>IF($G43="OFF",0,IF(AND($J44&lt;&gt;0,$J43&lt;&gt;9,$G44&lt;&gt;"MAC+111",($B44-$B43)&lt;7200),K44+1,1))</f>
        <v>7</v>
      </c>
    </row>
    <row r="44" spans="1:11">
      <c r="A44" t="s">
        <v>5898</v>
      </c>
      <c r="B44">
        <v>645156032</v>
      </c>
      <c r="C44" t="s">
        <v>5899</v>
      </c>
      <c r="D44" t="s">
        <v>878</v>
      </c>
      <c r="F44" s="238" t="str" cm="1">
        <f t="array" aca="1" ref="F44" ca="1">MID(met2utc(SWAP_Commanding[[#This Row],[MET]]),3,15)</f>
        <v>26-181/20:08:36</v>
      </c>
      <c r="G44" s="212" t="str">
        <f>_xlfn.TEXTJOIN("+",TRUE,$C44:$D44)</f>
        <v>SM+1H</v>
      </c>
      <c r="H44" s="213">
        <f>IF($C44="ON",$B44,IF(RIGHT($H43,9)="MET Start","",IF(AND($K44&lt;&gt;0,$K43=1),$B44,$H43)))</f>
        <v>645155515</v>
      </c>
      <c r="I44" s="213">
        <f>IF($C44="OFF",$B44,IF($B45="",$B44+31500000,IF($K44=1,$B45,I45)))</f>
        <v>645156160</v>
      </c>
      <c r="J44" s="212">
        <f>IF($G44="ON",0,IF(OR(J43="",LEFT(J43,6)="Offset"),"",J43+1))</f>
        <v>4</v>
      </c>
      <c r="K44" s="212">
        <f>IF($G44="OFF",0,IF(AND($J45&lt;&gt;0,$J44&lt;&gt;9,$G45&lt;&gt;"MAC+111",($B45-$B44)&lt;7200),K45+1,1))</f>
        <v>6</v>
      </c>
    </row>
    <row r="45" spans="1:11">
      <c r="A45" t="s">
        <v>5900</v>
      </c>
      <c r="B45">
        <v>645156032</v>
      </c>
      <c r="C45" t="s">
        <v>5901</v>
      </c>
      <c r="D45" t="s">
        <v>865</v>
      </c>
      <c r="F45" s="238" t="str" cm="1">
        <f t="array" aca="1" ref="F45" ca="1">MID(met2utc(SWAP_Commanding[[#This Row],[MET]]),3,15)</f>
        <v>26-181/20:08:36</v>
      </c>
      <c r="G45" s="212" t="str">
        <f>_xlfn.TEXTJOIN("+",TRUE,$C45:$D45)</f>
        <v>HX+24H</v>
      </c>
      <c r="H45" s="213">
        <f>IF($C45="ON",$B45,IF(RIGHT($H44,9)="MET Start","",IF(AND($K45&lt;&gt;0,$K44=1),$B45,$H44)))</f>
        <v>645155515</v>
      </c>
      <c r="I45" s="213">
        <f>IF($C45="OFF",$B45,IF($B46="",$B45+31500000,IF($K45=1,$B46,I46)))</f>
        <v>645156160</v>
      </c>
      <c r="J45" s="212">
        <f>IF($G45="ON",0,IF(OR(J44="",LEFT(J44,6)="Offset"),"",J44+1))</f>
        <v>5</v>
      </c>
      <c r="K45" s="212">
        <f>IF($G45="OFF",0,IF(AND($J46&lt;&gt;0,$J45&lt;&gt;9,$G46&lt;&gt;"MAC+111",($B46-$B45)&lt;7200),K46+1,1))</f>
        <v>5</v>
      </c>
    </row>
    <row r="46" spans="1:11">
      <c r="A46" t="s">
        <v>5891</v>
      </c>
      <c r="B46">
        <v>645156160</v>
      </c>
      <c r="C46" t="s">
        <v>5892</v>
      </c>
      <c r="D46" t="s">
        <v>5895</v>
      </c>
      <c r="F46" s="238" t="str" cm="1">
        <f t="array" aca="1" ref="F46" ca="1">MID(met2utc(SWAP_Commanding[[#This Row],[MET]]),3,15)</f>
        <v>26-181/20:10:44</v>
      </c>
      <c r="G46" s="212" t="str">
        <f>_xlfn.TEXTJOIN("+",TRUE,$C46:$D46)</f>
        <v>MODE+HVSCI</v>
      </c>
      <c r="H46" s="213">
        <f>IF($C46="ON",$B46,IF(RIGHT($H45,9)="MET Start","",IF(AND($K46&lt;&gt;0,$K45=1),$B46,$H45)))</f>
        <v>645155515</v>
      </c>
      <c r="I46" s="213">
        <f>IF($C46="OFF",$B46,IF($B47="",$B46+31500000,IF($K46=1,$B47,I47)))</f>
        <v>645156160</v>
      </c>
      <c r="J46" s="212">
        <f>IF($G46="ON",0,IF(OR(J45="",LEFT(J45,6)="Offset"),"",J45+1))</f>
        <v>6</v>
      </c>
      <c r="K46" s="212">
        <f>IF($G46="OFF",0,IF(AND($J47&lt;&gt;0,$J46&lt;&gt;9,$G47&lt;&gt;"MAC+111",($B47-$B46)&lt;7200),K47+1,1))</f>
        <v>4</v>
      </c>
    </row>
    <row r="47" spans="1:11">
      <c r="A47" t="s">
        <v>5894</v>
      </c>
      <c r="B47">
        <v>645156160</v>
      </c>
      <c r="C47" t="s">
        <v>898</v>
      </c>
      <c r="D47" t="s">
        <v>890</v>
      </c>
      <c r="F47" s="238" t="str" cm="1">
        <f t="array" aca="1" ref="F47" ca="1">MID(met2utc(SWAP_Commanding[[#This Row],[MET]]),3,15)</f>
        <v>26-181/20:10:44</v>
      </c>
      <c r="G47" s="212" t="str">
        <f>_xlfn.TEXTJOIN("+",TRUE,$C47:$D47)</f>
        <v>HK+1S</v>
      </c>
      <c r="H47" s="213">
        <f>IF($C47="ON",$B47,IF(RIGHT($H46,9)="MET Start","",IF(AND($K47&lt;&gt;0,$K46=1),$B47,$H46)))</f>
        <v>645155515</v>
      </c>
      <c r="I47" s="213">
        <f>IF($C47="OFF",$B47,IF($B48="",$B47+31500000,IF($K47=1,$B48,I48)))</f>
        <v>645156160</v>
      </c>
      <c r="J47" s="212">
        <f>IF($G47="ON",0,IF(OR(J46="",LEFT(J46,6)="Offset"),"",J46+1))</f>
        <v>7</v>
      </c>
      <c r="K47" s="212">
        <f>IF($G47="OFF",0,IF(AND($J48&lt;&gt;0,$J47&lt;&gt;9,$G48&lt;&gt;"MAC+111",($B48-$B47)&lt;7200),K48+1,1))</f>
        <v>3</v>
      </c>
    </row>
    <row r="48" spans="1:11">
      <c r="A48" t="s">
        <v>5896</v>
      </c>
      <c r="B48">
        <v>645156160</v>
      </c>
      <c r="C48" t="s">
        <v>5897</v>
      </c>
      <c r="D48" t="s">
        <v>884</v>
      </c>
      <c r="F48" s="238" t="str" cm="1">
        <f t="array" aca="1" ref="F48" ca="1">MID(met2utc(SWAP_Commanding[[#This Row],[MET]]),3,15)</f>
        <v>26-181/20:10:44</v>
      </c>
      <c r="G48" s="212" t="str">
        <f>_xlfn.TEXTJOIN("+",TRUE,$C48:$D48)</f>
        <v>RT+64S</v>
      </c>
      <c r="H48" s="213">
        <f>IF($C48="ON",$B48,IF(RIGHT($H47,9)="MET Start","",IF(AND($K48&lt;&gt;0,$K47=1),$B48,$H47)))</f>
        <v>645155515</v>
      </c>
      <c r="I48" s="213">
        <f>IF($C48="OFF",$B48,IF($B49="",$B48+31500000,IF($K48=1,$B49,I49)))</f>
        <v>645156160</v>
      </c>
      <c r="J48" s="212">
        <f>IF($G48="ON",0,IF(OR(J47="",LEFT(J47,6)="Offset"),"",J47+1))</f>
        <v>8</v>
      </c>
      <c r="K48" s="212">
        <f>IF($G48="OFF",0,IF(AND($J49&lt;&gt;0,$J48&lt;&gt;9,$G49&lt;&gt;"MAC+111",($B49-$B48)&lt;7200),K49+1,1))</f>
        <v>2</v>
      </c>
    </row>
    <row r="49" spans="1:11">
      <c r="A49" t="s">
        <v>5898</v>
      </c>
      <c r="B49">
        <v>645156160</v>
      </c>
      <c r="C49" t="s">
        <v>5899</v>
      </c>
      <c r="D49" t="s">
        <v>861</v>
      </c>
      <c r="F49" s="238" t="str" cm="1">
        <f t="array" aca="1" ref="F49" ca="1">MID(met2utc(SWAP_Commanding[[#This Row],[MET]]),3,15)</f>
        <v>26-181/20:10:44</v>
      </c>
      <c r="G49" s="212" t="str">
        <f>_xlfn.TEXTJOIN("+",TRUE,$C49:$D49)</f>
        <v>SM+NEVER</v>
      </c>
      <c r="H49" s="213">
        <f>IF($C49="ON",$B49,IF(RIGHT($H48,9)="MET Start","",IF(AND($K49&lt;&gt;0,$K48=1),$B49,$H48)))</f>
        <v>645155515</v>
      </c>
      <c r="I49" s="213">
        <f>IF($C49="OFF",$B49,IF($B50="",$B49+31500000,IF($K49=1,$B50,I50)))</f>
        <v>645156160</v>
      </c>
      <c r="J49" s="212">
        <f>IF($G49="ON",0,IF(OR(J48="",LEFT(J48,6)="Offset"),"",J48+1))</f>
        <v>9</v>
      </c>
      <c r="K49" s="212">
        <f>IF($G49="OFF",0,IF(AND($J50&lt;&gt;0,$J49&lt;&gt;9,$G50&lt;&gt;"MAC+111",($B50-$B49)&lt;7200),K50+1,1))</f>
        <v>1</v>
      </c>
    </row>
    <row r="50" spans="1:11">
      <c r="A50" t="s">
        <v>5900</v>
      </c>
      <c r="B50">
        <v>645156160</v>
      </c>
      <c r="C50" t="s">
        <v>5901</v>
      </c>
      <c r="D50" t="s">
        <v>861</v>
      </c>
      <c r="F50" s="238" t="str" cm="1">
        <f t="array" aca="1" ref="F50" ca="1">MID(met2utc(SWAP_Commanding[[#This Row],[MET]]),3,15)</f>
        <v>26-181/20:10:44</v>
      </c>
      <c r="G50" s="212" t="str">
        <f>_xlfn.TEXTJOIN("+",TRUE,$C50:$D50)</f>
        <v>HX+NEVER</v>
      </c>
      <c r="H50" s="213">
        <f>IF($C50="ON",$B50,IF(RIGHT($H49,9)="MET Start","",IF(AND($K50&lt;&gt;0,$K49=1),$B50,$H49)))</f>
        <v>645156160</v>
      </c>
      <c r="I50" s="213">
        <f>IF($C50="OFF",$B50,IF($B51="",$B50+31500000,IF($K50=1,$B51,I51)))</f>
        <v>645161815</v>
      </c>
      <c r="J50" s="212">
        <f>IF($G50="ON",0,IF(OR(J49="",LEFT(J49,6)="Offset"),"",J49+1))</f>
        <v>10</v>
      </c>
      <c r="K50" s="212">
        <f>IF($G50="OFF",0,IF(AND($J51&lt;&gt;0,$J50&lt;&gt;9,$G51&lt;&gt;"MAC+111",($B51-$B50)&lt;7200),K51+1,1))</f>
        <v>1</v>
      </c>
    </row>
    <row r="51" spans="1:11">
      <c r="A51" t="s">
        <v>5889</v>
      </c>
      <c r="B51">
        <v>645161815</v>
      </c>
      <c r="C51" t="s">
        <v>433</v>
      </c>
      <c r="D51" t="s">
        <v>5890</v>
      </c>
      <c r="F51" s="238" t="str" cm="1">
        <f t="array" aca="1" ref="F51" ca="1">MID(met2utc(SWAP_Commanding[[#This Row],[MET]]),3,15)</f>
        <v>26-181/21:44:59</v>
      </c>
      <c r="G51" s="212" t="str">
        <f>_xlfn.TEXTJOIN("+",TRUE,$C51:$D51)</f>
        <v>ON</v>
      </c>
      <c r="H51" s="213">
        <f>IF($C51="ON",$B51,IF(RIGHT($H50,9)="MET Start","",IF(AND($K51&lt;&gt;0,$K50=1),$B51,$H50)))</f>
        <v>645161815</v>
      </c>
      <c r="I51" s="213">
        <f>IF($C51="OFF",$B51,IF($B52="",$B51+31500000,IF($K51=1,$B52,I52)))</f>
        <v>644922415</v>
      </c>
      <c r="J51" s="212">
        <f>IF($G51="ON",0,IF(OR(J50="",LEFT(J50,6)="Offset"),"",J50+1))</f>
        <v>0</v>
      </c>
      <c r="K51" s="212">
        <f>IF($G51="OFF",0,IF(AND($J52&lt;&gt;0,$J51&lt;&gt;9,$G52&lt;&gt;"MAC+111",($B52-$B51)&lt;7200),K52+1,1))</f>
        <v>6</v>
      </c>
    </row>
    <row r="52" spans="1:11">
      <c r="A52" t="s">
        <v>5891</v>
      </c>
      <c r="B52">
        <v>645162304</v>
      </c>
      <c r="C52" t="s">
        <v>5892</v>
      </c>
      <c r="D52" t="s">
        <v>5895</v>
      </c>
      <c r="F52" s="238" t="str" cm="1">
        <f t="array" aca="1" ref="F52" ca="1">MID(met2utc(SWAP_Commanding[[#This Row],[MET]]),3,15)</f>
        <v>26-181/21:53:08</v>
      </c>
      <c r="G52" s="212" t="str">
        <f>_xlfn.TEXTJOIN("+",TRUE,$C52:$D52)</f>
        <v>MODE+HVSCI</v>
      </c>
      <c r="H52" s="213">
        <f>IF($C52="ON",$B52,IF(RIGHT($H51,9)="MET Start","",IF(AND($K52&lt;&gt;0,$K51=1),$B52,$H51)))</f>
        <v>645161815</v>
      </c>
      <c r="I52" s="213">
        <f>IF($C52="OFF",$B52,IF($B53="",$B52+31500000,IF($K52=1,$B53,I53)))</f>
        <v>644922415</v>
      </c>
      <c r="J52" s="212">
        <f>IF($G52="ON",0,IF(OR(J51="",LEFT(J51,6)="Offset"),"",J51+1))</f>
        <v>1</v>
      </c>
      <c r="K52" s="212">
        <f>IF($G52="OFF",0,IF(AND($J53&lt;&gt;0,$J52&lt;&gt;9,$G53&lt;&gt;"MAC+111",($B53-$B52)&lt;7200),K53+1,1))</f>
        <v>5</v>
      </c>
    </row>
    <row r="53" spans="1:11">
      <c r="A53" t="s">
        <v>5894</v>
      </c>
      <c r="B53">
        <v>645162304</v>
      </c>
      <c r="C53" t="s">
        <v>898</v>
      </c>
      <c r="D53" t="s">
        <v>878</v>
      </c>
      <c r="F53" s="238" t="str" cm="1">
        <f t="array" aca="1" ref="F53" ca="1">MID(met2utc(SWAP_Commanding[[#This Row],[MET]]),3,15)</f>
        <v>26-181/21:53:08</v>
      </c>
      <c r="G53" s="212" t="str">
        <f>_xlfn.TEXTJOIN("+",TRUE,$C53:$D53)</f>
        <v>HK+1H</v>
      </c>
      <c r="H53" s="213">
        <f>IF($C53="ON",$B53,IF(RIGHT($H52,9)="MET Start","",IF(AND($K53&lt;&gt;0,$K52=1),$B53,$H52)))</f>
        <v>645161815</v>
      </c>
      <c r="I53" s="213">
        <f>IF($C53="OFF",$B53,IF($B54="",$B53+31500000,IF($K53=1,$B54,I54)))</f>
        <v>644922415</v>
      </c>
      <c r="J53" s="212">
        <f>IF($G53="ON",0,IF(OR(J52="",LEFT(J52,6)="Offset"),"",J52+1))</f>
        <v>2</v>
      </c>
      <c r="K53" s="212">
        <f>IF($G53="OFF",0,IF(AND($J54&lt;&gt;0,$J53&lt;&gt;9,$G54&lt;&gt;"MAC+111",($B54-$B53)&lt;7200),K54+1,1))</f>
        <v>4</v>
      </c>
    </row>
    <row r="54" spans="1:11">
      <c r="A54" t="s">
        <v>5896</v>
      </c>
      <c r="B54">
        <v>645162304</v>
      </c>
      <c r="C54" t="s">
        <v>5897</v>
      </c>
      <c r="D54" t="s">
        <v>877</v>
      </c>
      <c r="F54" s="238" t="str" cm="1">
        <f t="array" aca="1" ref="F54" ca="1">MID(met2utc(SWAP_Commanding[[#This Row],[MET]]),3,15)</f>
        <v>26-181/21:53:08</v>
      </c>
      <c r="G54" s="212" t="str">
        <f>_xlfn.TEXTJOIN("+",TRUE,$C54:$D54)</f>
        <v>RT+2H</v>
      </c>
      <c r="H54" s="213">
        <f>IF($C54="ON",$B54,IF(RIGHT($H53,9)="MET Start","",IF(AND($K54&lt;&gt;0,$K53=1),$B54,$H53)))</f>
        <v>645161815</v>
      </c>
      <c r="I54" s="213">
        <f>IF($C54="OFF",$B54,IF($B55="",$B54+31500000,IF($K54=1,$B55,I55)))</f>
        <v>644922415</v>
      </c>
      <c r="J54" s="212">
        <f>IF($G54="ON",0,IF(OR(J53="",LEFT(J53,6)="Offset"),"",J53+1))</f>
        <v>3</v>
      </c>
      <c r="K54" s="212">
        <f>IF($G54="OFF",0,IF(AND($J55&lt;&gt;0,$J54&lt;&gt;9,$G55&lt;&gt;"MAC+111",($B55-$B54)&lt;7200),K55+1,1))</f>
        <v>3</v>
      </c>
    </row>
    <row r="55" spans="1:11">
      <c r="A55" t="s">
        <v>5898</v>
      </c>
      <c r="B55">
        <v>645162304</v>
      </c>
      <c r="C55" t="s">
        <v>5899</v>
      </c>
      <c r="D55" t="s">
        <v>878</v>
      </c>
      <c r="F55" s="238" t="str" cm="1">
        <f t="array" aca="1" ref="F55" ca="1">MID(met2utc(SWAP_Commanding[[#This Row],[MET]]),3,15)</f>
        <v>26-181/21:53:08</v>
      </c>
      <c r="G55" s="212" t="str">
        <f>_xlfn.TEXTJOIN("+",TRUE,$C55:$D55)</f>
        <v>SM+1H</v>
      </c>
      <c r="H55" s="213">
        <f>IF($C55="ON",$B55,IF(RIGHT($H54,9)="MET Start","",IF(AND($K55&lt;&gt;0,$K54=1),$B55,$H54)))</f>
        <v>645161815</v>
      </c>
      <c r="I55" s="213">
        <f>IF($C55="OFF",$B55,IF($B56="",$B55+31500000,IF($K55=1,$B56,I56)))</f>
        <v>644922415</v>
      </c>
      <c r="J55" s="212">
        <f>IF($G55="ON",0,IF(OR(J54="",LEFT(J54,6)="Offset"),"",J54+1))</f>
        <v>4</v>
      </c>
      <c r="K55" s="212">
        <f>IF($G55="OFF",0,IF(AND($J56&lt;&gt;0,$J55&lt;&gt;9,$G56&lt;&gt;"MAC+111",($B56-$B55)&lt;7200),K56+1,1))</f>
        <v>2</v>
      </c>
    </row>
    <row r="56" spans="1:11">
      <c r="A56" t="s">
        <v>5900</v>
      </c>
      <c r="B56">
        <v>645162304</v>
      </c>
      <c r="C56" t="s">
        <v>5901</v>
      </c>
      <c r="D56" t="s">
        <v>865</v>
      </c>
      <c r="F56" s="238" t="str" cm="1">
        <f t="array" aca="1" ref="F56" ca="1">MID(met2utc(SWAP_Commanding[[#This Row],[MET]]),3,15)</f>
        <v>26-181/21:53:08</v>
      </c>
      <c r="G56" s="212" t="str">
        <f>_xlfn.TEXTJOIN("+",TRUE,$C56:$D56)</f>
        <v>HX+24H</v>
      </c>
      <c r="H56" s="213">
        <f>IF($C56="ON",$B56,IF(RIGHT($H55,9)="MET Start","",IF(AND($K56&lt;&gt;0,$K55=1),$B56,$H55)))</f>
        <v>645161815</v>
      </c>
      <c r="I56" s="213">
        <f>IF($C56="OFF",$B56,IF($B57="",$B56+31500000,IF($K56=1,$B57,I57)))</f>
        <v>644922415</v>
      </c>
      <c r="J56" s="212">
        <f>IF($G56="ON",0,IF(OR(J55="",LEFT(J55,6)="Offset"),"",J55+1))</f>
        <v>5</v>
      </c>
      <c r="K56" s="212">
        <f>IF($G56="OFF",0,IF(AND($J57&lt;&gt;0,$J56&lt;&gt;9,$G57&lt;&gt;"MAC+111",($B57-$B56)&lt;7200),K57+1,1))</f>
        <v>1</v>
      </c>
    </row>
    <row r="57" spans="1:11">
      <c r="A57" t="s">
        <v>5889</v>
      </c>
      <c r="B57">
        <v>644922415</v>
      </c>
      <c r="C57" t="s">
        <v>5318</v>
      </c>
      <c r="D57" t="s">
        <v>5890</v>
      </c>
      <c r="F57" s="238" t="str" cm="1">
        <f t="array" aca="1" ref="F57" ca="1">MID(met2utc(SWAP_Commanding[[#This Row],[MET]]),3,15)</f>
        <v>26-179/03:14:59</v>
      </c>
      <c r="G57" s="212" t="str">
        <f>_xlfn.TEXTJOIN("+",TRUE,$C57:$D57)</f>
        <v>OFF</v>
      </c>
      <c r="H57" s="213">
        <f>IF($C57="ON",$B57,IF(RIGHT($H56,9)="MET Start","",IF(AND($K57&lt;&gt;0,$K56=1),$B57,$H56)))</f>
        <v>645161815</v>
      </c>
      <c r="I57" s="213">
        <f>IF($C57="OFF",$B57,IF($B58="",$B57+31500000,IF($K57=1,$B58,I58)))</f>
        <v>644922415</v>
      </c>
      <c r="J57" s="212">
        <f>IF($G57="ON",0,IF(OR(J56="",LEFT(J56,6)="Offset"),"",J56+1))</f>
        <v>6</v>
      </c>
      <c r="K57" s="212">
        <f>IF($G57="OFF",0,IF(AND($J58&lt;&gt;0,$J57&lt;&gt;9,$G58&lt;&gt;"MAC+111",($B58-$B57)&lt;7200),K58+1,1))</f>
        <v>0</v>
      </c>
    </row>
    <row r="58" spans="1:11">
      <c r="A58" t="s">
        <v>5889</v>
      </c>
      <c r="B58">
        <v>645155515</v>
      </c>
      <c r="C58" t="s">
        <v>433</v>
      </c>
      <c r="D58" t="s">
        <v>5890</v>
      </c>
      <c r="F58" s="238" t="str" cm="1">
        <f t="array" aca="1" ref="F58" ca="1">MID(met2utc(SWAP_Commanding[[#This Row],[MET]]),3,15)</f>
        <v>26-181/19:59:59</v>
      </c>
      <c r="G58" s="212" t="str">
        <f>_xlfn.TEXTJOIN("+",TRUE,$C58:$D58)</f>
        <v>ON</v>
      </c>
      <c r="H58" s="213">
        <f>IF($C58="ON",$B58,IF(RIGHT($H57,9)="MET Start","",IF(AND($K58&lt;&gt;0,$K57=1),$B58,$H57)))</f>
        <v>645155515</v>
      </c>
      <c r="I58" s="213">
        <f>IF($C58="OFF",$B58,IF($B59="",$B58+31500000,IF($K58=1,$B59,I59)))</f>
        <v>645156160</v>
      </c>
      <c r="J58" s="212">
        <f>IF($G58="ON",0,IF(OR(J57="",LEFT(J57,6)="Offset"),"",J57+1))</f>
        <v>0</v>
      </c>
      <c r="K58" s="212">
        <f>IF($G58="OFF",0,IF(AND($J59&lt;&gt;0,$J58&lt;&gt;9,$G59&lt;&gt;"MAC+111",($B59-$B58)&lt;7200),K59+1,1))</f>
        <v>10</v>
      </c>
    </row>
    <row r="59" spans="1:11">
      <c r="A59" t="s">
        <v>5891</v>
      </c>
      <c r="B59">
        <v>645155968</v>
      </c>
      <c r="C59" t="s">
        <v>5892</v>
      </c>
      <c r="D59" t="s">
        <v>5895</v>
      </c>
      <c r="F59" s="238" t="str" cm="1">
        <f t="array" aca="1" ref="F59" ca="1">MID(met2utc(SWAP_Commanding[[#This Row],[MET]]),3,15)</f>
        <v>26-181/20:07:32</v>
      </c>
      <c r="G59" s="212" t="str">
        <f>_xlfn.TEXTJOIN("+",TRUE,$C59:$D59)</f>
        <v>MODE+HVSCI</v>
      </c>
      <c r="H59" s="213">
        <f>IF($C59="ON",$B59,IF(RIGHT($H58,9)="MET Start","",IF(AND($K59&lt;&gt;0,$K58=1),$B59,$H58)))</f>
        <v>645155515</v>
      </c>
      <c r="I59" s="213">
        <f>IF($C59="OFF",$B59,IF($B60="",$B59+31500000,IF($K59=1,$B60,I60)))</f>
        <v>645156160</v>
      </c>
      <c r="J59" s="212">
        <f>IF($G59="ON",0,IF(OR(J58="",LEFT(J58,6)="Offset"),"",J58+1))</f>
        <v>1</v>
      </c>
      <c r="K59" s="212">
        <f>IF($G59="OFF",0,IF(AND($J60&lt;&gt;0,$J59&lt;&gt;9,$G60&lt;&gt;"MAC+111",($B60-$B59)&lt;7200),K60+1,1))</f>
        <v>9</v>
      </c>
    </row>
    <row r="60" spans="1:11">
      <c r="A60" t="s">
        <v>5894</v>
      </c>
      <c r="B60">
        <v>645156032</v>
      </c>
      <c r="C60" t="s">
        <v>898</v>
      </c>
      <c r="D60" t="s">
        <v>878</v>
      </c>
      <c r="F60" s="238" t="str" cm="1">
        <f t="array" aca="1" ref="F60" ca="1">MID(met2utc(SWAP_Commanding[[#This Row],[MET]]),3,15)</f>
        <v>26-181/20:08:36</v>
      </c>
      <c r="G60" s="212" t="str">
        <f>_xlfn.TEXTJOIN("+",TRUE,$C60:$D60)</f>
        <v>HK+1H</v>
      </c>
      <c r="H60" s="213">
        <f>IF($C60="ON",$B60,IF(RIGHT($H59,9)="MET Start","",IF(AND($K60&lt;&gt;0,$K59=1),$B60,$H59)))</f>
        <v>645155515</v>
      </c>
      <c r="I60" s="213">
        <f>IF($C60="OFF",$B60,IF($B61="",$B60+31500000,IF($K60=1,$B61,I61)))</f>
        <v>645156160</v>
      </c>
      <c r="J60" s="212">
        <f>IF($G60="ON",0,IF(OR(J59="",LEFT(J59,6)="Offset"),"",J59+1))</f>
        <v>2</v>
      </c>
      <c r="K60" s="212">
        <f>IF($G60="OFF",0,IF(AND($J61&lt;&gt;0,$J60&lt;&gt;9,$G61&lt;&gt;"MAC+111",($B61-$B60)&lt;7200),K61+1,1))</f>
        <v>8</v>
      </c>
    </row>
    <row r="61" spans="1:11">
      <c r="A61" t="s">
        <v>5896</v>
      </c>
      <c r="B61">
        <v>645156032</v>
      </c>
      <c r="C61" t="s">
        <v>5897</v>
      </c>
      <c r="D61" t="s">
        <v>878</v>
      </c>
      <c r="F61" s="238" t="str" cm="1">
        <f t="array" aca="1" ref="F61" ca="1">MID(met2utc(SWAP_Commanding[[#This Row],[MET]]),3,15)</f>
        <v>26-181/20:08:36</v>
      </c>
      <c r="G61" s="212" t="str">
        <f>_xlfn.TEXTJOIN("+",TRUE,$C61:$D61)</f>
        <v>RT+1H</v>
      </c>
      <c r="H61" s="213">
        <f>IF($C61="ON",$B61,IF(RIGHT($H60,9)="MET Start","",IF(AND($K61&lt;&gt;0,$K60=1),$B61,$H60)))</f>
        <v>645155515</v>
      </c>
      <c r="I61" s="213">
        <f>IF($C61="OFF",$B61,IF($B62="",$B61+31500000,IF($K61=1,$B62,I62)))</f>
        <v>645156160</v>
      </c>
      <c r="J61" s="212">
        <f>IF($G61="ON",0,IF(OR(J60="",LEFT(J60,6)="Offset"),"",J60+1))</f>
        <v>3</v>
      </c>
      <c r="K61" s="212">
        <f>IF($G61="OFF",0,IF(AND($J62&lt;&gt;0,$J61&lt;&gt;9,$G62&lt;&gt;"MAC+111",($B62-$B61)&lt;7200),K62+1,1))</f>
        <v>7</v>
      </c>
    </row>
    <row r="62" spans="1:11">
      <c r="A62" t="s">
        <v>5898</v>
      </c>
      <c r="B62">
        <v>645156032</v>
      </c>
      <c r="C62" t="s">
        <v>5899</v>
      </c>
      <c r="D62" t="s">
        <v>878</v>
      </c>
      <c r="F62" s="238" t="str" cm="1">
        <f t="array" aca="1" ref="F62" ca="1">MID(met2utc(SWAP_Commanding[[#This Row],[MET]]),3,15)</f>
        <v>26-181/20:08:36</v>
      </c>
      <c r="G62" s="212" t="str">
        <f>_xlfn.TEXTJOIN("+",TRUE,$C62:$D62)</f>
        <v>SM+1H</v>
      </c>
      <c r="H62" s="213">
        <f>IF($C62="ON",$B62,IF(RIGHT($H61,9)="MET Start","",IF(AND($K62&lt;&gt;0,$K61=1),$B62,$H61)))</f>
        <v>645155515</v>
      </c>
      <c r="I62" s="213">
        <f>IF($C62="OFF",$B62,IF($B63="",$B62+31500000,IF($K62=1,$B63,I63)))</f>
        <v>645156160</v>
      </c>
      <c r="J62" s="212">
        <f>IF($G62="ON",0,IF(OR(J61="",LEFT(J61,6)="Offset"),"",J61+1))</f>
        <v>4</v>
      </c>
      <c r="K62" s="212">
        <f>IF($G62="OFF",0,IF(AND($J63&lt;&gt;0,$J62&lt;&gt;9,$G63&lt;&gt;"MAC+111",($B63-$B62)&lt;7200),K63+1,1))</f>
        <v>6</v>
      </c>
    </row>
    <row r="63" spans="1:11">
      <c r="A63" t="s">
        <v>5900</v>
      </c>
      <c r="B63">
        <v>645156032</v>
      </c>
      <c r="C63" t="s">
        <v>5901</v>
      </c>
      <c r="D63" t="s">
        <v>865</v>
      </c>
      <c r="F63" s="238" t="str" cm="1">
        <f t="array" aca="1" ref="F63" ca="1">MID(met2utc(SWAP_Commanding[[#This Row],[MET]]),3,15)</f>
        <v>26-181/20:08:36</v>
      </c>
      <c r="G63" s="212" t="str">
        <f>_xlfn.TEXTJOIN("+",TRUE,$C63:$D63)</f>
        <v>HX+24H</v>
      </c>
      <c r="H63" s="213">
        <f>IF($C63="ON",$B63,IF(RIGHT($H62,9)="MET Start","",IF(AND($K63&lt;&gt;0,$K62=1),$B63,$H62)))</f>
        <v>645155515</v>
      </c>
      <c r="I63" s="213">
        <f>IF($C63="OFF",$B63,IF($B64="",$B63+31500000,IF($K63=1,$B64,I64)))</f>
        <v>645156160</v>
      </c>
      <c r="J63" s="212">
        <f>IF($G63="ON",0,IF(OR(J62="",LEFT(J62,6)="Offset"),"",J62+1))</f>
        <v>5</v>
      </c>
      <c r="K63" s="212">
        <f>IF($G63="OFF",0,IF(AND($J64&lt;&gt;0,$J63&lt;&gt;9,$G64&lt;&gt;"MAC+111",($B64-$B63)&lt;7200),K64+1,1))</f>
        <v>5</v>
      </c>
    </row>
    <row r="64" spans="1:11">
      <c r="A64" t="s">
        <v>5891</v>
      </c>
      <c r="B64">
        <v>645156160</v>
      </c>
      <c r="C64" t="s">
        <v>5892</v>
      </c>
      <c r="D64" t="s">
        <v>5895</v>
      </c>
      <c r="F64" s="238" t="str" cm="1">
        <f t="array" aca="1" ref="F64" ca="1">MID(met2utc(SWAP_Commanding[[#This Row],[MET]]),3,15)</f>
        <v>26-181/20:10:44</v>
      </c>
      <c r="G64" s="212" t="str">
        <f>_xlfn.TEXTJOIN("+",TRUE,$C64:$D64)</f>
        <v>MODE+HVSCI</v>
      </c>
      <c r="H64" s="213">
        <f>IF($C64="ON",$B64,IF(RIGHT($H63,9)="MET Start","",IF(AND($K64&lt;&gt;0,$K63=1),$B64,$H63)))</f>
        <v>645155515</v>
      </c>
      <c r="I64" s="213">
        <f>IF($C64="OFF",$B64,IF($B65="",$B64+31500000,IF($K64=1,$B65,I65)))</f>
        <v>645156160</v>
      </c>
      <c r="J64" s="212">
        <f>IF($G64="ON",0,IF(OR(J63="",LEFT(J63,6)="Offset"),"",J63+1))</f>
        <v>6</v>
      </c>
      <c r="K64" s="212">
        <f>IF($G64="OFF",0,IF(AND($J65&lt;&gt;0,$J64&lt;&gt;9,$G65&lt;&gt;"MAC+111",($B65-$B64)&lt;7200),K65+1,1))</f>
        <v>4</v>
      </c>
    </row>
    <row r="65" spans="1:11">
      <c r="A65" t="s">
        <v>5894</v>
      </c>
      <c r="B65">
        <v>645156160</v>
      </c>
      <c r="C65" t="s">
        <v>898</v>
      </c>
      <c r="D65" t="s">
        <v>890</v>
      </c>
      <c r="F65" s="238" t="str" cm="1">
        <f t="array" aca="1" ref="F65" ca="1">MID(met2utc(SWAP_Commanding[[#This Row],[MET]]),3,15)</f>
        <v>26-181/20:10:44</v>
      </c>
      <c r="G65" s="212" t="str">
        <f>_xlfn.TEXTJOIN("+",TRUE,$C65:$D65)</f>
        <v>HK+1S</v>
      </c>
      <c r="H65" s="213">
        <f>IF($C65="ON",$B65,IF(RIGHT($H64,9)="MET Start","",IF(AND($K65&lt;&gt;0,$K64=1),$B65,$H64)))</f>
        <v>645155515</v>
      </c>
      <c r="I65" s="213">
        <f>IF($C65="OFF",$B65,IF($B66="",$B65+31500000,IF($K65=1,$B66,I66)))</f>
        <v>645156160</v>
      </c>
      <c r="J65" s="212">
        <f>IF($G65="ON",0,IF(OR(J64="",LEFT(J64,6)="Offset"),"",J64+1))</f>
        <v>7</v>
      </c>
      <c r="K65" s="212">
        <f>IF($G65="OFF",0,IF(AND($J66&lt;&gt;0,$J65&lt;&gt;9,$G66&lt;&gt;"MAC+111",($B66-$B65)&lt;7200),K66+1,1))</f>
        <v>3</v>
      </c>
    </row>
    <row r="66" spans="1:11">
      <c r="A66" t="s">
        <v>5896</v>
      </c>
      <c r="B66">
        <v>645156160</v>
      </c>
      <c r="C66" t="s">
        <v>5897</v>
      </c>
      <c r="D66" t="s">
        <v>884</v>
      </c>
      <c r="F66" s="238" t="str" cm="1">
        <f t="array" aca="1" ref="F66" ca="1">MID(met2utc(SWAP_Commanding[[#This Row],[MET]]),3,15)</f>
        <v>26-181/20:10:44</v>
      </c>
      <c r="G66" s="212" t="str">
        <f>_xlfn.TEXTJOIN("+",TRUE,$C66:$D66)</f>
        <v>RT+64S</v>
      </c>
      <c r="H66" s="213">
        <f>IF($C66="ON",$B66,IF(RIGHT($H65,9)="MET Start","",IF(AND($K66&lt;&gt;0,$K65=1),$B66,$H65)))</f>
        <v>645155515</v>
      </c>
      <c r="I66" s="213">
        <f>IF($C66="OFF",$B66,IF($B67="",$B66+31500000,IF($K66=1,$B67,I67)))</f>
        <v>645156160</v>
      </c>
      <c r="J66" s="212">
        <f>IF($G66="ON",0,IF(OR(J65="",LEFT(J65,6)="Offset"),"",J65+1))</f>
        <v>8</v>
      </c>
      <c r="K66" s="212">
        <f>IF($G66="OFF",0,IF(AND($J67&lt;&gt;0,$J66&lt;&gt;9,$G67&lt;&gt;"MAC+111",($B67-$B66)&lt;7200),K67+1,1))</f>
        <v>2</v>
      </c>
    </row>
    <row r="67" spans="1:11">
      <c r="A67" t="s">
        <v>5898</v>
      </c>
      <c r="B67">
        <v>645156160</v>
      </c>
      <c r="C67" t="s">
        <v>5899</v>
      </c>
      <c r="D67" t="s">
        <v>861</v>
      </c>
      <c r="F67" s="238" t="str" cm="1">
        <f t="array" aca="1" ref="F67" ca="1">MID(met2utc(SWAP_Commanding[[#This Row],[MET]]),3,15)</f>
        <v>26-181/20:10:44</v>
      </c>
      <c r="G67" s="212" t="str">
        <f>_xlfn.TEXTJOIN("+",TRUE,$C67:$D67)</f>
        <v>SM+NEVER</v>
      </c>
      <c r="H67" s="213">
        <f>IF($C67="ON",$B67,IF(RIGHT($H66,9)="MET Start","",IF(AND($K67&lt;&gt;0,$K66=1),$B67,$H66)))</f>
        <v>645155515</v>
      </c>
      <c r="I67" s="213">
        <f>IF($C67="OFF",$B67,IF($B68="",$B67+31500000,IF($K67=1,$B68,I68)))</f>
        <v>645156160</v>
      </c>
      <c r="J67" s="212">
        <f>IF($G67="ON",0,IF(OR(J66="",LEFT(J66,6)="Offset"),"",J66+1))</f>
        <v>9</v>
      </c>
      <c r="K67" s="212">
        <f>IF($G67="OFF",0,IF(AND($J68&lt;&gt;0,$J67&lt;&gt;9,$G68&lt;&gt;"MAC+111",($B68-$B67)&lt;7200),K68+1,1))</f>
        <v>1</v>
      </c>
    </row>
    <row r="68" spans="1:11">
      <c r="A68" t="s">
        <v>5900</v>
      </c>
      <c r="B68">
        <v>645156160</v>
      </c>
      <c r="C68" t="s">
        <v>5901</v>
      </c>
      <c r="D68" t="s">
        <v>861</v>
      </c>
      <c r="F68" s="238" t="str" cm="1">
        <f t="array" aca="1" ref="F68" ca="1">MID(met2utc(SWAP_Commanding[[#This Row],[MET]]),3,15)</f>
        <v>26-181/20:10:44</v>
      </c>
      <c r="G68" s="212" t="str">
        <f>_xlfn.TEXTJOIN("+",TRUE,$C68:$D68)</f>
        <v>HX+NEVER</v>
      </c>
      <c r="H68" s="213">
        <f>IF($C68="ON",$B68,IF(RIGHT($H67,9)="MET Start","",IF(AND($K68&lt;&gt;0,$K67=1),$B68,$H67)))</f>
        <v>645156160</v>
      </c>
      <c r="I68" s="213">
        <f>IF($C68="OFF",$B68,IF($B69="",$B68+31500000,IF($K68=1,$B69,I69)))</f>
        <v>645161815</v>
      </c>
      <c r="J68" s="212">
        <f>IF($G68="ON",0,IF(OR(J67="",LEFT(J67,6)="Offset"),"",J67+1))</f>
        <v>10</v>
      </c>
      <c r="K68" s="212">
        <f>IF($G68="OFF",0,IF(AND($J69&lt;&gt;0,$J68&lt;&gt;9,$G69&lt;&gt;"MAC+111",($B69-$B68)&lt;7200),K69+1,1))</f>
        <v>1</v>
      </c>
    </row>
    <row r="69" spans="1:11">
      <c r="A69" t="s">
        <v>5889</v>
      </c>
      <c r="B69">
        <v>645161815</v>
      </c>
      <c r="C69" t="s">
        <v>433</v>
      </c>
      <c r="D69" t="s">
        <v>5890</v>
      </c>
      <c r="F69" s="238" t="str" cm="1">
        <f t="array" aca="1" ref="F69" ca="1">MID(met2utc(SWAP_Commanding[[#This Row],[MET]]),3,15)</f>
        <v>26-181/21:44:59</v>
      </c>
      <c r="G69" s="209" t="str">
        <f>_xlfn.TEXTJOIN("+",TRUE,$C69:$D69)</f>
        <v>ON</v>
      </c>
      <c r="H69" s="209">
        <f>IF($C69="ON",$B69,IF(RIGHT($H68,9)="MET Start","",IF(AND($K69&lt;&gt;0,$K68=1),$B69,$H68)))</f>
        <v>645161815</v>
      </c>
      <c r="I69" s="209">
        <f>IF($C69="OFF",$B69,IF($B70="",$B69+31500000,IF($K69=1,$B70,I70)))</f>
        <v>676662304</v>
      </c>
      <c r="J69" s="209">
        <f>IF($G69="ON",0,IF(OR(J68="",LEFT(J68,6)="Offset"),"",J68+1))</f>
        <v>0</v>
      </c>
      <c r="K69" s="209">
        <f>IF($G69="OFF",0,IF(AND($J70&lt;&gt;0,$J69&lt;&gt;9,$G70&lt;&gt;"MAC+111",($B70-$B69)&lt;7200),K70+1,1))</f>
        <v>6</v>
      </c>
    </row>
    <row r="70" spans="1:11">
      <c r="A70" t="s">
        <v>5891</v>
      </c>
      <c r="B70">
        <v>645162304</v>
      </c>
      <c r="C70" t="s">
        <v>5892</v>
      </c>
      <c r="D70" t="s">
        <v>5895</v>
      </c>
      <c r="F70" s="238" t="str" cm="1">
        <f t="array" aca="1" ref="F70" ca="1">MID(met2utc(SWAP_Commanding[[#This Row],[MET]]),3,15)</f>
        <v>26-181/21:53:08</v>
      </c>
      <c r="G70" s="209" t="str">
        <f>_xlfn.TEXTJOIN("+",TRUE,$C70:$D70)</f>
        <v>MODE+HVSCI</v>
      </c>
      <c r="H70" s="209">
        <f>IF($C70="ON",$B70,IF(RIGHT($H69,9)="MET Start","",IF(AND($K70&lt;&gt;0,$K69=1),$B70,$H69)))</f>
        <v>645161815</v>
      </c>
      <c r="I70" s="209">
        <f>IF($C70="OFF",$B70,IF($B71="",$B70+31500000,IF($K70=1,$B71,I71)))</f>
        <v>676662304</v>
      </c>
      <c r="J70" s="209">
        <f>IF($G70="ON",0,IF(OR(J69="",LEFT(J69,6)="Offset"),"",J69+1))</f>
        <v>1</v>
      </c>
      <c r="K70" s="209">
        <f>IF($G70="OFF",0,IF(AND($J71&lt;&gt;0,$J70&lt;&gt;9,$G71&lt;&gt;"MAC+111",($B71-$B70)&lt;7200),K71+1,1))</f>
        <v>5</v>
      </c>
    </row>
    <row r="71" spans="1:11">
      <c r="A71" t="s">
        <v>5894</v>
      </c>
      <c r="B71">
        <v>645162304</v>
      </c>
      <c r="C71" t="s">
        <v>898</v>
      </c>
      <c r="D71" t="s">
        <v>878</v>
      </c>
      <c r="F71" s="238" t="str" cm="1">
        <f t="array" aca="1" ref="F71" ca="1">MID(met2utc(SWAP_Commanding[[#This Row],[MET]]),3,15)</f>
        <v>26-181/21:53:08</v>
      </c>
      <c r="G71" s="209" t="str">
        <f>_xlfn.TEXTJOIN("+",TRUE,$C71:$D71)</f>
        <v>HK+1H</v>
      </c>
      <c r="H71" s="209">
        <f>IF($C71="ON",$B71,IF(RIGHT($H70,9)="MET Start","",IF(AND($K71&lt;&gt;0,$K70=1),$B71,$H70)))</f>
        <v>645161815</v>
      </c>
      <c r="I71" s="209">
        <f>IF($C71="OFF",$B71,IF($B72="",$B71+31500000,IF($K71=1,$B72,I72)))</f>
        <v>676662304</v>
      </c>
      <c r="J71" s="209">
        <f>IF($G71="ON",0,IF(OR(J70="",LEFT(J70,6)="Offset"),"",J70+1))</f>
        <v>2</v>
      </c>
      <c r="K71" s="209">
        <f>IF($G71="OFF",0,IF(AND($J72&lt;&gt;0,$J71&lt;&gt;9,$G72&lt;&gt;"MAC+111",($B72-$B71)&lt;7200),K72+1,1))</f>
        <v>4</v>
      </c>
    </row>
    <row r="72" spans="1:11">
      <c r="A72" t="s">
        <v>5896</v>
      </c>
      <c r="B72">
        <v>645162304</v>
      </c>
      <c r="C72" t="s">
        <v>5897</v>
      </c>
      <c r="D72" t="s">
        <v>877</v>
      </c>
      <c r="F72" s="238" t="str" cm="1">
        <f t="array" aca="1" ref="F72" ca="1">MID(met2utc(SWAP_Commanding[[#This Row],[MET]]),3,15)</f>
        <v>26-181/21:53:08</v>
      </c>
      <c r="G72" s="209" t="str">
        <f>_xlfn.TEXTJOIN("+",TRUE,$C72:$D72)</f>
        <v>RT+2H</v>
      </c>
      <c r="H72" s="209">
        <f>IF($C72="ON",$B72,IF(RIGHT($H71,9)="MET Start","",IF(AND($K72&lt;&gt;0,$K71=1),$B72,$H71)))</f>
        <v>645161815</v>
      </c>
      <c r="I72" s="209">
        <f>IF($C72="OFF",$B72,IF($B73="",$B72+31500000,IF($K72=1,$B73,I73)))</f>
        <v>676662304</v>
      </c>
      <c r="J72" s="209">
        <f>IF($G72="ON",0,IF(OR(J71="",LEFT(J71,6)="Offset"),"",J71+1))</f>
        <v>3</v>
      </c>
      <c r="K72" s="209">
        <f>IF($G72="OFF",0,IF(AND($J73&lt;&gt;0,$J72&lt;&gt;9,$G73&lt;&gt;"MAC+111",($B73-$B72)&lt;7200),K73+1,1))</f>
        <v>3</v>
      </c>
    </row>
    <row r="73" spans="1:11">
      <c r="A73" t="s">
        <v>5898</v>
      </c>
      <c r="B73">
        <v>645162304</v>
      </c>
      <c r="C73" t="s">
        <v>5899</v>
      </c>
      <c r="D73" t="s">
        <v>878</v>
      </c>
      <c r="F73" s="238" t="str" cm="1">
        <f t="array" aca="1" ref="F73" ca="1">MID(met2utc(SWAP_Commanding[[#This Row],[MET]]),3,15)</f>
        <v>26-181/21:53:08</v>
      </c>
      <c r="G73" s="209" t="str">
        <f>_xlfn.TEXTJOIN("+",TRUE,$C73:$D73)</f>
        <v>SM+1H</v>
      </c>
      <c r="H73" s="209">
        <f>IF($C73="ON",$B73,IF(RIGHT($H72,9)="MET Start","",IF(AND($K73&lt;&gt;0,$K72=1),$B73,$H72)))</f>
        <v>645161815</v>
      </c>
      <c r="I73" s="209">
        <f>IF($C73="OFF",$B73,IF($B74="",$B73+31500000,IF($K73=1,$B74,I74)))</f>
        <v>676662304</v>
      </c>
      <c r="J73" s="209">
        <f>IF($G73="ON",0,IF(OR(J72="",LEFT(J72,6)="Offset"),"",J72+1))</f>
        <v>4</v>
      </c>
      <c r="K73" s="209">
        <f>IF($G73="OFF",0,IF(AND($J74&lt;&gt;0,$J73&lt;&gt;9,$G74&lt;&gt;"MAC+111",($B74-$B73)&lt;7200),K74+1,1))</f>
        <v>2</v>
      </c>
    </row>
    <row r="74" spans="1:11">
      <c r="A74" t="s">
        <v>5900</v>
      </c>
      <c r="B74">
        <v>645162304</v>
      </c>
      <c r="C74" t="s">
        <v>5901</v>
      </c>
      <c r="D74" t="s">
        <v>865</v>
      </c>
      <c r="F74" s="238" t="str" cm="1">
        <f t="array" aca="1" ref="F74" ca="1">MID(met2utc(SWAP_Commanding[[#This Row],[MET]]),3,15)</f>
        <v>26-181/21:53:08</v>
      </c>
      <c r="G74" s="209" t="str">
        <f>_xlfn.TEXTJOIN("+",TRUE,$C74:$D74)</f>
        <v>HX+24H</v>
      </c>
      <c r="H74" s="209">
        <f>IF($C74="ON",$B74,IF(RIGHT($H73,9)="MET Start","",IF(AND($K74&lt;&gt;0,$K73=1),$B74,$H73)))</f>
        <v>645161815</v>
      </c>
      <c r="I74" s="209">
        <f>IF($C74="OFF",$B74,IF($B75="",$B74+31500000,IF($K74=1,$B75,I75)))</f>
        <v>676662304</v>
      </c>
      <c r="J74" s="209">
        <f>IF($G74="ON",0,IF(OR(J73="",LEFT(J73,6)="Offset"),"",J73+1))</f>
        <v>5</v>
      </c>
      <c r="K74" s="209">
        <f>IF($G74="OFF",0,IF(AND($J75&lt;&gt;0,$J74&lt;&gt;9,$G75&lt;&gt;"MAC+111",($B75-$B74)&lt;7200),K75+1,1))</f>
        <v>1</v>
      </c>
    </row>
  </sheetData>
  <conditionalFormatting sqref="E14:L1048576">
    <cfRule type="expression" dxfId="38" priority="2">
      <formula>OR($C14="ON",FALSE)</formula>
    </cfRule>
  </conditionalFormatting>
  <conditionalFormatting sqref="E68:L1048422 E14:L66">
    <cfRule type="expression" dxfId="37" priority="1">
      <formula>OR($G14="OFF",AND($G15&lt;&gt;"OFF",$K14=1))</formula>
    </cfRule>
  </conditionalFormatting>
  <conditionalFormatting sqref="E67:L67">
    <cfRule type="expression" dxfId="36" priority="3">
      <formula>OR($G67="OFF",AND(#REF!&lt;&gt;"OFF",$K67=1))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01"/>
  <sheetViews>
    <sheetView zoomScale="85" zoomScaleNormal="85" workbookViewId="0">
      <pane xSplit="5" ySplit="13" topLeftCell="F14" activePane="bottomRight" state="frozen"/>
      <selection pane="topRight" activeCell="F1" sqref="F1"/>
      <selection pane="bottomLeft" activeCell="A14" sqref="A14"/>
      <selection pane="bottomRight" activeCell="F17" sqref="F17"/>
    </sheetView>
  </sheetViews>
  <sheetFormatPr defaultRowHeight="15"/>
  <cols>
    <col min="1" max="1" width="33.140625" style="212" bestFit="1" customWidth="1"/>
    <col min="2" max="2" width="11.7109375" style="230" bestFit="1" customWidth="1"/>
    <col min="3" max="3" width="6.28515625" style="209" bestFit="1" customWidth="1"/>
    <col min="4" max="4" width="5.85546875" style="209" bestFit="1" customWidth="1"/>
    <col min="5" max="5" width="2.28515625" style="211" bestFit="1" customWidth="1"/>
    <col min="6" max="6" width="13.85546875" style="238" bestFit="1" customWidth="1"/>
    <col min="7" max="7" width="12.140625" style="209" bestFit="1" customWidth="1"/>
    <col min="8" max="9" width="11.7109375" style="209" bestFit="1" customWidth="1"/>
    <col min="10" max="11" width="6.5703125" style="209" bestFit="1" customWidth="1"/>
    <col min="12" max="12" width="2.28515625" style="211" bestFit="1" customWidth="1"/>
    <col min="13" max="13" width="5.85546875" style="209" bestFit="1" customWidth="1"/>
    <col min="14" max="14" width="4.7109375" style="209" bestFit="1" customWidth="1"/>
    <col min="15" max="16" width="5.85546875" style="209" bestFit="1" customWidth="1"/>
    <col min="17" max="17" width="11.42578125" style="209" bestFit="1" customWidth="1"/>
    <col min="18" max="18" width="7.85546875" style="209" bestFit="1" customWidth="1"/>
    <col min="19" max="19" width="7.28515625" style="209" bestFit="1" customWidth="1"/>
    <col min="20" max="20" width="2.28515625" style="211" bestFit="1" customWidth="1"/>
    <col min="21" max="21" width="9.5703125" style="209" bestFit="1" customWidth="1"/>
    <col min="22" max="22" width="10" style="209" bestFit="1" customWidth="1"/>
    <col min="23" max="26" width="11.28515625" style="209" bestFit="1" customWidth="1"/>
    <col min="27" max="27" width="10" style="209" bestFit="1" customWidth="1"/>
    <col min="28" max="28" width="2.140625" style="210" bestFit="1" customWidth="1"/>
    <col min="29" max="29" width="11.28515625" style="209" bestFit="1" customWidth="1"/>
    <col min="30" max="30" width="10" style="209" bestFit="1" customWidth="1"/>
    <col min="31" max="34" width="11.28515625" style="209" bestFit="1" customWidth="1"/>
    <col min="35" max="35" width="11.7109375" style="209" customWidth="1"/>
    <col min="36" max="36" width="8.85546875" style="209" bestFit="1" customWidth="1"/>
    <col min="37" max="37" width="11.28515625" style="209" bestFit="1" customWidth="1"/>
    <col min="38" max="38" width="10" style="209" bestFit="1" customWidth="1"/>
    <col min="39" max="39" width="11.7109375" style="209" bestFit="1" customWidth="1"/>
    <col min="40" max="40" width="11.28515625" style="209" bestFit="1" customWidth="1"/>
    <col min="41" max="41" width="11.7109375" style="209" bestFit="1" customWidth="1"/>
    <col min="42" max="59" width="11.28515625" style="209" bestFit="1" customWidth="1"/>
    <col min="60" max="80" width="9.140625" style="209"/>
    <col min="81" max="81" width="11.7109375" style="209" bestFit="1" customWidth="1"/>
    <col min="82" max="16384" width="9.140625" style="209"/>
  </cols>
  <sheetData>
    <row r="1" spans="1:59" s="237" customFormat="1">
      <c r="A1" s="239"/>
      <c r="B1" s="230"/>
      <c r="E1" s="211"/>
      <c r="F1" s="238"/>
      <c r="G1" s="238"/>
      <c r="H1" s="213"/>
      <c r="I1" s="213"/>
      <c r="J1" s="238"/>
      <c r="K1" s="238"/>
      <c r="L1" s="211"/>
      <c r="Q1" s="239"/>
      <c r="S1" s="238"/>
      <c r="T1" s="313" t="s">
        <v>5428</v>
      </c>
      <c r="U1" s="237">
        <v>564</v>
      </c>
      <c r="V1" s="237">
        <v>2340</v>
      </c>
      <c r="W1" s="237">
        <v>512</v>
      </c>
      <c r="X1" s="237">
        <v>1988</v>
      </c>
      <c r="Y1" s="237">
        <v>1330</v>
      </c>
      <c r="Z1" s="237">
        <f>Y1</f>
        <v>1330</v>
      </c>
      <c r="AA1" s="237">
        <v>19908</v>
      </c>
      <c r="AB1" s="210"/>
    </row>
    <row r="2" spans="1:59">
      <c r="A2" s="212" t="s">
        <v>5350</v>
      </c>
      <c r="B2" s="243" t="s">
        <v>5349</v>
      </c>
      <c r="C2" s="236"/>
      <c r="D2" s="236"/>
      <c r="E2" s="235"/>
      <c r="F2" s="234"/>
      <c r="G2" s="233"/>
      <c r="H2" s="213"/>
      <c r="I2" s="213"/>
      <c r="J2" s="212"/>
      <c r="K2" s="212"/>
      <c r="Q2" s="214"/>
      <c r="S2" s="212"/>
      <c r="T2" s="255" t="s">
        <v>5391</v>
      </c>
      <c r="U2" s="237">
        <v>526</v>
      </c>
      <c r="V2" s="237">
        <v>2087</v>
      </c>
      <c r="W2" s="237">
        <v>512</v>
      </c>
      <c r="X2" s="237">
        <v>1988</v>
      </c>
      <c r="Y2" s="237">
        <v>1266</v>
      </c>
      <c r="Z2" s="237">
        <f>Y2</f>
        <v>1266</v>
      </c>
      <c r="AA2" s="237">
        <v>18176</v>
      </c>
    </row>
    <row r="3" spans="1:59">
      <c r="A3" s="4"/>
      <c r="B3" s="240" t="s">
        <v>5352</v>
      </c>
      <c r="I3" s="213"/>
      <c r="J3" s="212"/>
      <c r="K3" s="212"/>
      <c r="Q3" s="214"/>
      <c r="S3" s="212"/>
      <c r="T3" s="255" t="s">
        <v>5392</v>
      </c>
      <c r="U3" s="237">
        <v>564</v>
      </c>
      <c r="V3" s="237">
        <v>2340</v>
      </c>
      <c r="W3" s="237">
        <v>512</v>
      </c>
      <c r="X3" s="237">
        <v>1988</v>
      </c>
      <c r="Y3" s="237">
        <v>1330</v>
      </c>
      <c r="Z3" s="237">
        <f>Y3</f>
        <v>1330</v>
      </c>
      <c r="AA3" s="464">
        <v>19908</v>
      </c>
      <c r="AB3" s="465" t="s">
        <v>5733</v>
      </c>
      <c r="AR3" s="212" t="str">
        <f>AR$13</f>
        <v>HSK3</v>
      </c>
      <c r="AS3" s="212" t="str">
        <f>$AR3</f>
        <v>HSK3</v>
      </c>
      <c r="AT3" s="212" t="str">
        <f>$AR3</f>
        <v>HSK3</v>
      </c>
      <c r="AU3" s="212" t="str">
        <f t="shared" ref="AU3:BG3" si="0">$AR3</f>
        <v>HSK3</v>
      </c>
      <c r="AV3" s="212" t="str">
        <f t="shared" si="0"/>
        <v>HSK3</v>
      </c>
      <c r="AW3" s="212" t="str">
        <f t="shared" si="0"/>
        <v>HSK3</v>
      </c>
      <c r="AX3" s="212" t="str">
        <f t="shared" si="0"/>
        <v>HSK3</v>
      </c>
      <c r="AY3" s="212" t="str">
        <f t="shared" si="0"/>
        <v>HSK3</v>
      </c>
      <c r="AZ3" s="212" t="str">
        <f t="shared" si="0"/>
        <v>HSK3</v>
      </c>
      <c r="BA3" s="212" t="str">
        <f t="shared" si="0"/>
        <v>HSK3</v>
      </c>
      <c r="BB3" s="212" t="str">
        <f t="shared" si="0"/>
        <v>HSK3</v>
      </c>
      <c r="BC3" s="212" t="str">
        <f t="shared" si="0"/>
        <v>HSK3</v>
      </c>
      <c r="BD3" s="212" t="str">
        <f t="shared" si="0"/>
        <v>HSK3</v>
      </c>
      <c r="BE3" s="212" t="str">
        <f t="shared" si="0"/>
        <v>HSK3</v>
      </c>
      <c r="BF3" s="212" t="str">
        <f t="shared" si="0"/>
        <v>HSK3</v>
      </c>
      <c r="BG3" s="212" t="str">
        <f t="shared" si="0"/>
        <v>HSK3</v>
      </c>
    </row>
    <row r="4" spans="1:59">
      <c r="A4" s="3" t="s">
        <v>5734</v>
      </c>
      <c r="B4" s="5" t="s">
        <v>5312</v>
      </c>
      <c r="I4" s="213"/>
      <c r="J4" s="212"/>
      <c r="K4" s="212"/>
      <c r="Q4" s="214"/>
      <c r="S4" s="212"/>
      <c r="U4" s="232"/>
      <c r="V4" s="232"/>
      <c r="AA4" s="212" t="s">
        <v>54</v>
      </c>
      <c r="AB4" s="210" t="s">
        <v>5306</v>
      </c>
      <c r="AC4" s="212"/>
      <c r="AJ4" s="212" t="str">
        <f>AJ$13</f>
        <v>DT4</v>
      </c>
      <c r="AK4" s="212" t="str">
        <f>$AJ4</f>
        <v>DT4</v>
      </c>
      <c r="AL4" s="212" t="str">
        <f t="shared" ref="AL4:AQ4" si="1">$AJ4</f>
        <v>DT4</v>
      </c>
      <c r="AM4" s="212" t="str">
        <f t="shared" si="1"/>
        <v>DT4</v>
      </c>
      <c r="AN4" s="212" t="str">
        <f t="shared" si="1"/>
        <v>DT4</v>
      </c>
      <c r="AO4" s="212" t="str">
        <f t="shared" si="1"/>
        <v>DT4</v>
      </c>
      <c r="AP4" s="212" t="str">
        <f t="shared" si="1"/>
        <v>DT4</v>
      </c>
      <c r="AQ4" s="212" t="str">
        <f t="shared" si="1"/>
        <v>DT4</v>
      </c>
      <c r="AS4" s="212"/>
      <c r="AZ4" s="212" t="str">
        <f t="shared" ref="AZ4:BG4" si="2">$AJ4</f>
        <v>DT4</v>
      </c>
      <c r="BA4" s="212" t="str">
        <f t="shared" si="2"/>
        <v>DT4</v>
      </c>
      <c r="BB4" s="212" t="str">
        <f t="shared" si="2"/>
        <v>DT4</v>
      </c>
      <c r="BC4" s="212" t="str">
        <f t="shared" si="2"/>
        <v>DT4</v>
      </c>
      <c r="BD4" s="212" t="str">
        <f t="shared" si="2"/>
        <v>DT4</v>
      </c>
      <c r="BE4" s="212" t="str">
        <f t="shared" si="2"/>
        <v>DT4</v>
      </c>
      <c r="BF4" s="212" t="str">
        <f t="shared" si="2"/>
        <v>DT4</v>
      </c>
      <c r="BG4" s="212" t="str">
        <f t="shared" si="2"/>
        <v>DT4</v>
      </c>
    </row>
    <row r="5" spans="1:59">
      <c r="A5" s="3" t="s">
        <v>5363</v>
      </c>
      <c r="B5" s="5" t="s">
        <v>5313</v>
      </c>
      <c r="G5" s="212"/>
      <c r="H5" s="213"/>
      <c r="I5" s="213"/>
      <c r="J5" s="212"/>
      <c r="K5" s="212"/>
      <c r="Q5" s="214"/>
      <c r="S5" s="212"/>
      <c r="U5" s="232"/>
      <c r="V5" s="232"/>
      <c r="AA5" s="212" t="s">
        <v>53</v>
      </c>
      <c r="AB5" s="210" t="s">
        <v>5306</v>
      </c>
      <c r="AC5" s="212"/>
      <c r="AF5" s="212" t="str">
        <f>AF$13</f>
        <v>DT3</v>
      </c>
      <c r="AG5" s="212" t="str">
        <f>$AF5</f>
        <v>DT3</v>
      </c>
      <c r="AH5" s="212" t="str">
        <f t="shared" ref="AH5:AI5" si="3">$AF5</f>
        <v>DT3</v>
      </c>
      <c r="AI5" s="212" t="str">
        <f t="shared" si="3"/>
        <v>DT3</v>
      </c>
      <c r="AK5" s="212"/>
      <c r="AN5" s="212" t="str">
        <f t="shared" ref="AN5:AQ5" si="4">$AF5</f>
        <v>DT3</v>
      </c>
      <c r="AO5" s="212" t="str">
        <f t="shared" si="4"/>
        <v>DT3</v>
      </c>
      <c r="AP5" s="212" t="str">
        <f t="shared" si="4"/>
        <v>DT3</v>
      </c>
      <c r="AQ5" s="212" t="str">
        <f t="shared" si="4"/>
        <v>DT3</v>
      </c>
      <c r="AS5" s="212"/>
      <c r="AV5" s="212" t="str">
        <f t="shared" ref="AV5:AY5" si="5">$AF5</f>
        <v>DT3</v>
      </c>
      <c r="AW5" s="212" t="str">
        <f t="shared" si="5"/>
        <v>DT3</v>
      </c>
      <c r="AX5" s="212" t="str">
        <f t="shared" si="5"/>
        <v>DT3</v>
      </c>
      <c r="AY5" s="212" t="str">
        <f t="shared" si="5"/>
        <v>DT3</v>
      </c>
      <c r="BA5" s="212"/>
      <c r="BD5" s="212" t="str">
        <f t="shared" ref="BD5:BF5" si="6">$AF5</f>
        <v>DT3</v>
      </c>
      <c r="BE5" s="212" t="str">
        <f t="shared" si="6"/>
        <v>DT3</v>
      </c>
      <c r="BF5" s="212" t="str">
        <f t="shared" si="6"/>
        <v>DT3</v>
      </c>
      <c r="BG5" s="212" t="str">
        <f t="shared" ref="BG5" si="7">$AF5</f>
        <v>DT3</v>
      </c>
    </row>
    <row r="6" spans="1:59">
      <c r="A6" s="214"/>
      <c r="G6" s="212"/>
      <c r="H6" s="213"/>
      <c r="I6" s="213"/>
      <c r="J6" s="212"/>
      <c r="K6" s="212"/>
      <c r="Q6" s="214"/>
      <c r="S6" s="212"/>
      <c r="U6" s="232"/>
      <c r="V6" s="232"/>
      <c r="AA6" s="212" t="s">
        <v>50</v>
      </c>
      <c r="AB6" s="210" t="s">
        <v>5306</v>
      </c>
      <c r="AC6" s="212"/>
      <c r="AD6" s="212" t="str">
        <f>AD$13</f>
        <v>DT2</v>
      </c>
      <c r="AE6" s="212" t="str">
        <f>$AD6</f>
        <v>DT2</v>
      </c>
      <c r="AG6" s="212"/>
      <c r="AH6" s="212" t="str">
        <f t="shared" ref="AH6:AI6" si="8">$AD6</f>
        <v>DT2</v>
      </c>
      <c r="AI6" s="212" t="str">
        <f t="shared" si="8"/>
        <v>DT2</v>
      </c>
      <c r="AK6" s="212"/>
      <c r="AL6" s="212" t="str">
        <f>$AD6</f>
        <v>DT2</v>
      </c>
      <c r="AM6" s="212" t="str">
        <f>$AA6</f>
        <v>DT2</v>
      </c>
      <c r="AO6" s="212"/>
      <c r="AP6" s="212" t="str">
        <f t="shared" ref="AP6:AQ6" si="9">$AD6</f>
        <v>DT2</v>
      </c>
      <c r="AQ6" s="212" t="str">
        <f t="shared" si="9"/>
        <v>DT2</v>
      </c>
      <c r="AS6" s="212"/>
      <c r="AT6" s="212" t="str">
        <f>$AD6</f>
        <v>DT2</v>
      </c>
      <c r="AU6" s="212" t="str">
        <f>$AA6</f>
        <v>DT2</v>
      </c>
      <c r="AW6" s="212"/>
      <c r="AX6" s="212" t="str">
        <f t="shared" ref="AX6:AY6" si="10">$AD6</f>
        <v>DT2</v>
      </c>
      <c r="AY6" s="212" t="str">
        <f t="shared" si="10"/>
        <v>DT2</v>
      </c>
      <c r="BA6" s="212"/>
      <c r="BB6" s="212" t="str">
        <f t="shared" ref="BB6:BC6" si="11">$AD6</f>
        <v>DT2</v>
      </c>
      <c r="BC6" s="212" t="str">
        <f t="shared" si="11"/>
        <v>DT2</v>
      </c>
      <c r="BE6" s="212"/>
      <c r="BF6" s="212" t="str">
        <f t="shared" ref="BF6:BG6" si="12">$AD6</f>
        <v>DT2</v>
      </c>
      <c r="BG6" s="212" t="str">
        <f t="shared" si="12"/>
        <v>DT2</v>
      </c>
    </row>
    <row r="7" spans="1:59">
      <c r="A7" s="249"/>
      <c r="B7" s="245"/>
      <c r="G7" s="212"/>
      <c r="H7" s="213"/>
      <c r="I7" s="213"/>
      <c r="J7" s="212"/>
      <c r="K7" s="212"/>
      <c r="Q7" s="214"/>
      <c r="S7" s="212"/>
      <c r="U7" s="232"/>
      <c r="V7" s="232"/>
      <c r="AA7" s="212" t="s">
        <v>49</v>
      </c>
      <c r="AB7" s="210" t="s">
        <v>5306</v>
      </c>
      <c r="AC7" s="212" t="str">
        <f>AC$13</f>
        <v>DT1</v>
      </c>
      <c r="AE7" s="212" t="str">
        <f>$AC7</f>
        <v>DT1</v>
      </c>
      <c r="AG7" s="212" t="str">
        <f>$AC7</f>
        <v>DT1</v>
      </c>
      <c r="AI7" s="212" t="str">
        <f>$AC7</f>
        <v>DT1</v>
      </c>
      <c r="AK7" s="212" t="str">
        <f>$AC7</f>
        <v>DT1</v>
      </c>
      <c r="AM7" s="212" t="str">
        <f>$AC7</f>
        <v>DT1</v>
      </c>
      <c r="AO7" s="212" t="str">
        <f>$AC7</f>
        <v>DT1</v>
      </c>
      <c r="AQ7" s="212" t="str">
        <f>$AC7</f>
        <v>DT1</v>
      </c>
      <c r="AS7" s="212" t="str">
        <f>$AC7</f>
        <v>DT1</v>
      </c>
      <c r="AU7" s="212" t="str">
        <f>$AC7</f>
        <v>DT1</v>
      </c>
      <c r="AW7" s="212" t="str">
        <f>$AC7</f>
        <v>DT1</v>
      </c>
      <c r="AY7" s="212" t="str">
        <f>$AC7</f>
        <v>DT1</v>
      </c>
      <c r="BA7" s="212" t="str">
        <f>$AC7</f>
        <v>DT1</v>
      </c>
      <c r="BC7" s="212" t="str">
        <f>$AC7</f>
        <v>DT1</v>
      </c>
      <c r="BE7" s="212" t="str">
        <f>$AC7</f>
        <v>DT1</v>
      </c>
      <c r="BG7" s="212" t="str">
        <f>$AC7</f>
        <v>DT1</v>
      </c>
    </row>
    <row r="8" spans="1:59">
      <c r="A8" s="246"/>
      <c r="G8" s="212"/>
      <c r="H8" s="213"/>
      <c r="I8" s="213"/>
      <c r="J8" s="212"/>
      <c r="K8" s="212"/>
      <c r="Q8" s="214"/>
      <c r="S8" s="212"/>
      <c r="U8" s="232"/>
      <c r="V8" s="232"/>
      <c r="AA8" s="212" t="s">
        <v>5307</v>
      </c>
      <c r="AB8" s="210" t="s">
        <v>5306</v>
      </c>
      <c r="AC8" s="209">
        <f t="shared" ref="AC8:BG8" si="13">IF(AC7="",0,1)+IF(AC6="",0,2)+IF(AC5="",0,4)+IF(AC4="",0,8)+IF(AC3="",0,16)</f>
        <v>1</v>
      </c>
      <c r="AD8" s="209">
        <f t="shared" si="13"/>
        <v>2</v>
      </c>
      <c r="AE8" s="209">
        <f t="shared" si="13"/>
        <v>3</v>
      </c>
      <c r="AF8" s="209">
        <f t="shared" si="13"/>
        <v>4</v>
      </c>
      <c r="AG8" s="209">
        <f t="shared" si="13"/>
        <v>5</v>
      </c>
      <c r="AH8" s="209">
        <f t="shared" si="13"/>
        <v>6</v>
      </c>
      <c r="AI8" s="209">
        <f t="shared" si="13"/>
        <v>7</v>
      </c>
      <c r="AJ8" s="209">
        <f t="shared" si="13"/>
        <v>8</v>
      </c>
      <c r="AK8" s="209">
        <f t="shared" si="13"/>
        <v>9</v>
      </c>
      <c r="AL8" s="209">
        <f t="shared" si="13"/>
        <v>10</v>
      </c>
      <c r="AM8" s="209">
        <f t="shared" si="13"/>
        <v>11</v>
      </c>
      <c r="AN8" s="209">
        <f t="shared" si="13"/>
        <v>12</v>
      </c>
      <c r="AO8" s="209">
        <f t="shared" si="13"/>
        <v>13</v>
      </c>
      <c r="AP8" s="209">
        <f t="shared" si="13"/>
        <v>14</v>
      </c>
      <c r="AQ8" s="209">
        <f t="shared" si="13"/>
        <v>15</v>
      </c>
      <c r="AR8" s="209">
        <f t="shared" si="13"/>
        <v>16</v>
      </c>
      <c r="AS8" s="209">
        <f t="shared" si="13"/>
        <v>17</v>
      </c>
      <c r="AT8" s="209">
        <f t="shared" si="13"/>
        <v>18</v>
      </c>
      <c r="AU8" s="209">
        <f t="shared" si="13"/>
        <v>19</v>
      </c>
      <c r="AV8" s="209">
        <f t="shared" si="13"/>
        <v>20</v>
      </c>
      <c r="AW8" s="209">
        <f t="shared" si="13"/>
        <v>21</v>
      </c>
      <c r="AX8" s="209">
        <f t="shared" si="13"/>
        <v>22</v>
      </c>
      <c r="AY8" s="209">
        <f t="shared" si="13"/>
        <v>23</v>
      </c>
      <c r="AZ8" s="209">
        <f t="shared" si="13"/>
        <v>24</v>
      </c>
      <c r="BA8" s="209">
        <f t="shared" si="13"/>
        <v>25</v>
      </c>
      <c r="BB8" s="209">
        <f t="shared" si="13"/>
        <v>26</v>
      </c>
      <c r="BC8" s="209">
        <f t="shared" si="13"/>
        <v>27</v>
      </c>
      <c r="BD8" s="209">
        <f t="shared" si="13"/>
        <v>28</v>
      </c>
      <c r="BE8" s="209">
        <f t="shared" si="13"/>
        <v>29</v>
      </c>
      <c r="BF8" s="209">
        <f t="shared" si="13"/>
        <v>30</v>
      </c>
      <c r="BG8" s="209">
        <f t="shared" si="13"/>
        <v>31</v>
      </c>
    </row>
    <row r="9" spans="1:59">
      <c r="A9" s="214"/>
      <c r="G9" s="212"/>
      <c r="H9" s="213"/>
      <c r="I9" s="213"/>
      <c r="J9" s="212"/>
      <c r="K9" s="212"/>
      <c r="Q9" s="214"/>
      <c r="S9" s="212"/>
      <c r="U9" s="232"/>
      <c r="V9" s="232"/>
    </row>
    <row r="10" spans="1:59">
      <c r="A10" s="214"/>
      <c r="G10" s="212"/>
      <c r="H10" s="213"/>
      <c r="I10" s="213"/>
      <c r="J10" s="212"/>
      <c r="K10" s="212"/>
      <c r="Q10" s="214"/>
      <c r="S10" s="212"/>
      <c r="U10" s="232"/>
      <c r="V10" s="232"/>
    </row>
    <row r="11" spans="1:59">
      <c r="A11" s="214"/>
      <c r="G11" s="212"/>
      <c r="H11" s="213"/>
      <c r="I11" s="213"/>
      <c r="J11" s="212"/>
      <c r="K11" s="212"/>
      <c r="Q11" s="214"/>
      <c r="S11" s="212"/>
      <c r="U11" s="231" t="s">
        <v>5290</v>
      </c>
      <c r="V11" s="231" t="s">
        <v>5291</v>
      </c>
      <c r="W11" s="214" t="s">
        <v>5292</v>
      </c>
      <c r="X11" s="214" t="s">
        <v>5293</v>
      </c>
      <c r="Y11" s="214"/>
      <c r="Z11" s="214" t="s">
        <v>5294</v>
      </c>
      <c r="AA11" s="214" t="s">
        <v>5295</v>
      </c>
    </row>
    <row r="12" spans="1:59">
      <c r="A12" s="214"/>
      <c r="G12" s="212"/>
      <c r="H12" s="213"/>
      <c r="I12" s="213"/>
      <c r="J12" s="212"/>
      <c r="K12" s="212"/>
      <c r="M12" s="241" t="s">
        <v>5353</v>
      </c>
      <c r="N12" s="241" t="s">
        <v>5353</v>
      </c>
      <c r="O12" s="241" t="s">
        <v>5353</v>
      </c>
      <c r="P12" s="241" t="s">
        <v>5353</v>
      </c>
      <c r="Q12" s="214"/>
      <c r="R12" s="250" t="s">
        <v>5354</v>
      </c>
      <c r="S12" s="214" t="s">
        <v>5289</v>
      </c>
      <c r="U12" s="228" t="s">
        <v>5288</v>
      </c>
      <c r="V12" s="228" t="s">
        <v>5288</v>
      </c>
      <c r="W12" s="228" t="s">
        <v>5288</v>
      </c>
      <c r="X12" s="228" t="s">
        <v>5288</v>
      </c>
      <c r="Y12" s="229" t="s">
        <v>5287</v>
      </c>
      <c r="Z12" s="228" t="s">
        <v>5288</v>
      </c>
      <c r="AA12" s="228" t="s">
        <v>5288</v>
      </c>
      <c r="AC12" s="227" t="str">
        <f t="shared" ref="AC12:BG12" si="14">IF(OR(AC$8=1,AC$8=2,AC$8=4,AC$8=8,AC$8=16),"Single","")</f>
        <v>Single</v>
      </c>
      <c r="AD12" s="226" t="str">
        <f t="shared" si="14"/>
        <v>Single</v>
      </c>
      <c r="AE12" s="226" t="str">
        <f t="shared" si="14"/>
        <v/>
      </c>
      <c r="AF12" s="226" t="str">
        <f t="shared" si="14"/>
        <v>Single</v>
      </c>
      <c r="AG12" s="226" t="str">
        <f t="shared" si="14"/>
        <v/>
      </c>
      <c r="AH12" s="226" t="str">
        <f t="shared" si="14"/>
        <v/>
      </c>
      <c r="AI12" s="226" t="str">
        <f t="shared" si="14"/>
        <v/>
      </c>
      <c r="AJ12" s="226" t="str">
        <f t="shared" si="14"/>
        <v>Single</v>
      </c>
      <c r="AK12" s="226" t="str">
        <f t="shared" si="14"/>
        <v/>
      </c>
      <c r="AL12" s="226" t="str">
        <f t="shared" si="14"/>
        <v/>
      </c>
      <c r="AM12" s="226" t="str">
        <f t="shared" si="14"/>
        <v/>
      </c>
      <c r="AN12" s="226" t="str">
        <f t="shared" si="14"/>
        <v/>
      </c>
      <c r="AO12" s="226" t="str">
        <f t="shared" si="14"/>
        <v/>
      </c>
      <c r="AP12" s="226" t="str">
        <f t="shared" si="14"/>
        <v/>
      </c>
      <c r="AQ12" s="226" t="str">
        <f t="shared" si="14"/>
        <v/>
      </c>
      <c r="AR12" s="226" t="str">
        <f t="shared" si="14"/>
        <v>Single</v>
      </c>
      <c r="AS12" s="226" t="str">
        <f t="shared" si="14"/>
        <v/>
      </c>
      <c r="AT12" s="226" t="str">
        <f t="shared" si="14"/>
        <v/>
      </c>
      <c r="AU12" s="226" t="str">
        <f t="shared" si="14"/>
        <v/>
      </c>
      <c r="AV12" s="226" t="str">
        <f t="shared" si="14"/>
        <v/>
      </c>
      <c r="AW12" s="226" t="str">
        <f t="shared" si="14"/>
        <v/>
      </c>
      <c r="AX12" s="226" t="str">
        <f t="shared" si="14"/>
        <v/>
      </c>
      <c r="AY12" s="226" t="str">
        <f t="shared" si="14"/>
        <v/>
      </c>
      <c r="AZ12" s="226" t="str">
        <f t="shared" si="14"/>
        <v/>
      </c>
      <c r="BA12" s="226" t="str">
        <f t="shared" si="14"/>
        <v/>
      </c>
      <c r="BB12" s="226" t="str">
        <f t="shared" si="14"/>
        <v/>
      </c>
      <c r="BC12" s="226" t="str">
        <f t="shared" si="14"/>
        <v/>
      </c>
      <c r="BD12" s="226" t="str">
        <f t="shared" si="14"/>
        <v/>
      </c>
      <c r="BE12" s="226" t="str">
        <f t="shared" si="14"/>
        <v/>
      </c>
      <c r="BF12" s="226" t="str">
        <f t="shared" si="14"/>
        <v/>
      </c>
      <c r="BG12" s="225" t="str">
        <f t="shared" si="14"/>
        <v/>
      </c>
    </row>
    <row r="13" spans="1:59" s="215" customFormat="1" ht="30">
      <c r="A13" s="212" t="s">
        <v>5348</v>
      </c>
      <c r="B13" s="230" t="s">
        <v>5282</v>
      </c>
      <c r="C13" s="209" t="s">
        <v>5283</v>
      </c>
      <c r="D13" s="209" t="s">
        <v>5286</v>
      </c>
      <c r="E13" s="211" t="s">
        <v>2</v>
      </c>
      <c r="F13" s="248" t="s">
        <v>5364</v>
      </c>
      <c r="G13" s="224" t="s">
        <v>5308</v>
      </c>
      <c r="H13" s="223" t="s">
        <v>5360</v>
      </c>
      <c r="I13" s="222" t="s">
        <v>5361</v>
      </c>
      <c r="J13" s="215" t="s">
        <v>5355</v>
      </c>
      <c r="K13" s="244" t="s">
        <v>5356</v>
      </c>
      <c r="L13" s="211" t="s">
        <v>3</v>
      </c>
      <c r="M13" s="215" t="s">
        <v>1</v>
      </c>
      <c r="N13" s="215" t="s">
        <v>61</v>
      </c>
      <c r="O13" s="215" t="s">
        <v>58</v>
      </c>
      <c r="P13" s="215" t="s">
        <v>5284</v>
      </c>
      <c r="Q13" s="215" t="s">
        <v>5305</v>
      </c>
      <c r="R13" s="215" t="s">
        <v>5302</v>
      </c>
      <c r="S13" s="215" t="s">
        <v>5303</v>
      </c>
      <c r="T13" s="211" t="s">
        <v>5347</v>
      </c>
      <c r="U13" s="221" t="s">
        <v>5301</v>
      </c>
      <c r="V13" s="221" t="s">
        <v>5296</v>
      </c>
      <c r="W13" s="219" t="s">
        <v>5297</v>
      </c>
      <c r="X13" s="219" t="s">
        <v>5298</v>
      </c>
      <c r="Y13" s="220" t="s">
        <v>5299</v>
      </c>
      <c r="Z13" s="219" t="s">
        <v>5346</v>
      </c>
      <c r="AA13" s="219" t="s">
        <v>5300</v>
      </c>
      <c r="AB13" s="210" t="s">
        <v>5345</v>
      </c>
      <c r="AC13" s="218" t="s">
        <v>49</v>
      </c>
      <c r="AD13" s="217" t="s">
        <v>50</v>
      </c>
      <c r="AE13" s="217" t="s">
        <v>5344</v>
      </c>
      <c r="AF13" s="217" t="s">
        <v>53</v>
      </c>
      <c r="AG13" s="217" t="s">
        <v>5343</v>
      </c>
      <c r="AH13" s="217" t="s">
        <v>5342</v>
      </c>
      <c r="AI13" s="217" t="s">
        <v>5341</v>
      </c>
      <c r="AJ13" s="217" t="s">
        <v>54</v>
      </c>
      <c r="AK13" s="217" t="s">
        <v>5340</v>
      </c>
      <c r="AL13" s="217" t="s">
        <v>5339</v>
      </c>
      <c r="AM13" s="217" t="s">
        <v>5338</v>
      </c>
      <c r="AN13" s="217" t="s">
        <v>5337</v>
      </c>
      <c r="AO13" s="217" t="s">
        <v>5336</v>
      </c>
      <c r="AP13" s="217" t="s">
        <v>5335</v>
      </c>
      <c r="AQ13" s="217" t="s">
        <v>5334</v>
      </c>
      <c r="AR13" s="217" t="s">
        <v>51</v>
      </c>
      <c r="AS13" s="217" t="s">
        <v>5333</v>
      </c>
      <c r="AT13" s="217" t="s">
        <v>5332</v>
      </c>
      <c r="AU13" s="217" t="s">
        <v>5331</v>
      </c>
      <c r="AV13" s="217" t="s">
        <v>5330</v>
      </c>
      <c r="AW13" s="217" t="s">
        <v>5329</v>
      </c>
      <c r="AX13" s="217" t="s">
        <v>5328</v>
      </c>
      <c r="AY13" s="217" t="s">
        <v>5327</v>
      </c>
      <c r="AZ13" s="217" t="s">
        <v>5326</v>
      </c>
      <c r="BA13" s="217" t="s">
        <v>5325</v>
      </c>
      <c r="BB13" s="217" t="s">
        <v>5324</v>
      </c>
      <c r="BC13" s="217" t="s">
        <v>5323</v>
      </c>
      <c r="BD13" s="217" t="s">
        <v>5322</v>
      </c>
      <c r="BE13" s="217" t="s">
        <v>5321</v>
      </c>
      <c r="BF13" s="217" t="s">
        <v>5320</v>
      </c>
      <c r="BG13" s="216" t="s">
        <v>5319</v>
      </c>
    </row>
    <row r="14" spans="1:59">
      <c r="A14" s="212" t="s">
        <v>5314</v>
      </c>
      <c r="B14" s="230">
        <v>457660318</v>
      </c>
      <c r="C14" s="209" t="s">
        <v>433</v>
      </c>
      <c r="F14" s="238" t="str" cm="1">
        <f t="array" aca="1" ref="F14" ca="1">MID(met2utc(PEPSSI_Commanding[[#This Row],[MET]]),3,15)</f>
        <v>20-203/18:00:00</v>
      </c>
      <c r="G14" s="212" t="str">
        <f t="shared" ref="G14:G45" si="15">_xlfn.TEXTJOIN("+",TRUE,$C14:$D14)</f>
        <v>ON</v>
      </c>
      <c r="H14" s="213">
        <f t="shared" ref="H14:H45" si="16">IF($C14="ON",$B14,IF(RIGHT($H13,9)="MET Start","",IF(AND($K14&lt;&gt;0,$K13=1),$B14,$H13)))</f>
        <v>457660318</v>
      </c>
      <c r="I14" s="213">
        <f t="shared" ref="I14:I45" si="17">IF($C14="OFF",$B14,IF($B15="",$B14+31500000,IF($K14=1,$B15,I15)))</f>
        <v>457662167</v>
      </c>
      <c r="J14" s="212">
        <f t="shared" ref="J14:J45" si="18">IF($G14="ON",0,IF(OR(J13="",LEFT(J13,6)="Offset"),"",J13+1))</f>
        <v>0</v>
      </c>
      <c r="K14" s="212">
        <f t="shared" ref="K14:K45" si="19">IF($G14="OFF",0,IF(AND($J15&lt;&gt;0,$J14&lt;&gt;9,$G15&lt;&gt;"MAC+111",($B15-$B14)&lt;7200),K15+1,1))</f>
        <v>10</v>
      </c>
      <c r="M14" s="209" t="str">
        <f t="shared" ref="M14:M45" si="20">IF($C14="ON","",IF($C14="N1",$D14,IF(M13="N1","",M13)))</f>
        <v/>
      </c>
      <c r="N14" s="209" t="str">
        <f t="shared" ref="N14:N45" si="21">IF($C14="ON","",IF($C14="N2",$D14,IF($G14="MAC+103",3,IF($G14="MAC+104",2,IF(N13="N2","",N13)))))</f>
        <v/>
      </c>
      <c r="O14" s="209" t="str">
        <f t="shared" ref="O14:O45" si="22">IF($C14="ON","",IF($C14="N3",$D14,IF(O13="N3","",O13)))</f>
        <v/>
      </c>
      <c r="P14" s="209" t="str">
        <f t="shared" ref="P14:P45" si="23">IF($C14="ON","",IF($C14="STAT",$D14,IF(P13="STAT","",P13)))</f>
        <v/>
      </c>
      <c r="Q14" s="209" t="str">
        <f t="shared" ref="Q14:Q45" si="24">IF(OR($C14="ON",$G14="MAC+101",AND($C14="MAC",105&lt;=$D14,$D14&lt;=110)),"",IF(OR($G14="MAC+103",$G14="MAC+104",$G14="MAC+111"),"disabled",IF(Q13="N2 disabled","",Q13)))</f>
        <v/>
      </c>
      <c r="R14" s="209" t="str">
        <f t="shared" ref="R14:R45" si="25">IF(OR($G14="ON",$G14="MAC+111"),"",IF($G14="MAC+105",300,IF(OR($G14="MAC+106",$G14="MAC+101"),600,IF($G14="MAC+107",840,IF($G14="MAC+108",1200,IF($G14="MAC+109",1800,IF($G14="MAC+110",43200,IF(LEFT(R13,4)="105-","",R13))))))))</f>
        <v/>
      </c>
      <c r="S14" s="209" t="str">
        <f t="shared" ref="S14:S45" si="26">IF($C14="ON","",IF($G14="MAC+102","102",IF(RIGHT(S13,1)="?","",S13)))</f>
        <v/>
      </c>
      <c r="U14" s="466">
        <f t="shared" ref="U14:U45" si="27">IF(OR($N14="",$R14=""),0,U$1/64/$N14)</f>
        <v>0</v>
      </c>
      <c r="V14" s="466">
        <f t="shared" ref="V14:V45" si="28">IF(OR($N14="",$R14=""),0,V$1/64/$N14)</f>
        <v>0</v>
      </c>
      <c r="W14" s="466">
        <f t="shared" ref="W14:W45" si="29">IF($P14="",0,W$1/$P14)</f>
        <v>0</v>
      </c>
      <c r="X14" s="466">
        <f t="shared" ref="X14:X45" si="30">IF($M14="",0,X$1/$M14)</f>
        <v>0</v>
      </c>
      <c r="Y14" s="466">
        <f t="shared" ref="Y14:Y45" si="31">IF(OR($N14="",$Q14&lt;&gt;""),0,Y$1/$N14)</f>
        <v>0</v>
      </c>
      <c r="Z14" s="466">
        <f t="shared" ref="Z14:Z45" si="32">IF($N14="",0,IF($R14="",1,R14/43200)*Y14)</f>
        <v>0</v>
      </c>
      <c r="AA14" s="466">
        <f t="shared" ref="AA14:AA45" si="33">IF($O14="",0,AA$1/$O14)</f>
        <v>0</v>
      </c>
      <c r="AB14" s="242"/>
      <c r="AC14" s="466">
        <f t="shared" ref="AC14:AC45" si="34">IF(AC$3&lt;&gt;"",$W14,0)+IF(AC$4&lt;&gt;"",$U14,0)+IF(AC$5&lt;&gt;"",$Z14+IF($S14&lt;&gt;"102",$V14,0),0)+IF(AC$6&lt;&gt;"",$AA14+IF($S14="102",$V14,0),0)+IF(AC$7&lt;&gt;"",$X14,0)</f>
        <v>0</v>
      </c>
      <c r="AD14" s="466">
        <f t="shared" ref="AD14:AD45" si="35">IF(AD$3&lt;&gt;"",$W14,0)+IF(AD$4&lt;&gt;"",$U14,0)+IF(AD$5&lt;&gt;"",$Z14+IF($S14&lt;&gt;"102",$V14,0),0)+IF(AD$6&lt;&gt;"",$AA14+IF($S14="102",$V14,0),0)+IF(AD$7&lt;&gt;"",$X14,0)</f>
        <v>0</v>
      </c>
      <c r="AE14" s="466">
        <f t="shared" ref="AE14:AE45" si="36">IF(AE$3&lt;&gt;"",$W14,0)+IF(AE$4&lt;&gt;"",$U14,0)+IF(AE$5&lt;&gt;"",$Z14+IF($S14&lt;&gt;"102",$V14,0),0)+IF(AE$6&lt;&gt;"",$AA14+IF($S14="102",$V14,0),0)+IF(AE$7&lt;&gt;"",$X14,0)</f>
        <v>0</v>
      </c>
      <c r="AF14" s="466">
        <f t="shared" ref="AF14:AF45" si="37">IF(AF$3&lt;&gt;"",$W14,0)+IF(AF$4&lt;&gt;"",$U14,0)+IF(AF$5&lt;&gt;"",$Z14+IF($S14&lt;&gt;"102",$V14,0),0)+IF(AF$6&lt;&gt;"",$AA14+IF($S14="102",$V14,0),0)+IF(AF$7&lt;&gt;"",$X14,0)</f>
        <v>0</v>
      </c>
      <c r="AG14" s="466">
        <f t="shared" ref="AG14:AG45" si="38">IF(AG$3&lt;&gt;"",$W14,0)+IF(AG$4&lt;&gt;"",$U14,0)+IF(AG$5&lt;&gt;"",$Z14+IF($S14&lt;&gt;"102",$V14,0),0)+IF(AG$6&lt;&gt;"",$AA14+IF($S14="102",$V14,0),0)+IF(AG$7&lt;&gt;"",$X14,0)</f>
        <v>0</v>
      </c>
      <c r="AH14" s="466">
        <f t="shared" ref="AH14:AH45" si="39">IF(AH$3&lt;&gt;"",$W14,0)+IF(AH$4&lt;&gt;"",$U14,0)+IF(AH$5&lt;&gt;"",$Z14+IF($S14&lt;&gt;"102",$V14,0),0)+IF(AH$6&lt;&gt;"",$AA14+IF($S14="102",$V14,0),0)+IF(AH$7&lt;&gt;"",$X14,0)</f>
        <v>0</v>
      </c>
      <c r="AI14" s="466">
        <f t="shared" ref="AI14:AI45" si="40">IF(AI$3&lt;&gt;"",$W14,0)+IF(AI$4&lt;&gt;"",$U14,0)+IF(AI$5&lt;&gt;"",$Z14+IF($S14&lt;&gt;"102",$V14,0),0)+IF(AI$6&lt;&gt;"",$AA14+IF($S14="102",$V14,0),0)+IF(AI$7&lt;&gt;"",$X14,0)</f>
        <v>0</v>
      </c>
      <c r="AJ14" s="466">
        <f t="shared" ref="AJ14:AJ45" si="41">IF(AJ$3&lt;&gt;"",$W14,0)+IF(AJ$4&lt;&gt;"",$U14,0)+IF(AJ$5&lt;&gt;"",$Z14+IF($S14&lt;&gt;"102",$V14,0),0)+IF(AJ$6&lt;&gt;"",$AA14+IF($S14="102",$V14,0),0)+IF(AJ$7&lt;&gt;"",$X14,0)</f>
        <v>0</v>
      </c>
      <c r="AK14" s="466">
        <f t="shared" ref="AK14:AK45" si="42">IF(AK$3&lt;&gt;"",$W14,0)+IF(AK$4&lt;&gt;"",$U14,0)+IF(AK$5&lt;&gt;"",$Z14+IF($S14&lt;&gt;"102",$V14,0),0)+IF(AK$6&lt;&gt;"",$AA14+IF($S14="102",$V14,0),0)+IF(AK$7&lt;&gt;"",$X14,0)</f>
        <v>0</v>
      </c>
      <c r="AL14" s="466">
        <f t="shared" ref="AL14:AL45" si="43">IF(AL$3&lt;&gt;"",$W14,0)+IF(AL$4&lt;&gt;"",$U14,0)+IF(AL$5&lt;&gt;"",$Z14+IF($S14&lt;&gt;"102",$V14,0),0)+IF(AL$6&lt;&gt;"",$AA14+IF($S14="102",$V14,0),0)+IF(AL$7&lt;&gt;"",$X14,0)</f>
        <v>0</v>
      </c>
      <c r="AM14" s="466">
        <f t="shared" ref="AM14:AM45" si="44">IF(AM$3&lt;&gt;"",$W14,0)+IF(AM$4&lt;&gt;"",$U14,0)+IF(AM$5&lt;&gt;"",$Z14+IF($S14&lt;&gt;"102",$V14,0),0)+IF(AM$6&lt;&gt;"",$AA14+IF($S14="102",$V14,0),0)+IF(AM$7&lt;&gt;"",$X14,0)</f>
        <v>0</v>
      </c>
      <c r="AN14" s="466">
        <f t="shared" ref="AN14:AN45" si="45">IF(AN$3&lt;&gt;"",$W14,0)+IF(AN$4&lt;&gt;"",$U14,0)+IF(AN$5&lt;&gt;"",$Z14+IF($S14&lt;&gt;"102",$V14,0),0)+IF(AN$6&lt;&gt;"",$AA14+IF($S14="102",$V14,0),0)+IF(AN$7&lt;&gt;"",$X14,0)</f>
        <v>0</v>
      </c>
      <c r="AO14" s="466">
        <f t="shared" ref="AO14:AO45" si="46">IF(AO$3&lt;&gt;"",$W14,0)+IF(AO$4&lt;&gt;"",$U14,0)+IF(AO$5&lt;&gt;"",$Z14+IF($S14&lt;&gt;"102",$V14,0),0)+IF(AO$6&lt;&gt;"",$AA14+IF($S14="102",$V14,0),0)+IF(AO$7&lt;&gt;"",$X14,0)</f>
        <v>0</v>
      </c>
      <c r="AP14" s="466">
        <f t="shared" ref="AP14:AP45" si="47">IF(AP$3&lt;&gt;"",$W14,0)+IF(AP$4&lt;&gt;"",$U14,0)+IF(AP$5&lt;&gt;"",$Z14+IF($S14&lt;&gt;"102",$V14,0),0)+IF(AP$6&lt;&gt;"",$AA14+IF($S14="102",$V14,0),0)+IF(AP$7&lt;&gt;"",$X14,0)</f>
        <v>0</v>
      </c>
      <c r="AQ14" s="466">
        <f t="shared" ref="AQ14:AQ45" si="48">IF(AQ$3&lt;&gt;"",$W14,0)+IF(AQ$4&lt;&gt;"",$U14,0)+IF(AQ$5&lt;&gt;"",$Z14+IF($S14&lt;&gt;"102",$V14,0),0)+IF(AQ$6&lt;&gt;"",$AA14+IF($S14="102",$V14,0),0)+IF(AQ$7&lt;&gt;"",$X14,0)</f>
        <v>0</v>
      </c>
      <c r="AR14" s="466">
        <f t="shared" ref="AR14:AR45" si="49">IF(AR$3&lt;&gt;"",$W14,0)+IF(AR$4&lt;&gt;"",$U14,0)+IF(AR$5&lt;&gt;"",$Z14+IF($S14&lt;&gt;"102",$V14,0),0)+IF(AR$6&lt;&gt;"",$AA14+IF($S14="102",$V14,0),0)+IF(AR$7&lt;&gt;"",$X14,0)</f>
        <v>0</v>
      </c>
      <c r="AS14" s="466">
        <f t="shared" ref="AS14:AS45" si="50">IF(AS$3&lt;&gt;"",$W14,0)+IF(AS$4&lt;&gt;"",$U14,0)+IF(AS$5&lt;&gt;"",$Z14+IF($S14&lt;&gt;"102",$V14,0),0)+IF(AS$6&lt;&gt;"",$AA14+IF($S14="102",$V14,0),0)+IF(AS$7&lt;&gt;"",$X14,0)</f>
        <v>0</v>
      </c>
      <c r="AT14" s="466">
        <f t="shared" ref="AT14:AT45" si="51">IF(AT$3&lt;&gt;"",$W14,0)+IF(AT$4&lt;&gt;"",$U14,0)+IF(AT$5&lt;&gt;"",$Z14+IF($S14&lt;&gt;"102",$V14,0),0)+IF(AT$6&lt;&gt;"",$AA14+IF($S14="102",$V14,0),0)+IF(AT$7&lt;&gt;"",$X14,0)</f>
        <v>0</v>
      </c>
      <c r="AU14" s="466">
        <f t="shared" ref="AU14:AU45" si="52">IF(AU$3&lt;&gt;"",$W14,0)+IF(AU$4&lt;&gt;"",$U14,0)+IF(AU$5&lt;&gt;"",$Z14+IF($S14&lt;&gt;"102",$V14,0),0)+IF(AU$6&lt;&gt;"",$AA14+IF($S14="102",$V14,0),0)+IF(AU$7&lt;&gt;"",$X14,0)</f>
        <v>0</v>
      </c>
      <c r="AV14" s="466">
        <f t="shared" ref="AV14:AV45" si="53">IF(AV$3&lt;&gt;"",$W14,0)+IF(AV$4&lt;&gt;"",$U14,0)+IF(AV$5&lt;&gt;"",$Z14+IF($S14&lt;&gt;"102",$V14,0),0)+IF(AV$6&lt;&gt;"",$AA14+IF($S14="102",$V14,0),0)+IF(AV$7&lt;&gt;"",$X14,0)</f>
        <v>0</v>
      </c>
      <c r="AW14" s="466">
        <f t="shared" ref="AW14:AW45" si="54">IF(AW$3&lt;&gt;"",$W14,0)+IF(AW$4&lt;&gt;"",$U14,0)+IF(AW$5&lt;&gt;"",$Z14+IF($S14&lt;&gt;"102",$V14,0),0)+IF(AW$6&lt;&gt;"",$AA14+IF($S14="102",$V14,0),0)+IF(AW$7&lt;&gt;"",$X14,0)</f>
        <v>0</v>
      </c>
      <c r="AX14" s="466">
        <f t="shared" ref="AX14:AX45" si="55">IF(AX$3&lt;&gt;"",$W14,0)+IF(AX$4&lt;&gt;"",$U14,0)+IF(AX$5&lt;&gt;"",$Z14+IF($S14&lt;&gt;"102",$V14,0),0)+IF(AX$6&lt;&gt;"",$AA14+IF($S14="102",$V14,0),0)+IF(AX$7&lt;&gt;"",$X14,0)</f>
        <v>0</v>
      </c>
      <c r="AY14" s="466">
        <f t="shared" ref="AY14:AY45" si="56">IF(AY$3&lt;&gt;"",$W14,0)+IF(AY$4&lt;&gt;"",$U14,0)+IF(AY$5&lt;&gt;"",$Z14+IF($S14&lt;&gt;"102",$V14,0),0)+IF(AY$6&lt;&gt;"",$AA14+IF($S14="102",$V14,0),0)+IF(AY$7&lt;&gt;"",$X14,0)</f>
        <v>0</v>
      </c>
      <c r="AZ14" s="466">
        <f t="shared" ref="AZ14:AZ45" si="57">IF(AZ$3&lt;&gt;"",$W14,0)+IF(AZ$4&lt;&gt;"",$U14,0)+IF(AZ$5&lt;&gt;"",$Z14+IF($S14&lt;&gt;"102",$V14,0),0)+IF(AZ$6&lt;&gt;"",$AA14+IF($S14="102",$V14,0),0)+IF(AZ$7&lt;&gt;"",$X14,0)</f>
        <v>0</v>
      </c>
      <c r="BA14" s="466">
        <f t="shared" ref="BA14:BA45" si="58">IF(BA$3&lt;&gt;"",$W14,0)+IF(BA$4&lt;&gt;"",$U14,0)+IF(BA$5&lt;&gt;"",$Z14+IF($S14&lt;&gt;"102",$V14,0),0)+IF(BA$6&lt;&gt;"",$AA14+IF($S14="102",$V14,0),0)+IF(BA$7&lt;&gt;"",$X14,0)</f>
        <v>0</v>
      </c>
      <c r="BB14" s="466">
        <f t="shared" ref="BB14:BB45" si="59">IF(BB$3&lt;&gt;"",$W14,0)+IF(BB$4&lt;&gt;"",$U14,0)+IF(BB$5&lt;&gt;"",$Z14+IF($S14&lt;&gt;"102",$V14,0),0)+IF(BB$6&lt;&gt;"",$AA14+IF($S14="102",$V14,0),0)+IF(BB$7&lt;&gt;"",$X14,0)</f>
        <v>0</v>
      </c>
      <c r="BC14" s="466">
        <f t="shared" ref="BC14:BC45" si="60">IF(BC$3&lt;&gt;"",$W14,0)+IF(BC$4&lt;&gt;"",$U14,0)+IF(BC$5&lt;&gt;"",$Z14+IF($S14&lt;&gt;"102",$V14,0),0)+IF(BC$6&lt;&gt;"",$AA14+IF($S14="102",$V14,0),0)+IF(BC$7&lt;&gt;"",$X14,0)</f>
        <v>0</v>
      </c>
      <c r="BD14" s="466">
        <f t="shared" ref="BD14:BD45" si="61">IF(BD$3&lt;&gt;"",$W14,0)+IF(BD$4&lt;&gt;"",$U14,0)+IF(BD$5&lt;&gt;"",$Z14+IF($S14&lt;&gt;"102",$V14,0),0)+IF(BD$6&lt;&gt;"",$AA14+IF($S14="102",$V14,0),0)+IF(BD$7&lt;&gt;"",$X14,0)</f>
        <v>0</v>
      </c>
      <c r="BE14" s="466">
        <f t="shared" ref="BE14:BE45" si="62">IF(BE$3&lt;&gt;"",$W14,0)+IF(BE$4&lt;&gt;"",$U14,0)+IF(BE$5&lt;&gt;"",$Z14+IF($S14&lt;&gt;"102",$V14,0),0)+IF(BE$6&lt;&gt;"",$AA14+IF($S14="102",$V14,0),0)+IF(BE$7&lt;&gt;"",$X14,0)</f>
        <v>0</v>
      </c>
      <c r="BF14" s="466">
        <f t="shared" ref="BF14:BF45" si="63">IF(BF$3&lt;&gt;"",$W14,0)+IF(BF$4&lt;&gt;"",$U14,0)+IF(BF$5&lt;&gt;"",$Z14+IF($S14&lt;&gt;"102",$V14,0),0)+IF(BF$6&lt;&gt;"",$AA14+IF($S14="102",$V14,0),0)+IF(BF$7&lt;&gt;"",$X14,0)</f>
        <v>0</v>
      </c>
      <c r="BG14" s="466">
        <f t="shared" ref="BG14:BG45" si="64">IF(BG$3&lt;&gt;"",$W14,0)+IF(BG$4&lt;&gt;"",$U14,0)+IF(BG$5&lt;&gt;"",$Z14+IF($S14&lt;&gt;"102",$V14,0),0)+IF(BG$6&lt;&gt;"",$AA14+IF($S14="102",$V14,0),0)+IF(BG$7&lt;&gt;"",$X14,0)</f>
        <v>0</v>
      </c>
    </row>
    <row r="15" spans="1:59">
      <c r="A15" s="212" t="s">
        <v>5315</v>
      </c>
      <c r="B15" s="230">
        <v>457660363</v>
      </c>
      <c r="C15" s="209" t="s">
        <v>5285</v>
      </c>
      <c r="D15" s="209">
        <v>10</v>
      </c>
      <c r="F15" s="238" t="str" cm="1">
        <f t="array" aca="1" ref="F15" ca="1">MID(met2utc(PEPSSI_Commanding[[#This Row],[MET]]),3,15)</f>
        <v>20-203/18:00:45</v>
      </c>
      <c r="G15" s="212" t="str">
        <f t="shared" si="15"/>
        <v>MAC+10</v>
      </c>
      <c r="H15" s="213">
        <f t="shared" si="16"/>
        <v>457660318</v>
      </c>
      <c r="I15" s="213">
        <f t="shared" si="17"/>
        <v>457662167</v>
      </c>
      <c r="J15" s="212">
        <f t="shared" si="18"/>
        <v>1</v>
      </c>
      <c r="K15" s="212">
        <f t="shared" si="19"/>
        <v>9</v>
      </c>
      <c r="M15" s="209" t="str">
        <f t="shared" si="20"/>
        <v/>
      </c>
      <c r="N15" s="209" t="str">
        <f t="shared" si="21"/>
        <v/>
      </c>
      <c r="O15" s="209" t="str">
        <f t="shared" si="22"/>
        <v/>
      </c>
      <c r="P15" s="209" t="str">
        <f t="shared" si="23"/>
        <v/>
      </c>
      <c r="Q15" s="209" t="str">
        <f t="shared" si="24"/>
        <v/>
      </c>
      <c r="R15" s="209" t="str">
        <f t="shared" si="25"/>
        <v/>
      </c>
      <c r="S15" s="209" t="str">
        <f t="shared" si="26"/>
        <v/>
      </c>
      <c r="U15" s="466">
        <f t="shared" si="27"/>
        <v>0</v>
      </c>
      <c r="V15" s="466">
        <f t="shared" si="28"/>
        <v>0</v>
      </c>
      <c r="W15" s="466">
        <f t="shared" si="29"/>
        <v>0</v>
      </c>
      <c r="X15" s="466">
        <f t="shared" si="30"/>
        <v>0</v>
      </c>
      <c r="Y15" s="466">
        <f t="shared" si="31"/>
        <v>0</v>
      </c>
      <c r="Z15" s="466">
        <f t="shared" si="32"/>
        <v>0</v>
      </c>
      <c r="AA15" s="466">
        <f t="shared" si="33"/>
        <v>0</v>
      </c>
      <c r="AB15" s="242"/>
      <c r="AC15" s="466">
        <f t="shared" si="34"/>
        <v>0</v>
      </c>
      <c r="AD15" s="466">
        <f t="shared" si="35"/>
        <v>0</v>
      </c>
      <c r="AE15" s="466">
        <f t="shared" si="36"/>
        <v>0</v>
      </c>
      <c r="AF15" s="466">
        <f t="shared" si="37"/>
        <v>0</v>
      </c>
      <c r="AG15" s="466">
        <f t="shared" si="38"/>
        <v>0</v>
      </c>
      <c r="AH15" s="466">
        <f t="shared" si="39"/>
        <v>0</v>
      </c>
      <c r="AI15" s="466">
        <f t="shared" si="40"/>
        <v>0</v>
      </c>
      <c r="AJ15" s="466">
        <f t="shared" si="41"/>
        <v>0</v>
      </c>
      <c r="AK15" s="466">
        <f t="shared" si="42"/>
        <v>0</v>
      </c>
      <c r="AL15" s="466">
        <f t="shared" si="43"/>
        <v>0</v>
      </c>
      <c r="AM15" s="466">
        <f t="shared" si="44"/>
        <v>0</v>
      </c>
      <c r="AN15" s="466">
        <f t="shared" si="45"/>
        <v>0</v>
      </c>
      <c r="AO15" s="466">
        <f t="shared" si="46"/>
        <v>0</v>
      </c>
      <c r="AP15" s="466">
        <f t="shared" si="47"/>
        <v>0</v>
      </c>
      <c r="AQ15" s="466">
        <f t="shared" si="48"/>
        <v>0</v>
      </c>
      <c r="AR15" s="466">
        <f t="shared" si="49"/>
        <v>0</v>
      </c>
      <c r="AS15" s="466">
        <f t="shared" si="50"/>
        <v>0</v>
      </c>
      <c r="AT15" s="466">
        <f t="shared" si="51"/>
        <v>0</v>
      </c>
      <c r="AU15" s="466">
        <f t="shared" si="52"/>
        <v>0</v>
      </c>
      <c r="AV15" s="466">
        <f t="shared" si="53"/>
        <v>0</v>
      </c>
      <c r="AW15" s="466">
        <f t="shared" si="54"/>
        <v>0</v>
      </c>
      <c r="AX15" s="466">
        <f t="shared" si="55"/>
        <v>0</v>
      </c>
      <c r="AY15" s="466">
        <f t="shared" si="56"/>
        <v>0</v>
      </c>
      <c r="AZ15" s="466">
        <f t="shared" si="57"/>
        <v>0</v>
      </c>
      <c r="BA15" s="466">
        <f t="shared" si="58"/>
        <v>0</v>
      </c>
      <c r="BB15" s="466">
        <f t="shared" si="59"/>
        <v>0</v>
      </c>
      <c r="BC15" s="466">
        <f t="shared" si="60"/>
        <v>0</v>
      </c>
      <c r="BD15" s="466">
        <f t="shared" si="61"/>
        <v>0</v>
      </c>
      <c r="BE15" s="466">
        <f t="shared" si="62"/>
        <v>0</v>
      </c>
      <c r="BF15" s="466">
        <f t="shared" si="63"/>
        <v>0</v>
      </c>
      <c r="BG15" s="466">
        <f t="shared" si="64"/>
        <v>0</v>
      </c>
    </row>
    <row r="16" spans="1:59">
      <c r="A16" s="212" t="s">
        <v>5316</v>
      </c>
      <c r="B16" s="230">
        <v>457660363</v>
      </c>
      <c r="C16" s="209" t="s">
        <v>61</v>
      </c>
      <c r="D16" s="209">
        <v>10</v>
      </c>
      <c r="F16" s="238" t="str" cm="1">
        <f t="array" aca="1" ref="F16" ca="1">MID(met2utc(PEPSSI_Commanding[[#This Row],[MET]]),3,15)</f>
        <v>20-203/18:00:45</v>
      </c>
      <c r="G16" s="212" t="str">
        <f t="shared" si="15"/>
        <v>N2+10</v>
      </c>
      <c r="H16" s="213">
        <f t="shared" si="16"/>
        <v>457660318</v>
      </c>
      <c r="I16" s="213">
        <f t="shared" si="17"/>
        <v>457662167</v>
      </c>
      <c r="J16" s="212">
        <f t="shared" si="18"/>
        <v>2</v>
      </c>
      <c r="K16" s="212">
        <f t="shared" si="19"/>
        <v>8</v>
      </c>
      <c r="M16" s="209" t="str">
        <f t="shared" si="20"/>
        <v/>
      </c>
      <c r="N16" s="209">
        <f t="shared" si="21"/>
        <v>10</v>
      </c>
      <c r="O16" s="209" t="str">
        <f t="shared" si="22"/>
        <v/>
      </c>
      <c r="P16" s="209" t="str">
        <f t="shared" si="23"/>
        <v/>
      </c>
      <c r="Q16" s="209" t="str">
        <f t="shared" si="24"/>
        <v/>
      </c>
      <c r="R16" s="209" t="str">
        <f t="shared" si="25"/>
        <v/>
      </c>
      <c r="S16" s="209" t="str">
        <f t="shared" si="26"/>
        <v/>
      </c>
      <c r="U16" s="466">
        <f t="shared" si="27"/>
        <v>0</v>
      </c>
      <c r="V16" s="466">
        <f t="shared" si="28"/>
        <v>0</v>
      </c>
      <c r="W16" s="466">
        <f t="shared" si="29"/>
        <v>0</v>
      </c>
      <c r="X16" s="466">
        <f t="shared" si="30"/>
        <v>0</v>
      </c>
      <c r="Y16" s="466">
        <f t="shared" si="31"/>
        <v>133</v>
      </c>
      <c r="Z16" s="466">
        <f t="shared" si="32"/>
        <v>133</v>
      </c>
      <c r="AA16" s="466">
        <f t="shared" si="33"/>
        <v>0</v>
      </c>
      <c r="AB16" s="242"/>
      <c r="AC16" s="466">
        <f t="shared" si="34"/>
        <v>0</v>
      </c>
      <c r="AD16" s="466">
        <f t="shared" si="35"/>
        <v>0</v>
      </c>
      <c r="AE16" s="466">
        <f t="shared" si="36"/>
        <v>0</v>
      </c>
      <c r="AF16" s="466">
        <f t="shared" si="37"/>
        <v>133</v>
      </c>
      <c r="AG16" s="466">
        <f t="shared" si="38"/>
        <v>133</v>
      </c>
      <c r="AH16" s="466">
        <f t="shared" si="39"/>
        <v>133</v>
      </c>
      <c r="AI16" s="466">
        <f t="shared" si="40"/>
        <v>133</v>
      </c>
      <c r="AJ16" s="466">
        <f t="shared" si="41"/>
        <v>0</v>
      </c>
      <c r="AK16" s="466">
        <f t="shared" si="42"/>
        <v>0</v>
      </c>
      <c r="AL16" s="466">
        <f t="shared" si="43"/>
        <v>0</v>
      </c>
      <c r="AM16" s="466">
        <f t="shared" si="44"/>
        <v>0</v>
      </c>
      <c r="AN16" s="466">
        <f t="shared" si="45"/>
        <v>133</v>
      </c>
      <c r="AO16" s="466">
        <f t="shared" si="46"/>
        <v>133</v>
      </c>
      <c r="AP16" s="466">
        <f t="shared" si="47"/>
        <v>133</v>
      </c>
      <c r="AQ16" s="466">
        <f t="shared" si="48"/>
        <v>133</v>
      </c>
      <c r="AR16" s="466">
        <f t="shared" si="49"/>
        <v>0</v>
      </c>
      <c r="AS16" s="466">
        <f t="shared" si="50"/>
        <v>0</v>
      </c>
      <c r="AT16" s="466">
        <f t="shared" si="51"/>
        <v>0</v>
      </c>
      <c r="AU16" s="466">
        <f t="shared" si="52"/>
        <v>0</v>
      </c>
      <c r="AV16" s="466">
        <f t="shared" si="53"/>
        <v>133</v>
      </c>
      <c r="AW16" s="466">
        <f t="shared" si="54"/>
        <v>133</v>
      </c>
      <c r="AX16" s="466">
        <f t="shared" si="55"/>
        <v>133</v>
      </c>
      <c r="AY16" s="466">
        <f t="shared" si="56"/>
        <v>133</v>
      </c>
      <c r="AZ16" s="466">
        <f t="shared" si="57"/>
        <v>0</v>
      </c>
      <c r="BA16" s="466">
        <f t="shared" si="58"/>
        <v>0</v>
      </c>
      <c r="BB16" s="466">
        <f t="shared" si="59"/>
        <v>0</v>
      </c>
      <c r="BC16" s="466">
        <f t="shared" si="60"/>
        <v>0</v>
      </c>
      <c r="BD16" s="466">
        <f t="shared" si="61"/>
        <v>133</v>
      </c>
      <c r="BE16" s="466">
        <f t="shared" si="62"/>
        <v>133</v>
      </c>
      <c r="BF16" s="466">
        <f t="shared" si="63"/>
        <v>133</v>
      </c>
      <c r="BG16" s="466">
        <f t="shared" si="64"/>
        <v>133</v>
      </c>
    </row>
    <row r="17" spans="1:59">
      <c r="A17" s="212" t="s">
        <v>5316</v>
      </c>
      <c r="B17" s="230">
        <v>457660364</v>
      </c>
      <c r="C17" s="209" t="s">
        <v>58</v>
      </c>
      <c r="D17" s="209">
        <v>300</v>
      </c>
      <c r="F17" s="238" t="str" cm="1">
        <f t="array" aca="1" ref="F17" ca="1">MID(met2utc(PEPSSI_Commanding[[#This Row],[MET]]),3,15)</f>
        <v>20-203/18:00:46</v>
      </c>
      <c r="G17" s="212" t="str">
        <f t="shared" si="15"/>
        <v>N3+300</v>
      </c>
      <c r="H17" s="213">
        <f t="shared" si="16"/>
        <v>457660318</v>
      </c>
      <c r="I17" s="213">
        <f t="shared" si="17"/>
        <v>457662167</v>
      </c>
      <c r="J17" s="212">
        <f t="shared" si="18"/>
        <v>3</v>
      </c>
      <c r="K17" s="212">
        <f t="shared" si="19"/>
        <v>7</v>
      </c>
      <c r="M17" s="209" t="str">
        <f t="shared" si="20"/>
        <v/>
      </c>
      <c r="N17" s="209">
        <f t="shared" si="21"/>
        <v>10</v>
      </c>
      <c r="O17" s="209">
        <f t="shared" si="22"/>
        <v>300</v>
      </c>
      <c r="P17" s="209" t="str">
        <f t="shared" si="23"/>
        <v/>
      </c>
      <c r="Q17" s="209" t="str">
        <f t="shared" si="24"/>
        <v/>
      </c>
      <c r="R17" s="209" t="str">
        <f t="shared" si="25"/>
        <v/>
      </c>
      <c r="S17" s="209" t="str">
        <f t="shared" si="26"/>
        <v/>
      </c>
      <c r="U17" s="466">
        <f t="shared" si="27"/>
        <v>0</v>
      </c>
      <c r="V17" s="466">
        <f t="shared" si="28"/>
        <v>0</v>
      </c>
      <c r="W17" s="466">
        <f t="shared" si="29"/>
        <v>0</v>
      </c>
      <c r="X17" s="466">
        <f t="shared" si="30"/>
        <v>0</v>
      </c>
      <c r="Y17" s="466">
        <f t="shared" si="31"/>
        <v>133</v>
      </c>
      <c r="Z17" s="466">
        <f t="shared" si="32"/>
        <v>133</v>
      </c>
      <c r="AA17" s="466">
        <f t="shared" si="33"/>
        <v>66.36</v>
      </c>
      <c r="AB17" s="242"/>
      <c r="AC17" s="466">
        <f t="shared" si="34"/>
        <v>0</v>
      </c>
      <c r="AD17" s="466">
        <f t="shared" si="35"/>
        <v>66.36</v>
      </c>
      <c r="AE17" s="466">
        <f t="shared" si="36"/>
        <v>66.36</v>
      </c>
      <c r="AF17" s="466">
        <f t="shared" si="37"/>
        <v>133</v>
      </c>
      <c r="AG17" s="466">
        <f t="shared" si="38"/>
        <v>133</v>
      </c>
      <c r="AH17" s="466">
        <f t="shared" si="39"/>
        <v>199.36</v>
      </c>
      <c r="AI17" s="466">
        <f t="shared" si="40"/>
        <v>199.36</v>
      </c>
      <c r="AJ17" s="466">
        <f t="shared" si="41"/>
        <v>0</v>
      </c>
      <c r="AK17" s="466">
        <f t="shared" si="42"/>
        <v>0</v>
      </c>
      <c r="AL17" s="466">
        <f t="shared" si="43"/>
        <v>66.36</v>
      </c>
      <c r="AM17" s="466">
        <f t="shared" si="44"/>
        <v>66.36</v>
      </c>
      <c r="AN17" s="466">
        <f t="shared" si="45"/>
        <v>133</v>
      </c>
      <c r="AO17" s="466">
        <f t="shared" si="46"/>
        <v>133</v>
      </c>
      <c r="AP17" s="466">
        <f t="shared" si="47"/>
        <v>199.36</v>
      </c>
      <c r="AQ17" s="466">
        <f t="shared" si="48"/>
        <v>199.36</v>
      </c>
      <c r="AR17" s="466">
        <f t="shared" si="49"/>
        <v>0</v>
      </c>
      <c r="AS17" s="466">
        <f t="shared" si="50"/>
        <v>0</v>
      </c>
      <c r="AT17" s="466">
        <f t="shared" si="51"/>
        <v>66.36</v>
      </c>
      <c r="AU17" s="466">
        <f t="shared" si="52"/>
        <v>66.36</v>
      </c>
      <c r="AV17" s="466">
        <f t="shared" si="53"/>
        <v>133</v>
      </c>
      <c r="AW17" s="466">
        <f t="shared" si="54"/>
        <v>133</v>
      </c>
      <c r="AX17" s="466">
        <f t="shared" si="55"/>
        <v>199.36</v>
      </c>
      <c r="AY17" s="466">
        <f t="shared" si="56"/>
        <v>199.36</v>
      </c>
      <c r="AZ17" s="466">
        <f t="shared" si="57"/>
        <v>0</v>
      </c>
      <c r="BA17" s="466">
        <f t="shared" si="58"/>
        <v>0</v>
      </c>
      <c r="BB17" s="466">
        <f t="shared" si="59"/>
        <v>66.36</v>
      </c>
      <c r="BC17" s="466">
        <f t="shared" si="60"/>
        <v>66.36</v>
      </c>
      <c r="BD17" s="466">
        <f t="shared" si="61"/>
        <v>133</v>
      </c>
      <c r="BE17" s="466">
        <f t="shared" si="62"/>
        <v>133</v>
      </c>
      <c r="BF17" s="466">
        <f t="shared" si="63"/>
        <v>199.36</v>
      </c>
      <c r="BG17" s="466">
        <f t="shared" si="64"/>
        <v>199.36</v>
      </c>
    </row>
    <row r="18" spans="1:59">
      <c r="A18" s="212" t="s">
        <v>5316</v>
      </c>
      <c r="B18" s="230">
        <v>457660365</v>
      </c>
      <c r="C18" s="209" t="s">
        <v>1</v>
      </c>
      <c r="D18" s="209">
        <v>10</v>
      </c>
      <c r="F18" s="238" t="str" cm="1">
        <f t="array" aca="1" ref="F18" ca="1">MID(met2utc(PEPSSI_Commanding[[#This Row],[MET]]),3,15)</f>
        <v>20-203/18:00:47</v>
      </c>
      <c r="G18" s="212" t="str">
        <f t="shared" si="15"/>
        <v>N1+10</v>
      </c>
      <c r="H18" s="213">
        <f t="shared" si="16"/>
        <v>457660318</v>
      </c>
      <c r="I18" s="213">
        <f t="shared" si="17"/>
        <v>457662167</v>
      </c>
      <c r="J18" s="212">
        <f t="shared" si="18"/>
        <v>4</v>
      </c>
      <c r="K18" s="212">
        <f t="shared" si="19"/>
        <v>6</v>
      </c>
      <c r="M18" s="209">
        <f t="shared" si="20"/>
        <v>10</v>
      </c>
      <c r="N18" s="209">
        <f t="shared" si="21"/>
        <v>10</v>
      </c>
      <c r="O18" s="209">
        <f t="shared" si="22"/>
        <v>300</v>
      </c>
      <c r="P18" s="209" t="str">
        <f t="shared" si="23"/>
        <v/>
      </c>
      <c r="Q18" s="209" t="str">
        <f t="shared" si="24"/>
        <v/>
      </c>
      <c r="R18" s="209" t="str">
        <f t="shared" si="25"/>
        <v/>
      </c>
      <c r="S18" s="209" t="str">
        <f t="shared" si="26"/>
        <v/>
      </c>
      <c r="U18" s="466">
        <f t="shared" si="27"/>
        <v>0</v>
      </c>
      <c r="V18" s="466">
        <f t="shared" si="28"/>
        <v>0</v>
      </c>
      <c r="W18" s="466">
        <f t="shared" si="29"/>
        <v>0</v>
      </c>
      <c r="X18" s="466">
        <f t="shared" si="30"/>
        <v>198.8</v>
      </c>
      <c r="Y18" s="466">
        <f t="shared" si="31"/>
        <v>133</v>
      </c>
      <c r="Z18" s="466">
        <f t="shared" si="32"/>
        <v>133</v>
      </c>
      <c r="AA18" s="466">
        <f t="shared" si="33"/>
        <v>66.36</v>
      </c>
      <c r="AB18" s="242"/>
      <c r="AC18" s="466">
        <f t="shared" si="34"/>
        <v>198.8</v>
      </c>
      <c r="AD18" s="466">
        <f t="shared" si="35"/>
        <v>66.36</v>
      </c>
      <c r="AE18" s="466">
        <f t="shared" si="36"/>
        <v>265.16000000000003</v>
      </c>
      <c r="AF18" s="466">
        <f t="shared" si="37"/>
        <v>133</v>
      </c>
      <c r="AG18" s="466">
        <f t="shared" si="38"/>
        <v>331.8</v>
      </c>
      <c r="AH18" s="466">
        <f t="shared" si="39"/>
        <v>199.36</v>
      </c>
      <c r="AI18" s="466">
        <f t="shared" si="40"/>
        <v>398.16</v>
      </c>
      <c r="AJ18" s="466">
        <f t="shared" si="41"/>
        <v>0</v>
      </c>
      <c r="AK18" s="466">
        <f t="shared" si="42"/>
        <v>198.8</v>
      </c>
      <c r="AL18" s="466">
        <f t="shared" si="43"/>
        <v>66.36</v>
      </c>
      <c r="AM18" s="466">
        <f t="shared" si="44"/>
        <v>265.16000000000003</v>
      </c>
      <c r="AN18" s="466">
        <f t="shared" si="45"/>
        <v>133</v>
      </c>
      <c r="AO18" s="466">
        <f t="shared" si="46"/>
        <v>331.8</v>
      </c>
      <c r="AP18" s="466">
        <f t="shared" si="47"/>
        <v>199.36</v>
      </c>
      <c r="AQ18" s="466">
        <f t="shared" si="48"/>
        <v>398.16</v>
      </c>
      <c r="AR18" s="466">
        <f t="shared" si="49"/>
        <v>0</v>
      </c>
      <c r="AS18" s="466">
        <f t="shared" si="50"/>
        <v>198.8</v>
      </c>
      <c r="AT18" s="466">
        <f t="shared" si="51"/>
        <v>66.36</v>
      </c>
      <c r="AU18" s="466">
        <f t="shared" si="52"/>
        <v>265.16000000000003</v>
      </c>
      <c r="AV18" s="466">
        <f t="shared" si="53"/>
        <v>133</v>
      </c>
      <c r="AW18" s="466">
        <f t="shared" si="54"/>
        <v>331.8</v>
      </c>
      <c r="AX18" s="466">
        <f t="shared" si="55"/>
        <v>199.36</v>
      </c>
      <c r="AY18" s="466">
        <f t="shared" si="56"/>
        <v>398.16</v>
      </c>
      <c r="AZ18" s="466">
        <f t="shared" si="57"/>
        <v>0</v>
      </c>
      <c r="BA18" s="466">
        <f t="shared" si="58"/>
        <v>198.8</v>
      </c>
      <c r="BB18" s="466">
        <f t="shared" si="59"/>
        <v>66.36</v>
      </c>
      <c r="BC18" s="466">
        <f t="shared" si="60"/>
        <v>265.16000000000003</v>
      </c>
      <c r="BD18" s="466">
        <f t="shared" si="61"/>
        <v>133</v>
      </c>
      <c r="BE18" s="466">
        <f t="shared" si="62"/>
        <v>331.8</v>
      </c>
      <c r="BF18" s="466">
        <f t="shared" si="63"/>
        <v>199.36</v>
      </c>
      <c r="BG18" s="466">
        <f t="shared" si="64"/>
        <v>398.16</v>
      </c>
    </row>
    <row r="19" spans="1:59">
      <c r="A19" s="212" t="s">
        <v>5317</v>
      </c>
      <c r="B19" s="230">
        <v>457660366</v>
      </c>
      <c r="C19" s="209" t="s">
        <v>5284</v>
      </c>
      <c r="D19" s="209">
        <v>1</v>
      </c>
      <c r="F19" s="238" t="str" cm="1">
        <f t="array" aca="1" ref="F19" ca="1">MID(met2utc(PEPSSI_Commanding[[#This Row],[MET]]),3,15)</f>
        <v>20-203/18:00:48</v>
      </c>
      <c r="G19" s="212" t="str">
        <f t="shared" si="15"/>
        <v>STAT+1</v>
      </c>
      <c r="H19" s="213">
        <f t="shared" si="16"/>
        <v>457660318</v>
      </c>
      <c r="I19" s="213">
        <f t="shared" si="17"/>
        <v>457662167</v>
      </c>
      <c r="J19" s="212">
        <f t="shared" si="18"/>
        <v>5</v>
      </c>
      <c r="K19" s="212">
        <f t="shared" si="19"/>
        <v>5</v>
      </c>
      <c r="M19" s="209">
        <f t="shared" si="20"/>
        <v>10</v>
      </c>
      <c r="N19" s="209">
        <f t="shared" si="21"/>
        <v>10</v>
      </c>
      <c r="O19" s="209">
        <f t="shared" si="22"/>
        <v>300</v>
      </c>
      <c r="P19" s="209">
        <f t="shared" si="23"/>
        <v>1</v>
      </c>
      <c r="Q19" s="209" t="str">
        <f t="shared" si="24"/>
        <v/>
      </c>
      <c r="R19" s="209" t="str">
        <f t="shared" si="25"/>
        <v/>
      </c>
      <c r="S19" s="209" t="str">
        <f t="shared" si="26"/>
        <v/>
      </c>
      <c r="U19" s="466">
        <f t="shared" si="27"/>
        <v>0</v>
      </c>
      <c r="V19" s="466">
        <f t="shared" si="28"/>
        <v>0</v>
      </c>
      <c r="W19" s="466">
        <f t="shared" si="29"/>
        <v>512</v>
      </c>
      <c r="X19" s="466">
        <f t="shared" si="30"/>
        <v>198.8</v>
      </c>
      <c r="Y19" s="466">
        <f t="shared" si="31"/>
        <v>133</v>
      </c>
      <c r="Z19" s="466">
        <f t="shared" si="32"/>
        <v>133</v>
      </c>
      <c r="AA19" s="466">
        <f t="shared" si="33"/>
        <v>66.36</v>
      </c>
      <c r="AB19" s="242"/>
      <c r="AC19" s="466">
        <f t="shared" si="34"/>
        <v>198.8</v>
      </c>
      <c r="AD19" s="466">
        <f t="shared" si="35"/>
        <v>66.36</v>
      </c>
      <c r="AE19" s="466">
        <f t="shared" si="36"/>
        <v>265.16000000000003</v>
      </c>
      <c r="AF19" s="466">
        <f t="shared" si="37"/>
        <v>133</v>
      </c>
      <c r="AG19" s="466">
        <f t="shared" si="38"/>
        <v>331.8</v>
      </c>
      <c r="AH19" s="466">
        <f t="shared" si="39"/>
        <v>199.36</v>
      </c>
      <c r="AI19" s="466">
        <f t="shared" si="40"/>
        <v>398.16</v>
      </c>
      <c r="AJ19" s="466">
        <f t="shared" si="41"/>
        <v>0</v>
      </c>
      <c r="AK19" s="466">
        <f t="shared" si="42"/>
        <v>198.8</v>
      </c>
      <c r="AL19" s="466">
        <f t="shared" si="43"/>
        <v>66.36</v>
      </c>
      <c r="AM19" s="466">
        <f t="shared" si="44"/>
        <v>265.16000000000003</v>
      </c>
      <c r="AN19" s="466">
        <f t="shared" si="45"/>
        <v>133</v>
      </c>
      <c r="AO19" s="466">
        <f t="shared" si="46"/>
        <v>331.8</v>
      </c>
      <c r="AP19" s="466">
        <f t="shared" si="47"/>
        <v>199.36</v>
      </c>
      <c r="AQ19" s="466">
        <f t="shared" si="48"/>
        <v>398.16</v>
      </c>
      <c r="AR19" s="466">
        <f t="shared" si="49"/>
        <v>512</v>
      </c>
      <c r="AS19" s="466">
        <f t="shared" si="50"/>
        <v>710.8</v>
      </c>
      <c r="AT19" s="466">
        <f t="shared" si="51"/>
        <v>578.36</v>
      </c>
      <c r="AU19" s="466">
        <f t="shared" si="52"/>
        <v>777.16000000000008</v>
      </c>
      <c r="AV19" s="466">
        <f t="shared" si="53"/>
        <v>645</v>
      </c>
      <c r="AW19" s="466">
        <f t="shared" si="54"/>
        <v>843.8</v>
      </c>
      <c r="AX19" s="466">
        <f t="shared" si="55"/>
        <v>711.36</v>
      </c>
      <c r="AY19" s="466">
        <f t="shared" si="56"/>
        <v>910.16000000000008</v>
      </c>
      <c r="AZ19" s="466">
        <f t="shared" si="57"/>
        <v>512</v>
      </c>
      <c r="BA19" s="466">
        <f t="shared" si="58"/>
        <v>710.8</v>
      </c>
      <c r="BB19" s="466">
        <f t="shared" si="59"/>
        <v>578.36</v>
      </c>
      <c r="BC19" s="466">
        <f t="shared" si="60"/>
        <v>777.16000000000008</v>
      </c>
      <c r="BD19" s="466">
        <f t="shared" si="61"/>
        <v>645</v>
      </c>
      <c r="BE19" s="466">
        <f t="shared" si="62"/>
        <v>843.8</v>
      </c>
      <c r="BF19" s="466">
        <f t="shared" si="63"/>
        <v>711.36</v>
      </c>
      <c r="BG19" s="466">
        <f t="shared" si="64"/>
        <v>910.16000000000008</v>
      </c>
    </row>
    <row r="20" spans="1:59">
      <c r="A20" s="212" t="s">
        <v>5316</v>
      </c>
      <c r="B20" s="230">
        <v>457661849</v>
      </c>
      <c r="C20" s="209" t="s">
        <v>61</v>
      </c>
      <c r="D20" s="209">
        <v>40</v>
      </c>
      <c r="F20" s="238" t="str" cm="1">
        <f t="array" aca="1" ref="F20" ca="1">MID(met2utc(PEPSSI_Commanding[[#This Row],[MET]]),3,15)</f>
        <v>20-203/18:25:31</v>
      </c>
      <c r="G20" s="212" t="str">
        <f t="shared" si="15"/>
        <v>N2+40</v>
      </c>
      <c r="H20" s="213">
        <f t="shared" si="16"/>
        <v>457660318</v>
      </c>
      <c r="I20" s="213">
        <f t="shared" si="17"/>
        <v>457662167</v>
      </c>
      <c r="J20" s="212">
        <f t="shared" si="18"/>
        <v>6</v>
      </c>
      <c r="K20" s="212">
        <f t="shared" si="19"/>
        <v>4</v>
      </c>
      <c r="M20" s="209">
        <f t="shared" si="20"/>
        <v>10</v>
      </c>
      <c r="N20" s="209">
        <f t="shared" si="21"/>
        <v>40</v>
      </c>
      <c r="O20" s="209">
        <f t="shared" si="22"/>
        <v>300</v>
      </c>
      <c r="P20" s="209">
        <f t="shared" si="23"/>
        <v>1</v>
      </c>
      <c r="Q20" s="209" t="str">
        <f t="shared" si="24"/>
        <v/>
      </c>
      <c r="R20" s="209" t="str">
        <f t="shared" si="25"/>
        <v/>
      </c>
      <c r="S20" s="209" t="str">
        <f t="shared" si="26"/>
        <v/>
      </c>
      <c r="U20" s="466">
        <f t="shared" si="27"/>
        <v>0</v>
      </c>
      <c r="V20" s="466">
        <f t="shared" si="28"/>
        <v>0</v>
      </c>
      <c r="W20" s="466">
        <f t="shared" si="29"/>
        <v>512</v>
      </c>
      <c r="X20" s="466">
        <f t="shared" si="30"/>
        <v>198.8</v>
      </c>
      <c r="Y20" s="466">
        <f t="shared" si="31"/>
        <v>33.25</v>
      </c>
      <c r="Z20" s="466">
        <f t="shared" si="32"/>
        <v>33.25</v>
      </c>
      <c r="AA20" s="466">
        <f t="shared" si="33"/>
        <v>66.36</v>
      </c>
      <c r="AB20" s="242"/>
      <c r="AC20" s="466">
        <f t="shared" si="34"/>
        <v>198.8</v>
      </c>
      <c r="AD20" s="466">
        <f t="shared" si="35"/>
        <v>66.36</v>
      </c>
      <c r="AE20" s="466">
        <f t="shared" si="36"/>
        <v>265.16000000000003</v>
      </c>
      <c r="AF20" s="466">
        <f t="shared" si="37"/>
        <v>33.25</v>
      </c>
      <c r="AG20" s="466">
        <f t="shared" si="38"/>
        <v>232.05</v>
      </c>
      <c r="AH20" s="466">
        <f t="shared" si="39"/>
        <v>99.61</v>
      </c>
      <c r="AI20" s="466">
        <f t="shared" si="40"/>
        <v>298.41000000000003</v>
      </c>
      <c r="AJ20" s="466">
        <f t="shared" si="41"/>
        <v>0</v>
      </c>
      <c r="AK20" s="466">
        <f t="shared" si="42"/>
        <v>198.8</v>
      </c>
      <c r="AL20" s="466">
        <f t="shared" si="43"/>
        <v>66.36</v>
      </c>
      <c r="AM20" s="466">
        <f t="shared" si="44"/>
        <v>265.16000000000003</v>
      </c>
      <c r="AN20" s="466">
        <f t="shared" si="45"/>
        <v>33.25</v>
      </c>
      <c r="AO20" s="466">
        <f t="shared" si="46"/>
        <v>232.05</v>
      </c>
      <c r="AP20" s="466">
        <f t="shared" si="47"/>
        <v>99.61</v>
      </c>
      <c r="AQ20" s="466">
        <f t="shared" si="48"/>
        <v>298.41000000000003</v>
      </c>
      <c r="AR20" s="466">
        <f t="shared" si="49"/>
        <v>512</v>
      </c>
      <c r="AS20" s="466">
        <f t="shared" si="50"/>
        <v>710.8</v>
      </c>
      <c r="AT20" s="466">
        <f t="shared" si="51"/>
        <v>578.36</v>
      </c>
      <c r="AU20" s="466">
        <f t="shared" si="52"/>
        <v>777.16000000000008</v>
      </c>
      <c r="AV20" s="466">
        <f t="shared" si="53"/>
        <v>545.25</v>
      </c>
      <c r="AW20" s="466">
        <f t="shared" si="54"/>
        <v>744.05</v>
      </c>
      <c r="AX20" s="466">
        <f t="shared" si="55"/>
        <v>611.61</v>
      </c>
      <c r="AY20" s="466">
        <f t="shared" si="56"/>
        <v>810.41000000000008</v>
      </c>
      <c r="AZ20" s="466">
        <f t="shared" si="57"/>
        <v>512</v>
      </c>
      <c r="BA20" s="466">
        <f t="shared" si="58"/>
        <v>710.8</v>
      </c>
      <c r="BB20" s="466">
        <f t="shared" si="59"/>
        <v>578.36</v>
      </c>
      <c r="BC20" s="466">
        <f t="shared" si="60"/>
        <v>777.16000000000008</v>
      </c>
      <c r="BD20" s="466">
        <f t="shared" si="61"/>
        <v>545.25</v>
      </c>
      <c r="BE20" s="466">
        <f t="shared" si="62"/>
        <v>744.05</v>
      </c>
      <c r="BF20" s="466">
        <f t="shared" si="63"/>
        <v>611.61</v>
      </c>
      <c r="BG20" s="466">
        <f t="shared" si="64"/>
        <v>810.41000000000008</v>
      </c>
    </row>
    <row r="21" spans="1:59">
      <c r="A21" s="212" t="s">
        <v>5316</v>
      </c>
      <c r="B21" s="230">
        <v>457661850</v>
      </c>
      <c r="C21" s="209" t="s">
        <v>58</v>
      </c>
      <c r="D21" s="209">
        <v>7200</v>
      </c>
      <c r="F21" s="238" t="str" cm="1">
        <f t="array" aca="1" ref="F21" ca="1">MID(met2utc(PEPSSI_Commanding[[#This Row],[MET]]),3,15)</f>
        <v>20-203/18:25:32</v>
      </c>
      <c r="G21" s="212" t="str">
        <f t="shared" si="15"/>
        <v>N3+7200</v>
      </c>
      <c r="H21" s="213">
        <f t="shared" si="16"/>
        <v>457660318</v>
      </c>
      <c r="I21" s="213">
        <f t="shared" si="17"/>
        <v>457662167</v>
      </c>
      <c r="J21" s="212">
        <f t="shared" si="18"/>
        <v>7</v>
      </c>
      <c r="K21" s="212">
        <f t="shared" si="19"/>
        <v>3</v>
      </c>
      <c r="M21" s="209">
        <f t="shared" si="20"/>
        <v>10</v>
      </c>
      <c r="N21" s="209">
        <f t="shared" si="21"/>
        <v>40</v>
      </c>
      <c r="O21" s="209">
        <f t="shared" si="22"/>
        <v>7200</v>
      </c>
      <c r="P21" s="209">
        <f t="shared" si="23"/>
        <v>1</v>
      </c>
      <c r="Q21" s="209" t="str">
        <f t="shared" si="24"/>
        <v/>
      </c>
      <c r="R21" s="209" t="str">
        <f t="shared" si="25"/>
        <v/>
      </c>
      <c r="S21" s="209" t="str">
        <f t="shared" si="26"/>
        <v/>
      </c>
      <c r="U21" s="466">
        <f t="shared" si="27"/>
        <v>0</v>
      </c>
      <c r="V21" s="466">
        <f t="shared" si="28"/>
        <v>0</v>
      </c>
      <c r="W21" s="466">
        <f t="shared" si="29"/>
        <v>512</v>
      </c>
      <c r="X21" s="466">
        <f t="shared" si="30"/>
        <v>198.8</v>
      </c>
      <c r="Y21" s="466">
        <f t="shared" si="31"/>
        <v>33.25</v>
      </c>
      <c r="Z21" s="466">
        <f t="shared" si="32"/>
        <v>33.25</v>
      </c>
      <c r="AA21" s="466">
        <f t="shared" si="33"/>
        <v>2.7650000000000001</v>
      </c>
      <c r="AB21" s="242"/>
      <c r="AC21" s="466">
        <f t="shared" si="34"/>
        <v>198.8</v>
      </c>
      <c r="AD21" s="466">
        <f t="shared" si="35"/>
        <v>2.7650000000000001</v>
      </c>
      <c r="AE21" s="466">
        <f t="shared" si="36"/>
        <v>201.565</v>
      </c>
      <c r="AF21" s="466">
        <f t="shared" si="37"/>
        <v>33.25</v>
      </c>
      <c r="AG21" s="466">
        <f t="shared" si="38"/>
        <v>232.05</v>
      </c>
      <c r="AH21" s="466">
        <f t="shared" si="39"/>
        <v>36.015000000000001</v>
      </c>
      <c r="AI21" s="466">
        <f t="shared" si="40"/>
        <v>234.815</v>
      </c>
      <c r="AJ21" s="466">
        <f t="shared" si="41"/>
        <v>0</v>
      </c>
      <c r="AK21" s="466">
        <f t="shared" si="42"/>
        <v>198.8</v>
      </c>
      <c r="AL21" s="466">
        <f t="shared" si="43"/>
        <v>2.7650000000000001</v>
      </c>
      <c r="AM21" s="466">
        <f t="shared" si="44"/>
        <v>201.565</v>
      </c>
      <c r="AN21" s="466">
        <f t="shared" si="45"/>
        <v>33.25</v>
      </c>
      <c r="AO21" s="466">
        <f t="shared" si="46"/>
        <v>232.05</v>
      </c>
      <c r="AP21" s="466">
        <f t="shared" si="47"/>
        <v>36.015000000000001</v>
      </c>
      <c r="AQ21" s="466">
        <f t="shared" si="48"/>
        <v>234.815</v>
      </c>
      <c r="AR21" s="466">
        <f t="shared" si="49"/>
        <v>512</v>
      </c>
      <c r="AS21" s="466">
        <f t="shared" si="50"/>
        <v>710.8</v>
      </c>
      <c r="AT21" s="466">
        <f t="shared" si="51"/>
        <v>514.76499999999999</v>
      </c>
      <c r="AU21" s="466">
        <f t="shared" si="52"/>
        <v>713.56500000000005</v>
      </c>
      <c r="AV21" s="466">
        <f t="shared" si="53"/>
        <v>545.25</v>
      </c>
      <c r="AW21" s="466">
        <f t="shared" si="54"/>
        <v>744.05</v>
      </c>
      <c r="AX21" s="466">
        <f t="shared" si="55"/>
        <v>548.01499999999999</v>
      </c>
      <c r="AY21" s="466">
        <f t="shared" si="56"/>
        <v>746.81500000000005</v>
      </c>
      <c r="AZ21" s="466">
        <f t="shared" si="57"/>
        <v>512</v>
      </c>
      <c r="BA21" s="466">
        <f t="shared" si="58"/>
        <v>710.8</v>
      </c>
      <c r="BB21" s="466">
        <f t="shared" si="59"/>
        <v>514.76499999999999</v>
      </c>
      <c r="BC21" s="466">
        <f t="shared" si="60"/>
        <v>713.56500000000005</v>
      </c>
      <c r="BD21" s="466">
        <f t="shared" si="61"/>
        <v>545.25</v>
      </c>
      <c r="BE21" s="466">
        <f t="shared" si="62"/>
        <v>744.05</v>
      </c>
      <c r="BF21" s="466">
        <f t="shared" si="63"/>
        <v>548.01499999999999</v>
      </c>
      <c r="BG21" s="466">
        <f t="shared" si="64"/>
        <v>746.81500000000005</v>
      </c>
    </row>
    <row r="22" spans="1:59">
      <c r="A22" s="212" t="s">
        <v>5316</v>
      </c>
      <c r="B22" s="230">
        <v>457661851</v>
      </c>
      <c r="C22" s="209" t="s">
        <v>1</v>
      </c>
      <c r="D22" s="209">
        <v>3600</v>
      </c>
      <c r="F22" s="238" t="str" cm="1">
        <f t="array" aca="1" ref="F22" ca="1">MID(met2utc(PEPSSI_Commanding[[#This Row],[MET]]),3,15)</f>
        <v>20-203/18:25:33</v>
      </c>
      <c r="G22" s="212" t="str">
        <f t="shared" si="15"/>
        <v>N1+3600</v>
      </c>
      <c r="H22" s="213">
        <f t="shared" si="16"/>
        <v>457660318</v>
      </c>
      <c r="I22" s="213">
        <f t="shared" si="17"/>
        <v>457662167</v>
      </c>
      <c r="J22" s="212">
        <f t="shared" si="18"/>
        <v>8</v>
      </c>
      <c r="K22" s="212">
        <f t="shared" si="19"/>
        <v>2</v>
      </c>
      <c r="M22" s="209">
        <f t="shared" si="20"/>
        <v>3600</v>
      </c>
      <c r="N22" s="209">
        <f t="shared" si="21"/>
        <v>40</v>
      </c>
      <c r="O22" s="209">
        <f t="shared" si="22"/>
        <v>7200</v>
      </c>
      <c r="P22" s="209">
        <f t="shared" si="23"/>
        <v>1</v>
      </c>
      <c r="Q22" s="209" t="str">
        <f t="shared" si="24"/>
        <v/>
      </c>
      <c r="R22" s="209" t="str">
        <f t="shared" si="25"/>
        <v/>
      </c>
      <c r="S22" s="209" t="str">
        <f t="shared" si="26"/>
        <v/>
      </c>
      <c r="U22" s="466">
        <f t="shared" si="27"/>
        <v>0</v>
      </c>
      <c r="V22" s="466">
        <f t="shared" si="28"/>
        <v>0</v>
      </c>
      <c r="W22" s="466">
        <f t="shared" si="29"/>
        <v>512</v>
      </c>
      <c r="X22" s="466">
        <f t="shared" si="30"/>
        <v>0.55222222222222217</v>
      </c>
      <c r="Y22" s="466">
        <f t="shared" si="31"/>
        <v>33.25</v>
      </c>
      <c r="Z22" s="466">
        <f t="shared" si="32"/>
        <v>33.25</v>
      </c>
      <c r="AA22" s="466">
        <f t="shared" si="33"/>
        <v>2.7650000000000001</v>
      </c>
      <c r="AB22" s="242"/>
      <c r="AC22" s="466">
        <f t="shared" si="34"/>
        <v>0.55222222222222217</v>
      </c>
      <c r="AD22" s="466">
        <f t="shared" si="35"/>
        <v>2.7650000000000001</v>
      </c>
      <c r="AE22" s="466">
        <f t="shared" si="36"/>
        <v>3.3172222222222221</v>
      </c>
      <c r="AF22" s="466">
        <f t="shared" si="37"/>
        <v>33.25</v>
      </c>
      <c r="AG22" s="466">
        <f t="shared" si="38"/>
        <v>33.80222222222222</v>
      </c>
      <c r="AH22" s="466">
        <f t="shared" si="39"/>
        <v>36.015000000000001</v>
      </c>
      <c r="AI22" s="466">
        <f t="shared" si="40"/>
        <v>36.56722222222222</v>
      </c>
      <c r="AJ22" s="466">
        <f t="shared" si="41"/>
        <v>0</v>
      </c>
      <c r="AK22" s="466">
        <f t="shared" si="42"/>
        <v>0.55222222222222217</v>
      </c>
      <c r="AL22" s="466">
        <f t="shared" si="43"/>
        <v>2.7650000000000001</v>
      </c>
      <c r="AM22" s="466">
        <f t="shared" si="44"/>
        <v>3.3172222222222221</v>
      </c>
      <c r="AN22" s="466">
        <f t="shared" si="45"/>
        <v>33.25</v>
      </c>
      <c r="AO22" s="466">
        <f t="shared" si="46"/>
        <v>33.80222222222222</v>
      </c>
      <c r="AP22" s="466">
        <f t="shared" si="47"/>
        <v>36.015000000000001</v>
      </c>
      <c r="AQ22" s="466">
        <f t="shared" si="48"/>
        <v>36.56722222222222</v>
      </c>
      <c r="AR22" s="466">
        <f t="shared" si="49"/>
        <v>512</v>
      </c>
      <c r="AS22" s="466">
        <f t="shared" si="50"/>
        <v>512.55222222222221</v>
      </c>
      <c r="AT22" s="466">
        <f t="shared" si="51"/>
        <v>514.76499999999999</v>
      </c>
      <c r="AU22" s="466">
        <f t="shared" si="52"/>
        <v>515.3172222222222</v>
      </c>
      <c r="AV22" s="466">
        <f t="shared" si="53"/>
        <v>545.25</v>
      </c>
      <c r="AW22" s="466">
        <f t="shared" si="54"/>
        <v>545.80222222222221</v>
      </c>
      <c r="AX22" s="466">
        <f t="shared" si="55"/>
        <v>548.01499999999999</v>
      </c>
      <c r="AY22" s="466">
        <f t="shared" si="56"/>
        <v>548.5672222222222</v>
      </c>
      <c r="AZ22" s="466">
        <f t="shared" si="57"/>
        <v>512</v>
      </c>
      <c r="BA22" s="466">
        <f t="shared" si="58"/>
        <v>512.55222222222221</v>
      </c>
      <c r="BB22" s="466">
        <f t="shared" si="59"/>
        <v>514.76499999999999</v>
      </c>
      <c r="BC22" s="466">
        <f t="shared" si="60"/>
        <v>515.3172222222222</v>
      </c>
      <c r="BD22" s="466">
        <f t="shared" si="61"/>
        <v>545.25</v>
      </c>
      <c r="BE22" s="466">
        <f t="shared" si="62"/>
        <v>545.80222222222221</v>
      </c>
      <c r="BF22" s="466">
        <f t="shared" si="63"/>
        <v>548.01499999999999</v>
      </c>
      <c r="BG22" s="466">
        <f t="shared" si="64"/>
        <v>548.5672222222222</v>
      </c>
    </row>
    <row r="23" spans="1:59">
      <c r="A23" s="212" t="s">
        <v>5317</v>
      </c>
      <c r="B23" s="230">
        <v>457661852</v>
      </c>
      <c r="C23" s="209" t="s">
        <v>5284</v>
      </c>
      <c r="D23" s="209">
        <v>300</v>
      </c>
      <c r="F23" s="238" t="str" cm="1">
        <f t="array" aca="1" ref="F23" ca="1">MID(met2utc(PEPSSI_Commanding[[#This Row],[MET]]),3,15)</f>
        <v>20-203/18:25:34</v>
      </c>
      <c r="G23" s="212" t="str">
        <f t="shared" si="15"/>
        <v>STAT+300</v>
      </c>
      <c r="H23" s="213">
        <f t="shared" si="16"/>
        <v>457660318</v>
      </c>
      <c r="I23" s="213">
        <f t="shared" si="17"/>
        <v>457662167</v>
      </c>
      <c r="J23" s="212">
        <f t="shared" si="18"/>
        <v>9</v>
      </c>
      <c r="K23" s="212">
        <f t="shared" si="19"/>
        <v>1</v>
      </c>
      <c r="M23" s="209">
        <f t="shared" si="20"/>
        <v>3600</v>
      </c>
      <c r="N23" s="209">
        <f t="shared" si="21"/>
        <v>40</v>
      </c>
      <c r="O23" s="209">
        <f t="shared" si="22"/>
        <v>7200</v>
      </c>
      <c r="P23" s="209">
        <f t="shared" si="23"/>
        <v>300</v>
      </c>
      <c r="Q23" s="209" t="str">
        <f t="shared" si="24"/>
        <v/>
      </c>
      <c r="R23" s="209" t="str">
        <f t="shared" si="25"/>
        <v/>
      </c>
      <c r="S23" s="209" t="str">
        <f t="shared" si="26"/>
        <v/>
      </c>
      <c r="U23" s="466">
        <f t="shared" si="27"/>
        <v>0</v>
      </c>
      <c r="V23" s="466">
        <f t="shared" si="28"/>
        <v>0</v>
      </c>
      <c r="W23" s="466">
        <f t="shared" si="29"/>
        <v>1.7066666666666668</v>
      </c>
      <c r="X23" s="466">
        <f t="shared" si="30"/>
        <v>0.55222222222222217</v>
      </c>
      <c r="Y23" s="466">
        <f t="shared" si="31"/>
        <v>33.25</v>
      </c>
      <c r="Z23" s="466">
        <f t="shared" si="32"/>
        <v>33.25</v>
      </c>
      <c r="AA23" s="466">
        <f t="shared" si="33"/>
        <v>2.7650000000000001</v>
      </c>
      <c r="AB23" s="242"/>
      <c r="AC23" s="466">
        <f t="shared" si="34"/>
        <v>0.55222222222222217</v>
      </c>
      <c r="AD23" s="466">
        <f t="shared" si="35"/>
        <v>2.7650000000000001</v>
      </c>
      <c r="AE23" s="466">
        <f t="shared" si="36"/>
        <v>3.3172222222222221</v>
      </c>
      <c r="AF23" s="466">
        <f t="shared" si="37"/>
        <v>33.25</v>
      </c>
      <c r="AG23" s="466">
        <f t="shared" si="38"/>
        <v>33.80222222222222</v>
      </c>
      <c r="AH23" s="466">
        <f t="shared" si="39"/>
        <v>36.015000000000001</v>
      </c>
      <c r="AI23" s="466">
        <f t="shared" si="40"/>
        <v>36.56722222222222</v>
      </c>
      <c r="AJ23" s="466">
        <f t="shared" si="41"/>
        <v>0</v>
      </c>
      <c r="AK23" s="466">
        <f t="shared" si="42"/>
        <v>0.55222222222222217</v>
      </c>
      <c r="AL23" s="466">
        <f t="shared" si="43"/>
        <v>2.7650000000000001</v>
      </c>
      <c r="AM23" s="466">
        <f t="shared" si="44"/>
        <v>3.3172222222222221</v>
      </c>
      <c r="AN23" s="466">
        <f t="shared" si="45"/>
        <v>33.25</v>
      </c>
      <c r="AO23" s="466">
        <f t="shared" si="46"/>
        <v>33.80222222222222</v>
      </c>
      <c r="AP23" s="466">
        <f t="shared" si="47"/>
        <v>36.015000000000001</v>
      </c>
      <c r="AQ23" s="466">
        <f t="shared" si="48"/>
        <v>36.56722222222222</v>
      </c>
      <c r="AR23" s="466">
        <f t="shared" si="49"/>
        <v>1.7066666666666668</v>
      </c>
      <c r="AS23" s="466">
        <f t="shared" si="50"/>
        <v>2.2588888888888889</v>
      </c>
      <c r="AT23" s="466">
        <f t="shared" si="51"/>
        <v>4.4716666666666667</v>
      </c>
      <c r="AU23" s="466">
        <f t="shared" si="52"/>
        <v>5.0238888888888891</v>
      </c>
      <c r="AV23" s="466">
        <f t="shared" si="53"/>
        <v>34.956666666666663</v>
      </c>
      <c r="AW23" s="466">
        <f t="shared" si="54"/>
        <v>35.508888888888883</v>
      </c>
      <c r="AX23" s="466">
        <f t="shared" si="55"/>
        <v>37.721666666666664</v>
      </c>
      <c r="AY23" s="466">
        <f t="shared" si="56"/>
        <v>38.273888888888884</v>
      </c>
      <c r="AZ23" s="466">
        <f t="shared" si="57"/>
        <v>1.7066666666666668</v>
      </c>
      <c r="BA23" s="466">
        <f t="shared" si="58"/>
        <v>2.2588888888888889</v>
      </c>
      <c r="BB23" s="466">
        <f t="shared" si="59"/>
        <v>4.4716666666666667</v>
      </c>
      <c r="BC23" s="466">
        <f t="shared" si="60"/>
        <v>5.0238888888888891</v>
      </c>
      <c r="BD23" s="466">
        <f t="shared" si="61"/>
        <v>34.956666666666663</v>
      </c>
      <c r="BE23" s="466">
        <f t="shared" si="62"/>
        <v>35.508888888888883</v>
      </c>
      <c r="BF23" s="466">
        <f t="shared" si="63"/>
        <v>37.721666666666664</v>
      </c>
      <c r="BG23" s="466">
        <f t="shared" si="64"/>
        <v>38.273888888888884</v>
      </c>
    </row>
    <row r="24" spans="1:59">
      <c r="A24" s="212" t="s">
        <v>5316</v>
      </c>
      <c r="B24" s="230">
        <v>457662167</v>
      </c>
      <c r="C24" s="209" t="s">
        <v>1</v>
      </c>
      <c r="D24" s="209">
        <v>3600</v>
      </c>
      <c r="F24" s="238" t="str" cm="1">
        <f t="array" aca="1" ref="F24" ca="1">MID(met2utc(PEPSSI_Commanding[[#This Row],[MET]]),3,15)</f>
        <v>20-203/18:30:49</v>
      </c>
      <c r="G24" s="212" t="str">
        <f t="shared" si="15"/>
        <v>N1+3600</v>
      </c>
      <c r="H24" s="213">
        <f t="shared" si="16"/>
        <v>457662167</v>
      </c>
      <c r="I24" s="213">
        <f t="shared" si="17"/>
        <v>644923315</v>
      </c>
      <c r="J24" s="212">
        <f t="shared" si="18"/>
        <v>10</v>
      </c>
      <c r="K24" s="212">
        <f t="shared" si="19"/>
        <v>4</v>
      </c>
      <c r="M24" s="209">
        <f t="shared" si="20"/>
        <v>3600</v>
      </c>
      <c r="N24" s="209">
        <f t="shared" si="21"/>
        <v>40</v>
      </c>
      <c r="O24" s="209">
        <f t="shared" si="22"/>
        <v>7200</v>
      </c>
      <c r="P24" s="209">
        <f t="shared" si="23"/>
        <v>300</v>
      </c>
      <c r="Q24" s="209" t="str">
        <f t="shared" si="24"/>
        <v/>
      </c>
      <c r="R24" s="209" t="str">
        <f t="shared" si="25"/>
        <v/>
      </c>
      <c r="S24" s="209" t="str">
        <f t="shared" si="26"/>
        <v/>
      </c>
      <c r="U24" s="466">
        <f t="shared" si="27"/>
        <v>0</v>
      </c>
      <c r="V24" s="466">
        <f t="shared" si="28"/>
        <v>0</v>
      </c>
      <c r="W24" s="466">
        <f t="shared" si="29"/>
        <v>1.7066666666666668</v>
      </c>
      <c r="X24" s="466">
        <f t="shared" si="30"/>
        <v>0.55222222222222217</v>
      </c>
      <c r="Y24" s="466">
        <f t="shared" si="31"/>
        <v>33.25</v>
      </c>
      <c r="Z24" s="466">
        <f t="shared" si="32"/>
        <v>33.25</v>
      </c>
      <c r="AA24" s="466">
        <f t="shared" si="33"/>
        <v>2.7650000000000001</v>
      </c>
      <c r="AB24" s="242"/>
      <c r="AC24" s="466">
        <f t="shared" si="34"/>
        <v>0.55222222222222217</v>
      </c>
      <c r="AD24" s="466">
        <f t="shared" si="35"/>
        <v>2.7650000000000001</v>
      </c>
      <c r="AE24" s="466">
        <f t="shared" si="36"/>
        <v>3.3172222222222221</v>
      </c>
      <c r="AF24" s="466">
        <f t="shared" si="37"/>
        <v>33.25</v>
      </c>
      <c r="AG24" s="466">
        <f t="shared" si="38"/>
        <v>33.80222222222222</v>
      </c>
      <c r="AH24" s="466">
        <f t="shared" si="39"/>
        <v>36.015000000000001</v>
      </c>
      <c r="AI24" s="466">
        <f t="shared" si="40"/>
        <v>36.56722222222222</v>
      </c>
      <c r="AJ24" s="466">
        <f t="shared" si="41"/>
        <v>0</v>
      </c>
      <c r="AK24" s="466">
        <f t="shared" si="42"/>
        <v>0.55222222222222217</v>
      </c>
      <c r="AL24" s="466">
        <f t="shared" si="43"/>
        <v>2.7650000000000001</v>
      </c>
      <c r="AM24" s="466">
        <f t="shared" si="44"/>
        <v>3.3172222222222221</v>
      </c>
      <c r="AN24" s="466">
        <f t="shared" si="45"/>
        <v>33.25</v>
      </c>
      <c r="AO24" s="466">
        <f t="shared" si="46"/>
        <v>33.80222222222222</v>
      </c>
      <c r="AP24" s="466">
        <f t="shared" si="47"/>
        <v>36.015000000000001</v>
      </c>
      <c r="AQ24" s="466">
        <f t="shared" si="48"/>
        <v>36.56722222222222</v>
      </c>
      <c r="AR24" s="466">
        <f t="shared" si="49"/>
        <v>1.7066666666666668</v>
      </c>
      <c r="AS24" s="466">
        <f t="shared" si="50"/>
        <v>2.2588888888888889</v>
      </c>
      <c r="AT24" s="466">
        <f t="shared" si="51"/>
        <v>4.4716666666666667</v>
      </c>
      <c r="AU24" s="466">
        <f t="shared" si="52"/>
        <v>5.0238888888888891</v>
      </c>
      <c r="AV24" s="466">
        <f t="shared" si="53"/>
        <v>34.956666666666663</v>
      </c>
      <c r="AW24" s="466">
        <f t="shared" si="54"/>
        <v>35.508888888888883</v>
      </c>
      <c r="AX24" s="466">
        <f t="shared" si="55"/>
        <v>37.721666666666664</v>
      </c>
      <c r="AY24" s="466">
        <f t="shared" si="56"/>
        <v>38.273888888888884</v>
      </c>
      <c r="AZ24" s="466">
        <f t="shared" si="57"/>
        <v>1.7066666666666668</v>
      </c>
      <c r="BA24" s="466">
        <f t="shared" si="58"/>
        <v>2.2588888888888889</v>
      </c>
      <c r="BB24" s="466">
        <f t="shared" si="59"/>
        <v>4.4716666666666667</v>
      </c>
      <c r="BC24" s="466">
        <f t="shared" si="60"/>
        <v>5.0238888888888891</v>
      </c>
      <c r="BD24" s="466">
        <f t="shared" si="61"/>
        <v>34.956666666666663</v>
      </c>
      <c r="BE24" s="466">
        <f t="shared" si="62"/>
        <v>35.508888888888883</v>
      </c>
      <c r="BF24" s="466">
        <f t="shared" si="63"/>
        <v>37.721666666666664</v>
      </c>
      <c r="BG24" s="466">
        <f t="shared" si="64"/>
        <v>38.273888888888884</v>
      </c>
    </row>
    <row r="25" spans="1:59">
      <c r="A25" s="212" t="s">
        <v>5316</v>
      </c>
      <c r="B25" s="230">
        <v>457662170</v>
      </c>
      <c r="C25" s="209" t="s">
        <v>61</v>
      </c>
      <c r="D25" s="209">
        <v>90</v>
      </c>
      <c r="F25" s="238" t="str" cm="1">
        <f t="array" aca="1" ref="F25" ca="1">MID(met2utc(PEPSSI_Commanding[[#This Row],[MET]]),3,15)</f>
        <v>20-203/18:30:52</v>
      </c>
      <c r="G25" s="212" t="str">
        <f t="shared" si="15"/>
        <v>N2+90</v>
      </c>
      <c r="H25" s="213">
        <f t="shared" si="16"/>
        <v>457662167</v>
      </c>
      <c r="I25" s="213">
        <f t="shared" si="17"/>
        <v>644923315</v>
      </c>
      <c r="J25" s="212">
        <f t="shared" si="18"/>
        <v>11</v>
      </c>
      <c r="K25" s="212">
        <f t="shared" si="19"/>
        <v>3</v>
      </c>
      <c r="M25" s="209">
        <f t="shared" si="20"/>
        <v>3600</v>
      </c>
      <c r="N25" s="209">
        <f t="shared" si="21"/>
        <v>90</v>
      </c>
      <c r="O25" s="209">
        <f t="shared" si="22"/>
        <v>7200</v>
      </c>
      <c r="P25" s="209">
        <f t="shared" si="23"/>
        <v>300</v>
      </c>
      <c r="Q25" s="209" t="str">
        <f t="shared" si="24"/>
        <v/>
      </c>
      <c r="R25" s="209" t="str">
        <f t="shared" si="25"/>
        <v/>
      </c>
      <c r="S25" s="209" t="str">
        <f t="shared" si="26"/>
        <v/>
      </c>
      <c r="U25" s="466">
        <f t="shared" si="27"/>
        <v>0</v>
      </c>
      <c r="V25" s="466">
        <f t="shared" si="28"/>
        <v>0</v>
      </c>
      <c r="W25" s="466">
        <f t="shared" si="29"/>
        <v>1.7066666666666668</v>
      </c>
      <c r="X25" s="466">
        <f t="shared" si="30"/>
        <v>0.55222222222222217</v>
      </c>
      <c r="Y25" s="466">
        <f t="shared" si="31"/>
        <v>14.777777777777779</v>
      </c>
      <c r="Z25" s="466">
        <f t="shared" si="32"/>
        <v>14.777777777777779</v>
      </c>
      <c r="AA25" s="466">
        <f t="shared" si="33"/>
        <v>2.7650000000000001</v>
      </c>
      <c r="AB25" s="242"/>
      <c r="AC25" s="466">
        <f t="shared" si="34"/>
        <v>0.55222222222222217</v>
      </c>
      <c r="AD25" s="466">
        <f t="shared" si="35"/>
        <v>2.7650000000000001</v>
      </c>
      <c r="AE25" s="466">
        <f t="shared" si="36"/>
        <v>3.3172222222222221</v>
      </c>
      <c r="AF25" s="466">
        <f t="shared" si="37"/>
        <v>14.777777777777779</v>
      </c>
      <c r="AG25" s="466">
        <f t="shared" si="38"/>
        <v>15.33</v>
      </c>
      <c r="AH25" s="466">
        <f t="shared" si="39"/>
        <v>17.542777777777779</v>
      </c>
      <c r="AI25" s="466">
        <f t="shared" si="40"/>
        <v>18.095000000000002</v>
      </c>
      <c r="AJ25" s="466">
        <f t="shared" si="41"/>
        <v>0</v>
      </c>
      <c r="AK25" s="466">
        <f t="shared" si="42"/>
        <v>0.55222222222222217</v>
      </c>
      <c r="AL25" s="466">
        <f t="shared" si="43"/>
        <v>2.7650000000000001</v>
      </c>
      <c r="AM25" s="466">
        <f t="shared" si="44"/>
        <v>3.3172222222222221</v>
      </c>
      <c r="AN25" s="466">
        <f t="shared" si="45"/>
        <v>14.777777777777779</v>
      </c>
      <c r="AO25" s="466">
        <f t="shared" si="46"/>
        <v>15.33</v>
      </c>
      <c r="AP25" s="466">
        <f t="shared" si="47"/>
        <v>17.542777777777779</v>
      </c>
      <c r="AQ25" s="466">
        <f t="shared" si="48"/>
        <v>18.095000000000002</v>
      </c>
      <c r="AR25" s="466">
        <f t="shared" si="49"/>
        <v>1.7066666666666668</v>
      </c>
      <c r="AS25" s="466">
        <f t="shared" si="50"/>
        <v>2.2588888888888889</v>
      </c>
      <c r="AT25" s="466">
        <f t="shared" si="51"/>
        <v>4.4716666666666667</v>
      </c>
      <c r="AU25" s="466">
        <f t="shared" si="52"/>
        <v>5.0238888888888891</v>
      </c>
      <c r="AV25" s="466">
        <f t="shared" si="53"/>
        <v>16.484444444444446</v>
      </c>
      <c r="AW25" s="466">
        <f t="shared" si="54"/>
        <v>17.036666666666669</v>
      </c>
      <c r="AX25" s="466">
        <f t="shared" si="55"/>
        <v>19.249444444444446</v>
      </c>
      <c r="AY25" s="466">
        <f t="shared" si="56"/>
        <v>19.801666666666669</v>
      </c>
      <c r="AZ25" s="466">
        <f t="shared" si="57"/>
        <v>1.7066666666666668</v>
      </c>
      <c r="BA25" s="466">
        <f t="shared" si="58"/>
        <v>2.2588888888888889</v>
      </c>
      <c r="BB25" s="466">
        <f t="shared" si="59"/>
        <v>4.4716666666666667</v>
      </c>
      <c r="BC25" s="466">
        <f t="shared" si="60"/>
        <v>5.0238888888888891</v>
      </c>
      <c r="BD25" s="466">
        <f t="shared" si="61"/>
        <v>16.484444444444446</v>
      </c>
      <c r="BE25" s="466">
        <f t="shared" si="62"/>
        <v>17.036666666666669</v>
      </c>
      <c r="BF25" s="466">
        <f t="shared" si="63"/>
        <v>19.249444444444446</v>
      </c>
      <c r="BG25" s="466">
        <f t="shared" si="64"/>
        <v>19.801666666666669</v>
      </c>
    </row>
    <row r="26" spans="1:59">
      <c r="A26" s="212" t="s">
        <v>5316</v>
      </c>
      <c r="B26" s="230">
        <v>457662173</v>
      </c>
      <c r="C26" s="209" t="s">
        <v>58</v>
      </c>
      <c r="D26" s="209">
        <v>7200</v>
      </c>
      <c r="F26" s="238" t="str" cm="1">
        <f t="array" aca="1" ref="F26" ca="1">MID(met2utc(PEPSSI_Commanding[[#This Row],[MET]]),3,15)</f>
        <v>20-203/18:30:55</v>
      </c>
      <c r="G26" s="212" t="str">
        <f t="shared" si="15"/>
        <v>N3+7200</v>
      </c>
      <c r="H26" s="213">
        <f t="shared" si="16"/>
        <v>457662167</v>
      </c>
      <c r="I26" s="213">
        <f t="shared" si="17"/>
        <v>644923315</v>
      </c>
      <c r="J26" s="212">
        <f t="shared" si="18"/>
        <v>12</v>
      </c>
      <c r="K26" s="212">
        <f t="shared" si="19"/>
        <v>2</v>
      </c>
      <c r="M26" s="209">
        <f t="shared" si="20"/>
        <v>3600</v>
      </c>
      <c r="N26" s="209">
        <f t="shared" si="21"/>
        <v>90</v>
      </c>
      <c r="O26" s="209">
        <f t="shared" si="22"/>
        <v>7200</v>
      </c>
      <c r="P26" s="209">
        <f t="shared" si="23"/>
        <v>300</v>
      </c>
      <c r="Q26" s="209" t="str">
        <f t="shared" si="24"/>
        <v/>
      </c>
      <c r="R26" s="209" t="str">
        <f t="shared" si="25"/>
        <v/>
      </c>
      <c r="S26" s="209" t="str">
        <f t="shared" si="26"/>
        <v/>
      </c>
      <c r="U26" s="466">
        <f t="shared" si="27"/>
        <v>0</v>
      </c>
      <c r="V26" s="466">
        <f t="shared" si="28"/>
        <v>0</v>
      </c>
      <c r="W26" s="466">
        <f t="shared" si="29"/>
        <v>1.7066666666666668</v>
      </c>
      <c r="X26" s="466">
        <f t="shared" si="30"/>
        <v>0.55222222222222217</v>
      </c>
      <c r="Y26" s="466">
        <f t="shared" si="31"/>
        <v>14.777777777777779</v>
      </c>
      <c r="Z26" s="466">
        <f t="shared" si="32"/>
        <v>14.777777777777779</v>
      </c>
      <c r="AA26" s="466">
        <f t="shared" si="33"/>
        <v>2.7650000000000001</v>
      </c>
      <c r="AB26" s="242"/>
      <c r="AC26" s="466">
        <f t="shared" si="34"/>
        <v>0.55222222222222217</v>
      </c>
      <c r="AD26" s="466">
        <f t="shared" si="35"/>
        <v>2.7650000000000001</v>
      </c>
      <c r="AE26" s="466">
        <f t="shared" si="36"/>
        <v>3.3172222222222221</v>
      </c>
      <c r="AF26" s="466">
        <f t="shared" si="37"/>
        <v>14.777777777777779</v>
      </c>
      <c r="AG26" s="466">
        <f t="shared" si="38"/>
        <v>15.33</v>
      </c>
      <c r="AH26" s="466">
        <f t="shared" si="39"/>
        <v>17.542777777777779</v>
      </c>
      <c r="AI26" s="466">
        <f t="shared" si="40"/>
        <v>18.095000000000002</v>
      </c>
      <c r="AJ26" s="466">
        <f t="shared" si="41"/>
        <v>0</v>
      </c>
      <c r="AK26" s="466">
        <f t="shared" si="42"/>
        <v>0.55222222222222217</v>
      </c>
      <c r="AL26" s="466">
        <f t="shared" si="43"/>
        <v>2.7650000000000001</v>
      </c>
      <c r="AM26" s="466">
        <f t="shared" si="44"/>
        <v>3.3172222222222221</v>
      </c>
      <c r="AN26" s="466">
        <f t="shared" si="45"/>
        <v>14.777777777777779</v>
      </c>
      <c r="AO26" s="466">
        <f t="shared" si="46"/>
        <v>15.33</v>
      </c>
      <c r="AP26" s="466">
        <f t="shared" si="47"/>
        <v>17.542777777777779</v>
      </c>
      <c r="AQ26" s="466">
        <f t="shared" si="48"/>
        <v>18.095000000000002</v>
      </c>
      <c r="AR26" s="466">
        <f t="shared" si="49"/>
        <v>1.7066666666666668</v>
      </c>
      <c r="AS26" s="466">
        <f t="shared" si="50"/>
        <v>2.2588888888888889</v>
      </c>
      <c r="AT26" s="466">
        <f t="shared" si="51"/>
        <v>4.4716666666666667</v>
      </c>
      <c r="AU26" s="466">
        <f t="shared" si="52"/>
        <v>5.0238888888888891</v>
      </c>
      <c r="AV26" s="466">
        <f t="shared" si="53"/>
        <v>16.484444444444446</v>
      </c>
      <c r="AW26" s="466">
        <f t="shared" si="54"/>
        <v>17.036666666666669</v>
      </c>
      <c r="AX26" s="466">
        <f t="shared" si="55"/>
        <v>19.249444444444446</v>
      </c>
      <c r="AY26" s="466">
        <f t="shared" si="56"/>
        <v>19.801666666666669</v>
      </c>
      <c r="AZ26" s="466">
        <f t="shared" si="57"/>
        <v>1.7066666666666668</v>
      </c>
      <c r="BA26" s="466">
        <f t="shared" si="58"/>
        <v>2.2588888888888889</v>
      </c>
      <c r="BB26" s="466">
        <f t="shared" si="59"/>
        <v>4.4716666666666667</v>
      </c>
      <c r="BC26" s="466">
        <f t="shared" si="60"/>
        <v>5.0238888888888891</v>
      </c>
      <c r="BD26" s="466">
        <f t="shared" si="61"/>
        <v>16.484444444444446</v>
      </c>
      <c r="BE26" s="466">
        <f t="shared" si="62"/>
        <v>17.036666666666669</v>
      </c>
      <c r="BF26" s="466">
        <f t="shared" si="63"/>
        <v>19.249444444444446</v>
      </c>
      <c r="BG26" s="466">
        <f t="shared" si="64"/>
        <v>19.801666666666669</v>
      </c>
    </row>
    <row r="27" spans="1:59">
      <c r="A27" s="212" t="s">
        <v>5317</v>
      </c>
      <c r="B27" s="230">
        <v>457662176</v>
      </c>
      <c r="C27" s="209" t="s">
        <v>5284</v>
      </c>
      <c r="D27" s="209">
        <v>300</v>
      </c>
      <c r="F27" s="238" t="str" cm="1">
        <f t="array" aca="1" ref="F27" ca="1">MID(met2utc(PEPSSI_Commanding[[#This Row],[MET]]),3,15)</f>
        <v>20-203/18:30:58</v>
      </c>
      <c r="G27" s="212" t="str">
        <f t="shared" si="15"/>
        <v>STAT+300</v>
      </c>
      <c r="H27" s="213">
        <f t="shared" si="16"/>
        <v>457662167</v>
      </c>
      <c r="I27" s="213">
        <f t="shared" si="17"/>
        <v>644923315</v>
      </c>
      <c r="J27" s="212">
        <f t="shared" si="18"/>
        <v>13</v>
      </c>
      <c r="K27" s="212">
        <f t="shared" si="19"/>
        <v>1</v>
      </c>
      <c r="M27" s="209">
        <f t="shared" si="20"/>
        <v>3600</v>
      </c>
      <c r="N27" s="209">
        <f t="shared" si="21"/>
        <v>90</v>
      </c>
      <c r="O27" s="209">
        <f t="shared" si="22"/>
        <v>7200</v>
      </c>
      <c r="P27" s="209">
        <f t="shared" si="23"/>
        <v>300</v>
      </c>
      <c r="Q27" s="209" t="str">
        <f t="shared" si="24"/>
        <v/>
      </c>
      <c r="R27" s="209" t="str">
        <f t="shared" si="25"/>
        <v/>
      </c>
      <c r="S27" s="209" t="str">
        <f t="shared" si="26"/>
        <v/>
      </c>
      <c r="U27" s="466">
        <f t="shared" si="27"/>
        <v>0</v>
      </c>
      <c r="V27" s="466">
        <f t="shared" si="28"/>
        <v>0</v>
      </c>
      <c r="W27" s="466">
        <f t="shared" si="29"/>
        <v>1.7066666666666668</v>
      </c>
      <c r="X27" s="466">
        <f t="shared" si="30"/>
        <v>0.55222222222222217</v>
      </c>
      <c r="Y27" s="466">
        <f t="shared" si="31"/>
        <v>14.777777777777779</v>
      </c>
      <c r="Z27" s="466">
        <f t="shared" si="32"/>
        <v>14.777777777777779</v>
      </c>
      <c r="AA27" s="466">
        <f t="shared" si="33"/>
        <v>2.7650000000000001</v>
      </c>
      <c r="AB27" s="242"/>
      <c r="AC27" s="466">
        <f t="shared" si="34"/>
        <v>0.55222222222222217</v>
      </c>
      <c r="AD27" s="466">
        <f t="shared" si="35"/>
        <v>2.7650000000000001</v>
      </c>
      <c r="AE27" s="466">
        <f t="shared" si="36"/>
        <v>3.3172222222222221</v>
      </c>
      <c r="AF27" s="466">
        <f t="shared" si="37"/>
        <v>14.777777777777779</v>
      </c>
      <c r="AG27" s="466">
        <f t="shared" si="38"/>
        <v>15.33</v>
      </c>
      <c r="AH27" s="466">
        <f t="shared" si="39"/>
        <v>17.542777777777779</v>
      </c>
      <c r="AI27" s="466">
        <f t="shared" si="40"/>
        <v>18.095000000000002</v>
      </c>
      <c r="AJ27" s="466">
        <f t="shared" si="41"/>
        <v>0</v>
      </c>
      <c r="AK27" s="466">
        <f t="shared" si="42"/>
        <v>0.55222222222222217</v>
      </c>
      <c r="AL27" s="466">
        <f t="shared" si="43"/>
        <v>2.7650000000000001</v>
      </c>
      <c r="AM27" s="466">
        <f t="shared" si="44"/>
        <v>3.3172222222222221</v>
      </c>
      <c r="AN27" s="466">
        <f t="shared" si="45"/>
        <v>14.777777777777779</v>
      </c>
      <c r="AO27" s="466">
        <f t="shared" si="46"/>
        <v>15.33</v>
      </c>
      <c r="AP27" s="466">
        <f t="shared" si="47"/>
        <v>17.542777777777779</v>
      </c>
      <c r="AQ27" s="466">
        <f t="shared" si="48"/>
        <v>18.095000000000002</v>
      </c>
      <c r="AR27" s="466">
        <f t="shared" si="49"/>
        <v>1.7066666666666668</v>
      </c>
      <c r="AS27" s="466">
        <f t="shared" si="50"/>
        <v>2.2588888888888889</v>
      </c>
      <c r="AT27" s="466">
        <f t="shared" si="51"/>
        <v>4.4716666666666667</v>
      </c>
      <c r="AU27" s="466">
        <f t="shared" si="52"/>
        <v>5.0238888888888891</v>
      </c>
      <c r="AV27" s="466">
        <f t="shared" si="53"/>
        <v>16.484444444444446</v>
      </c>
      <c r="AW27" s="466">
        <f t="shared" si="54"/>
        <v>17.036666666666669</v>
      </c>
      <c r="AX27" s="466">
        <f t="shared" si="55"/>
        <v>19.249444444444446</v>
      </c>
      <c r="AY27" s="466">
        <f t="shared" si="56"/>
        <v>19.801666666666669</v>
      </c>
      <c r="AZ27" s="466">
        <f t="shared" si="57"/>
        <v>1.7066666666666668</v>
      </c>
      <c r="BA27" s="466">
        <f t="shared" si="58"/>
        <v>2.2588888888888889</v>
      </c>
      <c r="BB27" s="466">
        <f t="shared" si="59"/>
        <v>4.4716666666666667</v>
      </c>
      <c r="BC27" s="466">
        <f t="shared" si="60"/>
        <v>5.0238888888888891</v>
      </c>
      <c r="BD27" s="466">
        <f t="shared" si="61"/>
        <v>16.484444444444446</v>
      </c>
      <c r="BE27" s="466">
        <f t="shared" si="62"/>
        <v>17.036666666666669</v>
      </c>
      <c r="BF27" s="466">
        <f t="shared" si="63"/>
        <v>19.249444444444446</v>
      </c>
      <c r="BG27" s="466">
        <f t="shared" si="64"/>
        <v>19.801666666666669</v>
      </c>
    </row>
    <row r="28" spans="1:59">
      <c r="A28" s="212" t="s">
        <v>5314</v>
      </c>
      <c r="B28" s="230">
        <v>644923315</v>
      </c>
      <c r="C28" s="209" t="s">
        <v>433</v>
      </c>
      <c r="F28" s="238" t="str" cm="1">
        <f t="array" aca="1" ref="F28" ca="1">MID(met2utc(PEPSSI_Commanding[[#This Row],[MET]]),3,15)</f>
        <v>26-179/03:29:59</v>
      </c>
      <c r="G28" s="212" t="str">
        <f t="shared" si="15"/>
        <v>ON</v>
      </c>
      <c r="H28" s="213">
        <f t="shared" si="16"/>
        <v>644923315</v>
      </c>
      <c r="I28" s="213">
        <f t="shared" si="17"/>
        <v>644924995</v>
      </c>
      <c r="J28" s="212">
        <f t="shared" si="18"/>
        <v>0</v>
      </c>
      <c r="K28" s="212">
        <f t="shared" si="19"/>
        <v>10</v>
      </c>
      <c r="M28" s="209" t="str">
        <f t="shared" si="20"/>
        <v/>
      </c>
      <c r="N28" s="209" t="str">
        <f t="shared" si="21"/>
        <v/>
      </c>
      <c r="O28" s="209" t="str">
        <f t="shared" si="22"/>
        <v/>
      </c>
      <c r="P28" s="209" t="str">
        <f t="shared" si="23"/>
        <v/>
      </c>
      <c r="Q28" s="209" t="str">
        <f t="shared" si="24"/>
        <v/>
      </c>
      <c r="R28" s="209" t="str">
        <f t="shared" si="25"/>
        <v/>
      </c>
      <c r="S28" s="209" t="str">
        <f t="shared" si="26"/>
        <v/>
      </c>
      <c r="U28" s="466">
        <f t="shared" si="27"/>
        <v>0</v>
      </c>
      <c r="V28" s="466">
        <f t="shared" si="28"/>
        <v>0</v>
      </c>
      <c r="W28" s="466">
        <f t="shared" si="29"/>
        <v>0</v>
      </c>
      <c r="X28" s="466">
        <f t="shared" si="30"/>
        <v>0</v>
      </c>
      <c r="Y28" s="466">
        <f t="shared" si="31"/>
        <v>0</v>
      </c>
      <c r="Z28" s="466">
        <f t="shared" si="32"/>
        <v>0</v>
      </c>
      <c r="AA28" s="466">
        <f t="shared" si="33"/>
        <v>0</v>
      </c>
      <c r="AB28" s="242"/>
      <c r="AC28" s="466">
        <f t="shared" si="34"/>
        <v>0</v>
      </c>
      <c r="AD28" s="466">
        <f t="shared" si="35"/>
        <v>0</v>
      </c>
      <c r="AE28" s="466">
        <f t="shared" si="36"/>
        <v>0</v>
      </c>
      <c r="AF28" s="466">
        <f t="shared" si="37"/>
        <v>0</v>
      </c>
      <c r="AG28" s="466">
        <f t="shared" si="38"/>
        <v>0</v>
      </c>
      <c r="AH28" s="466">
        <f t="shared" si="39"/>
        <v>0</v>
      </c>
      <c r="AI28" s="466">
        <f t="shared" si="40"/>
        <v>0</v>
      </c>
      <c r="AJ28" s="466">
        <f t="shared" si="41"/>
        <v>0</v>
      </c>
      <c r="AK28" s="466">
        <f t="shared" si="42"/>
        <v>0</v>
      </c>
      <c r="AL28" s="466">
        <f t="shared" si="43"/>
        <v>0</v>
      </c>
      <c r="AM28" s="466">
        <f t="shared" si="44"/>
        <v>0</v>
      </c>
      <c r="AN28" s="466">
        <f t="shared" si="45"/>
        <v>0</v>
      </c>
      <c r="AO28" s="466">
        <f t="shared" si="46"/>
        <v>0</v>
      </c>
      <c r="AP28" s="466">
        <f t="shared" si="47"/>
        <v>0</v>
      </c>
      <c r="AQ28" s="466">
        <f t="shared" si="48"/>
        <v>0</v>
      </c>
      <c r="AR28" s="466">
        <f t="shared" si="49"/>
        <v>0</v>
      </c>
      <c r="AS28" s="466">
        <f t="shared" si="50"/>
        <v>0</v>
      </c>
      <c r="AT28" s="466">
        <f t="shared" si="51"/>
        <v>0</v>
      </c>
      <c r="AU28" s="466">
        <f t="shared" si="52"/>
        <v>0</v>
      </c>
      <c r="AV28" s="466">
        <f t="shared" si="53"/>
        <v>0</v>
      </c>
      <c r="AW28" s="466">
        <f t="shared" si="54"/>
        <v>0</v>
      </c>
      <c r="AX28" s="466">
        <f t="shared" si="55"/>
        <v>0</v>
      </c>
      <c r="AY28" s="466">
        <f t="shared" si="56"/>
        <v>0</v>
      </c>
      <c r="AZ28" s="466">
        <f t="shared" si="57"/>
        <v>0</v>
      </c>
      <c r="BA28" s="466">
        <f t="shared" si="58"/>
        <v>0</v>
      </c>
      <c r="BB28" s="466">
        <f t="shared" si="59"/>
        <v>0</v>
      </c>
      <c r="BC28" s="466">
        <f t="shared" si="60"/>
        <v>0</v>
      </c>
      <c r="BD28" s="466">
        <f t="shared" si="61"/>
        <v>0</v>
      </c>
      <c r="BE28" s="466">
        <f t="shared" si="62"/>
        <v>0</v>
      </c>
      <c r="BF28" s="466">
        <f t="shared" si="63"/>
        <v>0</v>
      </c>
      <c r="BG28" s="466">
        <f t="shared" si="64"/>
        <v>0</v>
      </c>
    </row>
    <row r="29" spans="1:59">
      <c r="A29" s="212" t="s">
        <v>5315</v>
      </c>
      <c r="B29" s="230">
        <v>644923360</v>
      </c>
      <c r="C29" s="209" t="s">
        <v>5285</v>
      </c>
      <c r="D29" s="209">
        <v>10</v>
      </c>
      <c r="F29" s="238" t="str" cm="1">
        <f t="array" aca="1" ref="F29" ca="1">MID(met2utc(PEPSSI_Commanding[[#This Row],[MET]]),3,15)</f>
        <v>26-179/03:30:44</v>
      </c>
      <c r="G29" s="212" t="str">
        <f t="shared" si="15"/>
        <v>MAC+10</v>
      </c>
      <c r="H29" s="213">
        <f t="shared" si="16"/>
        <v>644923315</v>
      </c>
      <c r="I29" s="213">
        <f t="shared" si="17"/>
        <v>644924995</v>
      </c>
      <c r="J29" s="212">
        <f t="shared" si="18"/>
        <v>1</v>
      </c>
      <c r="K29" s="212">
        <f t="shared" si="19"/>
        <v>9</v>
      </c>
      <c r="M29" s="209" t="str">
        <f t="shared" si="20"/>
        <v/>
      </c>
      <c r="N29" s="209" t="str">
        <f t="shared" si="21"/>
        <v/>
      </c>
      <c r="O29" s="209" t="str">
        <f t="shared" si="22"/>
        <v/>
      </c>
      <c r="P29" s="209" t="str">
        <f t="shared" si="23"/>
        <v/>
      </c>
      <c r="Q29" s="209" t="str">
        <f t="shared" si="24"/>
        <v/>
      </c>
      <c r="R29" s="209" t="str">
        <f t="shared" si="25"/>
        <v/>
      </c>
      <c r="S29" s="209" t="str">
        <f t="shared" si="26"/>
        <v/>
      </c>
      <c r="U29" s="466">
        <f t="shared" si="27"/>
        <v>0</v>
      </c>
      <c r="V29" s="466">
        <f t="shared" si="28"/>
        <v>0</v>
      </c>
      <c r="W29" s="466">
        <f t="shared" si="29"/>
        <v>0</v>
      </c>
      <c r="X29" s="466">
        <f t="shared" si="30"/>
        <v>0</v>
      </c>
      <c r="Y29" s="466">
        <f t="shared" si="31"/>
        <v>0</v>
      </c>
      <c r="Z29" s="466">
        <f t="shared" si="32"/>
        <v>0</v>
      </c>
      <c r="AA29" s="466">
        <f t="shared" si="33"/>
        <v>0</v>
      </c>
      <c r="AB29" s="242"/>
      <c r="AC29" s="466">
        <f t="shared" si="34"/>
        <v>0</v>
      </c>
      <c r="AD29" s="466">
        <f t="shared" si="35"/>
        <v>0</v>
      </c>
      <c r="AE29" s="466">
        <f t="shared" si="36"/>
        <v>0</v>
      </c>
      <c r="AF29" s="466">
        <f t="shared" si="37"/>
        <v>0</v>
      </c>
      <c r="AG29" s="466">
        <f t="shared" si="38"/>
        <v>0</v>
      </c>
      <c r="AH29" s="466">
        <f t="shared" si="39"/>
        <v>0</v>
      </c>
      <c r="AI29" s="466">
        <f t="shared" si="40"/>
        <v>0</v>
      </c>
      <c r="AJ29" s="466">
        <f t="shared" si="41"/>
        <v>0</v>
      </c>
      <c r="AK29" s="466">
        <f t="shared" si="42"/>
        <v>0</v>
      </c>
      <c r="AL29" s="466">
        <f t="shared" si="43"/>
        <v>0</v>
      </c>
      <c r="AM29" s="466">
        <f t="shared" si="44"/>
        <v>0</v>
      </c>
      <c r="AN29" s="466">
        <f t="shared" si="45"/>
        <v>0</v>
      </c>
      <c r="AO29" s="466">
        <f t="shared" si="46"/>
        <v>0</v>
      </c>
      <c r="AP29" s="466">
        <f t="shared" si="47"/>
        <v>0</v>
      </c>
      <c r="AQ29" s="466">
        <f t="shared" si="48"/>
        <v>0</v>
      </c>
      <c r="AR29" s="466">
        <f t="shared" si="49"/>
        <v>0</v>
      </c>
      <c r="AS29" s="466">
        <f t="shared" si="50"/>
        <v>0</v>
      </c>
      <c r="AT29" s="466">
        <f t="shared" si="51"/>
        <v>0</v>
      </c>
      <c r="AU29" s="466">
        <f t="shared" si="52"/>
        <v>0</v>
      </c>
      <c r="AV29" s="466">
        <f t="shared" si="53"/>
        <v>0</v>
      </c>
      <c r="AW29" s="466">
        <f t="shared" si="54"/>
        <v>0</v>
      </c>
      <c r="AX29" s="466">
        <f t="shared" si="55"/>
        <v>0</v>
      </c>
      <c r="AY29" s="466">
        <f t="shared" si="56"/>
        <v>0</v>
      </c>
      <c r="AZ29" s="466">
        <f t="shared" si="57"/>
        <v>0</v>
      </c>
      <c r="BA29" s="466">
        <f t="shared" si="58"/>
        <v>0</v>
      </c>
      <c r="BB29" s="466">
        <f t="shared" si="59"/>
        <v>0</v>
      </c>
      <c r="BC29" s="466">
        <f t="shared" si="60"/>
        <v>0</v>
      </c>
      <c r="BD29" s="466">
        <f t="shared" si="61"/>
        <v>0</v>
      </c>
      <c r="BE29" s="466">
        <f t="shared" si="62"/>
        <v>0</v>
      </c>
      <c r="BF29" s="466">
        <f t="shared" si="63"/>
        <v>0</v>
      </c>
      <c r="BG29" s="466">
        <f t="shared" si="64"/>
        <v>0</v>
      </c>
    </row>
    <row r="30" spans="1:59">
      <c r="A30" s="212" t="s">
        <v>5316</v>
      </c>
      <c r="B30" s="230">
        <v>644923360</v>
      </c>
      <c r="C30" s="209" t="s">
        <v>61</v>
      </c>
      <c r="D30" s="209">
        <v>10</v>
      </c>
      <c r="F30" s="238" t="str" cm="1">
        <f t="array" aca="1" ref="F30" ca="1">MID(met2utc(PEPSSI_Commanding[[#This Row],[MET]]),3,15)</f>
        <v>26-179/03:30:44</v>
      </c>
      <c r="G30" s="212" t="str">
        <f t="shared" si="15"/>
        <v>N2+10</v>
      </c>
      <c r="H30" s="213">
        <f t="shared" si="16"/>
        <v>644923315</v>
      </c>
      <c r="I30" s="213">
        <f t="shared" si="17"/>
        <v>644924995</v>
      </c>
      <c r="J30" s="212">
        <f t="shared" si="18"/>
        <v>2</v>
      </c>
      <c r="K30" s="212">
        <f t="shared" si="19"/>
        <v>8</v>
      </c>
      <c r="M30" s="209" t="str">
        <f t="shared" si="20"/>
        <v/>
      </c>
      <c r="N30" s="209">
        <f t="shared" si="21"/>
        <v>10</v>
      </c>
      <c r="O30" s="209" t="str">
        <f t="shared" si="22"/>
        <v/>
      </c>
      <c r="P30" s="209" t="str">
        <f t="shared" si="23"/>
        <v/>
      </c>
      <c r="Q30" s="209" t="str">
        <f t="shared" si="24"/>
        <v/>
      </c>
      <c r="R30" s="209" t="str">
        <f t="shared" si="25"/>
        <v/>
      </c>
      <c r="S30" s="209" t="str">
        <f t="shared" si="26"/>
        <v/>
      </c>
      <c r="U30" s="466">
        <f t="shared" si="27"/>
        <v>0</v>
      </c>
      <c r="V30" s="466">
        <f t="shared" si="28"/>
        <v>0</v>
      </c>
      <c r="W30" s="466">
        <f t="shared" si="29"/>
        <v>0</v>
      </c>
      <c r="X30" s="466">
        <f t="shared" si="30"/>
        <v>0</v>
      </c>
      <c r="Y30" s="466">
        <f t="shared" si="31"/>
        <v>133</v>
      </c>
      <c r="Z30" s="466">
        <f t="shared" si="32"/>
        <v>133</v>
      </c>
      <c r="AA30" s="466">
        <f t="shared" si="33"/>
        <v>0</v>
      </c>
      <c r="AB30" s="242"/>
      <c r="AC30" s="466">
        <f t="shared" si="34"/>
        <v>0</v>
      </c>
      <c r="AD30" s="466">
        <f t="shared" si="35"/>
        <v>0</v>
      </c>
      <c r="AE30" s="466">
        <f t="shared" si="36"/>
        <v>0</v>
      </c>
      <c r="AF30" s="466">
        <f t="shared" si="37"/>
        <v>133</v>
      </c>
      <c r="AG30" s="466">
        <f t="shared" si="38"/>
        <v>133</v>
      </c>
      <c r="AH30" s="466">
        <f t="shared" si="39"/>
        <v>133</v>
      </c>
      <c r="AI30" s="466">
        <f t="shared" si="40"/>
        <v>133</v>
      </c>
      <c r="AJ30" s="466">
        <f t="shared" si="41"/>
        <v>0</v>
      </c>
      <c r="AK30" s="466">
        <f t="shared" si="42"/>
        <v>0</v>
      </c>
      <c r="AL30" s="466">
        <f t="shared" si="43"/>
        <v>0</v>
      </c>
      <c r="AM30" s="466">
        <f t="shared" si="44"/>
        <v>0</v>
      </c>
      <c r="AN30" s="466">
        <f t="shared" si="45"/>
        <v>133</v>
      </c>
      <c r="AO30" s="466">
        <f t="shared" si="46"/>
        <v>133</v>
      </c>
      <c r="AP30" s="466">
        <f t="shared" si="47"/>
        <v>133</v>
      </c>
      <c r="AQ30" s="466">
        <f t="shared" si="48"/>
        <v>133</v>
      </c>
      <c r="AR30" s="466">
        <f t="shared" si="49"/>
        <v>0</v>
      </c>
      <c r="AS30" s="466">
        <f t="shared" si="50"/>
        <v>0</v>
      </c>
      <c r="AT30" s="466">
        <f t="shared" si="51"/>
        <v>0</v>
      </c>
      <c r="AU30" s="466">
        <f t="shared" si="52"/>
        <v>0</v>
      </c>
      <c r="AV30" s="466">
        <f t="shared" si="53"/>
        <v>133</v>
      </c>
      <c r="AW30" s="466">
        <f t="shared" si="54"/>
        <v>133</v>
      </c>
      <c r="AX30" s="466">
        <f t="shared" si="55"/>
        <v>133</v>
      </c>
      <c r="AY30" s="466">
        <f t="shared" si="56"/>
        <v>133</v>
      </c>
      <c r="AZ30" s="466">
        <f t="shared" si="57"/>
        <v>0</v>
      </c>
      <c r="BA30" s="466">
        <f t="shared" si="58"/>
        <v>0</v>
      </c>
      <c r="BB30" s="466">
        <f t="shared" si="59"/>
        <v>0</v>
      </c>
      <c r="BC30" s="466">
        <f t="shared" si="60"/>
        <v>0</v>
      </c>
      <c r="BD30" s="466">
        <f t="shared" si="61"/>
        <v>133</v>
      </c>
      <c r="BE30" s="466">
        <f t="shared" si="62"/>
        <v>133</v>
      </c>
      <c r="BF30" s="466">
        <f t="shared" si="63"/>
        <v>133</v>
      </c>
      <c r="BG30" s="466">
        <f t="shared" si="64"/>
        <v>133</v>
      </c>
    </row>
    <row r="31" spans="1:59">
      <c r="A31" s="212" t="s">
        <v>5316</v>
      </c>
      <c r="B31" s="230">
        <v>644923361</v>
      </c>
      <c r="C31" s="209" t="s">
        <v>58</v>
      </c>
      <c r="D31" s="209">
        <v>300</v>
      </c>
      <c r="F31" s="238" t="str" cm="1">
        <f t="array" aca="1" ref="F31" ca="1">MID(met2utc(PEPSSI_Commanding[[#This Row],[MET]]),3,15)</f>
        <v>26-179/03:30:45</v>
      </c>
      <c r="G31" s="212" t="str">
        <f t="shared" si="15"/>
        <v>N3+300</v>
      </c>
      <c r="H31" s="213">
        <f t="shared" si="16"/>
        <v>644923315</v>
      </c>
      <c r="I31" s="213">
        <f t="shared" si="17"/>
        <v>644924995</v>
      </c>
      <c r="J31" s="212">
        <f t="shared" si="18"/>
        <v>3</v>
      </c>
      <c r="K31" s="212">
        <f t="shared" si="19"/>
        <v>7</v>
      </c>
      <c r="M31" s="209" t="str">
        <f t="shared" si="20"/>
        <v/>
      </c>
      <c r="N31" s="209">
        <f t="shared" si="21"/>
        <v>10</v>
      </c>
      <c r="O31" s="209">
        <f t="shared" si="22"/>
        <v>300</v>
      </c>
      <c r="P31" s="209" t="str">
        <f t="shared" si="23"/>
        <v/>
      </c>
      <c r="Q31" s="209" t="str">
        <f t="shared" si="24"/>
        <v/>
      </c>
      <c r="R31" s="209" t="str">
        <f t="shared" si="25"/>
        <v/>
      </c>
      <c r="S31" s="209" t="str">
        <f t="shared" si="26"/>
        <v/>
      </c>
      <c r="U31" s="466">
        <f t="shared" si="27"/>
        <v>0</v>
      </c>
      <c r="V31" s="466">
        <f t="shared" si="28"/>
        <v>0</v>
      </c>
      <c r="W31" s="466">
        <f t="shared" si="29"/>
        <v>0</v>
      </c>
      <c r="X31" s="466">
        <f t="shared" si="30"/>
        <v>0</v>
      </c>
      <c r="Y31" s="466">
        <f t="shared" si="31"/>
        <v>133</v>
      </c>
      <c r="Z31" s="466">
        <f t="shared" si="32"/>
        <v>133</v>
      </c>
      <c r="AA31" s="466">
        <f t="shared" si="33"/>
        <v>66.36</v>
      </c>
      <c r="AB31" s="242"/>
      <c r="AC31" s="466">
        <f t="shared" si="34"/>
        <v>0</v>
      </c>
      <c r="AD31" s="466">
        <f t="shared" si="35"/>
        <v>66.36</v>
      </c>
      <c r="AE31" s="466">
        <f t="shared" si="36"/>
        <v>66.36</v>
      </c>
      <c r="AF31" s="466">
        <f t="shared" si="37"/>
        <v>133</v>
      </c>
      <c r="AG31" s="466">
        <f t="shared" si="38"/>
        <v>133</v>
      </c>
      <c r="AH31" s="466">
        <f t="shared" si="39"/>
        <v>199.36</v>
      </c>
      <c r="AI31" s="466">
        <f t="shared" si="40"/>
        <v>199.36</v>
      </c>
      <c r="AJ31" s="466">
        <f t="shared" si="41"/>
        <v>0</v>
      </c>
      <c r="AK31" s="466">
        <f t="shared" si="42"/>
        <v>0</v>
      </c>
      <c r="AL31" s="466">
        <f t="shared" si="43"/>
        <v>66.36</v>
      </c>
      <c r="AM31" s="466">
        <f t="shared" si="44"/>
        <v>66.36</v>
      </c>
      <c r="AN31" s="466">
        <f t="shared" si="45"/>
        <v>133</v>
      </c>
      <c r="AO31" s="466">
        <f t="shared" si="46"/>
        <v>133</v>
      </c>
      <c r="AP31" s="466">
        <f t="shared" si="47"/>
        <v>199.36</v>
      </c>
      <c r="AQ31" s="466">
        <f t="shared" si="48"/>
        <v>199.36</v>
      </c>
      <c r="AR31" s="466">
        <f t="shared" si="49"/>
        <v>0</v>
      </c>
      <c r="AS31" s="466">
        <f t="shared" si="50"/>
        <v>0</v>
      </c>
      <c r="AT31" s="466">
        <f t="shared" si="51"/>
        <v>66.36</v>
      </c>
      <c r="AU31" s="466">
        <f t="shared" si="52"/>
        <v>66.36</v>
      </c>
      <c r="AV31" s="466">
        <f t="shared" si="53"/>
        <v>133</v>
      </c>
      <c r="AW31" s="466">
        <f t="shared" si="54"/>
        <v>133</v>
      </c>
      <c r="AX31" s="466">
        <f t="shared" si="55"/>
        <v>199.36</v>
      </c>
      <c r="AY31" s="466">
        <f t="shared" si="56"/>
        <v>199.36</v>
      </c>
      <c r="AZ31" s="466">
        <f t="shared" si="57"/>
        <v>0</v>
      </c>
      <c r="BA31" s="466">
        <f t="shared" si="58"/>
        <v>0</v>
      </c>
      <c r="BB31" s="466">
        <f t="shared" si="59"/>
        <v>66.36</v>
      </c>
      <c r="BC31" s="466">
        <f t="shared" si="60"/>
        <v>66.36</v>
      </c>
      <c r="BD31" s="466">
        <f t="shared" si="61"/>
        <v>133</v>
      </c>
      <c r="BE31" s="466">
        <f t="shared" si="62"/>
        <v>133</v>
      </c>
      <c r="BF31" s="466">
        <f t="shared" si="63"/>
        <v>199.36</v>
      </c>
      <c r="BG31" s="466">
        <f t="shared" si="64"/>
        <v>199.36</v>
      </c>
    </row>
    <row r="32" spans="1:59">
      <c r="A32" s="212" t="s">
        <v>5316</v>
      </c>
      <c r="B32" s="230">
        <v>644923362</v>
      </c>
      <c r="C32" s="209" t="s">
        <v>1</v>
      </c>
      <c r="D32" s="209">
        <v>10</v>
      </c>
      <c r="F32" s="238" t="str" cm="1">
        <f t="array" aca="1" ref="F32" ca="1">MID(met2utc(PEPSSI_Commanding[[#This Row],[MET]]),3,15)</f>
        <v>26-179/03:30:46</v>
      </c>
      <c r="G32" s="212" t="str">
        <f t="shared" si="15"/>
        <v>N1+10</v>
      </c>
      <c r="H32" s="213">
        <f t="shared" si="16"/>
        <v>644923315</v>
      </c>
      <c r="I32" s="213">
        <f t="shared" si="17"/>
        <v>644924995</v>
      </c>
      <c r="J32" s="212">
        <f t="shared" si="18"/>
        <v>4</v>
      </c>
      <c r="K32" s="212">
        <f t="shared" si="19"/>
        <v>6</v>
      </c>
      <c r="M32" s="209">
        <f t="shared" si="20"/>
        <v>10</v>
      </c>
      <c r="N32" s="209">
        <f t="shared" si="21"/>
        <v>10</v>
      </c>
      <c r="O32" s="209">
        <f t="shared" si="22"/>
        <v>300</v>
      </c>
      <c r="P32" s="209" t="str">
        <f t="shared" si="23"/>
        <v/>
      </c>
      <c r="Q32" s="209" t="str">
        <f t="shared" si="24"/>
        <v/>
      </c>
      <c r="R32" s="209" t="str">
        <f t="shared" si="25"/>
        <v/>
      </c>
      <c r="S32" s="209" t="str">
        <f t="shared" si="26"/>
        <v/>
      </c>
      <c r="U32" s="466">
        <f t="shared" si="27"/>
        <v>0</v>
      </c>
      <c r="V32" s="466">
        <f t="shared" si="28"/>
        <v>0</v>
      </c>
      <c r="W32" s="466">
        <f t="shared" si="29"/>
        <v>0</v>
      </c>
      <c r="X32" s="466">
        <f t="shared" si="30"/>
        <v>198.8</v>
      </c>
      <c r="Y32" s="466">
        <f t="shared" si="31"/>
        <v>133</v>
      </c>
      <c r="Z32" s="466">
        <f t="shared" si="32"/>
        <v>133</v>
      </c>
      <c r="AA32" s="466">
        <f t="shared" si="33"/>
        <v>66.36</v>
      </c>
      <c r="AB32" s="242"/>
      <c r="AC32" s="466">
        <f t="shared" si="34"/>
        <v>198.8</v>
      </c>
      <c r="AD32" s="466">
        <f t="shared" si="35"/>
        <v>66.36</v>
      </c>
      <c r="AE32" s="466">
        <f t="shared" si="36"/>
        <v>265.16000000000003</v>
      </c>
      <c r="AF32" s="466">
        <f t="shared" si="37"/>
        <v>133</v>
      </c>
      <c r="AG32" s="466">
        <f t="shared" si="38"/>
        <v>331.8</v>
      </c>
      <c r="AH32" s="466">
        <f t="shared" si="39"/>
        <v>199.36</v>
      </c>
      <c r="AI32" s="466">
        <f t="shared" si="40"/>
        <v>398.16</v>
      </c>
      <c r="AJ32" s="466">
        <f t="shared" si="41"/>
        <v>0</v>
      </c>
      <c r="AK32" s="466">
        <f t="shared" si="42"/>
        <v>198.8</v>
      </c>
      <c r="AL32" s="466">
        <f t="shared" si="43"/>
        <v>66.36</v>
      </c>
      <c r="AM32" s="466">
        <f t="shared" si="44"/>
        <v>265.16000000000003</v>
      </c>
      <c r="AN32" s="466">
        <f t="shared" si="45"/>
        <v>133</v>
      </c>
      <c r="AO32" s="466">
        <f t="shared" si="46"/>
        <v>331.8</v>
      </c>
      <c r="AP32" s="466">
        <f t="shared" si="47"/>
        <v>199.36</v>
      </c>
      <c r="AQ32" s="466">
        <f t="shared" si="48"/>
        <v>398.16</v>
      </c>
      <c r="AR32" s="466">
        <f t="shared" si="49"/>
        <v>0</v>
      </c>
      <c r="AS32" s="466">
        <f t="shared" si="50"/>
        <v>198.8</v>
      </c>
      <c r="AT32" s="466">
        <f t="shared" si="51"/>
        <v>66.36</v>
      </c>
      <c r="AU32" s="466">
        <f t="shared" si="52"/>
        <v>265.16000000000003</v>
      </c>
      <c r="AV32" s="466">
        <f t="shared" si="53"/>
        <v>133</v>
      </c>
      <c r="AW32" s="466">
        <f t="shared" si="54"/>
        <v>331.8</v>
      </c>
      <c r="AX32" s="466">
        <f t="shared" si="55"/>
        <v>199.36</v>
      </c>
      <c r="AY32" s="466">
        <f t="shared" si="56"/>
        <v>398.16</v>
      </c>
      <c r="AZ32" s="466">
        <f t="shared" si="57"/>
        <v>0</v>
      </c>
      <c r="BA32" s="466">
        <f t="shared" si="58"/>
        <v>198.8</v>
      </c>
      <c r="BB32" s="466">
        <f t="shared" si="59"/>
        <v>66.36</v>
      </c>
      <c r="BC32" s="466">
        <f t="shared" si="60"/>
        <v>265.16000000000003</v>
      </c>
      <c r="BD32" s="466">
        <f t="shared" si="61"/>
        <v>133</v>
      </c>
      <c r="BE32" s="466">
        <f t="shared" si="62"/>
        <v>331.8</v>
      </c>
      <c r="BF32" s="466">
        <f t="shared" si="63"/>
        <v>199.36</v>
      </c>
      <c r="BG32" s="466">
        <f t="shared" si="64"/>
        <v>398.16</v>
      </c>
    </row>
    <row r="33" spans="1:59">
      <c r="A33" s="212" t="s">
        <v>5317</v>
      </c>
      <c r="B33" s="230">
        <v>644923363</v>
      </c>
      <c r="C33" s="209" t="s">
        <v>5284</v>
      </c>
      <c r="D33" s="209">
        <v>1</v>
      </c>
      <c r="F33" s="238" t="str" cm="1">
        <f t="array" aca="1" ref="F33" ca="1">MID(met2utc(PEPSSI_Commanding[[#This Row],[MET]]),3,15)</f>
        <v>26-179/03:30:47</v>
      </c>
      <c r="G33" s="212" t="str">
        <f t="shared" si="15"/>
        <v>STAT+1</v>
      </c>
      <c r="H33" s="213">
        <f t="shared" si="16"/>
        <v>644923315</v>
      </c>
      <c r="I33" s="213">
        <f t="shared" si="17"/>
        <v>644924995</v>
      </c>
      <c r="J33" s="212">
        <f t="shared" si="18"/>
        <v>5</v>
      </c>
      <c r="K33" s="212">
        <f t="shared" si="19"/>
        <v>5</v>
      </c>
      <c r="M33" s="209">
        <f t="shared" si="20"/>
        <v>10</v>
      </c>
      <c r="N33" s="209">
        <f t="shared" si="21"/>
        <v>10</v>
      </c>
      <c r="O33" s="209">
        <f t="shared" si="22"/>
        <v>300</v>
      </c>
      <c r="P33" s="209">
        <f t="shared" si="23"/>
        <v>1</v>
      </c>
      <c r="Q33" s="209" t="str">
        <f t="shared" si="24"/>
        <v/>
      </c>
      <c r="R33" s="209" t="str">
        <f t="shared" si="25"/>
        <v/>
      </c>
      <c r="S33" s="209" t="str">
        <f t="shared" si="26"/>
        <v/>
      </c>
      <c r="U33" s="466">
        <f t="shared" si="27"/>
        <v>0</v>
      </c>
      <c r="V33" s="466">
        <f t="shared" si="28"/>
        <v>0</v>
      </c>
      <c r="W33" s="466">
        <f t="shared" si="29"/>
        <v>512</v>
      </c>
      <c r="X33" s="466">
        <f t="shared" si="30"/>
        <v>198.8</v>
      </c>
      <c r="Y33" s="466">
        <f t="shared" si="31"/>
        <v>133</v>
      </c>
      <c r="Z33" s="466">
        <f t="shared" si="32"/>
        <v>133</v>
      </c>
      <c r="AA33" s="466">
        <f t="shared" si="33"/>
        <v>66.36</v>
      </c>
      <c r="AB33" s="242"/>
      <c r="AC33" s="466">
        <f t="shared" si="34"/>
        <v>198.8</v>
      </c>
      <c r="AD33" s="466">
        <f t="shared" si="35"/>
        <v>66.36</v>
      </c>
      <c r="AE33" s="466">
        <f t="shared" si="36"/>
        <v>265.16000000000003</v>
      </c>
      <c r="AF33" s="466">
        <f t="shared" si="37"/>
        <v>133</v>
      </c>
      <c r="AG33" s="466">
        <f t="shared" si="38"/>
        <v>331.8</v>
      </c>
      <c r="AH33" s="466">
        <f t="shared" si="39"/>
        <v>199.36</v>
      </c>
      <c r="AI33" s="466">
        <f t="shared" si="40"/>
        <v>398.16</v>
      </c>
      <c r="AJ33" s="466">
        <f t="shared" si="41"/>
        <v>0</v>
      </c>
      <c r="AK33" s="466">
        <f t="shared" si="42"/>
        <v>198.8</v>
      </c>
      <c r="AL33" s="466">
        <f t="shared" si="43"/>
        <v>66.36</v>
      </c>
      <c r="AM33" s="466">
        <f t="shared" si="44"/>
        <v>265.16000000000003</v>
      </c>
      <c r="AN33" s="466">
        <f t="shared" si="45"/>
        <v>133</v>
      </c>
      <c r="AO33" s="466">
        <f t="shared" si="46"/>
        <v>331.8</v>
      </c>
      <c r="AP33" s="466">
        <f t="shared" si="47"/>
        <v>199.36</v>
      </c>
      <c r="AQ33" s="466">
        <f t="shared" si="48"/>
        <v>398.16</v>
      </c>
      <c r="AR33" s="466">
        <f t="shared" si="49"/>
        <v>512</v>
      </c>
      <c r="AS33" s="466">
        <f t="shared" si="50"/>
        <v>710.8</v>
      </c>
      <c r="AT33" s="466">
        <f t="shared" si="51"/>
        <v>578.36</v>
      </c>
      <c r="AU33" s="466">
        <f t="shared" si="52"/>
        <v>777.16000000000008</v>
      </c>
      <c r="AV33" s="466">
        <f t="shared" si="53"/>
        <v>645</v>
      </c>
      <c r="AW33" s="466">
        <f t="shared" si="54"/>
        <v>843.8</v>
      </c>
      <c r="AX33" s="466">
        <f t="shared" si="55"/>
        <v>711.36</v>
      </c>
      <c r="AY33" s="466">
        <f t="shared" si="56"/>
        <v>910.16000000000008</v>
      </c>
      <c r="AZ33" s="466">
        <f t="shared" si="57"/>
        <v>512</v>
      </c>
      <c r="BA33" s="466">
        <f t="shared" si="58"/>
        <v>710.8</v>
      </c>
      <c r="BB33" s="466">
        <f t="shared" si="59"/>
        <v>578.36</v>
      </c>
      <c r="BC33" s="466">
        <f t="shared" si="60"/>
        <v>777.16000000000008</v>
      </c>
      <c r="BD33" s="466">
        <f t="shared" si="61"/>
        <v>645</v>
      </c>
      <c r="BE33" s="466">
        <f t="shared" si="62"/>
        <v>843.8</v>
      </c>
      <c r="BF33" s="466">
        <f t="shared" si="63"/>
        <v>711.36</v>
      </c>
      <c r="BG33" s="466">
        <f t="shared" si="64"/>
        <v>910.16000000000008</v>
      </c>
    </row>
    <row r="34" spans="1:59">
      <c r="A34" s="212" t="s">
        <v>5316</v>
      </c>
      <c r="B34" s="230">
        <v>644924846</v>
      </c>
      <c r="C34" s="209" t="s">
        <v>61</v>
      </c>
      <c r="D34" s="209">
        <v>40</v>
      </c>
      <c r="F34" s="238" t="str" cm="1">
        <f t="array" aca="1" ref="F34" ca="1">MID(met2utc(PEPSSI_Commanding[[#This Row],[MET]]),3,15)</f>
        <v>26-179/03:55:30</v>
      </c>
      <c r="G34" s="212" t="str">
        <f t="shared" si="15"/>
        <v>N2+40</v>
      </c>
      <c r="H34" s="213">
        <f t="shared" si="16"/>
        <v>644923315</v>
      </c>
      <c r="I34" s="213">
        <f t="shared" si="17"/>
        <v>644924995</v>
      </c>
      <c r="J34" s="212">
        <f t="shared" si="18"/>
        <v>6</v>
      </c>
      <c r="K34" s="212">
        <f t="shared" si="19"/>
        <v>4</v>
      </c>
      <c r="M34" s="209">
        <f t="shared" si="20"/>
        <v>10</v>
      </c>
      <c r="N34" s="209">
        <f t="shared" si="21"/>
        <v>40</v>
      </c>
      <c r="O34" s="209">
        <f t="shared" si="22"/>
        <v>300</v>
      </c>
      <c r="P34" s="209">
        <f t="shared" si="23"/>
        <v>1</v>
      </c>
      <c r="Q34" s="209" t="str">
        <f t="shared" si="24"/>
        <v/>
      </c>
      <c r="R34" s="209" t="str">
        <f t="shared" si="25"/>
        <v/>
      </c>
      <c r="S34" s="209" t="str">
        <f t="shared" si="26"/>
        <v/>
      </c>
      <c r="U34" s="466">
        <f t="shared" si="27"/>
        <v>0</v>
      </c>
      <c r="V34" s="466">
        <f t="shared" si="28"/>
        <v>0</v>
      </c>
      <c r="W34" s="466">
        <f t="shared" si="29"/>
        <v>512</v>
      </c>
      <c r="X34" s="466">
        <f t="shared" si="30"/>
        <v>198.8</v>
      </c>
      <c r="Y34" s="466">
        <f t="shared" si="31"/>
        <v>33.25</v>
      </c>
      <c r="Z34" s="466">
        <f t="shared" si="32"/>
        <v>33.25</v>
      </c>
      <c r="AA34" s="466">
        <f t="shared" si="33"/>
        <v>66.36</v>
      </c>
      <c r="AB34" s="242"/>
      <c r="AC34" s="466">
        <f t="shared" si="34"/>
        <v>198.8</v>
      </c>
      <c r="AD34" s="466">
        <f t="shared" si="35"/>
        <v>66.36</v>
      </c>
      <c r="AE34" s="466">
        <f t="shared" si="36"/>
        <v>265.16000000000003</v>
      </c>
      <c r="AF34" s="466">
        <f t="shared" si="37"/>
        <v>33.25</v>
      </c>
      <c r="AG34" s="466">
        <f t="shared" si="38"/>
        <v>232.05</v>
      </c>
      <c r="AH34" s="466">
        <f t="shared" si="39"/>
        <v>99.61</v>
      </c>
      <c r="AI34" s="466">
        <f t="shared" si="40"/>
        <v>298.41000000000003</v>
      </c>
      <c r="AJ34" s="466">
        <f t="shared" si="41"/>
        <v>0</v>
      </c>
      <c r="AK34" s="466">
        <f t="shared" si="42"/>
        <v>198.8</v>
      </c>
      <c r="AL34" s="466">
        <f t="shared" si="43"/>
        <v>66.36</v>
      </c>
      <c r="AM34" s="466">
        <f t="shared" si="44"/>
        <v>265.16000000000003</v>
      </c>
      <c r="AN34" s="466">
        <f t="shared" si="45"/>
        <v>33.25</v>
      </c>
      <c r="AO34" s="466">
        <f t="shared" si="46"/>
        <v>232.05</v>
      </c>
      <c r="AP34" s="466">
        <f t="shared" si="47"/>
        <v>99.61</v>
      </c>
      <c r="AQ34" s="466">
        <f t="shared" si="48"/>
        <v>298.41000000000003</v>
      </c>
      <c r="AR34" s="466">
        <f t="shared" si="49"/>
        <v>512</v>
      </c>
      <c r="AS34" s="466">
        <f t="shared" si="50"/>
        <v>710.8</v>
      </c>
      <c r="AT34" s="466">
        <f t="shared" si="51"/>
        <v>578.36</v>
      </c>
      <c r="AU34" s="466">
        <f t="shared" si="52"/>
        <v>777.16000000000008</v>
      </c>
      <c r="AV34" s="466">
        <f t="shared" si="53"/>
        <v>545.25</v>
      </c>
      <c r="AW34" s="466">
        <f t="shared" si="54"/>
        <v>744.05</v>
      </c>
      <c r="AX34" s="466">
        <f t="shared" si="55"/>
        <v>611.61</v>
      </c>
      <c r="AY34" s="466">
        <f t="shared" si="56"/>
        <v>810.41000000000008</v>
      </c>
      <c r="AZ34" s="466">
        <f t="shared" si="57"/>
        <v>512</v>
      </c>
      <c r="BA34" s="466">
        <f t="shared" si="58"/>
        <v>710.8</v>
      </c>
      <c r="BB34" s="466">
        <f t="shared" si="59"/>
        <v>578.36</v>
      </c>
      <c r="BC34" s="466">
        <f t="shared" si="60"/>
        <v>777.16000000000008</v>
      </c>
      <c r="BD34" s="466">
        <f t="shared" si="61"/>
        <v>545.25</v>
      </c>
      <c r="BE34" s="466">
        <f t="shared" si="62"/>
        <v>744.05</v>
      </c>
      <c r="BF34" s="466">
        <f t="shared" si="63"/>
        <v>611.61</v>
      </c>
      <c r="BG34" s="466">
        <f t="shared" si="64"/>
        <v>810.41000000000008</v>
      </c>
    </row>
    <row r="35" spans="1:59">
      <c r="A35" s="212" t="s">
        <v>5316</v>
      </c>
      <c r="B35" s="230">
        <v>644924847</v>
      </c>
      <c r="C35" s="209" t="s">
        <v>58</v>
      </c>
      <c r="D35" s="209">
        <v>7200</v>
      </c>
      <c r="F35" s="238" t="str" cm="1">
        <f t="array" aca="1" ref="F35" ca="1">MID(met2utc(PEPSSI_Commanding[[#This Row],[MET]]),3,15)</f>
        <v>26-179/03:55:31</v>
      </c>
      <c r="G35" s="212" t="str">
        <f t="shared" si="15"/>
        <v>N3+7200</v>
      </c>
      <c r="H35" s="213">
        <f t="shared" si="16"/>
        <v>644923315</v>
      </c>
      <c r="I35" s="213">
        <f t="shared" si="17"/>
        <v>644924995</v>
      </c>
      <c r="J35" s="212">
        <f t="shared" si="18"/>
        <v>7</v>
      </c>
      <c r="K35" s="212">
        <f t="shared" si="19"/>
        <v>3</v>
      </c>
      <c r="M35" s="209">
        <f t="shared" si="20"/>
        <v>10</v>
      </c>
      <c r="N35" s="209">
        <f t="shared" si="21"/>
        <v>40</v>
      </c>
      <c r="O35" s="209">
        <f t="shared" si="22"/>
        <v>7200</v>
      </c>
      <c r="P35" s="209">
        <f t="shared" si="23"/>
        <v>1</v>
      </c>
      <c r="Q35" s="209" t="str">
        <f t="shared" si="24"/>
        <v/>
      </c>
      <c r="R35" s="209" t="str">
        <f t="shared" si="25"/>
        <v/>
      </c>
      <c r="S35" s="209" t="str">
        <f t="shared" si="26"/>
        <v/>
      </c>
      <c r="U35" s="466">
        <f t="shared" si="27"/>
        <v>0</v>
      </c>
      <c r="V35" s="466">
        <f t="shared" si="28"/>
        <v>0</v>
      </c>
      <c r="W35" s="466">
        <f t="shared" si="29"/>
        <v>512</v>
      </c>
      <c r="X35" s="466">
        <f t="shared" si="30"/>
        <v>198.8</v>
      </c>
      <c r="Y35" s="466">
        <f t="shared" si="31"/>
        <v>33.25</v>
      </c>
      <c r="Z35" s="466">
        <f t="shared" si="32"/>
        <v>33.25</v>
      </c>
      <c r="AA35" s="466">
        <f t="shared" si="33"/>
        <v>2.7650000000000001</v>
      </c>
      <c r="AB35" s="242"/>
      <c r="AC35" s="466">
        <f t="shared" si="34"/>
        <v>198.8</v>
      </c>
      <c r="AD35" s="466">
        <f t="shared" si="35"/>
        <v>2.7650000000000001</v>
      </c>
      <c r="AE35" s="466">
        <f t="shared" si="36"/>
        <v>201.565</v>
      </c>
      <c r="AF35" s="466">
        <f t="shared" si="37"/>
        <v>33.25</v>
      </c>
      <c r="AG35" s="466">
        <f t="shared" si="38"/>
        <v>232.05</v>
      </c>
      <c r="AH35" s="466">
        <f t="shared" si="39"/>
        <v>36.015000000000001</v>
      </c>
      <c r="AI35" s="466">
        <f t="shared" si="40"/>
        <v>234.815</v>
      </c>
      <c r="AJ35" s="466">
        <f t="shared" si="41"/>
        <v>0</v>
      </c>
      <c r="AK35" s="466">
        <f t="shared" si="42"/>
        <v>198.8</v>
      </c>
      <c r="AL35" s="466">
        <f t="shared" si="43"/>
        <v>2.7650000000000001</v>
      </c>
      <c r="AM35" s="466">
        <f t="shared" si="44"/>
        <v>201.565</v>
      </c>
      <c r="AN35" s="466">
        <f t="shared" si="45"/>
        <v>33.25</v>
      </c>
      <c r="AO35" s="466">
        <f t="shared" si="46"/>
        <v>232.05</v>
      </c>
      <c r="AP35" s="466">
        <f t="shared" si="47"/>
        <v>36.015000000000001</v>
      </c>
      <c r="AQ35" s="466">
        <f t="shared" si="48"/>
        <v>234.815</v>
      </c>
      <c r="AR35" s="466">
        <f t="shared" si="49"/>
        <v>512</v>
      </c>
      <c r="AS35" s="466">
        <f t="shared" si="50"/>
        <v>710.8</v>
      </c>
      <c r="AT35" s="466">
        <f t="shared" si="51"/>
        <v>514.76499999999999</v>
      </c>
      <c r="AU35" s="466">
        <f t="shared" si="52"/>
        <v>713.56500000000005</v>
      </c>
      <c r="AV35" s="466">
        <f t="shared" si="53"/>
        <v>545.25</v>
      </c>
      <c r="AW35" s="466">
        <f t="shared" si="54"/>
        <v>744.05</v>
      </c>
      <c r="AX35" s="466">
        <f t="shared" si="55"/>
        <v>548.01499999999999</v>
      </c>
      <c r="AY35" s="466">
        <f t="shared" si="56"/>
        <v>746.81500000000005</v>
      </c>
      <c r="AZ35" s="466">
        <f t="shared" si="57"/>
        <v>512</v>
      </c>
      <c r="BA35" s="466">
        <f t="shared" si="58"/>
        <v>710.8</v>
      </c>
      <c r="BB35" s="466">
        <f t="shared" si="59"/>
        <v>514.76499999999999</v>
      </c>
      <c r="BC35" s="466">
        <f t="shared" si="60"/>
        <v>713.56500000000005</v>
      </c>
      <c r="BD35" s="466">
        <f t="shared" si="61"/>
        <v>545.25</v>
      </c>
      <c r="BE35" s="466">
        <f t="shared" si="62"/>
        <v>744.05</v>
      </c>
      <c r="BF35" s="466">
        <f t="shared" si="63"/>
        <v>548.01499999999999</v>
      </c>
      <c r="BG35" s="466">
        <f t="shared" si="64"/>
        <v>746.81500000000005</v>
      </c>
    </row>
    <row r="36" spans="1:59">
      <c r="A36" s="212" t="s">
        <v>5316</v>
      </c>
      <c r="B36" s="230">
        <v>644924848</v>
      </c>
      <c r="C36" s="209" t="s">
        <v>1</v>
      </c>
      <c r="D36" s="209">
        <v>3600</v>
      </c>
      <c r="F36" s="238" t="str" cm="1">
        <f t="array" aca="1" ref="F36" ca="1">MID(met2utc(PEPSSI_Commanding[[#This Row],[MET]]),3,15)</f>
        <v>26-179/03:55:32</v>
      </c>
      <c r="G36" s="212" t="str">
        <f t="shared" si="15"/>
        <v>N1+3600</v>
      </c>
      <c r="H36" s="213">
        <f t="shared" si="16"/>
        <v>644923315</v>
      </c>
      <c r="I36" s="213">
        <f t="shared" si="17"/>
        <v>644924995</v>
      </c>
      <c r="J36" s="212">
        <f t="shared" si="18"/>
        <v>8</v>
      </c>
      <c r="K36" s="212">
        <f t="shared" si="19"/>
        <v>2</v>
      </c>
      <c r="M36" s="209">
        <f t="shared" si="20"/>
        <v>3600</v>
      </c>
      <c r="N36" s="209">
        <f t="shared" si="21"/>
        <v>40</v>
      </c>
      <c r="O36" s="209">
        <f t="shared" si="22"/>
        <v>7200</v>
      </c>
      <c r="P36" s="209">
        <f t="shared" si="23"/>
        <v>1</v>
      </c>
      <c r="Q36" s="209" t="str">
        <f t="shared" si="24"/>
        <v/>
      </c>
      <c r="R36" s="209" t="str">
        <f t="shared" si="25"/>
        <v/>
      </c>
      <c r="S36" s="209" t="str">
        <f t="shared" si="26"/>
        <v/>
      </c>
      <c r="U36" s="466">
        <f t="shared" si="27"/>
        <v>0</v>
      </c>
      <c r="V36" s="466">
        <f t="shared" si="28"/>
        <v>0</v>
      </c>
      <c r="W36" s="466">
        <f t="shared" si="29"/>
        <v>512</v>
      </c>
      <c r="X36" s="466">
        <f t="shared" si="30"/>
        <v>0.55222222222222217</v>
      </c>
      <c r="Y36" s="466">
        <f t="shared" si="31"/>
        <v>33.25</v>
      </c>
      <c r="Z36" s="466">
        <f t="shared" si="32"/>
        <v>33.25</v>
      </c>
      <c r="AA36" s="466">
        <f t="shared" si="33"/>
        <v>2.7650000000000001</v>
      </c>
      <c r="AB36" s="242"/>
      <c r="AC36" s="466">
        <f t="shared" si="34"/>
        <v>0.55222222222222217</v>
      </c>
      <c r="AD36" s="466">
        <f t="shared" si="35"/>
        <v>2.7650000000000001</v>
      </c>
      <c r="AE36" s="466">
        <f t="shared" si="36"/>
        <v>3.3172222222222221</v>
      </c>
      <c r="AF36" s="466">
        <f t="shared" si="37"/>
        <v>33.25</v>
      </c>
      <c r="AG36" s="466">
        <f t="shared" si="38"/>
        <v>33.80222222222222</v>
      </c>
      <c r="AH36" s="466">
        <f t="shared" si="39"/>
        <v>36.015000000000001</v>
      </c>
      <c r="AI36" s="466">
        <f t="shared" si="40"/>
        <v>36.56722222222222</v>
      </c>
      <c r="AJ36" s="466">
        <f t="shared" si="41"/>
        <v>0</v>
      </c>
      <c r="AK36" s="466">
        <f t="shared" si="42"/>
        <v>0.55222222222222217</v>
      </c>
      <c r="AL36" s="466">
        <f t="shared" si="43"/>
        <v>2.7650000000000001</v>
      </c>
      <c r="AM36" s="466">
        <f t="shared" si="44"/>
        <v>3.3172222222222221</v>
      </c>
      <c r="AN36" s="466">
        <f t="shared" si="45"/>
        <v>33.25</v>
      </c>
      <c r="AO36" s="466">
        <f t="shared" si="46"/>
        <v>33.80222222222222</v>
      </c>
      <c r="AP36" s="466">
        <f t="shared" si="47"/>
        <v>36.015000000000001</v>
      </c>
      <c r="AQ36" s="466">
        <f t="shared" si="48"/>
        <v>36.56722222222222</v>
      </c>
      <c r="AR36" s="466">
        <f t="shared" si="49"/>
        <v>512</v>
      </c>
      <c r="AS36" s="466">
        <f t="shared" si="50"/>
        <v>512.55222222222221</v>
      </c>
      <c r="AT36" s="466">
        <f t="shared" si="51"/>
        <v>514.76499999999999</v>
      </c>
      <c r="AU36" s="466">
        <f t="shared" si="52"/>
        <v>515.3172222222222</v>
      </c>
      <c r="AV36" s="466">
        <f t="shared" si="53"/>
        <v>545.25</v>
      </c>
      <c r="AW36" s="466">
        <f t="shared" si="54"/>
        <v>545.80222222222221</v>
      </c>
      <c r="AX36" s="466">
        <f t="shared" si="55"/>
        <v>548.01499999999999</v>
      </c>
      <c r="AY36" s="466">
        <f t="shared" si="56"/>
        <v>548.5672222222222</v>
      </c>
      <c r="AZ36" s="466">
        <f t="shared" si="57"/>
        <v>512</v>
      </c>
      <c r="BA36" s="466">
        <f t="shared" si="58"/>
        <v>512.55222222222221</v>
      </c>
      <c r="BB36" s="466">
        <f t="shared" si="59"/>
        <v>514.76499999999999</v>
      </c>
      <c r="BC36" s="466">
        <f t="shared" si="60"/>
        <v>515.3172222222222</v>
      </c>
      <c r="BD36" s="466">
        <f t="shared" si="61"/>
        <v>545.25</v>
      </c>
      <c r="BE36" s="466">
        <f t="shared" si="62"/>
        <v>545.80222222222221</v>
      </c>
      <c r="BF36" s="466">
        <f t="shared" si="63"/>
        <v>548.01499999999999</v>
      </c>
      <c r="BG36" s="466">
        <f t="shared" si="64"/>
        <v>548.5672222222222</v>
      </c>
    </row>
    <row r="37" spans="1:59">
      <c r="A37" s="212" t="s">
        <v>5317</v>
      </c>
      <c r="B37" s="230">
        <v>644924849</v>
      </c>
      <c r="C37" s="209" t="s">
        <v>5284</v>
      </c>
      <c r="D37" s="209">
        <v>300</v>
      </c>
      <c r="F37" s="238" t="str" cm="1">
        <f t="array" aca="1" ref="F37" ca="1">MID(met2utc(PEPSSI_Commanding[[#This Row],[MET]]),3,15)</f>
        <v>26-179/03:55:33</v>
      </c>
      <c r="G37" s="212" t="str">
        <f t="shared" si="15"/>
        <v>STAT+300</v>
      </c>
      <c r="H37" s="213">
        <f t="shared" si="16"/>
        <v>644923315</v>
      </c>
      <c r="I37" s="213">
        <f t="shared" si="17"/>
        <v>644924995</v>
      </c>
      <c r="J37" s="212">
        <f t="shared" si="18"/>
        <v>9</v>
      </c>
      <c r="K37" s="212">
        <f t="shared" si="19"/>
        <v>1</v>
      </c>
      <c r="M37" s="209">
        <f t="shared" si="20"/>
        <v>3600</v>
      </c>
      <c r="N37" s="209">
        <f t="shared" si="21"/>
        <v>40</v>
      </c>
      <c r="O37" s="209">
        <f t="shared" si="22"/>
        <v>7200</v>
      </c>
      <c r="P37" s="209">
        <f t="shared" si="23"/>
        <v>300</v>
      </c>
      <c r="Q37" s="209" t="str">
        <f t="shared" si="24"/>
        <v/>
      </c>
      <c r="R37" s="209" t="str">
        <f t="shared" si="25"/>
        <v/>
      </c>
      <c r="S37" s="209" t="str">
        <f t="shared" si="26"/>
        <v/>
      </c>
      <c r="U37" s="466">
        <f t="shared" si="27"/>
        <v>0</v>
      </c>
      <c r="V37" s="466">
        <f t="shared" si="28"/>
        <v>0</v>
      </c>
      <c r="W37" s="466">
        <f t="shared" si="29"/>
        <v>1.7066666666666668</v>
      </c>
      <c r="X37" s="466">
        <f t="shared" si="30"/>
        <v>0.55222222222222217</v>
      </c>
      <c r="Y37" s="466">
        <f t="shared" si="31"/>
        <v>33.25</v>
      </c>
      <c r="Z37" s="466">
        <f t="shared" si="32"/>
        <v>33.25</v>
      </c>
      <c r="AA37" s="466">
        <f t="shared" si="33"/>
        <v>2.7650000000000001</v>
      </c>
      <c r="AB37" s="242"/>
      <c r="AC37" s="466">
        <f t="shared" si="34"/>
        <v>0.55222222222222217</v>
      </c>
      <c r="AD37" s="466">
        <f t="shared" si="35"/>
        <v>2.7650000000000001</v>
      </c>
      <c r="AE37" s="466">
        <f t="shared" si="36"/>
        <v>3.3172222222222221</v>
      </c>
      <c r="AF37" s="466">
        <f t="shared" si="37"/>
        <v>33.25</v>
      </c>
      <c r="AG37" s="466">
        <f t="shared" si="38"/>
        <v>33.80222222222222</v>
      </c>
      <c r="AH37" s="466">
        <f t="shared" si="39"/>
        <v>36.015000000000001</v>
      </c>
      <c r="AI37" s="466">
        <f t="shared" si="40"/>
        <v>36.56722222222222</v>
      </c>
      <c r="AJ37" s="466">
        <f t="shared" si="41"/>
        <v>0</v>
      </c>
      <c r="AK37" s="466">
        <f t="shared" si="42"/>
        <v>0.55222222222222217</v>
      </c>
      <c r="AL37" s="466">
        <f t="shared" si="43"/>
        <v>2.7650000000000001</v>
      </c>
      <c r="AM37" s="466">
        <f t="shared" si="44"/>
        <v>3.3172222222222221</v>
      </c>
      <c r="AN37" s="466">
        <f t="shared" si="45"/>
        <v>33.25</v>
      </c>
      <c r="AO37" s="466">
        <f t="shared" si="46"/>
        <v>33.80222222222222</v>
      </c>
      <c r="AP37" s="466">
        <f t="shared" si="47"/>
        <v>36.015000000000001</v>
      </c>
      <c r="AQ37" s="466">
        <f t="shared" si="48"/>
        <v>36.56722222222222</v>
      </c>
      <c r="AR37" s="466">
        <f t="shared" si="49"/>
        <v>1.7066666666666668</v>
      </c>
      <c r="AS37" s="466">
        <f t="shared" si="50"/>
        <v>2.2588888888888889</v>
      </c>
      <c r="AT37" s="466">
        <f t="shared" si="51"/>
        <v>4.4716666666666667</v>
      </c>
      <c r="AU37" s="466">
        <f t="shared" si="52"/>
        <v>5.0238888888888891</v>
      </c>
      <c r="AV37" s="466">
        <f t="shared" si="53"/>
        <v>34.956666666666663</v>
      </c>
      <c r="AW37" s="466">
        <f t="shared" si="54"/>
        <v>35.508888888888883</v>
      </c>
      <c r="AX37" s="466">
        <f t="shared" si="55"/>
        <v>37.721666666666664</v>
      </c>
      <c r="AY37" s="466">
        <f t="shared" si="56"/>
        <v>38.273888888888884</v>
      </c>
      <c r="AZ37" s="466">
        <f t="shared" si="57"/>
        <v>1.7066666666666668</v>
      </c>
      <c r="BA37" s="466">
        <f t="shared" si="58"/>
        <v>2.2588888888888889</v>
      </c>
      <c r="BB37" s="466">
        <f t="shared" si="59"/>
        <v>4.4716666666666667</v>
      </c>
      <c r="BC37" s="466">
        <f t="shared" si="60"/>
        <v>5.0238888888888891</v>
      </c>
      <c r="BD37" s="466">
        <f t="shared" si="61"/>
        <v>34.956666666666663</v>
      </c>
      <c r="BE37" s="466">
        <f t="shared" si="62"/>
        <v>35.508888888888883</v>
      </c>
      <c r="BF37" s="466">
        <f t="shared" si="63"/>
        <v>37.721666666666664</v>
      </c>
      <c r="BG37" s="466">
        <f t="shared" si="64"/>
        <v>38.273888888888884</v>
      </c>
    </row>
    <row r="38" spans="1:59">
      <c r="A38" s="212" t="s">
        <v>5316</v>
      </c>
      <c r="B38" s="230">
        <v>644924995</v>
      </c>
      <c r="C38" s="209" t="s">
        <v>61</v>
      </c>
      <c r="D38" s="209">
        <v>360</v>
      </c>
      <c r="F38" s="238" t="str" cm="1">
        <f t="array" aca="1" ref="F38" ca="1">MID(met2utc(PEPSSI_Commanding[[#This Row],[MET]]),3,15)</f>
        <v>26-179/03:57:59</v>
      </c>
      <c r="G38" s="212" t="str">
        <f t="shared" si="15"/>
        <v>N2+360</v>
      </c>
      <c r="H38" s="213">
        <f t="shared" si="16"/>
        <v>644924995</v>
      </c>
      <c r="I38" s="213">
        <f t="shared" si="17"/>
        <v>646883515</v>
      </c>
      <c r="J38" s="212">
        <f t="shared" si="18"/>
        <v>10</v>
      </c>
      <c r="K38" s="212">
        <f t="shared" si="19"/>
        <v>7</v>
      </c>
      <c r="M38" s="209">
        <f t="shared" si="20"/>
        <v>3600</v>
      </c>
      <c r="N38" s="209">
        <f t="shared" si="21"/>
        <v>360</v>
      </c>
      <c r="O38" s="209">
        <f t="shared" si="22"/>
        <v>7200</v>
      </c>
      <c r="P38" s="209">
        <f t="shared" si="23"/>
        <v>300</v>
      </c>
      <c r="Q38" s="209" t="str">
        <f t="shared" si="24"/>
        <v/>
      </c>
      <c r="R38" s="209" t="str">
        <f t="shared" si="25"/>
        <v/>
      </c>
      <c r="S38" s="209" t="str">
        <f t="shared" si="26"/>
        <v/>
      </c>
      <c r="U38" s="466">
        <f t="shared" si="27"/>
        <v>0</v>
      </c>
      <c r="V38" s="466">
        <f t="shared" si="28"/>
        <v>0</v>
      </c>
      <c r="W38" s="466">
        <f t="shared" si="29"/>
        <v>1.7066666666666668</v>
      </c>
      <c r="X38" s="466">
        <f t="shared" si="30"/>
        <v>0.55222222222222217</v>
      </c>
      <c r="Y38" s="466">
        <f t="shared" si="31"/>
        <v>3.6944444444444446</v>
      </c>
      <c r="Z38" s="466">
        <f t="shared" si="32"/>
        <v>3.6944444444444446</v>
      </c>
      <c r="AA38" s="466">
        <f t="shared" si="33"/>
        <v>2.7650000000000001</v>
      </c>
      <c r="AB38" s="242"/>
      <c r="AC38" s="466">
        <f t="shared" si="34"/>
        <v>0.55222222222222217</v>
      </c>
      <c r="AD38" s="466">
        <f t="shared" si="35"/>
        <v>2.7650000000000001</v>
      </c>
      <c r="AE38" s="466">
        <f t="shared" si="36"/>
        <v>3.3172222222222221</v>
      </c>
      <c r="AF38" s="466">
        <f t="shared" si="37"/>
        <v>3.6944444444444446</v>
      </c>
      <c r="AG38" s="466">
        <f t="shared" si="38"/>
        <v>4.246666666666667</v>
      </c>
      <c r="AH38" s="466">
        <f t="shared" si="39"/>
        <v>6.4594444444444452</v>
      </c>
      <c r="AI38" s="466">
        <f t="shared" si="40"/>
        <v>7.0116666666666676</v>
      </c>
      <c r="AJ38" s="466">
        <f t="shared" si="41"/>
        <v>0</v>
      </c>
      <c r="AK38" s="466">
        <f t="shared" si="42"/>
        <v>0.55222222222222217</v>
      </c>
      <c r="AL38" s="466">
        <f t="shared" si="43"/>
        <v>2.7650000000000001</v>
      </c>
      <c r="AM38" s="466">
        <f t="shared" si="44"/>
        <v>3.3172222222222221</v>
      </c>
      <c r="AN38" s="466">
        <f t="shared" si="45"/>
        <v>3.6944444444444446</v>
      </c>
      <c r="AO38" s="466">
        <f t="shared" si="46"/>
        <v>4.246666666666667</v>
      </c>
      <c r="AP38" s="466">
        <f t="shared" si="47"/>
        <v>6.4594444444444452</v>
      </c>
      <c r="AQ38" s="466">
        <f t="shared" si="48"/>
        <v>7.0116666666666676</v>
      </c>
      <c r="AR38" s="466">
        <f t="shared" si="49"/>
        <v>1.7066666666666668</v>
      </c>
      <c r="AS38" s="466">
        <f t="shared" si="50"/>
        <v>2.2588888888888889</v>
      </c>
      <c r="AT38" s="466">
        <f t="shared" si="51"/>
        <v>4.4716666666666667</v>
      </c>
      <c r="AU38" s="466">
        <f t="shared" si="52"/>
        <v>5.0238888888888891</v>
      </c>
      <c r="AV38" s="466">
        <f t="shared" si="53"/>
        <v>5.4011111111111116</v>
      </c>
      <c r="AW38" s="466">
        <f t="shared" si="54"/>
        <v>5.953333333333334</v>
      </c>
      <c r="AX38" s="466">
        <f t="shared" si="55"/>
        <v>8.1661111111111122</v>
      </c>
      <c r="AY38" s="466">
        <f t="shared" si="56"/>
        <v>8.7183333333333337</v>
      </c>
      <c r="AZ38" s="466">
        <f t="shared" si="57"/>
        <v>1.7066666666666668</v>
      </c>
      <c r="BA38" s="466">
        <f t="shared" si="58"/>
        <v>2.2588888888888889</v>
      </c>
      <c r="BB38" s="466">
        <f t="shared" si="59"/>
        <v>4.4716666666666667</v>
      </c>
      <c r="BC38" s="466">
        <f t="shared" si="60"/>
        <v>5.0238888888888891</v>
      </c>
      <c r="BD38" s="466">
        <f t="shared" si="61"/>
        <v>5.4011111111111116</v>
      </c>
      <c r="BE38" s="466">
        <f t="shared" si="62"/>
        <v>5.953333333333334</v>
      </c>
      <c r="BF38" s="466">
        <f t="shared" si="63"/>
        <v>8.1661111111111122</v>
      </c>
      <c r="BG38" s="466">
        <f t="shared" si="64"/>
        <v>8.7183333333333337</v>
      </c>
    </row>
    <row r="39" spans="1:59">
      <c r="A39" s="212" t="s">
        <v>5316</v>
      </c>
      <c r="B39" s="230">
        <v>644924998</v>
      </c>
      <c r="C39" s="209" t="s">
        <v>1</v>
      </c>
      <c r="D39" s="209">
        <v>360</v>
      </c>
      <c r="F39" s="238" t="str" cm="1">
        <f t="array" aca="1" ref="F39" ca="1">MID(met2utc(PEPSSI_Commanding[[#This Row],[MET]]),3,15)</f>
        <v>26-179/03:58:02</v>
      </c>
      <c r="G39" s="212" t="str">
        <f t="shared" si="15"/>
        <v>N1+360</v>
      </c>
      <c r="H39" s="213">
        <f t="shared" si="16"/>
        <v>644924995</v>
      </c>
      <c r="I39" s="213">
        <f t="shared" si="17"/>
        <v>646883515</v>
      </c>
      <c r="J39" s="212">
        <f t="shared" si="18"/>
        <v>11</v>
      </c>
      <c r="K39" s="212">
        <f t="shared" si="19"/>
        <v>6</v>
      </c>
      <c r="M39" s="209">
        <f t="shared" si="20"/>
        <v>360</v>
      </c>
      <c r="N39" s="209">
        <f t="shared" si="21"/>
        <v>360</v>
      </c>
      <c r="O39" s="209">
        <f t="shared" si="22"/>
        <v>7200</v>
      </c>
      <c r="P39" s="209">
        <f t="shared" si="23"/>
        <v>300</v>
      </c>
      <c r="Q39" s="209" t="str">
        <f t="shared" si="24"/>
        <v/>
      </c>
      <c r="R39" s="209" t="str">
        <f t="shared" si="25"/>
        <v/>
      </c>
      <c r="S39" s="209" t="str">
        <f t="shared" si="26"/>
        <v/>
      </c>
      <c r="U39" s="466">
        <f t="shared" si="27"/>
        <v>0</v>
      </c>
      <c r="V39" s="466">
        <f t="shared" si="28"/>
        <v>0</v>
      </c>
      <c r="W39" s="466">
        <f t="shared" si="29"/>
        <v>1.7066666666666668</v>
      </c>
      <c r="X39" s="466">
        <f t="shared" si="30"/>
        <v>5.5222222222222221</v>
      </c>
      <c r="Y39" s="466">
        <f t="shared" si="31"/>
        <v>3.6944444444444446</v>
      </c>
      <c r="Z39" s="466">
        <f t="shared" si="32"/>
        <v>3.6944444444444446</v>
      </c>
      <c r="AA39" s="466">
        <f t="shared" si="33"/>
        <v>2.7650000000000001</v>
      </c>
      <c r="AB39" s="242"/>
      <c r="AC39" s="466">
        <f t="shared" si="34"/>
        <v>5.5222222222222221</v>
      </c>
      <c r="AD39" s="466">
        <f t="shared" si="35"/>
        <v>2.7650000000000001</v>
      </c>
      <c r="AE39" s="466">
        <f t="shared" si="36"/>
        <v>8.2872222222222227</v>
      </c>
      <c r="AF39" s="466">
        <f t="shared" si="37"/>
        <v>3.6944444444444446</v>
      </c>
      <c r="AG39" s="466">
        <f t="shared" si="38"/>
        <v>9.2166666666666668</v>
      </c>
      <c r="AH39" s="466">
        <f t="shared" si="39"/>
        <v>6.4594444444444452</v>
      </c>
      <c r="AI39" s="466">
        <f t="shared" si="40"/>
        <v>11.981666666666667</v>
      </c>
      <c r="AJ39" s="466">
        <f t="shared" si="41"/>
        <v>0</v>
      </c>
      <c r="AK39" s="466">
        <f t="shared" si="42"/>
        <v>5.5222222222222221</v>
      </c>
      <c r="AL39" s="466">
        <f t="shared" si="43"/>
        <v>2.7650000000000001</v>
      </c>
      <c r="AM39" s="466">
        <f t="shared" si="44"/>
        <v>8.2872222222222227</v>
      </c>
      <c r="AN39" s="466">
        <f t="shared" si="45"/>
        <v>3.6944444444444446</v>
      </c>
      <c r="AO39" s="466">
        <f t="shared" si="46"/>
        <v>9.2166666666666668</v>
      </c>
      <c r="AP39" s="466">
        <f t="shared" si="47"/>
        <v>6.4594444444444452</v>
      </c>
      <c r="AQ39" s="466">
        <f t="shared" si="48"/>
        <v>11.981666666666667</v>
      </c>
      <c r="AR39" s="466">
        <f t="shared" si="49"/>
        <v>1.7066666666666668</v>
      </c>
      <c r="AS39" s="466">
        <f t="shared" si="50"/>
        <v>7.2288888888888891</v>
      </c>
      <c r="AT39" s="466">
        <f t="shared" si="51"/>
        <v>4.4716666666666667</v>
      </c>
      <c r="AU39" s="466">
        <f t="shared" si="52"/>
        <v>9.9938888888888897</v>
      </c>
      <c r="AV39" s="466">
        <f t="shared" si="53"/>
        <v>5.4011111111111116</v>
      </c>
      <c r="AW39" s="466">
        <f t="shared" si="54"/>
        <v>10.923333333333334</v>
      </c>
      <c r="AX39" s="466">
        <f t="shared" si="55"/>
        <v>8.1661111111111122</v>
      </c>
      <c r="AY39" s="466">
        <f t="shared" si="56"/>
        <v>13.688333333333334</v>
      </c>
      <c r="AZ39" s="466">
        <f t="shared" si="57"/>
        <v>1.7066666666666668</v>
      </c>
      <c r="BA39" s="466">
        <f t="shared" si="58"/>
        <v>7.2288888888888891</v>
      </c>
      <c r="BB39" s="466">
        <f t="shared" si="59"/>
        <v>4.4716666666666667</v>
      </c>
      <c r="BC39" s="466">
        <f t="shared" si="60"/>
        <v>9.9938888888888897</v>
      </c>
      <c r="BD39" s="466">
        <f t="shared" si="61"/>
        <v>5.4011111111111116</v>
      </c>
      <c r="BE39" s="466">
        <f t="shared" si="62"/>
        <v>10.923333333333334</v>
      </c>
      <c r="BF39" s="466">
        <f t="shared" si="63"/>
        <v>8.1661111111111122</v>
      </c>
      <c r="BG39" s="466">
        <f t="shared" si="64"/>
        <v>13.688333333333334</v>
      </c>
    </row>
    <row r="40" spans="1:59">
      <c r="A40" s="212" t="s">
        <v>5316</v>
      </c>
      <c r="B40" s="230">
        <v>644925001</v>
      </c>
      <c r="C40" s="209" t="s">
        <v>58</v>
      </c>
      <c r="D40" s="209">
        <v>900</v>
      </c>
      <c r="F40" s="238" t="str" cm="1">
        <f t="array" aca="1" ref="F40" ca="1">MID(met2utc(PEPSSI_Commanding[[#This Row],[MET]]),3,15)</f>
        <v>26-179/03:58:05</v>
      </c>
      <c r="G40" s="212" t="str">
        <f t="shared" si="15"/>
        <v>N3+900</v>
      </c>
      <c r="H40" s="213">
        <f t="shared" si="16"/>
        <v>644924995</v>
      </c>
      <c r="I40" s="213">
        <f t="shared" si="17"/>
        <v>646883515</v>
      </c>
      <c r="J40" s="212">
        <f t="shared" si="18"/>
        <v>12</v>
      </c>
      <c r="K40" s="212">
        <f t="shared" si="19"/>
        <v>5</v>
      </c>
      <c r="M40" s="209">
        <f t="shared" si="20"/>
        <v>360</v>
      </c>
      <c r="N40" s="209">
        <f t="shared" si="21"/>
        <v>360</v>
      </c>
      <c r="O40" s="209">
        <f t="shared" si="22"/>
        <v>900</v>
      </c>
      <c r="P40" s="209">
        <f t="shared" si="23"/>
        <v>300</v>
      </c>
      <c r="Q40" s="209" t="str">
        <f t="shared" si="24"/>
        <v/>
      </c>
      <c r="R40" s="209" t="str">
        <f t="shared" si="25"/>
        <v/>
      </c>
      <c r="S40" s="209" t="str">
        <f t="shared" si="26"/>
        <v/>
      </c>
      <c r="U40" s="466">
        <f t="shared" si="27"/>
        <v>0</v>
      </c>
      <c r="V40" s="466">
        <f t="shared" si="28"/>
        <v>0</v>
      </c>
      <c r="W40" s="466">
        <f t="shared" si="29"/>
        <v>1.7066666666666668</v>
      </c>
      <c r="X40" s="466">
        <f t="shared" si="30"/>
        <v>5.5222222222222221</v>
      </c>
      <c r="Y40" s="466">
        <f t="shared" si="31"/>
        <v>3.6944444444444446</v>
      </c>
      <c r="Z40" s="466">
        <f t="shared" si="32"/>
        <v>3.6944444444444446</v>
      </c>
      <c r="AA40" s="466">
        <f t="shared" si="33"/>
        <v>22.12</v>
      </c>
      <c r="AB40" s="242"/>
      <c r="AC40" s="466">
        <f t="shared" si="34"/>
        <v>5.5222222222222221</v>
      </c>
      <c r="AD40" s="466">
        <f t="shared" si="35"/>
        <v>22.12</v>
      </c>
      <c r="AE40" s="466">
        <f t="shared" si="36"/>
        <v>27.642222222222223</v>
      </c>
      <c r="AF40" s="466">
        <f t="shared" si="37"/>
        <v>3.6944444444444446</v>
      </c>
      <c r="AG40" s="466">
        <f t="shared" si="38"/>
        <v>9.2166666666666668</v>
      </c>
      <c r="AH40" s="466">
        <f t="shared" si="39"/>
        <v>25.814444444444447</v>
      </c>
      <c r="AI40" s="466">
        <f t="shared" si="40"/>
        <v>31.33666666666667</v>
      </c>
      <c r="AJ40" s="466">
        <f t="shared" si="41"/>
        <v>0</v>
      </c>
      <c r="AK40" s="466">
        <f t="shared" si="42"/>
        <v>5.5222222222222221</v>
      </c>
      <c r="AL40" s="466">
        <f t="shared" si="43"/>
        <v>22.12</v>
      </c>
      <c r="AM40" s="466">
        <f t="shared" si="44"/>
        <v>27.642222222222223</v>
      </c>
      <c r="AN40" s="466">
        <f t="shared" si="45"/>
        <v>3.6944444444444446</v>
      </c>
      <c r="AO40" s="466">
        <f t="shared" si="46"/>
        <v>9.2166666666666668</v>
      </c>
      <c r="AP40" s="466">
        <f t="shared" si="47"/>
        <v>25.814444444444447</v>
      </c>
      <c r="AQ40" s="466">
        <f t="shared" si="48"/>
        <v>31.33666666666667</v>
      </c>
      <c r="AR40" s="466">
        <f t="shared" si="49"/>
        <v>1.7066666666666668</v>
      </c>
      <c r="AS40" s="466">
        <f t="shared" si="50"/>
        <v>7.2288888888888891</v>
      </c>
      <c r="AT40" s="466">
        <f t="shared" si="51"/>
        <v>23.826666666666668</v>
      </c>
      <c r="AU40" s="466">
        <f t="shared" si="52"/>
        <v>29.34888888888889</v>
      </c>
      <c r="AV40" s="466">
        <f t="shared" si="53"/>
        <v>5.4011111111111116</v>
      </c>
      <c r="AW40" s="466">
        <f t="shared" si="54"/>
        <v>10.923333333333334</v>
      </c>
      <c r="AX40" s="466">
        <f t="shared" si="55"/>
        <v>27.521111111111111</v>
      </c>
      <c r="AY40" s="466">
        <f t="shared" si="56"/>
        <v>33.043333333333337</v>
      </c>
      <c r="AZ40" s="466">
        <f t="shared" si="57"/>
        <v>1.7066666666666668</v>
      </c>
      <c r="BA40" s="466">
        <f t="shared" si="58"/>
        <v>7.2288888888888891</v>
      </c>
      <c r="BB40" s="466">
        <f t="shared" si="59"/>
        <v>23.826666666666668</v>
      </c>
      <c r="BC40" s="466">
        <f t="shared" si="60"/>
        <v>29.34888888888889</v>
      </c>
      <c r="BD40" s="466">
        <f t="shared" si="61"/>
        <v>5.4011111111111116</v>
      </c>
      <c r="BE40" s="466">
        <f t="shared" si="62"/>
        <v>10.923333333333334</v>
      </c>
      <c r="BF40" s="466">
        <f t="shared" si="63"/>
        <v>27.521111111111111</v>
      </c>
      <c r="BG40" s="466">
        <f t="shared" si="64"/>
        <v>33.043333333333337</v>
      </c>
    </row>
    <row r="41" spans="1:59">
      <c r="A41" s="212" t="s">
        <v>5317</v>
      </c>
      <c r="B41" s="230">
        <v>644925004</v>
      </c>
      <c r="C41" s="209" t="s">
        <v>5284</v>
      </c>
      <c r="D41" s="209">
        <v>1800</v>
      </c>
      <c r="F41" s="238" t="str" cm="1">
        <f t="array" aca="1" ref="F41" ca="1">MID(met2utc(PEPSSI_Commanding[[#This Row],[MET]]),3,15)</f>
        <v>26-179/03:58:08</v>
      </c>
      <c r="G41" s="212" t="str">
        <f t="shared" si="15"/>
        <v>STAT+1800</v>
      </c>
      <c r="H41" s="213">
        <f t="shared" si="16"/>
        <v>644924995</v>
      </c>
      <c r="I41" s="213">
        <f t="shared" si="17"/>
        <v>646883515</v>
      </c>
      <c r="J41" s="212">
        <f t="shared" si="18"/>
        <v>13</v>
      </c>
      <c r="K41" s="212">
        <f t="shared" si="19"/>
        <v>4</v>
      </c>
      <c r="M41" s="209">
        <f t="shared" si="20"/>
        <v>360</v>
      </c>
      <c r="N41" s="209">
        <f t="shared" si="21"/>
        <v>360</v>
      </c>
      <c r="O41" s="209">
        <f t="shared" si="22"/>
        <v>900</v>
      </c>
      <c r="P41" s="209">
        <f t="shared" si="23"/>
        <v>1800</v>
      </c>
      <c r="Q41" s="209" t="str">
        <f t="shared" si="24"/>
        <v/>
      </c>
      <c r="R41" s="209" t="str">
        <f t="shared" si="25"/>
        <v/>
      </c>
      <c r="S41" s="209" t="str">
        <f t="shared" si="26"/>
        <v/>
      </c>
      <c r="U41" s="466">
        <f t="shared" si="27"/>
        <v>0</v>
      </c>
      <c r="V41" s="466">
        <f t="shared" si="28"/>
        <v>0</v>
      </c>
      <c r="W41" s="466">
        <f t="shared" si="29"/>
        <v>0.28444444444444444</v>
      </c>
      <c r="X41" s="466">
        <f t="shared" si="30"/>
        <v>5.5222222222222221</v>
      </c>
      <c r="Y41" s="466">
        <f t="shared" si="31"/>
        <v>3.6944444444444446</v>
      </c>
      <c r="Z41" s="466">
        <f t="shared" si="32"/>
        <v>3.6944444444444446</v>
      </c>
      <c r="AA41" s="466">
        <f t="shared" si="33"/>
        <v>22.12</v>
      </c>
      <c r="AB41" s="242"/>
      <c r="AC41" s="466">
        <f t="shared" si="34"/>
        <v>5.5222222222222221</v>
      </c>
      <c r="AD41" s="466">
        <f t="shared" si="35"/>
        <v>22.12</v>
      </c>
      <c r="AE41" s="466">
        <f t="shared" si="36"/>
        <v>27.642222222222223</v>
      </c>
      <c r="AF41" s="466">
        <f t="shared" si="37"/>
        <v>3.6944444444444446</v>
      </c>
      <c r="AG41" s="466">
        <f t="shared" si="38"/>
        <v>9.2166666666666668</v>
      </c>
      <c r="AH41" s="466">
        <f t="shared" si="39"/>
        <v>25.814444444444447</v>
      </c>
      <c r="AI41" s="466">
        <f t="shared" si="40"/>
        <v>31.33666666666667</v>
      </c>
      <c r="AJ41" s="466">
        <f t="shared" si="41"/>
        <v>0</v>
      </c>
      <c r="AK41" s="466">
        <f t="shared" si="42"/>
        <v>5.5222222222222221</v>
      </c>
      <c r="AL41" s="466">
        <f t="shared" si="43"/>
        <v>22.12</v>
      </c>
      <c r="AM41" s="466">
        <f t="shared" si="44"/>
        <v>27.642222222222223</v>
      </c>
      <c r="AN41" s="466">
        <f t="shared" si="45"/>
        <v>3.6944444444444446</v>
      </c>
      <c r="AO41" s="466">
        <f t="shared" si="46"/>
        <v>9.2166666666666668</v>
      </c>
      <c r="AP41" s="466">
        <f t="shared" si="47"/>
        <v>25.814444444444447</v>
      </c>
      <c r="AQ41" s="466">
        <f t="shared" si="48"/>
        <v>31.33666666666667</v>
      </c>
      <c r="AR41" s="466">
        <f t="shared" si="49"/>
        <v>0.28444444444444444</v>
      </c>
      <c r="AS41" s="466">
        <f t="shared" si="50"/>
        <v>5.8066666666666666</v>
      </c>
      <c r="AT41" s="466">
        <f t="shared" si="51"/>
        <v>22.404444444444444</v>
      </c>
      <c r="AU41" s="466">
        <f t="shared" si="52"/>
        <v>27.926666666666666</v>
      </c>
      <c r="AV41" s="466">
        <f t="shared" si="53"/>
        <v>3.9788888888888891</v>
      </c>
      <c r="AW41" s="466">
        <f t="shared" si="54"/>
        <v>9.5011111111111113</v>
      </c>
      <c r="AX41" s="466">
        <f t="shared" si="55"/>
        <v>26.09888888888889</v>
      </c>
      <c r="AY41" s="466">
        <f t="shared" si="56"/>
        <v>31.621111111111112</v>
      </c>
      <c r="AZ41" s="466">
        <f t="shared" si="57"/>
        <v>0.28444444444444444</v>
      </c>
      <c r="BA41" s="466">
        <f t="shared" si="58"/>
        <v>5.8066666666666666</v>
      </c>
      <c r="BB41" s="466">
        <f t="shared" si="59"/>
        <v>22.404444444444444</v>
      </c>
      <c r="BC41" s="466">
        <f t="shared" si="60"/>
        <v>27.926666666666666</v>
      </c>
      <c r="BD41" s="466">
        <f t="shared" si="61"/>
        <v>3.9788888888888891</v>
      </c>
      <c r="BE41" s="466">
        <f t="shared" si="62"/>
        <v>9.5011111111111113</v>
      </c>
      <c r="BF41" s="466">
        <f t="shared" si="63"/>
        <v>26.09888888888889</v>
      </c>
      <c r="BG41" s="466">
        <f t="shared" si="64"/>
        <v>31.621111111111112</v>
      </c>
    </row>
    <row r="42" spans="1:59">
      <c r="A42" s="212" t="s">
        <v>5315</v>
      </c>
      <c r="B42" s="230">
        <v>644925055</v>
      </c>
      <c r="C42" s="209" t="s">
        <v>5285</v>
      </c>
      <c r="D42" s="209">
        <v>102</v>
      </c>
      <c r="F42" s="238" t="str" cm="1">
        <f t="array" aca="1" ref="F42" ca="1">MID(met2utc(PEPSSI_Commanding[[#This Row],[MET]]),3,15)</f>
        <v>26-179/03:58:59</v>
      </c>
      <c r="G42" s="212" t="str">
        <f t="shared" si="15"/>
        <v>MAC+102</v>
      </c>
      <c r="H42" s="213">
        <f t="shared" si="16"/>
        <v>644924995</v>
      </c>
      <c r="I42" s="213">
        <f t="shared" si="17"/>
        <v>646883515</v>
      </c>
      <c r="J42" s="212">
        <f t="shared" si="18"/>
        <v>14</v>
      </c>
      <c r="K42" s="212">
        <f t="shared" si="19"/>
        <v>3</v>
      </c>
      <c r="M42" s="209">
        <f t="shared" si="20"/>
        <v>360</v>
      </c>
      <c r="N42" s="209">
        <f t="shared" si="21"/>
        <v>360</v>
      </c>
      <c r="O42" s="209">
        <f t="shared" si="22"/>
        <v>900</v>
      </c>
      <c r="P42" s="209">
        <f t="shared" si="23"/>
        <v>1800</v>
      </c>
      <c r="Q42" s="209" t="str">
        <f t="shared" si="24"/>
        <v/>
      </c>
      <c r="R42" s="209" t="str">
        <f t="shared" si="25"/>
        <v/>
      </c>
      <c r="S42" s="209" t="str">
        <f t="shared" si="26"/>
        <v>102</v>
      </c>
      <c r="U42" s="466">
        <f t="shared" si="27"/>
        <v>0</v>
      </c>
      <c r="V42" s="466">
        <f t="shared" si="28"/>
        <v>0</v>
      </c>
      <c r="W42" s="466">
        <f t="shared" si="29"/>
        <v>0.28444444444444444</v>
      </c>
      <c r="X42" s="466">
        <f t="shared" si="30"/>
        <v>5.5222222222222221</v>
      </c>
      <c r="Y42" s="466">
        <f t="shared" si="31"/>
        <v>3.6944444444444446</v>
      </c>
      <c r="Z42" s="466">
        <f t="shared" si="32"/>
        <v>3.6944444444444446</v>
      </c>
      <c r="AA42" s="466">
        <f t="shared" si="33"/>
        <v>22.12</v>
      </c>
      <c r="AB42" s="242"/>
      <c r="AC42" s="466">
        <f t="shared" si="34"/>
        <v>5.5222222222222221</v>
      </c>
      <c r="AD42" s="466">
        <f t="shared" si="35"/>
        <v>22.12</v>
      </c>
      <c r="AE42" s="466">
        <f t="shared" si="36"/>
        <v>27.642222222222223</v>
      </c>
      <c r="AF42" s="466">
        <f t="shared" si="37"/>
        <v>3.6944444444444446</v>
      </c>
      <c r="AG42" s="466">
        <f t="shared" si="38"/>
        <v>9.2166666666666668</v>
      </c>
      <c r="AH42" s="466">
        <f t="shared" si="39"/>
        <v>25.814444444444447</v>
      </c>
      <c r="AI42" s="466">
        <f t="shared" si="40"/>
        <v>31.33666666666667</v>
      </c>
      <c r="AJ42" s="466">
        <f t="shared" si="41"/>
        <v>0</v>
      </c>
      <c r="AK42" s="466">
        <f t="shared" si="42"/>
        <v>5.5222222222222221</v>
      </c>
      <c r="AL42" s="466">
        <f t="shared" si="43"/>
        <v>22.12</v>
      </c>
      <c r="AM42" s="466">
        <f t="shared" si="44"/>
        <v>27.642222222222223</v>
      </c>
      <c r="AN42" s="466">
        <f t="shared" si="45"/>
        <v>3.6944444444444446</v>
      </c>
      <c r="AO42" s="466">
        <f t="shared" si="46"/>
        <v>9.2166666666666668</v>
      </c>
      <c r="AP42" s="466">
        <f t="shared" si="47"/>
        <v>25.814444444444447</v>
      </c>
      <c r="AQ42" s="466">
        <f t="shared" si="48"/>
        <v>31.33666666666667</v>
      </c>
      <c r="AR42" s="466">
        <f t="shared" si="49"/>
        <v>0.28444444444444444</v>
      </c>
      <c r="AS42" s="466">
        <f t="shared" si="50"/>
        <v>5.8066666666666666</v>
      </c>
      <c r="AT42" s="466">
        <f t="shared" si="51"/>
        <v>22.404444444444444</v>
      </c>
      <c r="AU42" s="466">
        <f t="shared" si="52"/>
        <v>27.926666666666666</v>
      </c>
      <c r="AV42" s="466">
        <f t="shared" si="53"/>
        <v>3.9788888888888891</v>
      </c>
      <c r="AW42" s="466">
        <f t="shared" si="54"/>
        <v>9.5011111111111113</v>
      </c>
      <c r="AX42" s="466">
        <f t="shared" si="55"/>
        <v>26.09888888888889</v>
      </c>
      <c r="AY42" s="466">
        <f t="shared" si="56"/>
        <v>31.621111111111112</v>
      </c>
      <c r="AZ42" s="466">
        <f t="shared" si="57"/>
        <v>0.28444444444444444</v>
      </c>
      <c r="BA42" s="466">
        <f t="shared" si="58"/>
        <v>5.8066666666666666</v>
      </c>
      <c r="BB42" s="466">
        <f t="shared" si="59"/>
        <v>22.404444444444444</v>
      </c>
      <c r="BC42" s="466">
        <f t="shared" si="60"/>
        <v>27.926666666666666</v>
      </c>
      <c r="BD42" s="466">
        <f t="shared" si="61"/>
        <v>3.9788888888888891</v>
      </c>
      <c r="BE42" s="466">
        <f t="shared" si="62"/>
        <v>9.5011111111111113</v>
      </c>
      <c r="BF42" s="466">
        <f t="shared" si="63"/>
        <v>26.09888888888889</v>
      </c>
      <c r="BG42" s="466">
        <f t="shared" si="64"/>
        <v>31.621111111111112</v>
      </c>
    </row>
    <row r="43" spans="1:59">
      <c r="A43" s="212" t="s">
        <v>5315</v>
      </c>
      <c r="B43" s="230">
        <v>644925655</v>
      </c>
      <c r="C43" s="209" t="s">
        <v>5285</v>
      </c>
      <c r="D43" s="209">
        <v>104</v>
      </c>
      <c r="F43" s="238" t="str" cm="1">
        <f t="array" aca="1" ref="F43" ca="1">MID(met2utc(PEPSSI_Commanding[[#This Row],[MET]]),3,15)</f>
        <v>26-179/04:08:59</v>
      </c>
      <c r="G43" s="212" t="str">
        <f t="shared" si="15"/>
        <v>MAC+104</v>
      </c>
      <c r="H43" s="213">
        <f t="shared" si="16"/>
        <v>644924995</v>
      </c>
      <c r="I43" s="213">
        <f t="shared" si="17"/>
        <v>646883515</v>
      </c>
      <c r="J43" s="212">
        <f t="shared" si="18"/>
        <v>15</v>
      </c>
      <c r="K43" s="212">
        <f t="shared" si="19"/>
        <v>2</v>
      </c>
      <c r="M43" s="209">
        <f t="shared" si="20"/>
        <v>360</v>
      </c>
      <c r="N43" s="209">
        <f t="shared" si="21"/>
        <v>2</v>
      </c>
      <c r="O43" s="209">
        <f t="shared" si="22"/>
        <v>900</v>
      </c>
      <c r="P43" s="209">
        <f t="shared" si="23"/>
        <v>1800</v>
      </c>
      <c r="Q43" s="209" t="str">
        <f t="shared" si="24"/>
        <v>disabled</v>
      </c>
      <c r="R43" s="209" t="str">
        <f t="shared" si="25"/>
        <v/>
      </c>
      <c r="S43" s="209" t="str">
        <f t="shared" si="26"/>
        <v>102</v>
      </c>
      <c r="U43" s="466">
        <f t="shared" si="27"/>
        <v>0</v>
      </c>
      <c r="V43" s="466">
        <f t="shared" si="28"/>
        <v>0</v>
      </c>
      <c r="W43" s="466">
        <f t="shared" si="29"/>
        <v>0.28444444444444444</v>
      </c>
      <c r="X43" s="466">
        <f t="shared" si="30"/>
        <v>5.5222222222222221</v>
      </c>
      <c r="Y43" s="466">
        <f t="shared" si="31"/>
        <v>0</v>
      </c>
      <c r="Z43" s="466">
        <f t="shared" si="32"/>
        <v>0</v>
      </c>
      <c r="AA43" s="466">
        <f t="shared" si="33"/>
        <v>22.12</v>
      </c>
      <c r="AB43" s="242"/>
      <c r="AC43" s="466">
        <f t="shared" si="34"/>
        <v>5.5222222222222221</v>
      </c>
      <c r="AD43" s="466">
        <f t="shared" si="35"/>
        <v>22.12</v>
      </c>
      <c r="AE43" s="466">
        <f t="shared" si="36"/>
        <v>27.642222222222223</v>
      </c>
      <c r="AF43" s="466">
        <f t="shared" si="37"/>
        <v>0</v>
      </c>
      <c r="AG43" s="466">
        <f t="shared" si="38"/>
        <v>5.5222222222222221</v>
      </c>
      <c r="AH43" s="466">
        <f t="shared" si="39"/>
        <v>22.12</v>
      </c>
      <c r="AI43" s="466">
        <f t="shared" si="40"/>
        <v>27.642222222222223</v>
      </c>
      <c r="AJ43" s="466">
        <f t="shared" si="41"/>
        <v>0</v>
      </c>
      <c r="AK43" s="466">
        <f t="shared" si="42"/>
        <v>5.5222222222222221</v>
      </c>
      <c r="AL43" s="466">
        <f t="shared" si="43"/>
        <v>22.12</v>
      </c>
      <c r="AM43" s="466">
        <f t="shared" si="44"/>
        <v>27.642222222222223</v>
      </c>
      <c r="AN43" s="466">
        <f t="shared" si="45"/>
        <v>0</v>
      </c>
      <c r="AO43" s="466">
        <f t="shared" si="46"/>
        <v>5.5222222222222221</v>
      </c>
      <c r="AP43" s="466">
        <f t="shared" si="47"/>
        <v>22.12</v>
      </c>
      <c r="AQ43" s="466">
        <f t="shared" si="48"/>
        <v>27.642222222222223</v>
      </c>
      <c r="AR43" s="466">
        <f t="shared" si="49"/>
        <v>0.28444444444444444</v>
      </c>
      <c r="AS43" s="466">
        <f t="shared" si="50"/>
        <v>5.8066666666666666</v>
      </c>
      <c r="AT43" s="466">
        <f t="shared" si="51"/>
        <v>22.404444444444444</v>
      </c>
      <c r="AU43" s="466">
        <f t="shared" si="52"/>
        <v>27.926666666666666</v>
      </c>
      <c r="AV43" s="466">
        <f t="shared" si="53"/>
        <v>0.28444444444444444</v>
      </c>
      <c r="AW43" s="466">
        <f t="shared" si="54"/>
        <v>5.8066666666666666</v>
      </c>
      <c r="AX43" s="466">
        <f t="shared" si="55"/>
        <v>22.404444444444444</v>
      </c>
      <c r="AY43" s="466">
        <f t="shared" si="56"/>
        <v>27.926666666666666</v>
      </c>
      <c r="AZ43" s="466">
        <f t="shared" si="57"/>
        <v>0.28444444444444444</v>
      </c>
      <c r="BA43" s="466">
        <f t="shared" si="58"/>
        <v>5.8066666666666666</v>
      </c>
      <c r="BB43" s="466">
        <f t="shared" si="59"/>
        <v>22.404444444444444</v>
      </c>
      <c r="BC43" s="466">
        <f t="shared" si="60"/>
        <v>27.926666666666666</v>
      </c>
      <c r="BD43" s="466">
        <f t="shared" si="61"/>
        <v>0.28444444444444444</v>
      </c>
      <c r="BE43" s="466">
        <f t="shared" si="62"/>
        <v>5.8066666666666666</v>
      </c>
      <c r="BF43" s="466">
        <f t="shared" si="63"/>
        <v>22.404444444444444</v>
      </c>
      <c r="BG43" s="466">
        <f t="shared" si="64"/>
        <v>27.926666666666666</v>
      </c>
    </row>
    <row r="44" spans="1:59">
      <c r="A44" s="212" t="s">
        <v>5315</v>
      </c>
      <c r="B44" s="230">
        <v>644926255</v>
      </c>
      <c r="C44" s="209" t="s">
        <v>5285</v>
      </c>
      <c r="D44" s="209">
        <v>105</v>
      </c>
      <c r="F44" s="238" t="str" cm="1">
        <f t="array" aca="1" ref="F44" ca="1">MID(met2utc(PEPSSI_Commanding[[#This Row],[MET]]),3,15)</f>
        <v>26-179/04:18:59</v>
      </c>
      <c r="G44" s="212" t="str">
        <f t="shared" si="15"/>
        <v>MAC+105</v>
      </c>
      <c r="H44" s="213">
        <f t="shared" si="16"/>
        <v>644924995</v>
      </c>
      <c r="I44" s="213">
        <f t="shared" si="17"/>
        <v>646883515</v>
      </c>
      <c r="J44" s="212">
        <f t="shared" si="18"/>
        <v>16</v>
      </c>
      <c r="K44" s="212">
        <f t="shared" si="19"/>
        <v>1</v>
      </c>
      <c r="M44" s="209">
        <f t="shared" si="20"/>
        <v>360</v>
      </c>
      <c r="N44" s="209">
        <f t="shared" si="21"/>
        <v>2</v>
      </c>
      <c r="O44" s="209">
        <f t="shared" si="22"/>
        <v>900</v>
      </c>
      <c r="P44" s="209">
        <f t="shared" si="23"/>
        <v>1800</v>
      </c>
      <c r="Q44" s="209" t="str">
        <f t="shared" si="24"/>
        <v/>
      </c>
      <c r="R44" s="209">
        <f t="shared" si="25"/>
        <v>300</v>
      </c>
      <c r="S44" s="209" t="str">
        <f t="shared" si="26"/>
        <v>102</v>
      </c>
      <c r="U44" s="466">
        <f t="shared" si="27"/>
        <v>4.40625</v>
      </c>
      <c r="V44" s="466">
        <f t="shared" si="28"/>
        <v>18.28125</v>
      </c>
      <c r="W44" s="466">
        <f t="shared" si="29"/>
        <v>0.28444444444444444</v>
      </c>
      <c r="X44" s="466">
        <f t="shared" si="30"/>
        <v>5.5222222222222221</v>
      </c>
      <c r="Y44" s="466">
        <f t="shared" si="31"/>
        <v>665</v>
      </c>
      <c r="Z44" s="466">
        <f t="shared" si="32"/>
        <v>4.6180555555555554</v>
      </c>
      <c r="AA44" s="466">
        <f t="shared" si="33"/>
        <v>22.12</v>
      </c>
      <c r="AB44" s="242"/>
      <c r="AC44" s="466">
        <f t="shared" si="34"/>
        <v>5.5222222222222221</v>
      </c>
      <c r="AD44" s="466">
        <f t="shared" si="35"/>
        <v>40.401250000000005</v>
      </c>
      <c r="AE44" s="466">
        <f t="shared" si="36"/>
        <v>45.92347222222223</v>
      </c>
      <c r="AF44" s="466">
        <f t="shared" si="37"/>
        <v>4.6180555555555554</v>
      </c>
      <c r="AG44" s="466">
        <f t="shared" si="38"/>
        <v>10.140277777777778</v>
      </c>
      <c r="AH44" s="466">
        <f t="shared" si="39"/>
        <v>45.019305555555562</v>
      </c>
      <c r="AI44" s="466">
        <f t="shared" si="40"/>
        <v>50.541527777777787</v>
      </c>
      <c r="AJ44" s="466">
        <f t="shared" si="41"/>
        <v>4.40625</v>
      </c>
      <c r="AK44" s="466">
        <f t="shared" si="42"/>
        <v>9.9284722222222221</v>
      </c>
      <c r="AL44" s="466">
        <f t="shared" si="43"/>
        <v>44.807500000000005</v>
      </c>
      <c r="AM44" s="466">
        <f t="shared" si="44"/>
        <v>50.32972222222223</v>
      </c>
      <c r="AN44" s="466">
        <f t="shared" si="45"/>
        <v>9.0243055555555554</v>
      </c>
      <c r="AO44" s="466">
        <f t="shared" si="46"/>
        <v>14.546527777777778</v>
      </c>
      <c r="AP44" s="466">
        <f t="shared" si="47"/>
        <v>49.425555555555562</v>
      </c>
      <c r="AQ44" s="466">
        <f t="shared" si="48"/>
        <v>54.947777777777787</v>
      </c>
      <c r="AR44" s="466">
        <f t="shared" si="49"/>
        <v>0.28444444444444444</v>
      </c>
      <c r="AS44" s="466">
        <f t="shared" si="50"/>
        <v>5.8066666666666666</v>
      </c>
      <c r="AT44" s="466">
        <f t="shared" si="51"/>
        <v>40.685694444444451</v>
      </c>
      <c r="AU44" s="466">
        <f t="shared" si="52"/>
        <v>46.207916666666677</v>
      </c>
      <c r="AV44" s="466">
        <f t="shared" si="53"/>
        <v>4.9024999999999999</v>
      </c>
      <c r="AW44" s="466">
        <f t="shared" si="54"/>
        <v>10.424722222222222</v>
      </c>
      <c r="AX44" s="466">
        <f t="shared" si="55"/>
        <v>45.303750000000008</v>
      </c>
      <c r="AY44" s="466">
        <f t="shared" si="56"/>
        <v>50.825972222222234</v>
      </c>
      <c r="AZ44" s="466">
        <f t="shared" si="57"/>
        <v>4.6906944444444445</v>
      </c>
      <c r="BA44" s="466">
        <f t="shared" si="58"/>
        <v>10.212916666666667</v>
      </c>
      <c r="BB44" s="466">
        <f t="shared" si="59"/>
        <v>45.091944444444451</v>
      </c>
      <c r="BC44" s="466">
        <f t="shared" si="60"/>
        <v>50.614166666666677</v>
      </c>
      <c r="BD44" s="466">
        <f t="shared" si="61"/>
        <v>9.3087499999999999</v>
      </c>
      <c r="BE44" s="466">
        <f t="shared" si="62"/>
        <v>14.830972222222222</v>
      </c>
      <c r="BF44" s="466">
        <f t="shared" si="63"/>
        <v>49.710000000000008</v>
      </c>
      <c r="BG44" s="466">
        <f t="shared" si="64"/>
        <v>55.232222222222234</v>
      </c>
    </row>
    <row r="45" spans="1:59">
      <c r="A45" s="212" t="s">
        <v>5315</v>
      </c>
      <c r="B45" s="230">
        <v>646883515</v>
      </c>
      <c r="C45" s="209" t="s">
        <v>5285</v>
      </c>
      <c r="D45" s="209">
        <v>111</v>
      </c>
      <c r="F45" s="238" t="str" cm="1">
        <f t="array" aca="1" ref="F45" ca="1">MID(met2utc(PEPSSI_Commanding[[#This Row],[MET]]),3,15)</f>
        <v>26-201/19:59:59</v>
      </c>
      <c r="G45" s="212" t="str">
        <f t="shared" si="15"/>
        <v>MAC+111</v>
      </c>
      <c r="H45" s="213">
        <f t="shared" si="16"/>
        <v>646883515</v>
      </c>
      <c r="I45" s="213">
        <f t="shared" si="17"/>
        <v>644923315</v>
      </c>
      <c r="J45" s="212">
        <f t="shared" si="18"/>
        <v>17</v>
      </c>
      <c r="K45" s="212">
        <f t="shared" si="19"/>
        <v>7</v>
      </c>
      <c r="M45" s="209">
        <f t="shared" si="20"/>
        <v>360</v>
      </c>
      <c r="N45" s="209">
        <f t="shared" si="21"/>
        <v>2</v>
      </c>
      <c r="O45" s="209">
        <f t="shared" si="22"/>
        <v>900</v>
      </c>
      <c r="P45" s="209">
        <f t="shared" si="23"/>
        <v>1800</v>
      </c>
      <c r="Q45" s="209" t="str">
        <f t="shared" si="24"/>
        <v>disabled</v>
      </c>
      <c r="R45" s="209" t="str">
        <f t="shared" si="25"/>
        <v/>
      </c>
      <c r="S45" s="209" t="str">
        <f t="shared" si="26"/>
        <v>102</v>
      </c>
      <c r="U45" s="466">
        <f t="shared" si="27"/>
        <v>0</v>
      </c>
      <c r="V45" s="466">
        <f t="shared" si="28"/>
        <v>0</v>
      </c>
      <c r="W45" s="466">
        <f t="shared" si="29"/>
        <v>0.28444444444444444</v>
      </c>
      <c r="X45" s="466">
        <f t="shared" si="30"/>
        <v>5.5222222222222221</v>
      </c>
      <c r="Y45" s="466">
        <f t="shared" si="31"/>
        <v>0</v>
      </c>
      <c r="Z45" s="466">
        <f t="shared" si="32"/>
        <v>0</v>
      </c>
      <c r="AA45" s="466">
        <f t="shared" si="33"/>
        <v>22.12</v>
      </c>
      <c r="AB45" s="242"/>
      <c r="AC45" s="466">
        <f t="shared" si="34"/>
        <v>5.5222222222222221</v>
      </c>
      <c r="AD45" s="466">
        <f t="shared" si="35"/>
        <v>22.12</v>
      </c>
      <c r="AE45" s="466">
        <f t="shared" si="36"/>
        <v>27.642222222222223</v>
      </c>
      <c r="AF45" s="466">
        <f t="shared" si="37"/>
        <v>0</v>
      </c>
      <c r="AG45" s="466">
        <f t="shared" si="38"/>
        <v>5.5222222222222221</v>
      </c>
      <c r="AH45" s="466">
        <f t="shared" si="39"/>
        <v>22.12</v>
      </c>
      <c r="AI45" s="466">
        <f t="shared" si="40"/>
        <v>27.642222222222223</v>
      </c>
      <c r="AJ45" s="466">
        <f t="shared" si="41"/>
        <v>0</v>
      </c>
      <c r="AK45" s="466">
        <f t="shared" si="42"/>
        <v>5.5222222222222221</v>
      </c>
      <c r="AL45" s="466">
        <f t="shared" si="43"/>
        <v>22.12</v>
      </c>
      <c r="AM45" s="466">
        <f t="shared" si="44"/>
        <v>27.642222222222223</v>
      </c>
      <c r="AN45" s="466">
        <f t="shared" si="45"/>
        <v>0</v>
      </c>
      <c r="AO45" s="466">
        <f t="shared" si="46"/>
        <v>5.5222222222222221</v>
      </c>
      <c r="AP45" s="466">
        <f t="shared" si="47"/>
        <v>22.12</v>
      </c>
      <c r="AQ45" s="466">
        <f t="shared" si="48"/>
        <v>27.642222222222223</v>
      </c>
      <c r="AR45" s="466">
        <f t="shared" si="49"/>
        <v>0.28444444444444444</v>
      </c>
      <c r="AS45" s="466">
        <f t="shared" si="50"/>
        <v>5.8066666666666666</v>
      </c>
      <c r="AT45" s="466">
        <f t="shared" si="51"/>
        <v>22.404444444444444</v>
      </c>
      <c r="AU45" s="466">
        <f t="shared" si="52"/>
        <v>27.926666666666666</v>
      </c>
      <c r="AV45" s="466">
        <f t="shared" si="53"/>
        <v>0.28444444444444444</v>
      </c>
      <c r="AW45" s="466">
        <f t="shared" si="54"/>
        <v>5.8066666666666666</v>
      </c>
      <c r="AX45" s="466">
        <f t="shared" si="55"/>
        <v>22.404444444444444</v>
      </c>
      <c r="AY45" s="466">
        <f t="shared" si="56"/>
        <v>27.926666666666666</v>
      </c>
      <c r="AZ45" s="466">
        <f t="shared" si="57"/>
        <v>0.28444444444444444</v>
      </c>
      <c r="BA45" s="466">
        <f t="shared" si="58"/>
        <v>5.8066666666666666</v>
      </c>
      <c r="BB45" s="466">
        <f t="shared" si="59"/>
        <v>22.404444444444444</v>
      </c>
      <c r="BC45" s="466">
        <f t="shared" si="60"/>
        <v>27.926666666666666</v>
      </c>
      <c r="BD45" s="466">
        <f t="shared" si="61"/>
        <v>0.28444444444444444</v>
      </c>
      <c r="BE45" s="466">
        <f t="shared" si="62"/>
        <v>5.8066666666666666</v>
      </c>
      <c r="BF45" s="466">
        <f t="shared" si="63"/>
        <v>22.404444444444444</v>
      </c>
      <c r="BG45" s="466">
        <f t="shared" si="64"/>
        <v>27.926666666666666</v>
      </c>
    </row>
    <row r="46" spans="1:59">
      <c r="A46" s="212" t="s">
        <v>5316</v>
      </c>
      <c r="B46" s="230">
        <v>646884115</v>
      </c>
      <c r="C46" s="209" t="s">
        <v>61</v>
      </c>
      <c r="D46" s="209">
        <v>360</v>
      </c>
      <c r="F46" s="238" t="str" cm="1">
        <f t="array" aca="1" ref="F46" ca="1">MID(met2utc(PEPSSI_Commanding[[#This Row],[MET]]),3,15)</f>
        <v>26-201/20:09:59</v>
      </c>
      <c r="G46" s="212" t="str">
        <f t="shared" ref="G46:G68" si="65">_xlfn.TEXTJOIN("+",TRUE,$C46:$D46)</f>
        <v>N2+360</v>
      </c>
      <c r="H46" s="213">
        <f t="shared" ref="H46:H68" si="66">IF($C46="ON",$B46,IF(RIGHT($H45,9)="MET Start","",IF(AND($K46&lt;&gt;0,$K45=1),$B46,$H45)))</f>
        <v>646883515</v>
      </c>
      <c r="I46" s="213">
        <f t="shared" ref="I46:I68" si="67">IF($C46="OFF",$B46,IF($B47="",$B46+31500000,IF($K46=1,$B47,I47)))</f>
        <v>644923315</v>
      </c>
      <c r="J46" s="212">
        <f t="shared" ref="J46:J68" si="68">IF($G46="ON",0,IF(OR(J45="",LEFT(J45,6)="Offset"),"",J45+1))</f>
        <v>18</v>
      </c>
      <c r="K46" s="212">
        <f t="shared" ref="K46:K68" si="69">IF($G46="OFF",0,IF(AND($J47&lt;&gt;0,$J46&lt;&gt;9,$G47&lt;&gt;"MAC+111",($B47-$B46)&lt;7200),K47+1,1))</f>
        <v>6</v>
      </c>
      <c r="M46" s="209">
        <f t="shared" ref="M46:M68" si="70">IF($C46="ON","",IF($C46="N1",$D46,IF(M45="N1","",M45)))</f>
        <v>360</v>
      </c>
      <c r="N46" s="209">
        <f t="shared" ref="N46:N68" si="71">IF($C46="ON","",IF($C46="N2",$D46,IF($G46="MAC+103",3,IF($G46="MAC+104",2,IF(N45="N2","",N45)))))</f>
        <v>360</v>
      </c>
      <c r="O46" s="209">
        <f t="shared" ref="O46:O68" si="72">IF($C46="ON","",IF($C46="N3",$D46,IF(O45="N3","",O45)))</f>
        <v>900</v>
      </c>
      <c r="P46" s="209">
        <f t="shared" ref="P46:P68" si="73">IF($C46="ON","",IF($C46="STAT",$D46,IF(P45="STAT","",P45)))</f>
        <v>1800</v>
      </c>
      <c r="Q46" s="209" t="str">
        <f t="shared" ref="Q46:Q68" si="74">IF(OR($C46="ON",$G46="MAC+101",AND($C46="MAC",105&lt;=$D46,$D46&lt;=110)),"",IF(OR($G46="MAC+103",$G46="MAC+104",$G46="MAC+111"),"disabled",IF(Q45="N2 disabled","",Q45)))</f>
        <v>disabled</v>
      </c>
      <c r="R46" s="209" t="str">
        <f t="shared" ref="R46:R68" si="75">IF(OR($G46="ON",$G46="MAC+111"),"",IF($G46="MAC+105",300,IF(OR($G46="MAC+106",$G46="MAC+101"),600,IF($G46="MAC+107",840,IF($G46="MAC+108",1200,IF($G46="MAC+109",1800,IF($G46="MAC+110",43200,IF(LEFT(R45,4)="105-","",R45))))))))</f>
        <v/>
      </c>
      <c r="S46" s="209" t="str">
        <f t="shared" ref="S46:S68" si="76">IF($C46="ON","",IF($G46="MAC+102","102",IF(RIGHT(S45,1)="?","",S45)))</f>
        <v>102</v>
      </c>
      <c r="U46" s="466">
        <f t="shared" ref="U46:U68" si="77">IF(OR($N46="",$R46=""),0,U$1/64/$N46)</f>
        <v>0</v>
      </c>
      <c r="V46" s="466">
        <f t="shared" ref="V46:V68" si="78">IF(OR($N46="",$R46=""),0,V$1/64/$N46)</f>
        <v>0</v>
      </c>
      <c r="W46" s="466">
        <f t="shared" ref="W46:W68" si="79">IF($P46="",0,W$1/$P46)</f>
        <v>0.28444444444444444</v>
      </c>
      <c r="X46" s="466">
        <f t="shared" ref="X46:X68" si="80">IF($M46="",0,X$1/$M46)</f>
        <v>5.5222222222222221</v>
      </c>
      <c r="Y46" s="466">
        <f t="shared" ref="Y46:Y68" si="81">IF(OR($N46="",$Q46&lt;&gt;""),0,Y$1/$N46)</f>
        <v>0</v>
      </c>
      <c r="Z46" s="466">
        <f t="shared" ref="Z46:Z68" si="82">IF($N46="",0,IF($R46="",1,R46/43200)*Y46)</f>
        <v>0</v>
      </c>
      <c r="AA46" s="466">
        <f t="shared" ref="AA46:AA68" si="83">IF($O46="",0,AA$1/$O46)</f>
        <v>22.12</v>
      </c>
      <c r="AB46" s="242"/>
      <c r="AC46" s="466">
        <f t="shared" ref="AC46:AC68" si="84">IF(AC$3&lt;&gt;"",$W46,0)+IF(AC$4&lt;&gt;"",$U46,0)+IF(AC$5&lt;&gt;"",$Z46+IF($S46&lt;&gt;"102",$V46,0),0)+IF(AC$6&lt;&gt;"",$AA46+IF($S46="102",$V46,0),0)+IF(AC$7&lt;&gt;"",$X46,0)</f>
        <v>5.5222222222222221</v>
      </c>
      <c r="AD46" s="466">
        <f t="shared" ref="AD46:AD68" si="85">IF(AD$3&lt;&gt;"",$W46,0)+IF(AD$4&lt;&gt;"",$U46,0)+IF(AD$5&lt;&gt;"",$Z46+IF($S46&lt;&gt;"102",$V46,0),0)+IF(AD$6&lt;&gt;"",$AA46+IF($S46="102",$V46,0),0)+IF(AD$7&lt;&gt;"",$X46,0)</f>
        <v>22.12</v>
      </c>
      <c r="AE46" s="466">
        <f t="shared" ref="AE46:AE68" si="86">IF(AE$3&lt;&gt;"",$W46,0)+IF(AE$4&lt;&gt;"",$U46,0)+IF(AE$5&lt;&gt;"",$Z46+IF($S46&lt;&gt;"102",$V46,0),0)+IF(AE$6&lt;&gt;"",$AA46+IF($S46="102",$V46,0),0)+IF(AE$7&lt;&gt;"",$X46,0)</f>
        <v>27.642222222222223</v>
      </c>
      <c r="AF46" s="466">
        <f t="shared" ref="AF46:AF68" si="87">IF(AF$3&lt;&gt;"",$W46,0)+IF(AF$4&lt;&gt;"",$U46,0)+IF(AF$5&lt;&gt;"",$Z46+IF($S46&lt;&gt;"102",$V46,0),0)+IF(AF$6&lt;&gt;"",$AA46+IF($S46="102",$V46,0),0)+IF(AF$7&lt;&gt;"",$X46,0)</f>
        <v>0</v>
      </c>
      <c r="AG46" s="466">
        <f t="shared" ref="AG46:AG68" si="88">IF(AG$3&lt;&gt;"",$W46,0)+IF(AG$4&lt;&gt;"",$U46,0)+IF(AG$5&lt;&gt;"",$Z46+IF($S46&lt;&gt;"102",$V46,0),0)+IF(AG$6&lt;&gt;"",$AA46+IF($S46="102",$V46,0),0)+IF(AG$7&lt;&gt;"",$X46,0)</f>
        <v>5.5222222222222221</v>
      </c>
      <c r="AH46" s="466">
        <f t="shared" ref="AH46:AH68" si="89">IF(AH$3&lt;&gt;"",$W46,0)+IF(AH$4&lt;&gt;"",$U46,0)+IF(AH$5&lt;&gt;"",$Z46+IF($S46&lt;&gt;"102",$V46,0),0)+IF(AH$6&lt;&gt;"",$AA46+IF($S46="102",$V46,0),0)+IF(AH$7&lt;&gt;"",$X46,0)</f>
        <v>22.12</v>
      </c>
      <c r="AI46" s="466">
        <f t="shared" ref="AI46:AI68" si="90">IF(AI$3&lt;&gt;"",$W46,0)+IF(AI$4&lt;&gt;"",$U46,0)+IF(AI$5&lt;&gt;"",$Z46+IF($S46&lt;&gt;"102",$V46,0),0)+IF(AI$6&lt;&gt;"",$AA46+IF($S46="102",$V46,0),0)+IF(AI$7&lt;&gt;"",$X46,0)</f>
        <v>27.642222222222223</v>
      </c>
      <c r="AJ46" s="466">
        <f t="shared" ref="AJ46:AJ68" si="91">IF(AJ$3&lt;&gt;"",$W46,0)+IF(AJ$4&lt;&gt;"",$U46,0)+IF(AJ$5&lt;&gt;"",$Z46+IF($S46&lt;&gt;"102",$V46,0),0)+IF(AJ$6&lt;&gt;"",$AA46+IF($S46="102",$V46,0),0)+IF(AJ$7&lt;&gt;"",$X46,0)</f>
        <v>0</v>
      </c>
      <c r="AK46" s="466">
        <f t="shared" ref="AK46:AK68" si="92">IF(AK$3&lt;&gt;"",$W46,0)+IF(AK$4&lt;&gt;"",$U46,0)+IF(AK$5&lt;&gt;"",$Z46+IF($S46&lt;&gt;"102",$V46,0),0)+IF(AK$6&lt;&gt;"",$AA46+IF($S46="102",$V46,0),0)+IF(AK$7&lt;&gt;"",$X46,0)</f>
        <v>5.5222222222222221</v>
      </c>
      <c r="AL46" s="466">
        <f t="shared" ref="AL46:AL68" si="93">IF(AL$3&lt;&gt;"",$W46,0)+IF(AL$4&lt;&gt;"",$U46,0)+IF(AL$5&lt;&gt;"",$Z46+IF($S46&lt;&gt;"102",$V46,0),0)+IF(AL$6&lt;&gt;"",$AA46+IF($S46="102",$V46,0),0)+IF(AL$7&lt;&gt;"",$X46,0)</f>
        <v>22.12</v>
      </c>
      <c r="AM46" s="466">
        <f t="shared" ref="AM46:AM68" si="94">IF(AM$3&lt;&gt;"",$W46,0)+IF(AM$4&lt;&gt;"",$U46,0)+IF(AM$5&lt;&gt;"",$Z46+IF($S46&lt;&gt;"102",$V46,0),0)+IF(AM$6&lt;&gt;"",$AA46+IF($S46="102",$V46,0),0)+IF(AM$7&lt;&gt;"",$X46,0)</f>
        <v>27.642222222222223</v>
      </c>
      <c r="AN46" s="466">
        <f t="shared" ref="AN46:AN68" si="95">IF(AN$3&lt;&gt;"",$W46,0)+IF(AN$4&lt;&gt;"",$U46,0)+IF(AN$5&lt;&gt;"",$Z46+IF($S46&lt;&gt;"102",$V46,0),0)+IF(AN$6&lt;&gt;"",$AA46+IF($S46="102",$V46,0),0)+IF(AN$7&lt;&gt;"",$X46,0)</f>
        <v>0</v>
      </c>
      <c r="AO46" s="466">
        <f t="shared" ref="AO46:AO68" si="96">IF(AO$3&lt;&gt;"",$W46,0)+IF(AO$4&lt;&gt;"",$U46,0)+IF(AO$5&lt;&gt;"",$Z46+IF($S46&lt;&gt;"102",$V46,0),0)+IF(AO$6&lt;&gt;"",$AA46+IF($S46="102",$V46,0),0)+IF(AO$7&lt;&gt;"",$X46,0)</f>
        <v>5.5222222222222221</v>
      </c>
      <c r="AP46" s="466">
        <f t="shared" ref="AP46:AP68" si="97">IF(AP$3&lt;&gt;"",$W46,0)+IF(AP$4&lt;&gt;"",$U46,0)+IF(AP$5&lt;&gt;"",$Z46+IF($S46&lt;&gt;"102",$V46,0),0)+IF(AP$6&lt;&gt;"",$AA46+IF($S46="102",$V46,0),0)+IF(AP$7&lt;&gt;"",$X46,0)</f>
        <v>22.12</v>
      </c>
      <c r="AQ46" s="466">
        <f t="shared" ref="AQ46:AQ68" si="98">IF(AQ$3&lt;&gt;"",$W46,0)+IF(AQ$4&lt;&gt;"",$U46,0)+IF(AQ$5&lt;&gt;"",$Z46+IF($S46&lt;&gt;"102",$V46,0),0)+IF(AQ$6&lt;&gt;"",$AA46+IF($S46="102",$V46,0),0)+IF(AQ$7&lt;&gt;"",$X46,0)</f>
        <v>27.642222222222223</v>
      </c>
      <c r="AR46" s="466">
        <f t="shared" ref="AR46:AR68" si="99">IF(AR$3&lt;&gt;"",$W46,0)+IF(AR$4&lt;&gt;"",$U46,0)+IF(AR$5&lt;&gt;"",$Z46+IF($S46&lt;&gt;"102",$V46,0),0)+IF(AR$6&lt;&gt;"",$AA46+IF($S46="102",$V46,0),0)+IF(AR$7&lt;&gt;"",$X46,0)</f>
        <v>0.28444444444444444</v>
      </c>
      <c r="AS46" s="466">
        <f t="shared" ref="AS46:AS68" si="100">IF(AS$3&lt;&gt;"",$W46,0)+IF(AS$4&lt;&gt;"",$U46,0)+IF(AS$5&lt;&gt;"",$Z46+IF($S46&lt;&gt;"102",$V46,0),0)+IF(AS$6&lt;&gt;"",$AA46+IF($S46="102",$V46,0),0)+IF(AS$7&lt;&gt;"",$X46,0)</f>
        <v>5.8066666666666666</v>
      </c>
      <c r="AT46" s="466">
        <f t="shared" ref="AT46:AT68" si="101">IF(AT$3&lt;&gt;"",$W46,0)+IF(AT$4&lt;&gt;"",$U46,0)+IF(AT$5&lt;&gt;"",$Z46+IF($S46&lt;&gt;"102",$V46,0),0)+IF(AT$6&lt;&gt;"",$AA46+IF($S46="102",$V46,0),0)+IF(AT$7&lt;&gt;"",$X46,0)</f>
        <v>22.404444444444444</v>
      </c>
      <c r="AU46" s="466">
        <f t="shared" ref="AU46:AU68" si="102">IF(AU$3&lt;&gt;"",$W46,0)+IF(AU$4&lt;&gt;"",$U46,0)+IF(AU$5&lt;&gt;"",$Z46+IF($S46&lt;&gt;"102",$V46,0),0)+IF(AU$6&lt;&gt;"",$AA46+IF($S46="102",$V46,0),0)+IF(AU$7&lt;&gt;"",$X46,0)</f>
        <v>27.926666666666666</v>
      </c>
      <c r="AV46" s="466">
        <f t="shared" ref="AV46:AV68" si="103">IF(AV$3&lt;&gt;"",$W46,0)+IF(AV$4&lt;&gt;"",$U46,0)+IF(AV$5&lt;&gt;"",$Z46+IF($S46&lt;&gt;"102",$V46,0),0)+IF(AV$6&lt;&gt;"",$AA46+IF($S46="102",$V46,0),0)+IF(AV$7&lt;&gt;"",$X46,0)</f>
        <v>0.28444444444444444</v>
      </c>
      <c r="AW46" s="466">
        <f t="shared" ref="AW46:AW68" si="104">IF(AW$3&lt;&gt;"",$W46,0)+IF(AW$4&lt;&gt;"",$U46,0)+IF(AW$5&lt;&gt;"",$Z46+IF($S46&lt;&gt;"102",$V46,0),0)+IF(AW$6&lt;&gt;"",$AA46+IF($S46="102",$V46,0),0)+IF(AW$7&lt;&gt;"",$X46,0)</f>
        <v>5.8066666666666666</v>
      </c>
      <c r="AX46" s="466">
        <f t="shared" ref="AX46:AX68" si="105">IF(AX$3&lt;&gt;"",$W46,0)+IF(AX$4&lt;&gt;"",$U46,0)+IF(AX$5&lt;&gt;"",$Z46+IF($S46&lt;&gt;"102",$V46,0),0)+IF(AX$6&lt;&gt;"",$AA46+IF($S46="102",$V46,0),0)+IF(AX$7&lt;&gt;"",$X46,0)</f>
        <v>22.404444444444444</v>
      </c>
      <c r="AY46" s="466">
        <f t="shared" ref="AY46:AY68" si="106">IF(AY$3&lt;&gt;"",$W46,0)+IF(AY$4&lt;&gt;"",$U46,0)+IF(AY$5&lt;&gt;"",$Z46+IF($S46&lt;&gt;"102",$V46,0),0)+IF(AY$6&lt;&gt;"",$AA46+IF($S46="102",$V46,0),0)+IF(AY$7&lt;&gt;"",$X46,0)</f>
        <v>27.926666666666666</v>
      </c>
      <c r="AZ46" s="466">
        <f t="shared" ref="AZ46:AZ68" si="107">IF(AZ$3&lt;&gt;"",$W46,0)+IF(AZ$4&lt;&gt;"",$U46,0)+IF(AZ$5&lt;&gt;"",$Z46+IF($S46&lt;&gt;"102",$V46,0),0)+IF(AZ$6&lt;&gt;"",$AA46+IF($S46="102",$V46,0),0)+IF(AZ$7&lt;&gt;"",$X46,0)</f>
        <v>0.28444444444444444</v>
      </c>
      <c r="BA46" s="466">
        <f t="shared" ref="BA46:BA68" si="108">IF(BA$3&lt;&gt;"",$W46,0)+IF(BA$4&lt;&gt;"",$U46,0)+IF(BA$5&lt;&gt;"",$Z46+IF($S46&lt;&gt;"102",$V46,0),0)+IF(BA$6&lt;&gt;"",$AA46+IF($S46="102",$V46,0),0)+IF(BA$7&lt;&gt;"",$X46,0)</f>
        <v>5.8066666666666666</v>
      </c>
      <c r="BB46" s="466">
        <f t="shared" ref="BB46:BB68" si="109">IF(BB$3&lt;&gt;"",$W46,0)+IF(BB$4&lt;&gt;"",$U46,0)+IF(BB$5&lt;&gt;"",$Z46+IF($S46&lt;&gt;"102",$V46,0),0)+IF(BB$6&lt;&gt;"",$AA46+IF($S46="102",$V46,0),0)+IF(BB$7&lt;&gt;"",$X46,0)</f>
        <v>22.404444444444444</v>
      </c>
      <c r="BC46" s="466">
        <f t="shared" ref="BC46:BC68" si="110">IF(BC$3&lt;&gt;"",$W46,0)+IF(BC$4&lt;&gt;"",$U46,0)+IF(BC$5&lt;&gt;"",$Z46+IF($S46&lt;&gt;"102",$V46,0),0)+IF(BC$6&lt;&gt;"",$AA46+IF($S46="102",$V46,0),0)+IF(BC$7&lt;&gt;"",$X46,0)</f>
        <v>27.926666666666666</v>
      </c>
      <c r="BD46" s="466">
        <f t="shared" ref="BD46:BD68" si="111">IF(BD$3&lt;&gt;"",$W46,0)+IF(BD$4&lt;&gt;"",$U46,0)+IF(BD$5&lt;&gt;"",$Z46+IF($S46&lt;&gt;"102",$V46,0),0)+IF(BD$6&lt;&gt;"",$AA46+IF($S46="102",$V46,0),0)+IF(BD$7&lt;&gt;"",$X46,0)</f>
        <v>0.28444444444444444</v>
      </c>
      <c r="BE46" s="466">
        <f t="shared" ref="BE46:BE68" si="112">IF(BE$3&lt;&gt;"",$W46,0)+IF(BE$4&lt;&gt;"",$U46,0)+IF(BE$5&lt;&gt;"",$Z46+IF($S46&lt;&gt;"102",$V46,0),0)+IF(BE$6&lt;&gt;"",$AA46+IF($S46="102",$V46,0),0)+IF(BE$7&lt;&gt;"",$X46,0)</f>
        <v>5.8066666666666666</v>
      </c>
      <c r="BF46" s="466">
        <f t="shared" ref="BF46:BF68" si="113">IF(BF$3&lt;&gt;"",$W46,0)+IF(BF$4&lt;&gt;"",$U46,0)+IF(BF$5&lt;&gt;"",$Z46+IF($S46&lt;&gt;"102",$V46,0),0)+IF(BF$6&lt;&gt;"",$AA46+IF($S46="102",$V46,0),0)+IF(BF$7&lt;&gt;"",$X46,0)</f>
        <v>22.404444444444444</v>
      </c>
      <c r="BG46" s="466">
        <f t="shared" ref="BG46:BG68" si="114">IF(BG$3&lt;&gt;"",$W46,0)+IF(BG$4&lt;&gt;"",$U46,0)+IF(BG$5&lt;&gt;"",$Z46+IF($S46&lt;&gt;"102",$V46,0),0)+IF(BG$6&lt;&gt;"",$AA46+IF($S46="102",$V46,0),0)+IF(BG$7&lt;&gt;"",$X46,0)</f>
        <v>27.926666666666666</v>
      </c>
    </row>
    <row r="47" spans="1:59">
      <c r="A47" s="212" t="s">
        <v>5316</v>
      </c>
      <c r="B47" s="230">
        <v>646884118</v>
      </c>
      <c r="C47" s="209" t="s">
        <v>1</v>
      </c>
      <c r="D47" s="209">
        <v>360</v>
      </c>
      <c r="F47" s="238" t="str" cm="1">
        <f t="array" aca="1" ref="F47" ca="1">MID(met2utc(PEPSSI_Commanding[[#This Row],[MET]]),3,15)</f>
        <v>26-201/20:10:02</v>
      </c>
      <c r="G47" s="212" t="str">
        <f t="shared" si="65"/>
        <v>N1+360</v>
      </c>
      <c r="H47" s="213">
        <f t="shared" si="66"/>
        <v>646883515</v>
      </c>
      <c r="I47" s="213">
        <f t="shared" si="67"/>
        <v>644923315</v>
      </c>
      <c r="J47" s="212">
        <f t="shared" si="68"/>
        <v>19</v>
      </c>
      <c r="K47" s="212">
        <f t="shared" si="69"/>
        <v>5</v>
      </c>
      <c r="M47" s="209">
        <f t="shared" si="70"/>
        <v>360</v>
      </c>
      <c r="N47" s="209">
        <f t="shared" si="71"/>
        <v>360</v>
      </c>
      <c r="O47" s="209">
        <f t="shared" si="72"/>
        <v>900</v>
      </c>
      <c r="P47" s="209">
        <f t="shared" si="73"/>
        <v>1800</v>
      </c>
      <c r="Q47" s="209" t="str">
        <f t="shared" si="74"/>
        <v>disabled</v>
      </c>
      <c r="R47" s="209" t="str">
        <f t="shared" si="75"/>
        <v/>
      </c>
      <c r="S47" s="209" t="str">
        <f t="shared" si="76"/>
        <v>102</v>
      </c>
      <c r="U47" s="466">
        <f t="shared" si="77"/>
        <v>0</v>
      </c>
      <c r="V47" s="466">
        <f t="shared" si="78"/>
        <v>0</v>
      </c>
      <c r="W47" s="466">
        <f t="shared" si="79"/>
        <v>0.28444444444444444</v>
      </c>
      <c r="X47" s="466">
        <f t="shared" si="80"/>
        <v>5.5222222222222221</v>
      </c>
      <c r="Y47" s="466">
        <f t="shared" si="81"/>
        <v>0</v>
      </c>
      <c r="Z47" s="466">
        <f t="shared" si="82"/>
        <v>0</v>
      </c>
      <c r="AA47" s="466">
        <f t="shared" si="83"/>
        <v>22.12</v>
      </c>
      <c r="AB47" s="242"/>
      <c r="AC47" s="466">
        <f t="shared" si="84"/>
        <v>5.5222222222222221</v>
      </c>
      <c r="AD47" s="466">
        <f t="shared" si="85"/>
        <v>22.12</v>
      </c>
      <c r="AE47" s="466">
        <f t="shared" si="86"/>
        <v>27.642222222222223</v>
      </c>
      <c r="AF47" s="466">
        <f t="shared" si="87"/>
        <v>0</v>
      </c>
      <c r="AG47" s="466">
        <f t="shared" si="88"/>
        <v>5.5222222222222221</v>
      </c>
      <c r="AH47" s="466">
        <f t="shared" si="89"/>
        <v>22.12</v>
      </c>
      <c r="AI47" s="466">
        <f t="shared" si="90"/>
        <v>27.642222222222223</v>
      </c>
      <c r="AJ47" s="466">
        <f t="shared" si="91"/>
        <v>0</v>
      </c>
      <c r="AK47" s="466">
        <f t="shared" si="92"/>
        <v>5.5222222222222221</v>
      </c>
      <c r="AL47" s="466">
        <f t="shared" si="93"/>
        <v>22.12</v>
      </c>
      <c r="AM47" s="466">
        <f t="shared" si="94"/>
        <v>27.642222222222223</v>
      </c>
      <c r="AN47" s="466">
        <f t="shared" si="95"/>
        <v>0</v>
      </c>
      <c r="AO47" s="466">
        <f t="shared" si="96"/>
        <v>5.5222222222222221</v>
      </c>
      <c r="AP47" s="466">
        <f t="shared" si="97"/>
        <v>22.12</v>
      </c>
      <c r="AQ47" s="466">
        <f t="shared" si="98"/>
        <v>27.642222222222223</v>
      </c>
      <c r="AR47" s="466">
        <f t="shared" si="99"/>
        <v>0.28444444444444444</v>
      </c>
      <c r="AS47" s="466">
        <f t="shared" si="100"/>
        <v>5.8066666666666666</v>
      </c>
      <c r="AT47" s="466">
        <f t="shared" si="101"/>
        <v>22.404444444444444</v>
      </c>
      <c r="AU47" s="466">
        <f t="shared" si="102"/>
        <v>27.926666666666666</v>
      </c>
      <c r="AV47" s="466">
        <f t="shared" si="103"/>
        <v>0.28444444444444444</v>
      </c>
      <c r="AW47" s="466">
        <f t="shared" si="104"/>
        <v>5.8066666666666666</v>
      </c>
      <c r="AX47" s="466">
        <f t="shared" si="105"/>
        <v>22.404444444444444</v>
      </c>
      <c r="AY47" s="466">
        <f t="shared" si="106"/>
        <v>27.926666666666666</v>
      </c>
      <c r="AZ47" s="466">
        <f t="shared" si="107"/>
        <v>0.28444444444444444</v>
      </c>
      <c r="BA47" s="466">
        <f t="shared" si="108"/>
        <v>5.8066666666666666</v>
      </c>
      <c r="BB47" s="466">
        <f t="shared" si="109"/>
        <v>22.404444444444444</v>
      </c>
      <c r="BC47" s="466">
        <f t="shared" si="110"/>
        <v>27.926666666666666</v>
      </c>
      <c r="BD47" s="466">
        <f t="shared" si="111"/>
        <v>0.28444444444444444</v>
      </c>
      <c r="BE47" s="466">
        <f t="shared" si="112"/>
        <v>5.8066666666666666</v>
      </c>
      <c r="BF47" s="466">
        <f t="shared" si="113"/>
        <v>22.404444444444444</v>
      </c>
      <c r="BG47" s="466">
        <f t="shared" si="114"/>
        <v>27.926666666666666</v>
      </c>
    </row>
    <row r="48" spans="1:59">
      <c r="A48" s="212" t="s">
        <v>5316</v>
      </c>
      <c r="B48" s="230">
        <v>646884121</v>
      </c>
      <c r="C48" s="209" t="s">
        <v>58</v>
      </c>
      <c r="D48" s="209">
        <v>7200</v>
      </c>
      <c r="F48" s="238" t="str" cm="1">
        <f t="array" aca="1" ref="F48" ca="1">MID(met2utc(PEPSSI_Commanding[[#This Row],[MET]]),3,15)</f>
        <v>26-201/20:10:05</v>
      </c>
      <c r="G48" s="212" t="str">
        <f t="shared" si="65"/>
        <v>N3+7200</v>
      </c>
      <c r="H48" s="213">
        <f t="shared" si="66"/>
        <v>646883515</v>
      </c>
      <c r="I48" s="213">
        <f t="shared" si="67"/>
        <v>644923315</v>
      </c>
      <c r="J48" s="212">
        <f t="shared" si="68"/>
        <v>20</v>
      </c>
      <c r="K48" s="212">
        <f t="shared" si="69"/>
        <v>4</v>
      </c>
      <c r="M48" s="209">
        <f t="shared" si="70"/>
        <v>360</v>
      </c>
      <c r="N48" s="209">
        <f t="shared" si="71"/>
        <v>360</v>
      </c>
      <c r="O48" s="209">
        <f t="shared" si="72"/>
        <v>7200</v>
      </c>
      <c r="P48" s="209">
        <f t="shared" si="73"/>
        <v>1800</v>
      </c>
      <c r="Q48" s="209" t="str">
        <f t="shared" si="74"/>
        <v>disabled</v>
      </c>
      <c r="R48" s="209" t="str">
        <f t="shared" si="75"/>
        <v/>
      </c>
      <c r="S48" s="209" t="str">
        <f t="shared" si="76"/>
        <v>102</v>
      </c>
      <c r="U48" s="466">
        <f t="shared" si="77"/>
        <v>0</v>
      </c>
      <c r="V48" s="466">
        <f t="shared" si="78"/>
        <v>0</v>
      </c>
      <c r="W48" s="466">
        <f t="shared" si="79"/>
        <v>0.28444444444444444</v>
      </c>
      <c r="X48" s="466">
        <f t="shared" si="80"/>
        <v>5.5222222222222221</v>
      </c>
      <c r="Y48" s="466">
        <f t="shared" si="81"/>
        <v>0</v>
      </c>
      <c r="Z48" s="466">
        <f t="shared" si="82"/>
        <v>0</v>
      </c>
      <c r="AA48" s="466">
        <f t="shared" si="83"/>
        <v>2.7650000000000001</v>
      </c>
      <c r="AB48" s="242"/>
      <c r="AC48" s="466">
        <f t="shared" si="84"/>
        <v>5.5222222222222221</v>
      </c>
      <c r="AD48" s="466">
        <f t="shared" si="85"/>
        <v>2.7650000000000001</v>
      </c>
      <c r="AE48" s="466">
        <f t="shared" si="86"/>
        <v>8.2872222222222227</v>
      </c>
      <c r="AF48" s="466">
        <f t="shared" si="87"/>
        <v>0</v>
      </c>
      <c r="AG48" s="466">
        <f t="shared" si="88"/>
        <v>5.5222222222222221</v>
      </c>
      <c r="AH48" s="466">
        <f t="shared" si="89"/>
        <v>2.7650000000000001</v>
      </c>
      <c r="AI48" s="466">
        <f t="shared" si="90"/>
        <v>8.2872222222222227</v>
      </c>
      <c r="AJ48" s="466">
        <f t="shared" si="91"/>
        <v>0</v>
      </c>
      <c r="AK48" s="466">
        <f t="shared" si="92"/>
        <v>5.5222222222222221</v>
      </c>
      <c r="AL48" s="466">
        <f t="shared" si="93"/>
        <v>2.7650000000000001</v>
      </c>
      <c r="AM48" s="466">
        <f t="shared" si="94"/>
        <v>8.2872222222222227</v>
      </c>
      <c r="AN48" s="466">
        <f t="shared" si="95"/>
        <v>0</v>
      </c>
      <c r="AO48" s="466">
        <f t="shared" si="96"/>
        <v>5.5222222222222221</v>
      </c>
      <c r="AP48" s="466">
        <f t="shared" si="97"/>
        <v>2.7650000000000001</v>
      </c>
      <c r="AQ48" s="466">
        <f t="shared" si="98"/>
        <v>8.2872222222222227</v>
      </c>
      <c r="AR48" s="466">
        <f t="shared" si="99"/>
        <v>0.28444444444444444</v>
      </c>
      <c r="AS48" s="466">
        <f t="shared" si="100"/>
        <v>5.8066666666666666</v>
      </c>
      <c r="AT48" s="466">
        <f t="shared" si="101"/>
        <v>3.0494444444444446</v>
      </c>
      <c r="AU48" s="466">
        <f t="shared" si="102"/>
        <v>8.5716666666666672</v>
      </c>
      <c r="AV48" s="466">
        <f t="shared" si="103"/>
        <v>0.28444444444444444</v>
      </c>
      <c r="AW48" s="466">
        <f t="shared" si="104"/>
        <v>5.8066666666666666</v>
      </c>
      <c r="AX48" s="466">
        <f t="shared" si="105"/>
        <v>3.0494444444444446</v>
      </c>
      <c r="AY48" s="466">
        <f t="shared" si="106"/>
        <v>8.5716666666666672</v>
      </c>
      <c r="AZ48" s="466">
        <f t="shared" si="107"/>
        <v>0.28444444444444444</v>
      </c>
      <c r="BA48" s="466">
        <f t="shared" si="108"/>
        <v>5.8066666666666666</v>
      </c>
      <c r="BB48" s="466">
        <f t="shared" si="109"/>
        <v>3.0494444444444446</v>
      </c>
      <c r="BC48" s="466">
        <f t="shared" si="110"/>
        <v>8.5716666666666672</v>
      </c>
      <c r="BD48" s="466">
        <f t="shared" si="111"/>
        <v>0.28444444444444444</v>
      </c>
      <c r="BE48" s="466">
        <f t="shared" si="112"/>
        <v>5.8066666666666666</v>
      </c>
      <c r="BF48" s="466">
        <f t="shared" si="113"/>
        <v>3.0494444444444446</v>
      </c>
      <c r="BG48" s="466">
        <f t="shared" si="114"/>
        <v>8.5716666666666672</v>
      </c>
    </row>
    <row r="49" spans="1:59">
      <c r="A49" s="212" t="s">
        <v>5317</v>
      </c>
      <c r="B49" s="230">
        <v>646884124</v>
      </c>
      <c r="C49" s="209" t="s">
        <v>5284</v>
      </c>
      <c r="D49" s="209">
        <v>1800</v>
      </c>
      <c r="F49" s="238" t="str" cm="1">
        <f t="array" aca="1" ref="F49" ca="1">MID(met2utc(PEPSSI_Commanding[[#This Row],[MET]]),3,15)</f>
        <v>26-201/20:10:08</v>
      </c>
      <c r="G49" s="212" t="str">
        <f t="shared" si="65"/>
        <v>STAT+1800</v>
      </c>
      <c r="H49" s="213">
        <f t="shared" si="66"/>
        <v>646883515</v>
      </c>
      <c r="I49" s="213">
        <f t="shared" si="67"/>
        <v>644923315</v>
      </c>
      <c r="J49" s="212">
        <f t="shared" si="68"/>
        <v>21</v>
      </c>
      <c r="K49" s="212">
        <f t="shared" si="69"/>
        <v>3</v>
      </c>
      <c r="M49" s="209">
        <f t="shared" si="70"/>
        <v>360</v>
      </c>
      <c r="N49" s="209">
        <f t="shared" si="71"/>
        <v>360</v>
      </c>
      <c r="O49" s="209">
        <f t="shared" si="72"/>
        <v>7200</v>
      </c>
      <c r="P49" s="209">
        <f t="shared" si="73"/>
        <v>1800</v>
      </c>
      <c r="Q49" s="209" t="str">
        <f t="shared" si="74"/>
        <v>disabled</v>
      </c>
      <c r="R49" s="209" t="str">
        <f t="shared" si="75"/>
        <v/>
      </c>
      <c r="S49" s="209" t="str">
        <f t="shared" si="76"/>
        <v>102</v>
      </c>
      <c r="U49" s="466">
        <f t="shared" si="77"/>
        <v>0</v>
      </c>
      <c r="V49" s="466">
        <f t="shared" si="78"/>
        <v>0</v>
      </c>
      <c r="W49" s="466">
        <f t="shared" si="79"/>
        <v>0.28444444444444444</v>
      </c>
      <c r="X49" s="466">
        <f t="shared" si="80"/>
        <v>5.5222222222222221</v>
      </c>
      <c r="Y49" s="466">
        <f t="shared" si="81"/>
        <v>0</v>
      </c>
      <c r="Z49" s="466">
        <f t="shared" si="82"/>
        <v>0</v>
      </c>
      <c r="AA49" s="466">
        <f t="shared" si="83"/>
        <v>2.7650000000000001</v>
      </c>
      <c r="AB49" s="242"/>
      <c r="AC49" s="466">
        <f t="shared" si="84"/>
        <v>5.5222222222222221</v>
      </c>
      <c r="AD49" s="466">
        <f t="shared" si="85"/>
        <v>2.7650000000000001</v>
      </c>
      <c r="AE49" s="466">
        <f t="shared" si="86"/>
        <v>8.2872222222222227</v>
      </c>
      <c r="AF49" s="466">
        <f t="shared" si="87"/>
        <v>0</v>
      </c>
      <c r="AG49" s="466">
        <f t="shared" si="88"/>
        <v>5.5222222222222221</v>
      </c>
      <c r="AH49" s="466">
        <f t="shared" si="89"/>
        <v>2.7650000000000001</v>
      </c>
      <c r="AI49" s="466">
        <f t="shared" si="90"/>
        <v>8.2872222222222227</v>
      </c>
      <c r="AJ49" s="466">
        <f t="shared" si="91"/>
        <v>0</v>
      </c>
      <c r="AK49" s="466">
        <f t="shared" si="92"/>
        <v>5.5222222222222221</v>
      </c>
      <c r="AL49" s="466">
        <f t="shared" si="93"/>
        <v>2.7650000000000001</v>
      </c>
      <c r="AM49" s="466">
        <f t="shared" si="94"/>
        <v>8.2872222222222227</v>
      </c>
      <c r="AN49" s="466">
        <f t="shared" si="95"/>
        <v>0</v>
      </c>
      <c r="AO49" s="466">
        <f t="shared" si="96"/>
        <v>5.5222222222222221</v>
      </c>
      <c r="AP49" s="466">
        <f t="shared" si="97"/>
        <v>2.7650000000000001</v>
      </c>
      <c r="AQ49" s="466">
        <f t="shared" si="98"/>
        <v>8.2872222222222227</v>
      </c>
      <c r="AR49" s="466">
        <f t="shared" si="99"/>
        <v>0.28444444444444444</v>
      </c>
      <c r="AS49" s="466">
        <f t="shared" si="100"/>
        <v>5.8066666666666666</v>
      </c>
      <c r="AT49" s="466">
        <f t="shared" si="101"/>
        <v>3.0494444444444446</v>
      </c>
      <c r="AU49" s="466">
        <f t="shared" si="102"/>
        <v>8.5716666666666672</v>
      </c>
      <c r="AV49" s="466">
        <f t="shared" si="103"/>
        <v>0.28444444444444444</v>
      </c>
      <c r="AW49" s="466">
        <f t="shared" si="104"/>
        <v>5.8066666666666666</v>
      </c>
      <c r="AX49" s="466">
        <f t="shared" si="105"/>
        <v>3.0494444444444446</v>
      </c>
      <c r="AY49" s="466">
        <f t="shared" si="106"/>
        <v>8.5716666666666672</v>
      </c>
      <c r="AZ49" s="466">
        <f t="shared" si="107"/>
        <v>0.28444444444444444</v>
      </c>
      <c r="BA49" s="466">
        <f t="shared" si="108"/>
        <v>5.8066666666666666</v>
      </c>
      <c r="BB49" s="466">
        <f t="shared" si="109"/>
        <v>3.0494444444444446</v>
      </c>
      <c r="BC49" s="466">
        <f t="shared" si="110"/>
        <v>8.5716666666666672</v>
      </c>
      <c r="BD49" s="466">
        <f t="shared" si="111"/>
        <v>0.28444444444444444</v>
      </c>
      <c r="BE49" s="466">
        <f t="shared" si="112"/>
        <v>5.8066666666666666</v>
      </c>
      <c r="BF49" s="466">
        <f t="shared" si="113"/>
        <v>3.0494444444444446</v>
      </c>
      <c r="BG49" s="466">
        <f t="shared" si="114"/>
        <v>8.5716666666666672</v>
      </c>
    </row>
    <row r="50" spans="1:59">
      <c r="A50" s="212" t="s">
        <v>5315</v>
      </c>
      <c r="B50" s="230">
        <v>646884715</v>
      </c>
      <c r="C50" s="209" t="s">
        <v>5285</v>
      </c>
      <c r="D50" s="209">
        <v>103</v>
      </c>
      <c r="F50" s="238" t="str" cm="1">
        <f t="array" aca="1" ref="F50" ca="1">MID(met2utc(PEPSSI_Commanding[[#This Row],[MET]]),3,15)</f>
        <v>26-201/20:19:59</v>
      </c>
      <c r="G50" s="212" t="str">
        <f t="shared" si="65"/>
        <v>MAC+103</v>
      </c>
      <c r="H50" s="213">
        <f t="shared" si="66"/>
        <v>646883515</v>
      </c>
      <c r="I50" s="213">
        <f t="shared" si="67"/>
        <v>644923315</v>
      </c>
      <c r="J50" s="212">
        <f t="shared" si="68"/>
        <v>22</v>
      </c>
      <c r="K50" s="212">
        <f t="shared" si="69"/>
        <v>2</v>
      </c>
      <c r="M50" s="209">
        <f t="shared" si="70"/>
        <v>360</v>
      </c>
      <c r="N50" s="209">
        <f t="shared" si="71"/>
        <v>3</v>
      </c>
      <c r="O50" s="209">
        <f t="shared" si="72"/>
        <v>7200</v>
      </c>
      <c r="P50" s="209">
        <f t="shared" si="73"/>
        <v>1800</v>
      </c>
      <c r="Q50" s="209" t="str">
        <f t="shared" si="74"/>
        <v>disabled</v>
      </c>
      <c r="R50" s="209" t="str">
        <f t="shared" si="75"/>
        <v/>
      </c>
      <c r="S50" s="209" t="str">
        <f t="shared" si="76"/>
        <v>102</v>
      </c>
      <c r="U50" s="466">
        <f t="shared" si="77"/>
        <v>0</v>
      </c>
      <c r="V50" s="466">
        <f t="shared" si="78"/>
        <v>0</v>
      </c>
      <c r="W50" s="466">
        <f t="shared" si="79"/>
        <v>0.28444444444444444</v>
      </c>
      <c r="X50" s="466">
        <f t="shared" si="80"/>
        <v>5.5222222222222221</v>
      </c>
      <c r="Y50" s="466">
        <f t="shared" si="81"/>
        <v>0</v>
      </c>
      <c r="Z50" s="466">
        <f t="shared" si="82"/>
        <v>0</v>
      </c>
      <c r="AA50" s="466">
        <f t="shared" si="83"/>
        <v>2.7650000000000001</v>
      </c>
      <c r="AB50" s="242"/>
      <c r="AC50" s="466">
        <f t="shared" si="84"/>
        <v>5.5222222222222221</v>
      </c>
      <c r="AD50" s="466">
        <f t="shared" si="85"/>
        <v>2.7650000000000001</v>
      </c>
      <c r="AE50" s="466">
        <f t="shared" si="86"/>
        <v>8.2872222222222227</v>
      </c>
      <c r="AF50" s="466">
        <f t="shared" si="87"/>
        <v>0</v>
      </c>
      <c r="AG50" s="466">
        <f t="shared" si="88"/>
        <v>5.5222222222222221</v>
      </c>
      <c r="AH50" s="466">
        <f t="shared" si="89"/>
        <v>2.7650000000000001</v>
      </c>
      <c r="AI50" s="466">
        <f t="shared" si="90"/>
        <v>8.2872222222222227</v>
      </c>
      <c r="AJ50" s="466">
        <f t="shared" si="91"/>
        <v>0</v>
      </c>
      <c r="AK50" s="466">
        <f t="shared" si="92"/>
        <v>5.5222222222222221</v>
      </c>
      <c r="AL50" s="466">
        <f t="shared" si="93"/>
        <v>2.7650000000000001</v>
      </c>
      <c r="AM50" s="466">
        <f t="shared" si="94"/>
        <v>8.2872222222222227</v>
      </c>
      <c r="AN50" s="466">
        <f t="shared" si="95"/>
        <v>0</v>
      </c>
      <c r="AO50" s="466">
        <f t="shared" si="96"/>
        <v>5.5222222222222221</v>
      </c>
      <c r="AP50" s="466">
        <f t="shared" si="97"/>
        <v>2.7650000000000001</v>
      </c>
      <c r="AQ50" s="466">
        <f t="shared" si="98"/>
        <v>8.2872222222222227</v>
      </c>
      <c r="AR50" s="466">
        <f t="shared" si="99"/>
        <v>0.28444444444444444</v>
      </c>
      <c r="AS50" s="466">
        <f t="shared" si="100"/>
        <v>5.8066666666666666</v>
      </c>
      <c r="AT50" s="466">
        <f t="shared" si="101"/>
        <v>3.0494444444444446</v>
      </c>
      <c r="AU50" s="466">
        <f t="shared" si="102"/>
        <v>8.5716666666666672</v>
      </c>
      <c r="AV50" s="466">
        <f t="shared" si="103"/>
        <v>0.28444444444444444</v>
      </c>
      <c r="AW50" s="466">
        <f t="shared" si="104"/>
        <v>5.8066666666666666</v>
      </c>
      <c r="AX50" s="466">
        <f t="shared" si="105"/>
        <v>3.0494444444444446</v>
      </c>
      <c r="AY50" s="466">
        <f t="shared" si="106"/>
        <v>8.5716666666666672</v>
      </c>
      <c r="AZ50" s="466">
        <f t="shared" si="107"/>
        <v>0.28444444444444444</v>
      </c>
      <c r="BA50" s="466">
        <f t="shared" si="108"/>
        <v>5.8066666666666666</v>
      </c>
      <c r="BB50" s="466">
        <f t="shared" si="109"/>
        <v>3.0494444444444446</v>
      </c>
      <c r="BC50" s="466">
        <f t="shared" si="110"/>
        <v>8.5716666666666672</v>
      </c>
      <c r="BD50" s="466">
        <f t="shared" si="111"/>
        <v>0.28444444444444444</v>
      </c>
      <c r="BE50" s="466">
        <f t="shared" si="112"/>
        <v>5.8066666666666666</v>
      </c>
      <c r="BF50" s="466">
        <f t="shared" si="113"/>
        <v>3.0494444444444446</v>
      </c>
      <c r="BG50" s="466">
        <f t="shared" si="114"/>
        <v>8.5716666666666672</v>
      </c>
    </row>
    <row r="51" spans="1:59">
      <c r="A51" s="212" t="s">
        <v>5315</v>
      </c>
      <c r="B51" s="230">
        <v>646885315</v>
      </c>
      <c r="C51" s="209" t="s">
        <v>5285</v>
      </c>
      <c r="D51" s="209">
        <v>109</v>
      </c>
      <c r="F51" s="238" t="str" cm="1">
        <f t="array" aca="1" ref="F51" ca="1">MID(met2utc(PEPSSI_Commanding[[#This Row],[MET]]),3,15)</f>
        <v>26-201/20:29:59</v>
      </c>
      <c r="G51" s="212" t="str">
        <f t="shared" si="65"/>
        <v>MAC+109</v>
      </c>
      <c r="H51" s="213">
        <f t="shared" si="66"/>
        <v>646883515</v>
      </c>
      <c r="I51" s="213">
        <f t="shared" si="67"/>
        <v>644923315</v>
      </c>
      <c r="J51" s="212">
        <f t="shared" si="68"/>
        <v>23</v>
      </c>
      <c r="K51" s="212">
        <f t="shared" si="69"/>
        <v>1</v>
      </c>
      <c r="M51" s="209">
        <f t="shared" si="70"/>
        <v>360</v>
      </c>
      <c r="N51" s="209">
        <f t="shared" si="71"/>
        <v>3</v>
      </c>
      <c r="O51" s="209">
        <f t="shared" si="72"/>
        <v>7200</v>
      </c>
      <c r="P51" s="209">
        <f t="shared" si="73"/>
        <v>1800</v>
      </c>
      <c r="Q51" s="209" t="str">
        <f t="shared" si="74"/>
        <v/>
      </c>
      <c r="R51" s="209">
        <f t="shared" si="75"/>
        <v>1800</v>
      </c>
      <c r="S51" s="209" t="str">
        <f t="shared" si="76"/>
        <v>102</v>
      </c>
      <c r="U51" s="466">
        <f t="shared" si="77"/>
        <v>2.9375</v>
      </c>
      <c r="V51" s="466">
        <f t="shared" si="78"/>
        <v>12.1875</v>
      </c>
      <c r="W51" s="466">
        <f t="shared" si="79"/>
        <v>0.28444444444444444</v>
      </c>
      <c r="X51" s="466">
        <f t="shared" si="80"/>
        <v>5.5222222222222221</v>
      </c>
      <c r="Y51" s="466">
        <f t="shared" si="81"/>
        <v>443.33333333333331</v>
      </c>
      <c r="Z51" s="466">
        <f t="shared" si="82"/>
        <v>18.472222222222221</v>
      </c>
      <c r="AA51" s="466">
        <f t="shared" si="83"/>
        <v>2.7650000000000001</v>
      </c>
      <c r="AB51" s="242"/>
      <c r="AC51" s="466">
        <f t="shared" si="84"/>
        <v>5.5222222222222221</v>
      </c>
      <c r="AD51" s="466">
        <f t="shared" si="85"/>
        <v>14.952500000000001</v>
      </c>
      <c r="AE51" s="466">
        <f t="shared" si="86"/>
        <v>20.474722222222223</v>
      </c>
      <c r="AF51" s="466">
        <f t="shared" si="87"/>
        <v>18.472222222222221</v>
      </c>
      <c r="AG51" s="466">
        <f t="shared" si="88"/>
        <v>23.994444444444444</v>
      </c>
      <c r="AH51" s="466">
        <f t="shared" si="89"/>
        <v>33.424722222222222</v>
      </c>
      <c r="AI51" s="466">
        <f t="shared" si="90"/>
        <v>38.946944444444441</v>
      </c>
      <c r="AJ51" s="466">
        <f t="shared" si="91"/>
        <v>2.9375</v>
      </c>
      <c r="AK51" s="466">
        <f t="shared" si="92"/>
        <v>8.4597222222222221</v>
      </c>
      <c r="AL51" s="466">
        <f t="shared" si="93"/>
        <v>17.89</v>
      </c>
      <c r="AM51" s="466">
        <f t="shared" si="94"/>
        <v>23.412222222222223</v>
      </c>
      <c r="AN51" s="466">
        <f t="shared" si="95"/>
        <v>21.409722222222221</v>
      </c>
      <c r="AO51" s="466">
        <f t="shared" si="96"/>
        <v>26.931944444444444</v>
      </c>
      <c r="AP51" s="466">
        <f t="shared" si="97"/>
        <v>36.362222222222222</v>
      </c>
      <c r="AQ51" s="466">
        <f t="shared" si="98"/>
        <v>41.884444444444441</v>
      </c>
      <c r="AR51" s="466">
        <f t="shared" si="99"/>
        <v>0.28444444444444444</v>
      </c>
      <c r="AS51" s="466">
        <f t="shared" si="100"/>
        <v>5.8066666666666666</v>
      </c>
      <c r="AT51" s="466">
        <f t="shared" si="101"/>
        <v>15.236944444444445</v>
      </c>
      <c r="AU51" s="466">
        <f t="shared" si="102"/>
        <v>20.759166666666665</v>
      </c>
      <c r="AV51" s="466">
        <f t="shared" si="103"/>
        <v>18.756666666666664</v>
      </c>
      <c r="AW51" s="466">
        <f t="shared" si="104"/>
        <v>24.278888888888886</v>
      </c>
      <c r="AX51" s="466">
        <f t="shared" si="105"/>
        <v>33.709166666666661</v>
      </c>
      <c r="AY51" s="466">
        <f t="shared" si="106"/>
        <v>39.231388888888887</v>
      </c>
      <c r="AZ51" s="466">
        <f t="shared" si="107"/>
        <v>3.2219444444444445</v>
      </c>
      <c r="BA51" s="466">
        <f t="shared" si="108"/>
        <v>8.7441666666666666</v>
      </c>
      <c r="BB51" s="466">
        <f t="shared" si="109"/>
        <v>18.174444444444447</v>
      </c>
      <c r="BC51" s="466">
        <f t="shared" si="110"/>
        <v>23.696666666666669</v>
      </c>
      <c r="BD51" s="466">
        <f t="shared" si="111"/>
        <v>21.694166666666668</v>
      </c>
      <c r="BE51" s="466">
        <f t="shared" si="112"/>
        <v>27.21638888888889</v>
      </c>
      <c r="BF51" s="466">
        <f t="shared" si="113"/>
        <v>36.646666666666668</v>
      </c>
      <c r="BG51" s="466">
        <f t="shared" si="114"/>
        <v>42.168888888888887</v>
      </c>
    </row>
    <row r="52" spans="1:59">
      <c r="A52" s="212" t="s">
        <v>5314</v>
      </c>
      <c r="B52" s="230">
        <v>644923315</v>
      </c>
      <c r="C52" s="209" t="s">
        <v>433</v>
      </c>
      <c r="F52" s="238" t="str" cm="1">
        <f t="array" aca="1" ref="F52" ca="1">MID(met2utc(PEPSSI_Commanding[[#This Row],[MET]]),3,15)</f>
        <v>26-179/03:29:59</v>
      </c>
      <c r="G52" s="212" t="str">
        <f t="shared" si="65"/>
        <v>ON</v>
      </c>
      <c r="H52" s="213">
        <f t="shared" si="66"/>
        <v>644923315</v>
      </c>
      <c r="I52" s="213">
        <f t="shared" si="67"/>
        <v>644924995</v>
      </c>
      <c r="J52" s="212">
        <f t="shared" si="68"/>
        <v>0</v>
      </c>
      <c r="K52" s="212">
        <f t="shared" si="69"/>
        <v>10</v>
      </c>
      <c r="M52" s="209" t="str">
        <f t="shared" si="70"/>
        <v/>
      </c>
      <c r="N52" s="209" t="str">
        <f t="shared" si="71"/>
        <v/>
      </c>
      <c r="O52" s="209" t="str">
        <f t="shared" si="72"/>
        <v/>
      </c>
      <c r="P52" s="209" t="str">
        <f t="shared" si="73"/>
        <v/>
      </c>
      <c r="Q52" s="209" t="str">
        <f t="shared" si="74"/>
        <v/>
      </c>
      <c r="R52" s="209" t="str">
        <f t="shared" si="75"/>
        <v/>
      </c>
      <c r="S52" s="209" t="str">
        <f t="shared" si="76"/>
        <v/>
      </c>
      <c r="U52" s="466">
        <f t="shared" si="77"/>
        <v>0</v>
      </c>
      <c r="V52" s="466">
        <f t="shared" si="78"/>
        <v>0</v>
      </c>
      <c r="W52" s="466">
        <f t="shared" si="79"/>
        <v>0</v>
      </c>
      <c r="X52" s="466">
        <f t="shared" si="80"/>
        <v>0</v>
      </c>
      <c r="Y52" s="466">
        <f t="shared" si="81"/>
        <v>0</v>
      </c>
      <c r="Z52" s="466">
        <f t="shared" si="82"/>
        <v>0</v>
      </c>
      <c r="AA52" s="466">
        <f t="shared" si="83"/>
        <v>0</v>
      </c>
      <c r="AB52" s="242"/>
      <c r="AC52" s="466">
        <f t="shared" si="84"/>
        <v>0</v>
      </c>
      <c r="AD52" s="466">
        <f t="shared" si="85"/>
        <v>0</v>
      </c>
      <c r="AE52" s="466">
        <f t="shared" si="86"/>
        <v>0</v>
      </c>
      <c r="AF52" s="466">
        <f t="shared" si="87"/>
        <v>0</v>
      </c>
      <c r="AG52" s="466">
        <f t="shared" si="88"/>
        <v>0</v>
      </c>
      <c r="AH52" s="466">
        <f t="shared" si="89"/>
        <v>0</v>
      </c>
      <c r="AI52" s="466">
        <f t="shared" si="90"/>
        <v>0</v>
      </c>
      <c r="AJ52" s="466">
        <f t="shared" si="91"/>
        <v>0</v>
      </c>
      <c r="AK52" s="466">
        <f t="shared" si="92"/>
        <v>0</v>
      </c>
      <c r="AL52" s="466">
        <f t="shared" si="93"/>
        <v>0</v>
      </c>
      <c r="AM52" s="466">
        <f t="shared" si="94"/>
        <v>0</v>
      </c>
      <c r="AN52" s="466">
        <f t="shared" si="95"/>
        <v>0</v>
      </c>
      <c r="AO52" s="466">
        <f t="shared" si="96"/>
        <v>0</v>
      </c>
      <c r="AP52" s="466">
        <f t="shared" si="97"/>
        <v>0</v>
      </c>
      <c r="AQ52" s="466">
        <f t="shared" si="98"/>
        <v>0</v>
      </c>
      <c r="AR52" s="466">
        <f t="shared" si="99"/>
        <v>0</v>
      </c>
      <c r="AS52" s="466">
        <f t="shared" si="100"/>
        <v>0</v>
      </c>
      <c r="AT52" s="466">
        <f t="shared" si="101"/>
        <v>0</v>
      </c>
      <c r="AU52" s="466">
        <f t="shared" si="102"/>
        <v>0</v>
      </c>
      <c r="AV52" s="466">
        <f t="shared" si="103"/>
        <v>0</v>
      </c>
      <c r="AW52" s="466">
        <f t="shared" si="104"/>
        <v>0</v>
      </c>
      <c r="AX52" s="466">
        <f t="shared" si="105"/>
        <v>0</v>
      </c>
      <c r="AY52" s="466">
        <f t="shared" si="106"/>
        <v>0</v>
      </c>
      <c r="AZ52" s="466">
        <f t="shared" si="107"/>
        <v>0</v>
      </c>
      <c r="BA52" s="466">
        <f t="shared" si="108"/>
        <v>0</v>
      </c>
      <c r="BB52" s="466">
        <f t="shared" si="109"/>
        <v>0</v>
      </c>
      <c r="BC52" s="466">
        <f t="shared" si="110"/>
        <v>0</v>
      </c>
      <c r="BD52" s="466">
        <f t="shared" si="111"/>
        <v>0</v>
      </c>
      <c r="BE52" s="466">
        <f t="shared" si="112"/>
        <v>0</v>
      </c>
      <c r="BF52" s="466">
        <f t="shared" si="113"/>
        <v>0</v>
      </c>
      <c r="BG52" s="466">
        <f t="shared" si="114"/>
        <v>0</v>
      </c>
    </row>
    <row r="53" spans="1:59">
      <c r="A53" s="212" t="s">
        <v>5315</v>
      </c>
      <c r="B53" s="230">
        <v>644923360</v>
      </c>
      <c r="C53" s="209" t="s">
        <v>5285</v>
      </c>
      <c r="D53" s="209">
        <v>10</v>
      </c>
      <c r="F53" s="238" t="str" cm="1">
        <f t="array" aca="1" ref="F53" ca="1">MID(met2utc(PEPSSI_Commanding[[#This Row],[MET]]),3,15)</f>
        <v>26-179/03:30:44</v>
      </c>
      <c r="G53" s="212" t="str">
        <f t="shared" si="65"/>
        <v>MAC+10</v>
      </c>
      <c r="H53" s="213">
        <f t="shared" si="66"/>
        <v>644923315</v>
      </c>
      <c r="I53" s="213">
        <f t="shared" si="67"/>
        <v>644924995</v>
      </c>
      <c r="J53" s="212">
        <f t="shared" si="68"/>
        <v>1</v>
      </c>
      <c r="K53" s="212">
        <f t="shared" si="69"/>
        <v>9</v>
      </c>
      <c r="M53" s="209" t="str">
        <f t="shared" si="70"/>
        <v/>
      </c>
      <c r="N53" s="209" t="str">
        <f t="shared" si="71"/>
        <v/>
      </c>
      <c r="O53" s="209" t="str">
        <f t="shared" si="72"/>
        <v/>
      </c>
      <c r="P53" s="209" t="str">
        <f t="shared" si="73"/>
        <v/>
      </c>
      <c r="Q53" s="209" t="str">
        <f t="shared" si="74"/>
        <v/>
      </c>
      <c r="R53" s="209" t="str">
        <f t="shared" si="75"/>
        <v/>
      </c>
      <c r="S53" s="209" t="str">
        <f t="shared" si="76"/>
        <v/>
      </c>
      <c r="U53" s="466">
        <f t="shared" si="77"/>
        <v>0</v>
      </c>
      <c r="V53" s="466">
        <f t="shared" si="78"/>
        <v>0</v>
      </c>
      <c r="W53" s="466">
        <f t="shared" si="79"/>
        <v>0</v>
      </c>
      <c r="X53" s="466">
        <f t="shared" si="80"/>
        <v>0</v>
      </c>
      <c r="Y53" s="466">
        <f t="shared" si="81"/>
        <v>0</v>
      </c>
      <c r="Z53" s="466">
        <f t="shared" si="82"/>
        <v>0</v>
      </c>
      <c r="AA53" s="466">
        <f t="shared" si="83"/>
        <v>0</v>
      </c>
      <c r="AB53" s="242"/>
      <c r="AC53" s="466">
        <f t="shared" si="84"/>
        <v>0</v>
      </c>
      <c r="AD53" s="466">
        <f t="shared" si="85"/>
        <v>0</v>
      </c>
      <c r="AE53" s="466">
        <f t="shared" si="86"/>
        <v>0</v>
      </c>
      <c r="AF53" s="466">
        <f t="shared" si="87"/>
        <v>0</v>
      </c>
      <c r="AG53" s="466">
        <f t="shared" si="88"/>
        <v>0</v>
      </c>
      <c r="AH53" s="466">
        <f t="shared" si="89"/>
        <v>0</v>
      </c>
      <c r="AI53" s="466">
        <f t="shared" si="90"/>
        <v>0</v>
      </c>
      <c r="AJ53" s="466">
        <f t="shared" si="91"/>
        <v>0</v>
      </c>
      <c r="AK53" s="466">
        <f t="shared" si="92"/>
        <v>0</v>
      </c>
      <c r="AL53" s="466">
        <f t="shared" si="93"/>
        <v>0</v>
      </c>
      <c r="AM53" s="466">
        <f t="shared" si="94"/>
        <v>0</v>
      </c>
      <c r="AN53" s="466">
        <f t="shared" si="95"/>
        <v>0</v>
      </c>
      <c r="AO53" s="466">
        <f t="shared" si="96"/>
        <v>0</v>
      </c>
      <c r="AP53" s="466">
        <f t="shared" si="97"/>
        <v>0</v>
      </c>
      <c r="AQ53" s="466">
        <f t="shared" si="98"/>
        <v>0</v>
      </c>
      <c r="AR53" s="466">
        <f t="shared" si="99"/>
        <v>0</v>
      </c>
      <c r="AS53" s="466">
        <f t="shared" si="100"/>
        <v>0</v>
      </c>
      <c r="AT53" s="466">
        <f t="shared" si="101"/>
        <v>0</v>
      </c>
      <c r="AU53" s="466">
        <f t="shared" si="102"/>
        <v>0</v>
      </c>
      <c r="AV53" s="466">
        <f t="shared" si="103"/>
        <v>0</v>
      </c>
      <c r="AW53" s="466">
        <f t="shared" si="104"/>
        <v>0</v>
      </c>
      <c r="AX53" s="466">
        <f t="shared" si="105"/>
        <v>0</v>
      </c>
      <c r="AY53" s="466">
        <f t="shared" si="106"/>
        <v>0</v>
      </c>
      <c r="AZ53" s="466">
        <f t="shared" si="107"/>
        <v>0</v>
      </c>
      <c r="BA53" s="466">
        <f t="shared" si="108"/>
        <v>0</v>
      </c>
      <c r="BB53" s="466">
        <f t="shared" si="109"/>
        <v>0</v>
      </c>
      <c r="BC53" s="466">
        <f t="shared" si="110"/>
        <v>0</v>
      </c>
      <c r="BD53" s="466">
        <f t="shared" si="111"/>
        <v>0</v>
      </c>
      <c r="BE53" s="466">
        <f t="shared" si="112"/>
        <v>0</v>
      </c>
      <c r="BF53" s="466">
        <f t="shared" si="113"/>
        <v>0</v>
      </c>
      <c r="BG53" s="466">
        <f t="shared" si="114"/>
        <v>0</v>
      </c>
    </row>
    <row r="54" spans="1:59">
      <c r="A54" s="212" t="s">
        <v>5316</v>
      </c>
      <c r="B54" s="230">
        <v>644923360</v>
      </c>
      <c r="C54" s="209" t="s">
        <v>61</v>
      </c>
      <c r="D54" s="209">
        <v>10</v>
      </c>
      <c r="F54" s="238" t="str" cm="1">
        <f t="array" aca="1" ref="F54" ca="1">MID(met2utc(PEPSSI_Commanding[[#This Row],[MET]]),3,15)</f>
        <v>26-179/03:30:44</v>
      </c>
      <c r="G54" s="212" t="str">
        <f t="shared" si="65"/>
        <v>N2+10</v>
      </c>
      <c r="H54" s="213">
        <f t="shared" si="66"/>
        <v>644923315</v>
      </c>
      <c r="I54" s="213">
        <f t="shared" si="67"/>
        <v>644924995</v>
      </c>
      <c r="J54" s="212">
        <f t="shared" si="68"/>
        <v>2</v>
      </c>
      <c r="K54" s="212">
        <f t="shared" si="69"/>
        <v>8</v>
      </c>
      <c r="M54" s="209" t="str">
        <f t="shared" si="70"/>
        <v/>
      </c>
      <c r="N54" s="209">
        <f t="shared" si="71"/>
        <v>10</v>
      </c>
      <c r="O54" s="209" t="str">
        <f t="shared" si="72"/>
        <v/>
      </c>
      <c r="P54" s="209" t="str">
        <f t="shared" si="73"/>
        <v/>
      </c>
      <c r="Q54" s="209" t="str">
        <f t="shared" si="74"/>
        <v/>
      </c>
      <c r="R54" s="209" t="str">
        <f t="shared" si="75"/>
        <v/>
      </c>
      <c r="S54" s="209" t="str">
        <f t="shared" si="76"/>
        <v/>
      </c>
      <c r="U54" s="466">
        <f t="shared" si="77"/>
        <v>0</v>
      </c>
      <c r="V54" s="466">
        <f t="shared" si="78"/>
        <v>0</v>
      </c>
      <c r="W54" s="466">
        <f t="shared" si="79"/>
        <v>0</v>
      </c>
      <c r="X54" s="466">
        <f t="shared" si="80"/>
        <v>0</v>
      </c>
      <c r="Y54" s="466">
        <f t="shared" si="81"/>
        <v>133</v>
      </c>
      <c r="Z54" s="466">
        <f t="shared" si="82"/>
        <v>133</v>
      </c>
      <c r="AA54" s="466">
        <f t="shared" si="83"/>
        <v>0</v>
      </c>
      <c r="AB54" s="242"/>
      <c r="AC54" s="466">
        <f t="shared" si="84"/>
        <v>0</v>
      </c>
      <c r="AD54" s="466">
        <f t="shared" si="85"/>
        <v>0</v>
      </c>
      <c r="AE54" s="466">
        <f t="shared" si="86"/>
        <v>0</v>
      </c>
      <c r="AF54" s="466">
        <f t="shared" si="87"/>
        <v>133</v>
      </c>
      <c r="AG54" s="466">
        <f t="shared" si="88"/>
        <v>133</v>
      </c>
      <c r="AH54" s="466">
        <f t="shared" si="89"/>
        <v>133</v>
      </c>
      <c r="AI54" s="466">
        <f t="shared" si="90"/>
        <v>133</v>
      </c>
      <c r="AJ54" s="466">
        <f t="shared" si="91"/>
        <v>0</v>
      </c>
      <c r="AK54" s="466">
        <f t="shared" si="92"/>
        <v>0</v>
      </c>
      <c r="AL54" s="466">
        <f t="shared" si="93"/>
        <v>0</v>
      </c>
      <c r="AM54" s="466">
        <f t="shared" si="94"/>
        <v>0</v>
      </c>
      <c r="AN54" s="466">
        <f t="shared" si="95"/>
        <v>133</v>
      </c>
      <c r="AO54" s="466">
        <f t="shared" si="96"/>
        <v>133</v>
      </c>
      <c r="AP54" s="466">
        <f t="shared" si="97"/>
        <v>133</v>
      </c>
      <c r="AQ54" s="466">
        <f t="shared" si="98"/>
        <v>133</v>
      </c>
      <c r="AR54" s="466">
        <f t="shared" si="99"/>
        <v>0</v>
      </c>
      <c r="AS54" s="466">
        <f t="shared" si="100"/>
        <v>0</v>
      </c>
      <c r="AT54" s="466">
        <f t="shared" si="101"/>
        <v>0</v>
      </c>
      <c r="AU54" s="466">
        <f t="shared" si="102"/>
        <v>0</v>
      </c>
      <c r="AV54" s="466">
        <f t="shared" si="103"/>
        <v>133</v>
      </c>
      <c r="AW54" s="466">
        <f t="shared" si="104"/>
        <v>133</v>
      </c>
      <c r="AX54" s="466">
        <f t="shared" si="105"/>
        <v>133</v>
      </c>
      <c r="AY54" s="466">
        <f t="shared" si="106"/>
        <v>133</v>
      </c>
      <c r="AZ54" s="466">
        <f t="shared" si="107"/>
        <v>0</v>
      </c>
      <c r="BA54" s="466">
        <f t="shared" si="108"/>
        <v>0</v>
      </c>
      <c r="BB54" s="466">
        <f t="shared" si="109"/>
        <v>0</v>
      </c>
      <c r="BC54" s="466">
        <f t="shared" si="110"/>
        <v>0</v>
      </c>
      <c r="BD54" s="466">
        <f t="shared" si="111"/>
        <v>133</v>
      </c>
      <c r="BE54" s="466">
        <f t="shared" si="112"/>
        <v>133</v>
      </c>
      <c r="BF54" s="466">
        <f t="shared" si="113"/>
        <v>133</v>
      </c>
      <c r="BG54" s="466">
        <f t="shared" si="114"/>
        <v>133</v>
      </c>
    </row>
    <row r="55" spans="1:59">
      <c r="A55" s="212" t="s">
        <v>5316</v>
      </c>
      <c r="B55" s="230">
        <v>644923361</v>
      </c>
      <c r="C55" s="209" t="s">
        <v>58</v>
      </c>
      <c r="D55" s="209">
        <v>300</v>
      </c>
      <c r="F55" s="238" t="str" cm="1">
        <f t="array" aca="1" ref="F55" ca="1">MID(met2utc(PEPSSI_Commanding[[#This Row],[MET]]),3,15)</f>
        <v>26-179/03:30:45</v>
      </c>
      <c r="G55" s="212" t="str">
        <f t="shared" si="65"/>
        <v>N3+300</v>
      </c>
      <c r="H55" s="213">
        <f t="shared" si="66"/>
        <v>644923315</v>
      </c>
      <c r="I55" s="213">
        <f t="shared" si="67"/>
        <v>644924995</v>
      </c>
      <c r="J55" s="212">
        <f t="shared" si="68"/>
        <v>3</v>
      </c>
      <c r="K55" s="212">
        <f t="shared" si="69"/>
        <v>7</v>
      </c>
      <c r="M55" s="209" t="str">
        <f t="shared" si="70"/>
        <v/>
      </c>
      <c r="N55" s="209">
        <f t="shared" si="71"/>
        <v>10</v>
      </c>
      <c r="O55" s="209">
        <f t="shared" si="72"/>
        <v>300</v>
      </c>
      <c r="P55" s="209" t="str">
        <f t="shared" si="73"/>
        <v/>
      </c>
      <c r="Q55" s="209" t="str">
        <f t="shared" si="74"/>
        <v/>
      </c>
      <c r="R55" s="209" t="str">
        <f t="shared" si="75"/>
        <v/>
      </c>
      <c r="S55" s="209" t="str">
        <f t="shared" si="76"/>
        <v/>
      </c>
      <c r="U55" s="466">
        <f t="shared" si="77"/>
        <v>0</v>
      </c>
      <c r="V55" s="466">
        <f t="shared" si="78"/>
        <v>0</v>
      </c>
      <c r="W55" s="466">
        <f t="shared" si="79"/>
        <v>0</v>
      </c>
      <c r="X55" s="466">
        <f t="shared" si="80"/>
        <v>0</v>
      </c>
      <c r="Y55" s="466">
        <f t="shared" si="81"/>
        <v>133</v>
      </c>
      <c r="Z55" s="466">
        <f t="shared" si="82"/>
        <v>133</v>
      </c>
      <c r="AA55" s="466">
        <f t="shared" si="83"/>
        <v>66.36</v>
      </c>
      <c r="AB55" s="242"/>
      <c r="AC55" s="466">
        <f t="shared" si="84"/>
        <v>0</v>
      </c>
      <c r="AD55" s="466">
        <f t="shared" si="85"/>
        <v>66.36</v>
      </c>
      <c r="AE55" s="466">
        <f t="shared" si="86"/>
        <v>66.36</v>
      </c>
      <c r="AF55" s="466">
        <f t="shared" si="87"/>
        <v>133</v>
      </c>
      <c r="AG55" s="466">
        <f t="shared" si="88"/>
        <v>133</v>
      </c>
      <c r="AH55" s="466">
        <f t="shared" si="89"/>
        <v>199.36</v>
      </c>
      <c r="AI55" s="466">
        <f t="shared" si="90"/>
        <v>199.36</v>
      </c>
      <c r="AJ55" s="466">
        <f t="shared" si="91"/>
        <v>0</v>
      </c>
      <c r="AK55" s="466">
        <f t="shared" si="92"/>
        <v>0</v>
      </c>
      <c r="AL55" s="466">
        <f t="shared" si="93"/>
        <v>66.36</v>
      </c>
      <c r="AM55" s="466">
        <f t="shared" si="94"/>
        <v>66.36</v>
      </c>
      <c r="AN55" s="466">
        <f t="shared" si="95"/>
        <v>133</v>
      </c>
      <c r="AO55" s="466">
        <f t="shared" si="96"/>
        <v>133</v>
      </c>
      <c r="AP55" s="466">
        <f t="shared" si="97"/>
        <v>199.36</v>
      </c>
      <c r="AQ55" s="466">
        <f t="shared" si="98"/>
        <v>199.36</v>
      </c>
      <c r="AR55" s="466">
        <f t="shared" si="99"/>
        <v>0</v>
      </c>
      <c r="AS55" s="466">
        <f t="shared" si="100"/>
        <v>0</v>
      </c>
      <c r="AT55" s="466">
        <f t="shared" si="101"/>
        <v>66.36</v>
      </c>
      <c r="AU55" s="466">
        <f t="shared" si="102"/>
        <v>66.36</v>
      </c>
      <c r="AV55" s="466">
        <f t="shared" si="103"/>
        <v>133</v>
      </c>
      <c r="AW55" s="466">
        <f t="shared" si="104"/>
        <v>133</v>
      </c>
      <c r="AX55" s="466">
        <f t="shared" si="105"/>
        <v>199.36</v>
      </c>
      <c r="AY55" s="466">
        <f t="shared" si="106"/>
        <v>199.36</v>
      </c>
      <c r="AZ55" s="466">
        <f t="shared" si="107"/>
        <v>0</v>
      </c>
      <c r="BA55" s="466">
        <f t="shared" si="108"/>
        <v>0</v>
      </c>
      <c r="BB55" s="466">
        <f t="shared" si="109"/>
        <v>66.36</v>
      </c>
      <c r="BC55" s="466">
        <f t="shared" si="110"/>
        <v>66.36</v>
      </c>
      <c r="BD55" s="466">
        <f t="shared" si="111"/>
        <v>133</v>
      </c>
      <c r="BE55" s="466">
        <f t="shared" si="112"/>
        <v>133</v>
      </c>
      <c r="BF55" s="466">
        <f t="shared" si="113"/>
        <v>199.36</v>
      </c>
      <c r="BG55" s="466">
        <f t="shared" si="114"/>
        <v>199.36</v>
      </c>
    </row>
    <row r="56" spans="1:59">
      <c r="A56" s="212" t="s">
        <v>5316</v>
      </c>
      <c r="B56" s="230">
        <v>644923362</v>
      </c>
      <c r="C56" s="209" t="s">
        <v>1</v>
      </c>
      <c r="D56" s="209">
        <v>10</v>
      </c>
      <c r="F56" s="238" t="str" cm="1">
        <f t="array" aca="1" ref="F56" ca="1">MID(met2utc(PEPSSI_Commanding[[#This Row],[MET]]),3,15)</f>
        <v>26-179/03:30:46</v>
      </c>
      <c r="G56" s="212" t="str">
        <f t="shared" si="65"/>
        <v>N1+10</v>
      </c>
      <c r="H56" s="213">
        <f t="shared" si="66"/>
        <v>644923315</v>
      </c>
      <c r="I56" s="213">
        <f t="shared" si="67"/>
        <v>644924995</v>
      </c>
      <c r="J56" s="212">
        <f t="shared" si="68"/>
        <v>4</v>
      </c>
      <c r="K56" s="212">
        <f t="shared" si="69"/>
        <v>6</v>
      </c>
      <c r="M56" s="209">
        <f t="shared" si="70"/>
        <v>10</v>
      </c>
      <c r="N56" s="209">
        <f t="shared" si="71"/>
        <v>10</v>
      </c>
      <c r="O56" s="209">
        <f t="shared" si="72"/>
        <v>300</v>
      </c>
      <c r="P56" s="209" t="str">
        <f t="shared" si="73"/>
        <v/>
      </c>
      <c r="Q56" s="209" t="str">
        <f t="shared" si="74"/>
        <v/>
      </c>
      <c r="R56" s="209" t="str">
        <f t="shared" si="75"/>
        <v/>
      </c>
      <c r="S56" s="209" t="str">
        <f t="shared" si="76"/>
        <v/>
      </c>
      <c r="U56" s="466">
        <f t="shared" si="77"/>
        <v>0</v>
      </c>
      <c r="V56" s="466">
        <f t="shared" si="78"/>
        <v>0</v>
      </c>
      <c r="W56" s="466">
        <f t="shared" si="79"/>
        <v>0</v>
      </c>
      <c r="X56" s="466">
        <f t="shared" si="80"/>
        <v>198.8</v>
      </c>
      <c r="Y56" s="466">
        <f t="shared" si="81"/>
        <v>133</v>
      </c>
      <c r="Z56" s="466">
        <f t="shared" si="82"/>
        <v>133</v>
      </c>
      <c r="AA56" s="466">
        <f t="shared" si="83"/>
        <v>66.36</v>
      </c>
      <c r="AB56" s="242"/>
      <c r="AC56" s="466">
        <f t="shared" si="84"/>
        <v>198.8</v>
      </c>
      <c r="AD56" s="466">
        <f t="shared" si="85"/>
        <v>66.36</v>
      </c>
      <c r="AE56" s="466">
        <f t="shared" si="86"/>
        <v>265.16000000000003</v>
      </c>
      <c r="AF56" s="466">
        <f t="shared" si="87"/>
        <v>133</v>
      </c>
      <c r="AG56" s="466">
        <f t="shared" si="88"/>
        <v>331.8</v>
      </c>
      <c r="AH56" s="466">
        <f t="shared" si="89"/>
        <v>199.36</v>
      </c>
      <c r="AI56" s="466">
        <f t="shared" si="90"/>
        <v>398.16</v>
      </c>
      <c r="AJ56" s="466">
        <f t="shared" si="91"/>
        <v>0</v>
      </c>
      <c r="AK56" s="466">
        <f t="shared" si="92"/>
        <v>198.8</v>
      </c>
      <c r="AL56" s="466">
        <f t="shared" si="93"/>
        <v>66.36</v>
      </c>
      <c r="AM56" s="466">
        <f t="shared" si="94"/>
        <v>265.16000000000003</v>
      </c>
      <c r="AN56" s="466">
        <f t="shared" si="95"/>
        <v>133</v>
      </c>
      <c r="AO56" s="466">
        <f t="shared" si="96"/>
        <v>331.8</v>
      </c>
      <c r="AP56" s="466">
        <f t="shared" si="97"/>
        <v>199.36</v>
      </c>
      <c r="AQ56" s="466">
        <f t="shared" si="98"/>
        <v>398.16</v>
      </c>
      <c r="AR56" s="466">
        <f t="shared" si="99"/>
        <v>0</v>
      </c>
      <c r="AS56" s="466">
        <f t="shared" si="100"/>
        <v>198.8</v>
      </c>
      <c r="AT56" s="466">
        <f t="shared" si="101"/>
        <v>66.36</v>
      </c>
      <c r="AU56" s="466">
        <f t="shared" si="102"/>
        <v>265.16000000000003</v>
      </c>
      <c r="AV56" s="466">
        <f t="shared" si="103"/>
        <v>133</v>
      </c>
      <c r="AW56" s="466">
        <f t="shared" si="104"/>
        <v>331.8</v>
      </c>
      <c r="AX56" s="466">
        <f t="shared" si="105"/>
        <v>199.36</v>
      </c>
      <c r="AY56" s="466">
        <f t="shared" si="106"/>
        <v>398.16</v>
      </c>
      <c r="AZ56" s="466">
        <f t="shared" si="107"/>
        <v>0</v>
      </c>
      <c r="BA56" s="466">
        <f t="shared" si="108"/>
        <v>198.8</v>
      </c>
      <c r="BB56" s="466">
        <f t="shared" si="109"/>
        <v>66.36</v>
      </c>
      <c r="BC56" s="466">
        <f t="shared" si="110"/>
        <v>265.16000000000003</v>
      </c>
      <c r="BD56" s="466">
        <f t="shared" si="111"/>
        <v>133</v>
      </c>
      <c r="BE56" s="466">
        <f t="shared" si="112"/>
        <v>331.8</v>
      </c>
      <c r="BF56" s="466">
        <f t="shared" si="113"/>
        <v>199.36</v>
      </c>
      <c r="BG56" s="466">
        <f t="shared" si="114"/>
        <v>398.16</v>
      </c>
    </row>
    <row r="57" spans="1:59">
      <c r="A57" s="212" t="s">
        <v>5317</v>
      </c>
      <c r="B57" s="230">
        <v>644923363</v>
      </c>
      <c r="C57" s="209" t="s">
        <v>5284</v>
      </c>
      <c r="D57" s="209">
        <v>1</v>
      </c>
      <c r="F57" s="238" t="str" cm="1">
        <f t="array" aca="1" ref="F57" ca="1">MID(met2utc(PEPSSI_Commanding[[#This Row],[MET]]),3,15)</f>
        <v>26-179/03:30:47</v>
      </c>
      <c r="G57" s="212" t="str">
        <f t="shared" si="65"/>
        <v>STAT+1</v>
      </c>
      <c r="H57" s="213">
        <f t="shared" si="66"/>
        <v>644923315</v>
      </c>
      <c r="I57" s="213">
        <f t="shared" si="67"/>
        <v>644924995</v>
      </c>
      <c r="J57" s="212">
        <f t="shared" si="68"/>
        <v>5</v>
      </c>
      <c r="K57" s="212">
        <f t="shared" si="69"/>
        <v>5</v>
      </c>
      <c r="M57" s="209">
        <f t="shared" si="70"/>
        <v>10</v>
      </c>
      <c r="N57" s="209">
        <f t="shared" si="71"/>
        <v>10</v>
      </c>
      <c r="O57" s="209">
        <f t="shared" si="72"/>
        <v>300</v>
      </c>
      <c r="P57" s="209">
        <f t="shared" si="73"/>
        <v>1</v>
      </c>
      <c r="Q57" s="209" t="str">
        <f t="shared" si="74"/>
        <v/>
      </c>
      <c r="R57" s="209" t="str">
        <f t="shared" si="75"/>
        <v/>
      </c>
      <c r="S57" s="209" t="str">
        <f t="shared" si="76"/>
        <v/>
      </c>
      <c r="U57" s="466">
        <f t="shared" si="77"/>
        <v>0</v>
      </c>
      <c r="V57" s="466">
        <f t="shared" si="78"/>
        <v>0</v>
      </c>
      <c r="W57" s="466">
        <f t="shared" si="79"/>
        <v>512</v>
      </c>
      <c r="X57" s="466">
        <f t="shared" si="80"/>
        <v>198.8</v>
      </c>
      <c r="Y57" s="466">
        <f t="shared" si="81"/>
        <v>133</v>
      </c>
      <c r="Z57" s="466">
        <f t="shared" si="82"/>
        <v>133</v>
      </c>
      <c r="AA57" s="466">
        <f t="shared" si="83"/>
        <v>66.36</v>
      </c>
      <c r="AB57" s="242"/>
      <c r="AC57" s="466">
        <f t="shared" si="84"/>
        <v>198.8</v>
      </c>
      <c r="AD57" s="466">
        <f t="shared" si="85"/>
        <v>66.36</v>
      </c>
      <c r="AE57" s="466">
        <f t="shared" si="86"/>
        <v>265.16000000000003</v>
      </c>
      <c r="AF57" s="466">
        <f t="shared" si="87"/>
        <v>133</v>
      </c>
      <c r="AG57" s="466">
        <f t="shared" si="88"/>
        <v>331.8</v>
      </c>
      <c r="AH57" s="466">
        <f t="shared" si="89"/>
        <v>199.36</v>
      </c>
      <c r="AI57" s="466">
        <f t="shared" si="90"/>
        <v>398.16</v>
      </c>
      <c r="AJ57" s="466">
        <f t="shared" si="91"/>
        <v>0</v>
      </c>
      <c r="AK57" s="466">
        <f t="shared" si="92"/>
        <v>198.8</v>
      </c>
      <c r="AL57" s="466">
        <f t="shared" si="93"/>
        <v>66.36</v>
      </c>
      <c r="AM57" s="466">
        <f t="shared" si="94"/>
        <v>265.16000000000003</v>
      </c>
      <c r="AN57" s="466">
        <f t="shared" si="95"/>
        <v>133</v>
      </c>
      <c r="AO57" s="466">
        <f t="shared" si="96"/>
        <v>331.8</v>
      </c>
      <c r="AP57" s="466">
        <f t="shared" si="97"/>
        <v>199.36</v>
      </c>
      <c r="AQ57" s="466">
        <f t="shared" si="98"/>
        <v>398.16</v>
      </c>
      <c r="AR57" s="466">
        <f t="shared" si="99"/>
        <v>512</v>
      </c>
      <c r="AS57" s="466">
        <f t="shared" si="100"/>
        <v>710.8</v>
      </c>
      <c r="AT57" s="466">
        <f t="shared" si="101"/>
        <v>578.36</v>
      </c>
      <c r="AU57" s="466">
        <f t="shared" si="102"/>
        <v>777.16000000000008</v>
      </c>
      <c r="AV57" s="466">
        <f t="shared" si="103"/>
        <v>645</v>
      </c>
      <c r="AW57" s="466">
        <f t="shared" si="104"/>
        <v>843.8</v>
      </c>
      <c r="AX57" s="466">
        <f t="shared" si="105"/>
        <v>711.36</v>
      </c>
      <c r="AY57" s="466">
        <f t="shared" si="106"/>
        <v>910.16000000000008</v>
      </c>
      <c r="AZ57" s="466">
        <f t="shared" si="107"/>
        <v>512</v>
      </c>
      <c r="BA57" s="466">
        <f t="shared" si="108"/>
        <v>710.8</v>
      </c>
      <c r="BB57" s="466">
        <f t="shared" si="109"/>
        <v>578.36</v>
      </c>
      <c r="BC57" s="466">
        <f t="shared" si="110"/>
        <v>777.16000000000008</v>
      </c>
      <c r="BD57" s="466">
        <f t="shared" si="111"/>
        <v>645</v>
      </c>
      <c r="BE57" s="466">
        <f t="shared" si="112"/>
        <v>843.8</v>
      </c>
      <c r="BF57" s="466">
        <f t="shared" si="113"/>
        <v>711.36</v>
      </c>
      <c r="BG57" s="466">
        <f t="shared" si="114"/>
        <v>910.16000000000008</v>
      </c>
    </row>
    <row r="58" spans="1:59">
      <c r="A58" s="212" t="s">
        <v>5316</v>
      </c>
      <c r="B58" s="230">
        <v>644924846</v>
      </c>
      <c r="C58" s="209" t="s">
        <v>61</v>
      </c>
      <c r="D58" s="209">
        <v>40</v>
      </c>
      <c r="F58" s="238" t="str" cm="1">
        <f t="array" aca="1" ref="F58" ca="1">MID(met2utc(PEPSSI_Commanding[[#This Row],[MET]]),3,15)</f>
        <v>26-179/03:55:30</v>
      </c>
      <c r="G58" s="212" t="str">
        <f t="shared" si="65"/>
        <v>N2+40</v>
      </c>
      <c r="H58" s="213">
        <f t="shared" si="66"/>
        <v>644923315</v>
      </c>
      <c r="I58" s="213">
        <f t="shared" si="67"/>
        <v>644924995</v>
      </c>
      <c r="J58" s="212">
        <f t="shared" si="68"/>
        <v>6</v>
      </c>
      <c r="K58" s="212">
        <f t="shared" si="69"/>
        <v>4</v>
      </c>
      <c r="M58" s="209">
        <f t="shared" si="70"/>
        <v>10</v>
      </c>
      <c r="N58" s="209">
        <f t="shared" si="71"/>
        <v>40</v>
      </c>
      <c r="O58" s="209">
        <f t="shared" si="72"/>
        <v>300</v>
      </c>
      <c r="P58" s="209">
        <f t="shared" si="73"/>
        <v>1</v>
      </c>
      <c r="Q58" s="209" t="str">
        <f t="shared" si="74"/>
        <v/>
      </c>
      <c r="R58" s="209" t="str">
        <f t="shared" si="75"/>
        <v/>
      </c>
      <c r="S58" s="209" t="str">
        <f t="shared" si="76"/>
        <v/>
      </c>
      <c r="U58" s="466">
        <f t="shared" si="77"/>
        <v>0</v>
      </c>
      <c r="V58" s="466">
        <f t="shared" si="78"/>
        <v>0</v>
      </c>
      <c r="W58" s="466">
        <f t="shared" si="79"/>
        <v>512</v>
      </c>
      <c r="X58" s="466">
        <f t="shared" si="80"/>
        <v>198.8</v>
      </c>
      <c r="Y58" s="466">
        <f t="shared" si="81"/>
        <v>33.25</v>
      </c>
      <c r="Z58" s="466">
        <f t="shared" si="82"/>
        <v>33.25</v>
      </c>
      <c r="AA58" s="466">
        <f t="shared" si="83"/>
        <v>66.36</v>
      </c>
      <c r="AB58" s="242"/>
      <c r="AC58" s="466">
        <f t="shared" si="84"/>
        <v>198.8</v>
      </c>
      <c r="AD58" s="466">
        <f t="shared" si="85"/>
        <v>66.36</v>
      </c>
      <c r="AE58" s="466">
        <f t="shared" si="86"/>
        <v>265.16000000000003</v>
      </c>
      <c r="AF58" s="466">
        <f t="shared" si="87"/>
        <v>33.25</v>
      </c>
      <c r="AG58" s="466">
        <f t="shared" si="88"/>
        <v>232.05</v>
      </c>
      <c r="AH58" s="466">
        <f t="shared" si="89"/>
        <v>99.61</v>
      </c>
      <c r="AI58" s="466">
        <f t="shared" si="90"/>
        <v>298.41000000000003</v>
      </c>
      <c r="AJ58" s="466">
        <f t="shared" si="91"/>
        <v>0</v>
      </c>
      <c r="AK58" s="466">
        <f t="shared" si="92"/>
        <v>198.8</v>
      </c>
      <c r="AL58" s="466">
        <f t="shared" si="93"/>
        <v>66.36</v>
      </c>
      <c r="AM58" s="466">
        <f t="shared" si="94"/>
        <v>265.16000000000003</v>
      </c>
      <c r="AN58" s="466">
        <f t="shared" si="95"/>
        <v>33.25</v>
      </c>
      <c r="AO58" s="466">
        <f t="shared" si="96"/>
        <v>232.05</v>
      </c>
      <c r="AP58" s="466">
        <f t="shared" si="97"/>
        <v>99.61</v>
      </c>
      <c r="AQ58" s="466">
        <f t="shared" si="98"/>
        <v>298.41000000000003</v>
      </c>
      <c r="AR58" s="466">
        <f t="shared" si="99"/>
        <v>512</v>
      </c>
      <c r="AS58" s="466">
        <f t="shared" si="100"/>
        <v>710.8</v>
      </c>
      <c r="AT58" s="466">
        <f t="shared" si="101"/>
        <v>578.36</v>
      </c>
      <c r="AU58" s="466">
        <f t="shared" si="102"/>
        <v>777.16000000000008</v>
      </c>
      <c r="AV58" s="466">
        <f t="shared" si="103"/>
        <v>545.25</v>
      </c>
      <c r="AW58" s="466">
        <f t="shared" si="104"/>
        <v>744.05</v>
      </c>
      <c r="AX58" s="466">
        <f t="shared" si="105"/>
        <v>611.61</v>
      </c>
      <c r="AY58" s="466">
        <f t="shared" si="106"/>
        <v>810.41000000000008</v>
      </c>
      <c r="AZ58" s="466">
        <f t="shared" si="107"/>
        <v>512</v>
      </c>
      <c r="BA58" s="466">
        <f t="shared" si="108"/>
        <v>710.8</v>
      </c>
      <c r="BB58" s="466">
        <f t="shared" si="109"/>
        <v>578.36</v>
      </c>
      <c r="BC58" s="466">
        <f t="shared" si="110"/>
        <v>777.16000000000008</v>
      </c>
      <c r="BD58" s="466">
        <f t="shared" si="111"/>
        <v>545.25</v>
      </c>
      <c r="BE58" s="466">
        <f t="shared" si="112"/>
        <v>744.05</v>
      </c>
      <c r="BF58" s="466">
        <f t="shared" si="113"/>
        <v>611.61</v>
      </c>
      <c r="BG58" s="466">
        <f t="shared" si="114"/>
        <v>810.41000000000008</v>
      </c>
    </row>
    <row r="59" spans="1:59">
      <c r="A59" s="212" t="s">
        <v>5316</v>
      </c>
      <c r="B59" s="230">
        <v>644924847</v>
      </c>
      <c r="C59" s="209" t="s">
        <v>58</v>
      </c>
      <c r="D59" s="209">
        <v>7200</v>
      </c>
      <c r="F59" s="238" t="str" cm="1">
        <f t="array" aca="1" ref="F59" ca="1">MID(met2utc(PEPSSI_Commanding[[#This Row],[MET]]),3,15)</f>
        <v>26-179/03:55:31</v>
      </c>
      <c r="G59" s="212" t="str">
        <f t="shared" si="65"/>
        <v>N3+7200</v>
      </c>
      <c r="H59" s="213">
        <f t="shared" si="66"/>
        <v>644923315</v>
      </c>
      <c r="I59" s="213">
        <f t="shared" si="67"/>
        <v>644924995</v>
      </c>
      <c r="J59" s="212">
        <f t="shared" si="68"/>
        <v>7</v>
      </c>
      <c r="K59" s="212">
        <f t="shared" si="69"/>
        <v>3</v>
      </c>
      <c r="M59" s="209">
        <f t="shared" si="70"/>
        <v>10</v>
      </c>
      <c r="N59" s="209">
        <f t="shared" si="71"/>
        <v>40</v>
      </c>
      <c r="O59" s="209">
        <f t="shared" si="72"/>
        <v>7200</v>
      </c>
      <c r="P59" s="209">
        <f t="shared" si="73"/>
        <v>1</v>
      </c>
      <c r="Q59" s="209" t="str">
        <f t="shared" si="74"/>
        <v/>
      </c>
      <c r="R59" s="209" t="str">
        <f t="shared" si="75"/>
        <v/>
      </c>
      <c r="S59" s="209" t="str">
        <f t="shared" si="76"/>
        <v/>
      </c>
      <c r="U59" s="466">
        <f t="shared" si="77"/>
        <v>0</v>
      </c>
      <c r="V59" s="466">
        <f t="shared" si="78"/>
        <v>0</v>
      </c>
      <c r="W59" s="466">
        <f t="shared" si="79"/>
        <v>512</v>
      </c>
      <c r="X59" s="466">
        <f t="shared" si="80"/>
        <v>198.8</v>
      </c>
      <c r="Y59" s="466">
        <f t="shared" si="81"/>
        <v>33.25</v>
      </c>
      <c r="Z59" s="466">
        <f t="shared" si="82"/>
        <v>33.25</v>
      </c>
      <c r="AA59" s="466">
        <f t="shared" si="83"/>
        <v>2.7650000000000001</v>
      </c>
      <c r="AB59" s="242"/>
      <c r="AC59" s="466">
        <f t="shared" si="84"/>
        <v>198.8</v>
      </c>
      <c r="AD59" s="466">
        <f t="shared" si="85"/>
        <v>2.7650000000000001</v>
      </c>
      <c r="AE59" s="466">
        <f t="shared" si="86"/>
        <v>201.565</v>
      </c>
      <c r="AF59" s="466">
        <f t="shared" si="87"/>
        <v>33.25</v>
      </c>
      <c r="AG59" s="466">
        <f t="shared" si="88"/>
        <v>232.05</v>
      </c>
      <c r="AH59" s="466">
        <f t="shared" si="89"/>
        <v>36.015000000000001</v>
      </c>
      <c r="AI59" s="466">
        <f t="shared" si="90"/>
        <v>234.815</v>
      </c>
      <c r="AJ59" s="466">
        <f t="shared" si="91"/>
        <v>0</v>
      </c>
      <c r="AK59" s="466">
        <f t="shared" si="92"/>
        <v>198.8</v>
      </c>
      <c r="AL59" s="466">
        <f t="shared" si="93"/>
        <v>2.7650000000000001</v>
      </c>
      <c r="AM59" s="466">
        <f t="shared" si="94"/>
        <v>201.565</v>
      </c>
      <c r="AN59" s="466">
        <f t="shared" si="95"/>
        <v>33.25</v>
      </c>
      <c r="AO59" s="466">
        <f t="shared" si="96"/>
        <v>232.05</v>
      </c>
      <c r="AP59" s="466">
        <f t="shared" si="97"/>
        <v>36.015000000000001</v>
      </c>
      <c r="AQ59" s="466">
        <f t="shared" si="98"/>
        <v>234.815</v>
      </c>
      <c r="AR59" s="466">
        <f t="shared" si="99"/>
        <v>512</v>
      </c>
      <c r="AS59" s="466">
        <f t="shared" si="100"/>
        <v>710.8</v>
      </c>
      <c r="AT59" s="466">
        <f t="shared" si="101"/>
        <v>514.76499999999999</v>
      </c>
      <c r="AU59" s="466">
        <f t="shared" si="102"/>
        <v>713.56500000000005</v>
      </c>
      <c r="AV59" s="466">
        <f t="shared" si="103"/>
        <v>545.25</v>
      </c>
      <c r="AW59" s="466">
        <f t="shared" si="104"/>
        <v>744.05</v>
      </c>
      <c r="AX59" s="466">
        <f t="shared" si="105"/>
        <v>548.01499999999999</v>
      </c>
      <c r="AY59" s="466">
        <f t="shared" si="106"/>
        <v>746.81500000000005</v>
      </c>
      <c r="AZ59" s="466">
        <f t="shared" si="107"/>
        <v>512</v>
      </c>
      <c r="BA59" s="466">
        <f t="shared" si="108"/>
        <v>710.8</v>
      </c>
      <c r="BB59" s="466">
        <f t="shared" si="109"/>
        <v>514.76499999999999</v>
      </c>
      <c r="BC59" s="466">
        <f t="shared" si="110"/>
        <v>713.56500000000005</v>
      </c>
      <c r="BD59" s="466">
        <f t="shared" si="111"/>
        <v>545.25</v>
      </c>
      <c r="BE59" s="466">
        <f t="shared" si="112"/>
        <v>744.05</v>
      </c>
      <c r="BF59" s="466">
        <f t="shared" si="113"/>
        <v>548.01499999999999</v>
      </c>
      <c r="BG59" s="466">
        <f t="shared" si="114"/>
        <v>746.81500000000005</v>
      </c>
    </row>
    <row r="60" spans="1:59">
      <c r="A60" s="212" t="s">
        <v>5316</v>
      </c>
      <c r="B60" s="230">
        <v>644924848</v>
      </c>
      <c r="C60" s="209" t="s">
        <v>1</v>
      </c>
      <c r="D60" s="209">
        <v>3600</v>
      </c>
      <c r="F60" s="238" t="str" cm="1">
        <f t="array" aca="1" ref="F60" ca="1">MID(met2utc(PEPSSI_Commanding[[#This Row],[MET]]),3,15)</f>
        <v>26-179/03:55:32</v>
      </c>
      <c r="G60" s="212" t="str">
        <f t="shared" si="65"/>
        <v>N1+3600</v>
      </c>
      <c r="H60" s="213">
        <f t="shared" si="66"/>
        <v>644923315</v>
      </c>
      <c r="I60" s="213">
        <f t="shared" si="67"/>
        <v>644924995</v>
      </c>
      <c r="J60" s="212">
        <f t="shared" si="68"/>
        <v>8</v>
      </c>
      <c r="K60" s="212">
        <f t="shared" si="69"/>
        <v>2</v>
      </c>
      <c r="M60" s="209">
        <f t="shared" si="70"/>
        <v>3600</v>
      </c>
      <c r="N60" s="209">
        <f t="shared" si="71"/>
        <v>40</v>
      </c>
      <c r="O60" s="209">
        <f t="shared" si="72"/>
        <v>7200</v>
      </c>
      <c r="P60" s="209">
        <f t="shared" si="73"/>
        <v>1</v>
      </c>
      <c r="Q60" s="209" t="str">
        <f t="shared" si="74"/>
        <v/>
      </c>
      <c r="R60" s="209" t="str">
        <f t="shared" si="75"/>
        <v/>
      </c>
      <c r="S60" s="209" t="str">
        <f t="shared" si="76"/>
        <v/>
      </c>
      <c r="U60" s="466">
        <f t="shared" si="77"/>
        <v>0</v>
      </c>
      <c r="V60" s="466">
        <f t="shared" si="78"/>
        <v>0</v>
      </c>
      <c r="W60" s="466">
        <f t="shared" si="79"/>
        <v>512</v>
      </c>
      <c r="X60" s="466">
        <f t="shared" si="80"/>
        <v>0.55222222222222217</v>
      </c>
      <c r="Y60" s="466">
        <f t="shared" si="81"/>
        <v>33.25</v>
      </c>
      <c r="Z60" s="466">
        <f t="shared" si="82"/>
        <v>33.25</v>
      </c>
      <c r="AA60" s="466">
        <f t="shared" si="83"/>
        <v>2.7650000000000001</v>
      </c>
      <c r="AB60" s="242"/>
      <c r="AC60" s="466">
        <f t="shared" si="84"/>
        <v>0.55222222222222217</v>
      </c>
      <c r="AD60" s="466">
        <f t="shared" si="85"/>
        <v>2.7650000000000001</v>
      </c>
      <c r="AE60" s="466">
        <f t="shared" si="86"/>
        <v>3.3172222222222221</v>
      </c>
      <c r="AF60" s="466">
        <f t="shared" si="87"/>
        <v>33.25</v>
      </c>
      <c r="AG60" s="466">
        <f t="shared" si="88"/>
        <v>33.80222222222222</v>
      </c>
      <c r="AH60" s="466">
        <f t="shared" si="89"/>
        <v>36.015000000000001</v>
      </c>
      <c r="AI60" s="466">
        <f t="shared" si="90"/>
        <v>36.56722222222222</v>
      </c>
      <c r="AJ60" s="466">
        <f t="shared" si="91"/>
        <v>0</v>
      </c>
      <c r="AK60" s="466">
        <f t="shared" si="92"/>
        <v>0.55222222222222217</v>
      </c>
      <c r="AL60" s="466">
        <f t="shared" si="93"/>
        <v>2.7650000000000001</v>
      </c>
      <c r="AM60" s="466">
        <f t="shared" si="94"/>
        <v>3.3172222222222221</v>
      </c>
      <c r="AN60" s="466">
        <f t="shared" si="95"/>
        <v>33.25</v>
      </c>
      <c r="AO60" s="466">
        <f t="shared" si="96"/>
        <v>33.80222222222222</v>
      </c>
      <c r="AP60" s="466">
        <f t="shared" si="97"/>
        <v>36.015000000000001</v>
      </c>
      <c r="AQ60" s="466">
        <f t="shared" si="98"/>
        <v>36.56722222222222</v>
      </c>
      <c r="AR60" s="466">
        <f t="shared" si="99"/>
        <v>512</v>
      </c>
      <c r="AS60" s="466">
        <f t="shared" si="100"/>
        <v>512.55222222222221</v>
      </c>
      <c r="AT60" s="466">
        <f t="shared" si="101"/>
        <v>514.76499999999999</v>
      </c>
      <c r="AU60" s="466">
        <f t="shared" si="102"/>
        <v>515.3172222222222</v>
      </c>
      <c r="AV60" s="466">
        <f t="shared" si="103"/>
        <v>545.25</v>
      </c>
      <c r="AW60" s="466">
        <f t="shared" si="104"/>
        <v>545.80222222222221</v>
      </c>
      <c r="AX60" s="466">
        <f t="shared" si="105"/>
        <v>548.01499999999999</v>
      </c>
      <c r="AY60" s="466">
        <f t="shared" si="106"/>
        <v>548.5672222222222</v>
      </c>
      <c r="AZ60" s="466">
        <f t="shared" si="107"/>
        <v>512</v>
      </c>
      <c r="BA60" s="466">
        <f t="shared" si="108"/>
        <v>512.55222222222221</v>
      </c>
      <c r="BB60" s="466">
        <f t="shared" si="109"/>
        <v>514.76499999999999</v>
      </c>
      <c r="BC60" s="466">
        <f t="shared" si="110"/>
        <v>515.3172222222222</v>
      </c>
      <c r="BD60" s="466">
        <f t="shared" si="111"/>
        <v>545.25</v>
      </c>
      <c r="BE60" s="466">
        <f t="shared" si="112"/>
        <v>545.80222222222221</v>
      </c>
      <c r="BF60" s="466">
        <f t="shared" si="113"/>
        <v>548.01499999999999</v>
      </c>
      <c r="BG60" s="466">
        <f t="shared" si="114"/>
        <v>548.5672222222222</v>
      </c>
    </row>
    <row r="61" spans="1:59">
      <c r="A61" s="212" t="s">
        <v>5317</v>
      </c>
      <c r="B61" s="230">
        <v>644924849</v>
      </c>
      <c r="C61" s="209" t="s">
        <v>5284</v>
      </c>
      <c r="D61" s="209">
        <v>300</v>
      </c>
      <c r="F61" s="238" t="str" cm="1">
        <f t="array" aca="1" ref="F61" ca="1">MID(met2utc(PEPSSI_Commanding[[#This Row],[MET]]),3,15)</f>
        <v>26-179/03:55:33</v>
      </c>
      <c r="G61" s="212" t="str">
        <f t="shared" si="65"/>
        <v>STAT+300</v>
      </c>
      <c r="H61" s="213">
        <f t="shared" si="66"/>
        <v>644923315</v>
      </c>
      <c r="I61" s="213">
        <f t="shared" si="67"/>
        <v>644924995</v>
      </c>
      <c r="J61" s="212">
        <f t="shared" si="68"/>
        <v>9</v>
      </c>
      <c r="K61" s="212">
        <f t="shared" si="69"/>
        <v>1</v>
      </c>
      <c r="M61" s="209">
        <f t="shared" si="70"/>
        <v>3600</v>
      </c>
      <c r="N61" s="209">
        <f t="shared" si="71"/>
        <v>40</v>
      </c>
      <c r="O61" s="209">
        <f t="shared" si="72"/>
        <v>7200</v>
      </c>
      <c r="P61" s="209">
        <f t="shared" si="73"/>
        <v>300</v>
      </c>
      <c r="Q61" s="209" t="str">
        <f t="shared" si="74"/>
        <v/>
      </c>
      <c r="R61" s="209" t="str">
        <f t="shared" si="75"/>
        <v/>
      </c>
      <c r="S61" s="209" t="str">
        <f t="shared" si="76"/>
        <v/>
      </c>
      <c r="U61" s="466">
        <f t="shared" si="77"/>
        <v>0</v>
      </c>
      <c r="V61" s="466">
        <f t="shared" si="78"/>
        <v>0</v>
      </c>
      <c r="W61" s="466">
        <f t="shared" si="79"/>
        <v>1.7066666666666668</v>
      </c>
      <c r="X61" s="466">
        <f t="shared" si="80"/>
        <v>0.55222222222222217</v>
      </c>
      <c r="Y61" s="466">
        <f t="shared" si="81"/>
        <v>33.25</v>
      </c>
      <c r="Z61" s="466">
        <f t="shared" si="82"/>
        <v>33.25</v>
      </c>
      <c r="AA61" s="466">
        <f t="shared" si="83"/>
        <v>2.7650000000000001</v>
      </c>
      <c r="AB61" s="242"/>
      <c r="AC61" s="466">
        <f t="shared" si="84"/>
        <v>0.55222222222222217</v>
      </c>
      <c r="AD61" s="466">
        <f t="shared" si="85"/>
        <v>2.7650000000000001</v>
      </c>
      <c r="AE61" s="466">
        <f t="shared" si="86"/>
        <v>3.3172222222222221</v>
      </c>
      <c r="AF61" s="466">
        <f t="shared" si="87"/>
        <v>33.25</v>
      </c>
      <c r="AG61" s="466">
        <f t="shared" si="88"/>
        <v>33.80222222222222</v>
      </c>
      <c r="AH61" s="466">
        <f t="shared" si="89"/>
        <v>36.015000000000001</v>
      </c>
      <c r="AI61" s="466">
        <f t="shared" si="90"/>
        <v>36.56722222222222</v>
      </c>
      <c r="AJ61" s="466">
        <f t="shared" si="91"/>
        <v>0</v>
      </c>
      <c r="AK61" s="466">
        <f t="shared" si="92"/>
        <v>0.55222222222222217</v>
      </c>
      <c r="AL61" s="466">
        <f t="shared" si="93"/>
        <v>2.7650000000000001</v>
      </c>
      <c r="AM61" s="466">
        <f t="shared" si="94"/>
        <v>3.3172222222222221</v>
      </c>
      <c r="AN61" s="466">
        <f t="shared" si="95"/>
        <v>33.25</v>
      </c>
      <c r="AO61" s="466">
        <f t="shared" si="96"/>
        <v>33.80222222222222</v>
      </c>
      <c r="AP61" s="466">
        <f t="shared" si="97"/>
        <v>36.015000000000001</v>
      </c>
      <c r="AQ61" s="466">
        <f t="shared" si="98"/>
        <v>36.56722222222222</v>
      </c>
      <c r="AR61" s="466">
        <f t="shared" si="99"/>
        <v>1.7066666666666668</v>
      </c>
      <c r="AS61" s="466">
        <f t="shared" si="100"/>
        <v>2.2588888888888889</v>
      </c>
      <c r="AT61" s="466">
        <f t="shared" si="101"/>
        <v>4.4716666666666667</v>
      </c>
      <c r="AU61" s="466">
        <f t="shared" si="102"/>
        <v>5.0238888888888891</v>
      </c>
      <c r="AV61" s="466">
        <f t="shared" si="103"/>
        <v>34.956666666666663</v>
      </c>
      <c r="AW61" s="466">
        <f t="shared" si="104"/>
        <v>35.508888888888883</v>
      </c>
      <c r="AX61" s="466">
        <f t="shared" si="105"/>
        <v>37.721666666666664</v>
      </c>
      <c r="AY61" s="466">
        <f t="shared" si="106"/>
        <v>38.273888888888884</v>
      </c>
      <c r="AZ61" s="466">
        <f t="shared" si="107"/>
        <v>1.7066666666666668</v>
      </c>
      <c r="BA61" s="466">
        <f t="shared" si="108"/>
        <v>2.2588888888888889</v>
      </c>
      <c r="BB61" s="466">
        <f t="shared" si="109"/>
        <v>4.4716666666666667</v>
      </c>
      <c r="BC61" s="466">
        <f t="shared" si="110"/>
        <v>5.0238888888888891</v>
      </c>
      <c r="BD61" s="466">
        <f t="shared" si="111"/>
        <v>34.956666666666663</v>
      </c>
      <c r="BE61" s="466">
        <f t="shared" si="112"/>
        <v>35.508888888888883</v>
      </c>
      <c r="BF61" s="466">
        <f t="shared" si="113"/>
        <v>37.721666666666664</v>
      </c>
      <c r="BG61" s="466">
        <f t="shared" si="114"/>
        <v>38.273888888888884</v>
      </c>
    </row>
    <row r="62" spans="1:59">
      <c r="A62" s="212" t="s">
        <v>5316</v>
      </c>
      <c r="B62" s="230">
        <v>644924995</v>
      </c>
      <c r="C62" s="209" t="s">
        <v>61</v>
      </c>
      <c r="D62" s="209">
        <v>360</v>
      </c>
      <c r="F62" s="238" t="str" cm="1">
        <f t="array" aca="1" ref="F62" ca="1">MID(met2utc(PEPSSI_Commanding[[#This Row],[MET]]),3,15)</f>
        <v>26-179/03:57:59</v>
      </c>
      <c r="G62" s="212" t="str">
        <f t="shared" si="65"/>
        <v>N2+360</v>
      </c>
      <c r="H62" s="213">
        <f t="shared" si="66"/>
        <v>644924995</v>
      </c>
      <c r="I62" s="213">
        <f t="shared" si="67"/>
        <v>676426255</v>
      </c>
      <c r="J62" s="212">
        <f t="shared" si="68"/>
        <v>10</v>
      </c>
      <c r="K62" s="212">
        <f t="shared" si="69"/>
        <v>7</v>
      </c>
      <c r="M62" s="209">
        <f t="shared" si="70"/>
        <v>3600</v>
      </c>
      <c r="N62" s="209">
        <f t="shared" si="71"/>
        <v>360</v>
      </c>
      <c r="O62" s="209">
        <f t="shared" si="72"/>
        <v>7200</v>
      </c>
      <c r="P62" s="209">
        <f t="shared" si="73"/>
        <v>300</v>
      </c>
      <c r="Q62" s="209" t="str">
        <f t="shared" si="74"/>
        <v/>
      </c>
      <c r="R62" s="209" t="str">
        <f t="shared" si="75"/>
        <v/>
      </c>
      <c r="S62" s="209" t="str">
        <f t="shared" si="76"/>
        <v/>
      </c>
      <c r="U62" s="466">
        <f t="shared" si="77"/>
        <v>0</v>
      </c>
      <c r="V62" s="466">
        <f t="shared" si="78"/>
        <v>0</v>
      </c>
      <c r="W62" s="466">
        <f t="shared" si="79"/>
        <v>1.7066666666666668</v>
      </c>
      <c r="X62" s="466">
        <f t="shared" si="80"/>
        <v>0.55222222222222217</v>
      </c>
      <c r="Y62" s="466">
        <f t="shared" si="81"/>
        <v>3.6944444444444446</v>
      </c>
      <c r="Z62" s="466">
        <f t="shared" si="82"/>
        <v>3.6944444444444446</v>
      </c>
      <c r="AA62" s="466">
        <f t="shared" si="83"/>
        <v>2.7650000000000001</v>
      </c>
      <c r="AB62" s="242"/>
      <c r="AC62" s="466">
        <f t="shared" si="84"/>
        <v>0.55222222222222217</v>
      </c>
      <c r="AD62" s="466">
        <f t="shared" si="85"/>
        <v>2.7650000000000001</v>
      </c>
      <c r="AE62" s="466">
        <f t="shared" si="86"/>
        <v>3.3172222222222221</v>
      </c>
      <c r="AF62" s="466">
        <f t="shared" si="87"/>
        <v>3.6944444444444446</v>
      </c>
      <c r="AG62" s="466">
        <f t="shared" si="88"/>
        <v>4.246666666666667</v>
      </c>
      <c r="AH62" s="466">
        <f t="shared" si="89"/>
        <v>6.4594444444444452</v>
      </c>
      <c r="AI62" s="466">
        <f t="shared" si="90"/>
        <v>7.0116666666666676</v>
      </c>
      <c r="AJ62" s="466">
        <f t="shared" si="91"/>
        <v>0</v>
      </c>
      <c r="AK62" s="466">
        <f t="shared" si="92"/>
        <v>0.55222222222222217</v>
      </c>
      <c r="AL62" s="466">
        <f t="shared" si="93"/>
        <v>2.7650000000000001</v>
      </c>
      <c r="AM62" s="466">
        <f t="shared" si="94"/>
        <v>3.3172222222222221</v>
      </c>
      <c r="AN62" s="466">
        <f t="shared" si="95"/>
        <v>3.6944444444444446</v>
      </c>
      <c r="AO62" s="466">
        <f t="shared" si="96"/>
        <v>4.246666666666667</v>
      </c>
      <c r="AP62" s="466">
        <f t="shared" si="97"/>
        <v>6.4594444444444452</v>
      </c>
      <c r="AQ62" s="466">
        <f t="shared" si="98"/>
        <v>7.0116666666666676</v>
      </c>
      <c r="AR62" s="466">
        <f t="shared" si="99"/>
        <v>1.7066666666666668</v>
      </c>
      <c r="AS62" s="466">
        <f t="shared" si="100"/>
        <v>2.2588888888888889</v>
      </c>
      <c r="AT62" s="466">
        <f t="shared" si="101"/>
        <v>4.4716666666666667</v>
      </c>
      <c r="AU62" s="466">
        <f t="shared" si="102"/>
        <v>5.0238888888888891</v>
      </c>
      <c r="AV62" s="466">
        <f t="shared" si="103"/>
        <v>5.4011111111111116</v>
      </c>
      <c r="AW62" s="466">
        <f t="shared" si="104"/>
        <v>5.953333333333334</v>
      </c>
      <c r="AX62" s="466">
        <f t="shared" si="105"/>
        <v>8.1661111111111122</v>
      </c>
      <c r="AY62" s="466">
        <f t="shared" si="106"/>
        <v>8.7183333333333337</v>
      </c>
      <c r="AZ62" s="466">
        <f t="shared" si="107"/>
        <v>1.7066666666666668</v>
      </c>
      <c r="BA62" s="466">
        <f t="shared" si="108"/>
        <v>2.2588888888888889</v>
      </c>
      <c r="BB62" s="466">
        <f t="shared" si="109"/>
        <v>4.4716666666666667</v>
      </c>
      <c r="BC62" s="466">
        <f t="shared" si="110"/>
        <v>5.0238888888888891</v>
      </c>
      <c r="BD62" s="466">
        <f t="shared" si="111"/>
        <v>5.4011111111111116</v>
      </c>
      <c r="BE62" s="466">
        <f t="shared" si="112"/>
        <v>5.953333333333334</v>
      </c>
      <c r="BF62" s="466">
        <f t="shared" si="113"/>
        <v>8.1661111111111122</v>
      </c>
      <c r="BG62" s="466">
        <f t="shared" si="114"/>
        <v>8.7183333333333337</v>
      </c>
    </row>
    <row r="63" spans="1:59">
      <c r="A63" s="212" t="s">
        <v>5316</v>
      </c>
      <c r="B63" s="230">
        <v>644924998</v>
      </c>
      <c r="C63" s="209" t="s">
        <v>1</v>
      </c>
      <c r="D63" s="209">
        <v>360</v>
      </c>
      <c r="F63" s="238" t="str" cm="1">
        <f t="array" aca="1" ref="F63" ca="1">MID(met2utc(PEPSSI_Commanding[[#This Row],[MET]]),3,15)</f>
        <v>26-179/03:58:02</v>
      </c>
      <c r="G63" s="212" t="str">
        <f t="shared" si="65"/>
        <v>N1+360</v>
      </c>
      <c r="H63" s="213">
        <f t="shared" si="66"/>
        <v>644924995</v>
      </c>
      <c r="I63" s="213">
        <f t="shared" si="67"/>
        <v>676426255</v>
      </c>
      <c r="J63" s="212">
        <f t="shared" si="68"/>
        <v>11</v>
      </c>
      <c r="K63" s="212">
        <f t="shared" si="69"/>
        <v>6</v>
      </c>
      <c r="M63" s="209">
        <f t="shared" si="70"/>
        <v>360</v>
      </c>
      <c r="N63" s="209">
        <f t="shared" si="71"/>
        <v>360</v>
      </c>
      <c r="O63" s="209">
        <f t="shared" si="72"/>
        <v>7200</v>
      </c>
      <c r="P63" s="209">
        <f t="shared" si="73"/>
        <v>300</v>
      </c>
      <c r="Q63" s="209" t="str">
        <f t="shared" si="74"/>
        <v/>
      </c>
      <c r="R63" s="209" t="str">
        <f t="shared" si="75"/>
        <v/>
      </c>
      <c r="S63" s="209" t="str">
        <f t="shared" si="76"/>
        <v/>
      </c>
      <c r="U63" s="466">
        <f t="shared" si="77"/>
        <v>0</v>
      </c>
      <c r="V63" s="466">
        <f t="shared" si="78"/>
        <v>0</v>
      </c>
      <c r="W63" s="466">
        <f t="shared" si="79"/>
        <v>1.7066666666666668</v>
      </c>
      <c r="X63" s="466">
        <f t="shared" si="80"/>
        <v>5.5222222222222221</v>
      </c>
      <c r="Y63" s="466">
        <f t="shared" si="81"/>
        <v>3.6944444444444446</v>
      </c>
      <c r="Z63" s="466">
        <f t="shared" si="82"/>
        <v>3.6944444444444446</v>
      </c>
      <c r="AA63" s="466">
        <f t="shared" si="83"/>
        <v>2.7650000000000001</v>
      </c>
      <c r="AB63" s="242"/>
      <c r="AC63" s="466">
        <f t="shared" si="84"/>
        <v>5.5222222222222221</v>
      </c>
      <c r="AD63" s="466">
        <f t="shared" si="85"/>
        <v>2.7650000000000001</v>
      </c>
      <c r="AE63" s="466">
        <f t="shared" si="86"/>
        <v>8.2872222222222227</v>
      </c>
      <c r="AF63" s="466">
        <f t="shared" si="87"/>
        <v>3.6944444444444446</v>
      </c>
      <c r="AG63" s="466">
        <f t="shared" si="88"/>
        <v>9.2166666666666668</v>
      </c>
      <c r="AH63" s="466">
        <f t="shared" si="89"/>
        <v>6.4594444444444452</v>
      </c>
      <c r="AI63" s="466">
        <f t="shared" si="90"/>
        <v>11.981666666666667</v>
      </c>
      <c r="AJ63" s="466">
        <f t="shared" si="91"/>
        <v>0</v>
      </c>
      <c r="AK63" s="466">
        <f t="shared" si="92"/>
        <v>5.5222222222222221</v>
      </c>
      <c r="AL63" s="466">
        <f t="shared" si="93"/>
        <v>2.7650000000000001</v>
      </c>
      <c r="AM63" s="466">
        <f t="shared" si="94"/>
        <v>8.2872222222222227</v>
      </c>
      <c r="AN63" s="466">
        <f t="shared" si="95"/>
        <v>3.6944444444444446</v>
      </c>
      <c r="AO63" s="466">
        <f t="shared" si="96"/>
        <v>9.2166666666666668</v>
      </c>
      <c r="AP63" s="466">
        <f t="shared" si="97"/>
        <v>6.4594444444444452</v>
      </c>
      <c r="AQ63" s="466">
        <f t="shared" si="98"/>
        <v>11.981666666666667</v>
      </c>
      <c r="AR63" s="466">
        <f t="shared" si="99"/>
        <v>1.7066666666666668</v>
      </c>
      <c r="AS63" s="466">
        <f t="shared" si="100"/>
        <v>7.2288888888888891</v>
      </c>
      <c r="AT63" s="466">
        <f t="shared" si="101"/>
        <v>4.4716666666666667</v>
      </c>
      <c r="AU63" s="466">
        <f t="shared" si="102"/>
        <v>9.9938888888888897</v>
      </c>
      <c r="AV63" s="466">
        <f t="shared" si="103"/>
        <v>5.4011111111111116</v>
      </c>
      <c r="AW63" s="466">
        <f t="shared" si="104"/>
        <v>10.923333333333334</v>
      </c>
      <c r="AX63" s="466">
        <f t="shared" si="105"/>
        <v>8.1661111111111122</v>
      </c>
      <c r="AY63" s="466">
        <f t="shared" si="106"/>
        <v>13.688333333333334</v>
      </c>
      <c r="AZ63" s="466">
        <f t="shared" si="107"/>
        <v>1.7066666666666668</v>
      </c>
      <c r="BA63" s="466">
        <f t="shared" si="108"/>
        <v>7.2288888888888891</v>
      </c>
      <c r="BB63" s="466">
        <f t="shared" si="109"/>
        <v>4.4716666666666667</v>
      </c>
      <c r="BC63" s="466">
        <f t="shared" si="110"/>
        <v>9.9938888888888897</v>
      </c>
      <c r="BD63" s="466">
        <f t="shared" si="111"/>
        <v>5.4011111111111116</v>
      </c>
      <c r="BE63" s="466">
        <f t="shared" si="112"/>
        <v>10.923333333333334</v>
      </c>
      <c r="BF63" s="466">
        <f t="shared" si="113"/>
        <v>8.1661111111111122</v>
      </c>
      <c r="BG63" s="466">
        <f t="shared" si="114"/>
        <v>13.688333333333334</v>
      </c>
    </row>
    <row r="64" spans="1:59">
      <c r="A64" s="212" t="s">
        <v>5316</v>
      </c>
      <c r="B64" s="230">
        <v>644925001</v>
      </c>
      <c r="C64" s="209" t="s">
        <v>58</v>
      </c>
      <c r="D64" s="209">
        <v>900</v>
      </c>
      <c r="F64" s="238" t="str" cm="1">
        <f t="array" aca="1" ref="F64" ca="1">MID(met2utc(PEPSSI_Commanding[[#This Row],[MET]]),3,15)</f>
        <v>26-179/03:58:05</v>
      </c>
      <c r="G64" s="212" t="str">
        <f t="shared" si="65"/>
        <v>N3+900</v>
      </c>
      <c r="H64" s="213">
        <f t="shared" si="66"/>
        <v>644924995</v>
      </c>
      <c r="I64" s="213">
        <f t="shared" si="67"/>
        <v>676426255</v>
      </c>
      <c r="J64" s="212">
        <f t="shared" si="68"/>
        <v>12</v>
      </c>
      <c r="K64" s="212">
        <f t="shared" si="69"/>
        <v>5</v>
      </c>
      <c r="M64" s="209">
        <f t="shared" si="70"/>
        <v>360</v>
      </c>
      <c r="N64" s="209">
        <f t="shared" si="71"/>
        <v>360</v>
      </c>
      <c r="O64" s="209">
        <f t="shared" si="72"/>
        <v>900</v>
      </c>
      <c r="P64" s="209">
        <f t="shared" si="73"/>
        <v>300</v>
      </c>
      <c r="Q64" s="209" t="str">
        <f t="shared" si="74"/>
        <v/>
      </c>
      <c r="R64" s="209" t="str">
        <f t="shared" si="75"/>
        <v/>
      </c>
      <c r="S64" s="209" t="str">
        <f t="shared" si="76"/>
        <v/>
      </c>
      <c r="U64" s="466">
        <f t="shared" si="77"/>
        <v>0</v>
      </c>
      <c r="V64" s="466">
        <f t="shared" si="78"/>
        <v>0</v>
      </c>
      <c r="W64" s="466">
        <f t="shared" si="79"/>
        <v>1.7066666666666668</v>
      </c>
      <c r="X64" s="466">
        <f t="shared" si="80"/>
        <v>5.5222222222222221</v>
      </c>
      <c r="Y64" s="466">
        <f t="shared" si="81"/>
        <v>3.6944444444444446</v>
      </c>
      <c r="Z64" s="466">
        <f t="shared" si="82"/>
        <v>3.6944444444444446</v>
      </c>
      <c r="AA64" s="466">
        <f t="shared" si="83"/>
        <v>22.12</v>
      </c>
      <c r="AB64" s="242"/>
      <c r="AC64" s="466">
        <f t="shared" si="84"/>
        <v>5.5222222222222221</v>
      </c>
      <c r="AD64" s="466">
        <f t="shared" si="85"/>
        <v>22.12</v>
      </c>
      <c r="AE64" s="466">
        <f t="shared" si="86"/>
        <v>27.642222222222223</v>
      </c>
      <c r="AF64" s="466">
        <f t="shared" si="87"/>
        <v>3.6944444444444446</v>
      </c>
      <c r="AG64" s="466">
        <f t="shared" si="88"/>
        <v>9.2166666666666668</v>
      </c>
      <c r="AH64" s="466">
        <f t="shared" si="89"/>
        <v>25.814444444444447</v>
      </c>
      <c r="AI64" s="466">
        <f t="shared" si="90"/>
        <v>31.33666666666667</v>
      </c>
      <c r="AJ64" s="466">
        <f t="shared" si="91"/>
        <v>0</v>
      </c>
      <c r="AK64" s="466">
        <f t="shared" si="92"/>
        <v>5.5222222222222221</v>
      </c>
      <c r="AL64" s="466">
        <f t="shared" si="93"/>
        <v>22.12</v>
      </c>
      <c r="AM64" s="466">
        <f t="shared" si="94"/>
        <v>27.642222222222223</v>
      </c>
      <c r="AN64" s="466">
        <f t="shared" si="95"/>
        <v>3.6944444444444446</v>
      </c>
      <c r="AO64" s="466">
        <f t="shared" si="96"/>
        <v>9.2166666666666668</v>
      </c>
      <c r="AP64" s="466">
        <f t="shared" si="97"/>
        <v>25.814444444444447</v>
      </c>
      <c r="AQ64" s="466">
        <f t="shared" si="98"/>
        <v>31.33666666666667</v>
      </c>
      <c r="AR64" s="466">
        <f t="shared" si="99"/>
        <v>1.7066666666666668</v>
      </c>
      <c r="AS64" s="466">
        <f t="shared" si="100"/>
        <v>7.2288888888888891</v>
      </c>
      <c r="AT64" s="466">
        <f t="shared" si="101"/>
        <v>23.826666666666668</v>
      </c>
      <c r="AU64" s="466">
        <f t="shared" si="102"/>
        <v>29.34888888888889</v>
      </c>
      <c r="AV64" s="466">
        <f t="shared" si="103"/>
        <v>5.4011111111111116</v>
      </c>
      <c r="AW64" s="466">
        <f t="shared" si="104"/>
        <v>10.923333333333334</v>
      </c>
      <c r="AX64" s="466">
        <f t="shared" si="105"/>
        <v>27.521111111111111</v>
      </c>
      <c r="AY64" s="466">
        <f t="shared" si="106"/>
        <v>33.043333333333337</v>
      </c>
      <c r="AZ64" s="466">
        <f t="shared" si="107"/>
        <v>1.7066666666666668</v>
      </c>
      <c r="BA64" s="466">
        <f t="shared" si="108"/>
        <v>7.2288888888888891</v>
      </c>
      <c r="BB64" s="466">
        <f t="shared" si="109"/>
        <v>23.826666666666668</v>
      </c>
      <c r="BC64" s="466">
        <f t="shared" si="110"/>
        <v>29.34888888888889</v>
      </c>
      <c r="BD64" s="466">
        <f t="shared" si="111"/>
        <v>5.4011111111111116</v>
      </c>
      <c r="BE64" s="466">
        <f t="shared" si="112"/>
        <v>10.923333333333334</v>
      </c>
      <c r="BF64" s="466">
        <f t="shared" si="113"/>
        <v>27.521111111111111</v>
      </c>
      <c r="BG64" s="466">
        <f t="shared" si="114"/>
        <v>33.043333333333337</v>
      </c>
    </row>
    <row r="65" spans="1:59">
      <c r="A65" s="212" t="s">
        <v>5317</v>
      </c>
      <c r="B65" s="230">
        <v>644925004</v>
      </c>
      <c r="C65" s="209" t="s">
        <v>5284</v>
      </c>
      <c r="D65" s="209">
        <v>1800</v>
      </c>
      <c r="F65" s="238" t="str" cm="1">
        <f t="array" aca="1" ref="F65" ca="1">MID(met2utc(PEPSSI_Commanding[[#This Row],[MET]]),3,15)</f>
        <v>26-179/03:58:08</v>
      </c>
      <c r="G65" s="212" t="str">
        <f t="shared" si="65"/>
        <v>STAT+1800</v>
      </c>
      <c r="H65" s="213">
        <f t="shared" si="66"/>
        <v>644924995</v>
      </c>
      <c r="I65" s="213">
        <f t="shared" si="67"/>
        <v>676426255</v>
      </c>
      <c r="J65" s="212">
        <f t="shared" si="68"/>
        <v>13</v>
      </c>
      <c r="K65" s="212">
        <f t="shared" si="69"/>
        <v>4</v>
      </c>
      <c r="M65" s="209">
        <f t="shared" si="70"/>
        <v>360</v>
      </c>
      <c r="N65" s="209">
        <f t="shared" si="71"/>
        <v>360</v>
      </c>
      <c r="O65" s="209">
        <f t="shared" si="72"/>
        <v>900</v>
      </c>
      <c r="P65" s="209">
        <f t="shared" si="73"/>
        <v>1800</v>
      </c>
      <c r="Q65" s="209" t="str">
        <f t="shared" si="74"/>
        <v/>
      </c>
      <c r="R65" s="209" t="str">
        <f t="shared" si="75"/>
        <v/>
      </c>
      <c r="S65" s="209" t="str">
        <f t="shared" si="76"/>
        <v/>
      </c>
      <c r="U65" s="466">
        <f t="shared" si="77"/>
        <v>0</v>
      </c>
      <c r="V65" s="466">
        <f t="shared" si="78"/>
        <v>0</v>
      </c>
      <c r="W65" s="466">
        <f t="shared" si="79"/>
        <v>0.28444444444444444</v>
      </c>
      <c r="X65" s="466">
        <f t="shared" si="80"/>
        <v>5.5222222222222221</v>
      </c>
      <c r="Y65" s="466">
        <f t="shared" si="81"/>
        <v>3.6944444444444446</v>
      </c>
      <c r="Z65" s="466">
        <f t="shared" si="82"/>
        <v>3.6944444444444446</v>
      </c>
      <c r="AA65" s="466">
        <f t="shared" si="83"/>
        <v>22.12</v>
      </c>
      <c r="AB65" s="242"/>
      <c r="AC65" s="466">
        <f t="shared" si="84"/>
        <v>5.5222222222222221</v>
      </c>
      <c r="AD65" s="466">
        <f t="shared" si="85"/>
        <v>22.12</v>
      </c>
      <c r="AE65" s="466">
        <f t="shared" si="86"/>
        <v>27.642222222222223</v>
      </c>
      <c r="AF65" s="466">
        <f t="shared" si="87"/>
        <v>3.6944444444444446</v>
      </c>
      <c r="AG65" s="466">
        <f t="shared" si="88"/>
        <v>9.2166666666666668</v>
      </c>
      <c r="AH65" s="466">
        <f t="shared" si="89"/>
        <v>25.814444444444447</v>
      </c>
      <c r="AI65" s="466">
        <f t="shared" si="90"/>
        <v>31.33666666666667</v>
      </c>
      <c r="AJ65" s="466">
        <f t="shared" si="91"/>
        <v>0</v>
      </c>
      <c r="AK65" s="466">
        <f t="shared" si="92"/>
        <v>5.5222222222222221</v>
      </c>
      <c r="AL65" s="466">
        <f t="shared" si="93"/>
        <v>22.12</v>
      </c>
      <c r="AM65" s="466">
        <f t="shared" si="94"/>
        <v>27.642222222222223</v>
      </c>
      <c r="AN65" s="466">
        <f t="shared" si="95"/>
        <v>3.6944444444444446</v>
      </c>
      <c r="AO65" s="466">
        <f t="shared" si="96"/>
        <v>9.2166666666666668</v>
      </c>
      <c r="AP65" s="466">
        <f t="shared" si="97"/>
        <v>25.814444444444447</v>
      </c>
      <c r="AQ65" s="466">
        <f t="shared" si="98"/>
        <v>31.33666666666667</v>
      </c>
      <c r="AR65" s="466">
        <f t="shared" si="99"/>
        <v>0.28444444444444444</v>
      </c>
      <c r="AS65" s="466">
        <f t="shared" si="100"/>
        <v>5.8066666666666666</v>
      </c>
      <c r="AT65" s="466">
        <f t="shared" si="101"/>
        <v>22.404444444444444</v>
      </c>
      <c r="AU65" s="466">
        <f t="shared" si="102"/>
        <v>27.926666666666666</v>
      </c>
      <c r="AV65" s="466">
        <f t="shared" si="103"/>
        <v>3.9788888888888891</v>
      </c>
      <c r="AW65" s="466">
        <f t="shared" si="104"/>
        <v>9.5011111111111113</v>
      </c>
      <c r="AX65" s="466">
        <f t="shared" si="105"/>
        <v>26.09888888888889</v>
      </c>
      <c r="AY65" s="466">
        <f t="shared" si="106"/>
        <v>31.621111111111112</v>
      </c>
      <c r="AZ65" s="466">
        <f t="shared" si="107"/>
        <v>0.28444444444444444</v>
      </c>
      <c r="BA65" s="466">
        <f t="shared" si="108"/>
        <v>5.8066666666666666</v>
      </c>
      <c r="BB65" s="466">
        <f t="shared" si="109"/>
        <v>22.404444444444444</v>
      </c>
      <c r="BC65" s="466">
        <f t="shared" si="110"/>
        <v>27.926666666666666</v>
      </c>
      <c r="BD65" s="466">
        <f t="shared" si="111"/>
        <v>3.9788888888888891</v>
      </c>
      <c r="BE65" s="466">
        <f t="shared" si="112"/>
        <v>9.5011111111111113</v>
      </c>
      <c r="BF65" s="466">
        <f t="shared" si="113"/>
        <v>26.09888888888889</v>
      </c>
      <c r="BG65" s="466">
        <f t="shared" si="114"/>
        <v>31.621111111111112</v>
      </c>
    </row>
    <row r="66" spans="1:59">
      <c r="A66" s="212" t="s">
        <v>5315</v>
      </c>
      <c r="B66" s="230">
        <v>644925055</v>
      </c>
      <c r="C66" s="209" t="s">
        <v>5285</v>
      </c>
      <c r="D66" s="209">
        <v>102</v>
      </c>
      <c r="F66" s="238" t="str" cm="1">
        <f t="array" aca="1" ref="F66" ca="1">MID(met2utc(PEPSSI_Commanding[[#This Row],[MET]]),3,15)</f>
        <v>26-179/03:58:59</v>
      </c>
      <c r="G66" s="212" t="str">
        <f t="shared" si="65"/>
        <v>MAC+102</v>
      </c>
      <c r="H66" s="213">
        <f t="shared" si="66"/>
        <v>644924995</v>
      </c>
      <c r="I66" s="213">
        <f t="shared" si="67"/>
        <v>676426255</v>
      </c>
      <c r="J66" s="212">
        <f t="shared" si="68"/>
        <v>14</v>
      </c>
      <c r="K66" s="212">
        <f t="shared" si="69"/>
        <v>3</v>
      </c>
      <c r="M66" s="209">
        <f t="shared" si="70"/>
        <v>360</v>
      </c>
      <c r="N66" s="209">
        <f t="shared" si="71"/>
        <v>360</v>
      </c>
      <c r="O66" s="209">
        <f t="shared" si="72"/>
        <v>900</v>
      </c>
      <c r="P66" s="209">
        <f t="shared" si="73"/>
        <v>1800</v>
      </c>
      <c r="Q66" s="209" t="str">
        <f t="shared" si="74"/>
        <v/>
      </c>
      <c r="R66" s="209" t="str">
        <f t="shared" si="75"/>
        <v/>
      </c>
      <c r="S66" s="209" t="str">
        <f t="shared" si="76"/>
        <v>102</v>
      </c>
      <c r="U66" s="466">
        <f t="shared" si="77"/>
        <v>0</v>
      </c>
      <c r="V66" s="466">
        <f t="shared" si="78"/>
        <v>0</v>
      </c>
      <c r="W66" s="466">
        <f t="shared" si="79"/>
        <v>0.28444444444444444</v>
      </c>
      <c r="X66" s="466">
        <f t="shared" si="80"/>
        <v>5.5222222222222221</v>
      </c>
      <c r="Y66" s="466">
        <f t="shared" si="81"/>
        <v>3.6944444444444446</v>
      </c>
      <c r="Z66" s="466">
        <f t="shared" si="82"/>
        <v>3.6944444444444446</v>
      </c>
      <c r="AA66" s="466">
        <f t="shared" si="83"/>
        <v>22.12</v>
      </c>
      <c r="AB66" s="242"/>
      <c r="AC66" s="466">
        <f t="shared" si="84"/>
        <v>5.5222222222222221</v>
      </c>
      <c r="AD66" s="466">
        <f t="shared" si="85"/>
        <v>22.12</v>
      </c>
      <c r="AE66" s="466">
        <f t="shared" si="86"/>
        <v>27.642222222222223</v>
      </c>
      <c r="AF66" s="466">
        <f t="shared" si="87"/>
        <v>3.6944444444444446</v>
      </c>
      <c r="AG66" s="466">
        <f t="shared" si="88"/>
        <v>9.2166666666666668</v>
      </c>
      <c r="AH66" s="466">
        <f t="shared" si="89"/>
        <v>25.814444444444447</v>
      </c>
      <c r="AI66" s="466">
        <f t="shared" si="90"/>
        <v>31.33666666666667</v>
      </c>
      <c r="AJ66" s="466">
        <f t="shared" si="91"/>
        <v>0</v>
      </c>
      <c r="AK66" s="466">
        <f t="shared" si="92"/>
        <v>5.5222222222222221</v>
      </c>
      <c r="AL66" s="466">
        <f t="shared" si="93"/>
        <v>22.12</v>
      </c>
      <c r="AM66" s="466">
        <f t="shared" si="94"/>
        <v>27.642222222222223</v>
      </c>
      <c r="AN66" s="466">
        <f t="shared" si="95"/>
        <v>3.6944444444444446</v>
      </c>
      <c r="AO66" s="466">
        <f t="shared" si="96"/>
        <v>9.2166666666666668</v>
      </c>
      <c r="AP66" s="466">
        <f t="shared" si="97"/>
        <v>25.814444444444447</v>
      </c>
      <c r="AQ66" s="466">
        <f t="shared" si="98"/>
        <v>31.33666666666667</v>
      </c>
      <c r="AR66" s="466">
        <f t="shared" si="99"/>
        <v>0.28444444444444444</v>
      </c>
      <c r="AS66" s="466">
        <f t="shared" si="100"/>
        <v>5.8066666666666666</v>
      </c>
      <c r="AT66" s="466">
        <f t="shared" si="101"/>
        <v>22.404444444444444</v>
      </c>
      <c r="AU66" s="466">
        <f t="shared" si="102"/>
        <v>27.926666666666666</v>
      </c>
      <c r="AV66" s="466">
        <f t="shared" si="103"/>
        <v>3.9788888888888891</v>
      </c>
      <c r="AW66" s="466">
        <f t="shared" si="104"/>
        <v>9.5011111111111113</v>
      </c>
      <c r="AX66" s="466">
        <f t="shared" si="105"/>
        <v>26.09888888888889</v>
      </c>
      <c r="AY66" s="466">
        <f t="shared" si="106"/>
        <v>31.621111111111112</v>
      </c>
      <c r="AZ66" s="466">
        <f t="shared" si="107"/>
        <v>0.28444444444444444</v>
      </c>
      <c r="BA66" s="466">
        <f t="shared" si="108"/>
        <v>5.8066666666666666</v>
      </c>
      <c r="BB66" s="466">
        <f t="shared" si="109"/>
        <v>22.404444444444444</v>
      </c>
      <c r="BC66" s="466">
        <f t="shared" si="110"/>
        <v>27.926666666666666</v>
      </c>
      <c r="BD66" s="466">
        <f t="shared" si="111"/>
        <v>3.9788888888888891</v>
      </c>
      <c r="BE66" s="466">
        <f t="shared" si="112"/>
        <v>9.5011111111111113</v>
      </c>
      <c r="BF66" s="466">
        <f t="shared" si="113"/>
        <v>26.09888888888889</v>
      </c>
      <c r="BG66" s="466">
        <f t="shared" si="114"/>
        <v>31.621111111111112</v>
      </c>
    </row>
    <row r="67" spans="1:59">
      <c r="A67" s="212" t="s">
        <v>5315</v>
      </c>
      <c r="B67" s="230">
        <v>644925655</v>
      </c>
      <c r="C67" s="209" t="s">
        <v>5285</v>
      </c>
      <c r="D67" s="209">
        <v>104</v>
      </c>
      <c r="F67" s="238" t="str" cm="1">
        <f t="array" aca="1" ref="F67" ca="1">MID(met2utc(PEPSSI_Commanding[[#This Row],[MET]]),3,15)</f>
        <v>26-179/04:08:59</v>
      </c>
      <c r="G67" s="212" t="str">
        <f t="shared" si="65"/>
        <v>MAC+104</v>
      </c>
      <c r="H67" s="213">
        <f t="shared" si="66"/>
        <v>644924995</v>
      </c>
      <c r="I67" s="213">
        <f t="shared" si="67"/>
        <v>676426255</v>
      </c>
      <c r="J67" s="212">
        <f t="shared" si="68"/>
        <v>15</v>
      </c>
      <c r="K67" s="212">
        <f t="shared" si="69"/>
        <v>2</v>
      </c>
      <c r="M67" s="209">
        <f t="shared" si="70"/>
        <v>360</v>
      </c>
      <c r="N67" s="209">
        <f t="shared" si="71"/>
        <v>2</v>
      </c>
      <c r="O67" s="209">
        <f t="shared" si="72"/>
        <v>900</v>
      </c>
      <c r="P67" s="209">
        <f t="shared" si="73"/>
        <v>1800</v>
      </c>
      <c r="Q67" s="209" t="str">
        <f t="shared" si="74"/>
        <v>disabled</v>
      </c>
      <c r="R67" s="209" t="str">
        <f t="shared" si="75"/>
        <v/>
      </c>
      <c r="S67" s="209" t="str">
        <f t="shared" si="76"/>
        <v>102</v>
      </c>
      <c r="U67" s="466">
        <f t="shared" si="77"/>
        <v>0</v>
      </c>
      <c r="V67" s="466">
        <f t="shared" si="78"/>
        <v>0</v>
      </c>
      <c r="W67" s="466">
        <f t="shared" si="79"/>
        <v>0.28444444444444444</v>
      </c>
      <c r="X67" s="466">
        <f t="shared" si="80"/>
        <v>5.5222222222222221</v>
      </c>
      <c r="Y67" s="466">
        <f t="shared" si="81"/>
        <v>0</v>
      </c>
      <c r="Z67" s="466">
        <f t="shared" si="82"/>
        <v>0</v>
      </c>
      <c r="AA67" s="466">
        <f t="shared" si="83"/>
        <v>22.12</v>
      </c>
      <c r="AB67" s="242"/>
      <c r="AC67" s="466">
        <f t="shared" si="84"/>
        <v>5.5222222222222221</v>
      </c>
      <c r="AD67" s="466">
        <f t="shared" si="85"/>
        <v>22.12</v>
      </c>
      <c r="AE67" s="466">
        <f t="shared" si="86"/>
        <v>27.642222222222223</v>
      </c>
      <c r="AF67" s="466">
        <f t="shared" si="87"/>
        <v>0</v>
      </c>
      <c r="AG67" s="466">
        <f t="shared" si="88"/>
        <v>5.5222222222222221</v>
      </c>
      <c r="AH67" s="466">
        <f t="shared" si="89"/>
        <v>22.12</v>
      </c>
      <c r="AI67" s="466">
        <f t="shared" si="90"/>
        <v>27.642222222222223</v>
      </c>
      <c r="AJ67" s="466">
        <f t="shared" si="91"/>
        <v>0</v>
      </c>
      <c r="AK67" s="466">
        <f t="shared" si="92"/>
        <v>5.5222222222222221</v>
      </c>
      <c r="AL67" s="466">
        <f t="shared" si="93"/>
        <v>22.12</v>
      </c>
      <c r="AM67" s="466">
        <f t="shared" si="94"/>
        <v>27.642222222222223</v>
      </c>
      <c r="AN67" s="466">
        <f t="shared" si="95"/>
        <v>0</v>
      </c>
      <c r="AO67" s="466">
        <f t="shared" si="96"/>
        <v>5.5222222222222221</v>
      </c>
      <c r="AP67" s="466">
        <f t="shared" si="97"/>
        <v>22.12</v>
      </c>
      <c r="AQ67" s="466">
        <f t="shared" si="98"/>
        <v>27.642222222222223</v>
      </c>
      <c r="AR67" s="466">
        <f t="shared" si="99"/>
        <v>0.28444444444444444</v>
      </c>
      <c r="AS67" s="466">
        <f t="shared" si="100"/>
        <v>5.8066666666666666</v>
      </c>
      <c r="AT67" s="466">
        <f t="shared" si="101"/>
        <v>22.404444444444444</v>
      </c>
      <c r="AU67" s="466">
        <f t="shared" si="102"/>
        <v>27.926666666666666</v>
      </c>
      <c r="AV67" s="466">
        <f t="shared" si="103"/>
        <v>0.28444444444444444</v>
      </c>
      <c r="AW67" s="466">
        <f t="shared" si="104"/>
        <v>5.8066666666666666</v>
      </c>
      <c r="AX67" s="466">
        <f t="shared" si="105"/>
        <v>22.404444444444444</v>
      </c>
      <c r="AY67" s="466">
        <f t="shared" si="106"/>
        <v>27.926666666666666</v>
      </c>
      <c r="AZ67" s="466">
        <f t="shared" si="107"/>
        <v>0.28444444444444444</v>
      </c>
      <c r="BA67" s="466">
        <f t="shared" si="108"/>
        <v>5.8066666666666666</v>
      </c>
      <c r="BB67" s="466">
        <f t="shared" si="109"/>
        <v>22.404444444444444</v>
      </c>
      <c r="BC67" s="466">
        <f t="shared" si="110"/>
        <v>27.926666666666666</v>
      </c>
      <c r="BD67" s="466">
        <f t="shared" si="111"/>
        <v>0.28444444444444444</v>
      </c>
      <c r="BE67" s="466">
        <f t="shared" si="112"/>
        <v>5.8066666666666666</v>
      </c>
      <c r="BF67" s="466">
        <f t="shared" si="113"/>
        <v>22.404444444444444</v>
      </c>
      <c r="BG67" s="466">
        <f t="shared" si="114"/>
        <v>27.926666666666666</v>
      </c>
    </row>
    <row r="68" spans="1:59">
      <c r="A68" s="212" t="s">
        <v>5315</v>
      </c>
      <c r="B68" s="230">
        <v>644926255</v>
      </c>
      <c r="C68" s="209" t="s">
        <v>5285</v>
      </c>
      <c r="D68" s="209">
        <v>105</v>
      </c>
      <c r="F68" s="238" t="str" cm="1">
        <f t="array" aca="1" ref="F68" ca="1">MID(met2utc(PEPSSI_Commanding[[#This Row],[MET]]),3,15)</f>
        <v>26-179/04:18:59</v>
      </c>
      <c r="G68" s="212" t="str">
        <f t="shared" si="65"/>
        <v>MAC+105</v>
      </c>
      <c r="H68" s="213">
        <f t="shared" si="66"/>
        <v>644924995</v>
      </c>
      <c r="I68" s="213">
        <f t="shared" si="67"/>
        <v>676426255</v>
      </c>
      <c r="J68" s="212">
        <f t="shared" si="68"/>
        <v>16</v>
      </c>
      <c r="K68" s="212">
        <f t="shared" si="69"/>
        <v>1</v>
      </c>
      <c r="M68" s="209">
        <f t="shared" si="70"/>
        <v>360</v>
      </c>
      <c r="N68" s="209">
        <f t="shared" si="71"/>
        <v>2</v>
      </c>
      <c r="O68" s="209">
        <f t="shared" si="72"/>
        <v>900</v>
      </c>
      <c r="P68" s="209">
        <f t="shared" si="73"/>
        <v>1800</v>
      </c>
      <c r="Q68" s="209" t="str">
        <f t="shared" si="74"/>
        <v/>
      </c>
      <c r="R68" s="209">
        <f t="shared" si="75"/>
        <v>300</v>
      </c>
      <c r="S68" s="209" t="str">
        <f t="shared" si="76"/>
        <v>102</v>
      </c>
      <c r="U68" s="466">
        <f t="shared" si="77"/>
        <v>4.40625</v>
      </c>
      <c r="V68" s="466">
        <f t="shared" si="78"/>
        <v>18.28125</v>
      </c>
      <c r="W68" s="466">
        <f t="shared" si="79"/>
        <v>0.28444444444444444</v>
      </c>
      <c r="X68" s="466">
        <f t="shared" si="80"/>
        <v>5.5222222222222221</v>
      </c>
      <c r="Y68" s="466">
        <f t="shared" si="81"/>
        <v>665</v>
      </c>
      <c r="Z68" s="466">
        <f t="shared" si="82"/>
        <v>4.6180555555555554</v>
      </c>
      <c r="AA68" s="466">
        <f t="shared" si="83"/>
        <v>22.12</v>
      </c>
      <c r="AB68" s="242"/>
      <c r="AC68" s="466">
        <f t="shared" si="84"/>
        <v>5.5222222222222221</v>
      </c>
      <c r="AD68" s="466">
        <f t="shared" si="85"/>
        <v>40.401250000000005</v>
      </c>
      <c r="AE68" s="466">
        <f t="shared" si="86"/>
        <v>45.92347222222223</v>
      </c>
      <c r="AF68" s="466">
        <f t="shared" si="87"/>
        <v>4.6180555555555554</v>
      </c>
      <c r="AG68" s="466">
        <f t="shared" si="88"/>
        <v>10.140277777777778</v>
      </c>
      <c r="AH68" s="466">
        <f t="shared" si="89"/>
        <v>45.019305555555562</v>
      </c>
      <c r="AI68" s="466">
        <f t="shared" si="90"/>
        <v>50.541527777777787</v>
      </c>
      <c r="AJ68" s="466">
        <f t="shared" si="91"/>
        <v>4.40625</v>
      </c>
      <c r="AK68" s="466">
        <f t="shared" si="92"/>
        <v>9.9284722222222221</v>
      </c>
      <c r="AL68" s="466">
        <f t="shared" si="93"/>
        <v>44.807500000000005</v>
      </c>
      <c r="AM68" s="466">
        <f t="shared" si="94"/>
        <v>50.32972222222223</v>
      </c>
      <c r="AN68" s="466">
        <f t="shared" si="95"/>
        <v>9.0243055555555554</v>
      </c>
      <c r="AO68" s="466">
        <f t="shared" si="96"/>
        <v>14.546527777777778</v>
      </c>
      <c r="AP68" s="466">
        <f t="shared" si="97"/>
        <v>49.425555555555562</v>
      </c>
      <c r="AQ68" s="466">
        <f t="shared" si="98"/>
        <v>54.947777777777787</v>
      </c>
      <c r="AR68" s="466">
        <f t="shared" si="99"/>
        <v>0.28444444444444444</v>
      </c>
      <c r="AS68" s="466">
        <f t="shared" si="100"/>
        <v>5.8066666666666666</v>
      </c>
      <c r="AT68" s="466">
        <f t="shared" si="101"/>
        <v>40.685694444444451</v>
      </c>
      <c r="AU68" s="466">
        <f t="shared" si="102"/>
        <v>46.207916666666677</v>
      </c>
      <c r="AV68" s="466">
        <f t="shared" si="103"/>
        <v>4.9024999999999999</v>
      </c>
      <c r="AW68" s="466">
        <f t="shared" si="104"/>
        <v>10.424722222222222</v>
      </c>
      <c r="AX68" s="466">
        <f t="shared" si="105"/>
        <v>45.303750000000008</v>
      </c>
      <c r="AY68" s="466">
        <f t="shared" si="106"/>
        <v>50.825972222222234</v>
      </c>
      <c r="AZ68" s="466">
        <f t="shared" si="107"/>
        <v>4.6906944444444445</v>
      </c>
      <c r="BA68" s="466">
        <f t="shared" si="108"/>
        <v>10.212916666666667</v>
      </c>
      <c r="BB68" s="466">
        <f t="shared" si="109"/>
        <v>45.091944444444451</v>
      </c>
      <c r="BC68" s="466">
        <f t="shared" si="110"/>
        <v>50.614166666666677</v>
      </c>
      <c r="BD68" s="466">
        <f t="shared" si="111"/>
        <v>9.3087499999999999</v>
      </c>
      <c r="BE68" s="466">
        <f t="shared" si="112"/>
        <v>14.830972222222222</v>
      </c>
      <c r="BF68" s="466">
        <f t="shared" si="113"/>
        <v>49.710000000000008</v>
      </c>
      <c r="BG68" s="466">
        <f t="shared" si="114"/>
        <v>55.232222222222234</v>
      </c>
    </row>
    <row r="101" spans="81:81">
      <c r="CC101" s="247"/>
    </row>
  </sheetData>
  <conditionalFormatting sqref="AC1:BG1048576">
    <cfRule type="expression" dxfId="35" priority="4">
      <formula>AC$12&lt;&gt;""</formula>
    </cfRule>
  </conditionalFormatting>
  <conditionalFormatting sqref="AD8:BG8">
    <cfRule type="expression" dxfId="34" priority="5">
      <formula>AD8&lt;&gt;(AC8+1)</formula>
    </cfRule>
  </conditionalFormatting>
  <conditionalFormatting sqref="A14:BG1048576">
    <cfRule type="expression" dxfId="33" priority="6">
      <formula>OR($C14="ON",FALSE)</formula>
    </cfRule>
  </conditionalFormatting>
  <conditionalFormatting sqref="A68:BG1048422 A14:BG66">
    <cfRule type="expression" dxfId="32" priority="3">
      <formula>OR($G14="OFF",AND($G15&lt;&gt;"OFF",$K14=1))</formula>
    </cfRule>
  </conditionalFormatting>
  <conditionalFormatting sqref="A14:D1048576">
    <cfRule type="expression" dxfId="31" priority="7">
      <formula>AND($J14&lt;&gt;"",$J14&lt;=9)</formula>
    </cfRule>
  </conditionalFormatting>
  <conditionalFormatting sqref="A67:BG67">
    <cfRule type="expression" dxfId="30" priority="139">
      <formula>OR($G67="OFF",AND(#REF!&lt;&gt;"OFF",$K67=1))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70"/>
  <sheetViews>
    <sheetView zoomScaleNormal="100" workbookViewId="0">
      <pane ySplit="12" topLeftCell="A15" activePane="bottomLeft" state="frozen"/>
      <selection pane="bottomLeft" activeCell="W31" sqref="W31"/>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5" bestFit="1" customWidth="1"/>
    <col min="18" max="18" width="10" style="515" bestFit="1" customWidth="1"/>
    <col min="19" max="19" width="8.140625" style="515" bestFit="1" customWidth="1"/>
    <col min="20" max="20" width="15.42578125" style="515" bestFit="1" customWidth="1"/>
    <col min="21" max="21" width="7.140625" style="515" bestFit="1" customWidth="1"/>
    <col min="22" max="22" width="14.42578125" style="515" customWidth="1"/>
    <col min="23" max="23" width="10.7109375" style="515" bestFit="1" customWidth="1"/>
    <col min="24" max="24" width="10.28515625" style="515" bestFit="1" customWidth="1"/>
    <col min="25" max="25" width="5.140625" style="20" bestFit="1" customWidth="1"/>
    <col min="26" max="26" width="3" style="20" customWidth="1"/>
    <col min="27" max="27" width="7.140625" style="3" customWidth="1"/>
    <col min="28" max="28" width="5.5703125" style="524" bestFit="1" customWidth="1"/>
    <col min="29" max="29" width="6.140625" style="524" bestFit="1" customWidth="1"/>
    <col min="30" max="30" width="3.42578125" style="20" customWidth="1"/>
    <col min="31" max="31" width="3.7109375" style="20" customWidth="1"/>
    <col min="32" max="32" width="3" style="20" customWidth="1"/>
    <col min="33" max="33" width="3.42578125" style="20" customWidth="1"/>
    <col min="34" max="34" width="11.28515625" style="512" customWidth="1"/>
    <col min="35" max="35" width="13.42578125" style="512"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5842</v>
      </c>
      <c r="L1" s="3"/>
      <c r="N1" s="20"/>
      <c r="O1" s="3"/>
      <c r="P1" s="3" t="s">
        <v>122</v>
      </c>
      <c r="Q1" s="514" t="s">
        <v>5</v>
      </c>
      <c r="R1" s="515" t="s">
        <v>6</v>
      </c>
      <c r="S1" s="515" t="s">
        <v>7</v>
      </c>
      <c r="T1" s="515" t="s">
        <v>8</v>
      </c>
      <c r="U1" s="515" t="s">
        <v>19</v>
      </c>
      <c r="V1" s="515" t="s">
        <v>25</v>
      </c>
      <c r="W1" s="515" t="s">
        <v>26</v>
      </c>
      <c r="X1" s="515" t="s">
        <v>9</v>
      </c>
      <c r="Y1"/>
      <c r="Z1"/>
      <c r="AA1"/>
      <c r="AC1" s="99"/>
      <c r="AD1"/>
      <c r="AE1"/>
      <c r="AF1"/>
      <c r="AG1"/>
      <c r="AH1" s="18"/>
      <c r="AI1" s="18"/>
    </row>
    <row r="2" spans="1:40" ht="15.75" thickBot="1">
      <c r="A2"/>
      <c r="B2" s="3"/>
      <c r="C2" s="3"/>
      <c r="D2" s="3"/>
      <c r="E2" s="3"/>
      <c r="F2" s="3"/>
      <c r="G2" s="3"/>
      <c r="H2" s="3"/>
      <c r="I2" s="3"/>
      <c r="L2" s="3"/>
      <c r="N2" s="20"/>
      <c r="O2" s="3"/>
      <c r="R2" s="6" t="s">
        <v>1166</v>
      </c>
      <c r="S2" s="269">
        <f>'SWAP Data Volumns'!K108</f>
        <v>0.5056665308181959</v>
      </c>
      <c r="T2" s="18" t="s">
        <v>5875</v>
      </c>
      <c r="U2" s="518">
        <f>1.579/0.000008</f>
        <v>197375</v>
      </c>
      <c r="V2" s="519" t="s">
        <v>5831</v>
      </c>
      <c r="Y2"/>
      <c r="Z2"/>
      <c r="AA2"/>
      <c r="AC2" s="99"/>
      <c r="AD2"/>
      <c r="AE2"/>
      <c r="AF2"/>
      <c r="AG2"/>
      <c r="AH2" s="18"/>
      <c r="AI2" s="18"/>
    </row>
    <row r="3" spans="1:40">
      <c r="A3"/>
      <c r="B3" s="3"/>
      <c r="C3" s="3"/>
      <c r="D3" s="3"/>
      <c r="E3" s="3"/>
      <c r="F3" s="3"/>
      <c r="G3" s="3"/>
      <c r="H3" s="3"/>
      <c r="I3" s="3"/>
      <c r="L3" s="3"/>
      <c r="N3" s="20"/>
      <c r="O3" s="3"/>
      <c r="R3" s="6" t="s">
        <v>1196</v>
      </c>
      <c r="S3" s="269">
        <f>'SWAP Data Volumns'!K99</f>
        <v>0.80996710526315774</v>
      </c>
      <c r="T3" s="18" t="s">
        <v>5844</v>
      </c>
      <c r="Y3"/>
      <c r="Z3"/>
      <c r="AA3"/>
      <c r="AC3" s="99"/>
      <c r="AD3"/>
      <c r="AE3"/>
      <c r="AF3"/>
      <c r="AG3"/>
      <c r="AH3" s="18"/>
      <c r="AI3" s="18"/>
    </row>
    <row r="4" spans="1:40">
      <c r="A4"/>
      <c r="B4" s="3"/>
      <c r="C4" s="3"/>
      <c r="D4" s="3"/>
      <c r="E4" s="3"/>
      <c r="F4" s="3"/>
      <c r="G4" s="3"/>
      <c r="H4" s="3"/>
      <c r="I4" s="3"/>
      <c r="L4" s="3"/>
      <c r="N4" s="20"/>
      <c r="O4" s="3"/>
      <c r="R4" s="6" t="s">
        <v>1068</v>
      </c>
      <c r="S4" s="269">
        <f>'SWAP Data Volumns'!K90</f>
        <v>1.4028285692679976</v>
      </c>
      <c r="T4" s="18" t="s">
        <v>5876</v>
      </c>
      <c r="Y4"/>
      <c r="Z4"/>
      <c r="AA4"/>
      <c r="AC4" s="99"/>
      <c r="AD4"/>
      <c r="AE4"/>
      <c r="AF4"/>
      <c r="AG4"/>
      <c r="AH4" s="18"/>
      <c r="AI4" s="18"/>
    </row>
    <row r="5" spans="1:40">
      <c r="A5"/>
      <c r="B5" s="3"/>
      <c r="C5" s="3"/>
      <c r="D5" s="3"/>
      <c r="E5" s="3"/>
      <c r="F5" s="3"/>
      <c r="G5" s="3"/>
      <c r="H5" s="3"/>
      <c r="I5" s="3"/>
      <c r="L5" s="3"/>
      <c r="N5" s="20"/>
      <c r="O5" s="3"/>
      <c r="R5" s="6" t="s">
        <v>1165</v>
      </c>
      <c r="S5" s="269">
        <f>'SWAP Data Volumns'!K72</f>
        <v>3.6959320175438592</v>
      </c>
      <c r="T5" s="18" t="s">
        <v>5877</v>
      </c>
      <c r="Y5"/>
      <c r="Z5"/>
      <c r="AA5"/>
      <c r="AC5" s="99"/>
      <c r="AD5"/>
      <c r="AE5"/>
      <c r="AF5"/>
      <c r="AG5"/>
      <c r="AH5" s="18"/>
      <c r="AI5" s="18"/>
    </row>
    <row r="6" spans="1:40">
      <c r="A6"/>
      <c r="B6" s="3"/>
      <c r="C6" s="3"/>
      <c r="D6" s="3"/>
      <c r="E6" s="3"/>
      <c r="F6" s="3"/>
      <c r="G6" s="3"/>
      <c r="H6" s="3"/>
      <c r="I6" s="3"/>
      <c r="L6" s="3"/>
      <c r="N6" s="20"/>
      <c r="O6" s="3"/>
      <c r="S6" s="526">
        <f>$S2-(0.0144*1000000/(8*86400))</f>
        <v>0.48483319748486259</v>
      </c>
      <c r="T6" s="18" t="s">
        <v>5874</v>
      </c>
      <c r="Y6"/>
      <c r="Z6"/>
      <c r="AA6"/>
      <c r="AC6" s="99"/>
      <c r="AD6"/>
      <c r="AE6"/>
      <c r="AF6"/>
      <c r="AG6"/>
      <c r="AH6" s="18"/>
      <c r="AI6" s="18"/>
    </row>
    <row r="7" spans="1:40">
      <c r="A7"/>
      <c r="B7" s="3"/>
      <c r="C7" s="3"/>
      <c r="D7" s="3"/>
      <c r="E7" s="3"/>
      <c r="F7" s="3"/>
      <c r="G7" s="3"/>
      <c r="H7" s="3"/>
      <c r="I7" s="3"/>
      <c r="L7" s="3"/>
      <c r="N7" s="20"/>
      <c r="O7" s="3"/>
      <c r="S7" s="526">
        <f t="shared" ref="S7:S9" si="0">$S3-(0.0144*1000000/(8*86400))</f>
        <v>0.78913377192982437</v>
      </c>
      <c r="T7" s="18" t="s">
        <v>5871</v>
      </c>
      <c r="Y7"/>
      <c r="Z7"/>
      <c r="AA7"/>
      <c r="AC7" s="99"/>
      <c r="AD7"/>
      <c r="AE7"/>
      <c r="AF7"/>
      <c r="AG7"/>
      <c r="AH7" s="18"/>
      <c r="AI7" s="18"/>
    </row>
    <row r="8" spans="1:40">
      <c r="A8"/>
      <c r="B8" s="3"/>
      <c r="C8" s="3"/>
      <c r="D8" s="3"/>
      <c r="E8" s="3"/>
      <c r="F8" s="3"/>
      <c r="G8" s="3"/>
      <c r="H8" s="3"/>
      <c r="I8" s="3"/>
      <c r="L8" s="3"/>
      <c r="N8" s="20"/>
      <c r="O8" s="3"/>
      <c r="S8" s="526">
        <f t="shared" si="0"/>
        <v>1.3819952359346643</v>
      </c>
      <c r="T8" s="18" t="s">
        <v>5873</v>
      </c>
      <c r="Y8"/>
      <c r="Z8"/>
      <c r="AA8"/>
      <c r="AC8" s="99"/>
      <c r="AD8"/>
      <c r="AE8"/>
      <c r="AF8"/>
      <c r="AG8"/>
      <c r="AH8" s="18"/>
      <c r="AI8" s="18"/>
    </row>
    <row r="9" spans="1:40">
      <c r="A9"/>
      <c r="B9" s="3"/>
      <c r="C9" s="3"/>
      <c r="D9" s="3"/>
      <c r="E9" s="3"/>
      <c r="F9" s="3"/>
      <c r="G9" s="3"/>
      <c r="H9" s="3"/>
      <c r="I9" s="3"/>
      <c r="L9" s="3"/>
      <c r="N9" s="20"/>
      <c r="O9" s="3"/>
      <c r="S9" s="526">
        <f t="shared" si="0"/>
        <v>3.6750986842105258</v>
      </c>
      <c r="T9" s="18" t="s">
        <v>5872</v>
      </c>
      <c r="Y9"/>
      <c r="Z9"/>
      <c r="AA9"/>
      <c r="AC9" s="99"/>
      <c r="AD9"/>
      <c r="AE9"/>
      <c r="AF9"/>
      <c r="AG9"/>
      <c r="AH9" s="18"/>
      <c r="AI9" s="18"/>
    </row>
    <row r="10" spans="1:40">
      <c r="A10"/>
      <c r="B10" s="3"/>
      <c r="C10" s="3"/>
      <c r="D10" s="3"/>
      <c r="E10" s="3"/>
      <c r="F10" s="3"/>
      <c r="G10" s="3"/>
      <c r="H10" s="3"/>
      <c r="I10" s="3"/>
      <c r="L10" s="3"/>
      <c r="N10" s="20"/>
      <c r="O10" s="3"/>
      <c r="S10" s="515" t="s">
        <v>5843</v>
      </c>
      <c r="T10" s="526" t="str">
        <f>""</f>
        <v/>
      </c>
      <c r="Y10"/>
      <c r="Z10"/>
      <c r="AA10"/>
      <c r="AC10" s="99"/>
      <c r="AD10"/>
      <c r="AE10"/>
      <c r="AF10"/>
      <c r="AG10"/>
      <c r="AH10" s="18"/>
      <c r="AI10" s="18"/>
    </row>
    <row r="11" spans="1:40">
      <c r="A11"/>
      <c r="B11" s="3"/>
      <c r="C11" s="3"/>
      <c r="D11" s="3"/>
      <c r="E11" s="3"/>
      <c r="F11" s="3"/>
      <c r="G11" s="3"/>
      <c r="H11" s="3"/>
      <c r="I11" s="3"/>
      <c r="K11" s="18" t="str">
        <f>$T$10</f>
        <v/>
      </c>
      <c r="L11" s="3"/>
      <c r="N11" s="20"/>
      <c r="O11" s="3"/>
      <c r="P11" s="6" t="s">
        <v>5851</v>
      </c>
      <c r="Q11" s="515">
        <f>$R11-$W11/devrate($E11:$K11,$R11)</f>
        <v>-1</v>
      </c>
      <c r="R11" s="525">
        <v>-1</v>
      </c>
      <c r="Y11" t="s">
        <v>5839</v>
      </c>
      <c r="Z11" t="s">
        <v>5852</v>
      </c>
      <c r="AA11"/>
      <c r="AC11" s="99"/>
      <c r="AD11"/>
      <c r="AE11"/>
      <c r="AF11"/>
      <c r="AG11"/>
      <c r="AH11" s="18"/>
      <c r="AI11" s="18"/>
    </row>
    <row r="12" spans="1:40">
      <c r="A12"/>
      <c r="B12" s="3"/>
      <c r="C12" s="3"/>
      <c r="D12" s="3"/>
      <c r="E12" s="3"/>
      <c r="F12" s="3"/>
      <c r="G12" s="3"/>
      <c r="H12" s="3"/>
      <c r="I12" s="3"/>
      <c r="L12" s="3"/>
      <c r="N12" s="20"/>
      <c r="O12" s="3"/>
      <c r="Q12" s="525">
        <v>-1</v>
      </c>
      <c r="R12" s="525">
        <f>$Q12+$W12/devrate($E12:$K12,$Q12)</f>
        <v>-1</v>
      </c>
      <c r="S12" s="512" t="s">
        <v>5850</v>
      </c>
      <c r="Y12" t="s">
        <v>5839</v>
      </c>
      <c r="Z12" t="s">
        <v>5845</v>
      </c>
      <c r="AA12"/>
      <c r="AC12" s="99"/>
      <c r="AD12"/>
      <c r="AE12"/>
      <c r="AF12"/>
      <c r="AG12"/>
      <c r="AH12" s="18"/>
      <c r="AI12" s="18"/>
    </row>
    <row r="15" spans="1:40">
      <c r="P15" s="3">
        <v>25207</v>
      </c>
      <c r="AH15" s="512" t="s">
        <v>5810</v>
      </c>
      <c r="AN15" s="6" t="s">
        <v>5789</v>
      </c>
    </row>
    <row r="16" spans="1:40" s="453" customFormat="1" ht="45">
      <c r="A16" s="522"/>
      <c r="B16" s="522"/>
      <c r="C16" s="522"/>
      <c r="D16" s="522"/>
      <c r="E16" s="522" t="str">
        <f>$E$1</f>
        <v>HSK3</v>
      </c>
      <c r="F16" s="522" t="str">
        <f>$F$1</f>
        <v>DT1</v>
      </c>
      <c r="G16" s="522" t="str">
        <f>$G$1</f>
        <v>DT2</v>
      </c>
      <c r="H16" s="522" t="str">
        <f>$H$1</f>
        <v>DT3</v>
      </c>
      <c r="I16" s="522" t="str">
        <f>$I$1</f>
        <v>DT4</v>
      </c>
      <c r="J16" s="513" t="str">
        <f>$J$1</f>
        <v>SDT1HSK4</v>
      </c>
      <c r="K16" s="527"/>
      <c r="L16" s="522"/>
      <c r="M16" s="522"/>
      <c r="N16" s="513"/>
      <c r="O16" s="522"/>
      <c r="P16" s="513" t="str">
        <f t="shared" ref="P16:X16" si="1">P$1</f>
        <v>track</v>
      </c>
      <c r="Q16" s="516" t="str">
        <f t="shared" si="1"/>
        <v>start met</v>
      </c>
      <c r="R16" s="516" t="str">
        <f t="shared" si="1"/>
        <v>end met</v>
      </c>
      <c r="S16" s="516" t="str">
        <f t="shared" si="1"/>
        <v>seconds</v>
      </c>
      <c r="T16" s="516" t="str">
        <f t="shared" si="1"/>
        <v>calculated bytes</v>
      </c>
      <c r="U16" s="516" t="str">
        <f t="shared" si="1"/>
        <v>pwr on</v>
      </c>
      <c r="V16" s="516" t="str">
        <f t="shared" si="1"/>
        <v>total calc bytes</v>
      </c>
      <c r="W16" s="516" t="str">
        <f t="shared" si="1"/>
        <v>bytes avail</v>
      </c>
      <c r="X16" s="516" t="str">
        <f t="shared" si="1"/>
        <v>difference</v>
      </c>
      <c r="Y16" s="522"/>
      <c r="Z16" s="522"/>
      <c r="AA16" s="528" t="s">
        <v>5888</v>
      </c>
      <c r="AB16" s="523" t="str">
        <f ca="1">_xlfn.CONCAT("PEP",CHAR(10),"Mbit",CHAR(10),TEXT(SUM(AB17:AB35),"0.00"))</f>
        <v>PEP
Mbit
56.70</v>
      </c>
      <c r="AC16" s="523" t="str">
        <f ca="1">_xlfn.CONCAT("SWA",CHAR(10),"Mbit",CHAR(10),TEXT(SUM(AC17:AC35),"0.00"))</f>
        <v>SWA
Mbit
16.50</v>
      </c>
      <c r="AD16" s="522"/>
      <c r="AE16" s="522"/>
      <c r="AF16" s="522"/>
      <c r="AG16" s="522"/>
      <c r="AH16" s="520" t="s">
        <v>5790</v>
      </c>
      <c r="AI16" s="520" t="s">
        <v>5791</v>
      </c>
      <c r="AJ16" s="521" t="s">
        <v>5792</v>
      </c>
      <c r="AK16" s="521" t="s">
        <v>5793</v>
      </c>
      <c r="AL16" s="521" t="s">
        <v>5794</v>
      </c>
      <c r="AM16" s="521" t="s">
        <v>5795</v>
      </c>
      <c r="AN16" s="521">
        <v>5</v>
      </c>
    </row>
    <row r="17" spans="5:40">
      <c r="E17" s="20" t="s">
        <v>51</v>
      </c>
      <c r="F17" s="20" t="s">
        <v>49</v>
      </c>
      <c r="J17" s="3" t="str">
        <f t="shared" ref="J17:J24" si="2">IF(LEFT($K17,4)="&lt;=RT",IF(RIGHT($K17,4)="noHK",LEFT(J$1,4),J$1),IF($K17="","","???=&gt;"))</f>
        <v/>
      </c>
      <c r="K17" s="18" t="str">
        <f>$T$10</f>
        <v/>
      </c>
      <c r="L17" s="20" t="str">
        <f t="shared" ref="L17:L31" ca="1" si="3">IF(ISNUMBER(Q17),IF(Q17&gt;400000000,MID(met2utc(Q17),3,12),""),"")</f>
        <v>25-289/15:53</v>
      </c>
      <c r="M17" s="20" t="str">
        <f t="shared" ref="M17:M31" ca="1" si="4">IF(ISNUMBER(R17),IF(R17&gt;400000000,MID(met2utc(R17),3,12),""),"")</f>
        <v>25-291/01:00</v>
      </c>
      <c r="N17" s="3" t="s">
        <v>5863</v>
      </c>
      <c r="O17" s="20" t="str">
        <f>MID(deltautc($AI17),6,9)</f>
        <v>209/22:54</v>
      </c>
      <c r="P17" s="3" t="str">
        <f>MID(AH17,5,5)</f>
        <v>209_2</v>
      </c>
      <c r="Q17" s="517">
        <v>622935950.93747699</v>
      </c>
      <c r="R17" s="20">
        <f>$Q17+$W17/devrate($E17:$K17,$Q17)</f>
        <v>623055140.86369443</v>
      </c>
      <c r="S17" s="20">
        <f t="shared" ref="S17:S30" si="5">R17-Q17</f>
        <v>119189.92621743679</v>
      </c>
      <c r="T17" s="20">
        <f t="shared" ref="T17:T30" ca="1" si="6">S17*IF(OR(EXACT($Y17,"PEP"),EXACT($Y17,"SWA")),devrate(E17:K17,$Q17),0)</f>
        <v>33654.600000006809</v>
      </c>
      <c r="U17" s="20">
        <f>0</f>
        <v>0</v>
      </c>
      <c r="V17" s="20">
        <f t="shared" ref="V17:V30" ca="1" si="7">T17+IF($Y17="PEP",$U17*$U$2,0)</f>
        <v>33654.600000006809</v>
      </c>
      <c r="W17" s="20">
        <f>AN17*1000000/8</f>
        <v>33654.6</v>
      </c>
      <c r="X17" s="20">
        <f t="shared" ref="X17:X30" ca="1" si="8">W17-V17</f>
        <v>-6.8102963268756866E-9</v>
      </c>
      <c r="Y17" s="20" t="str">
        <f t="shared" ref="Y17:Y30" ca="1" si="9">IF($L17&lt;&gt;"",IF($M17&lt;&gt;"",IF(_xlfn.XOR(_xlfn.TEXTJOIN("",TRUE,$E17:$I17)&lt;&gt;"",_xlfn.TEXTJOIN("",TRUE,$J17:$K17)&lt;&gt;""),IF(_xlfn.TEXTJOIN("",TRUE,$J17:$K17)="","PEP","SWA"),""),""),"")</f>
        <v>PEP</v>
      </c>
      <c r="Z17" s="20" t="s">
        <v>5852</v>
      </c>
      <c r="AA17" s="3">
        <f>IF(ISNUMBER($AN17),AN17,"")</f>
        <v>0.2692368</v>
      </c>
      <c r="AB17" s="524">
        <f t="shared" ref="AB17:AB30" ca="1" si="10">IF(AND(ISNUMBER(V17),EXACT(Y17,"PEP")),V17*8/1000000,"")</f>
        <v>0.26923680000005445</v>
      </c>
      <c r="AC17" s="524" t="str">
        <f t="shared" ref="AC17:AC30" ca="1" si="11">IF(AND(ISNUMBER(V17),EXACT(Y17,"SWA")),V17*8/1000000,"")</f>
        <v/>
      </c>
      <c r="AH17" s="512" t="s">
        <v>766</v>
      </c>
      <c r="AI17" s="512" t="s">
        <v>5798</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25-291/01:00</v>
      </c>
      <c r="M18" s="20" t="str">
        <f t="shared" ca="1" si="4"/>
        <v>25-291/16:11</v>
      </c>
      <c r="N18" s="3" t="s">
        <v>5864</v>
      </c>
      <c r="O18" s="20" t="str">
        <f>MID(deltautc($AI18),6,9)</f>
        <v>210/20:49</v>
      </c>
      <c r="P18" s="3" t="str">
        <f>MID(AH18,5,5)</f>
        <v>210_2</v>
      </c>
      <c r="Q18" s="517">
        <f>R17+(-1)</f>
        <v>623055139.86369443</v>
      </c>
      <c r="R18" s="20">
        <f>$Q18+54677</f>
        <v>623109816.86369443</v>
      </c>
      <c r="S18" s="20">
        <f t="shared" si="5"/>
        <v>54677</v>
      </c>
      <c r="T18" s="20">
        <f t="shared" ca="1" si="6"/>
        <v>22671.969930555555</v>
      </c>
      <c r="U18" s="20">
        <f>0</f>
        <v>0</v>
      </c>
      <c r="V18" s="20">
        <f t="shared" ca="1" si="7"/>
        <v>22671.969930555555</v>
      </c>
      <c r="W18" s="20">
        <f>AN18*1000000/8</f>
        <v>887912.55</v>
      </c>
      <c r="X18" s="20">
        <f t="shared" ca="1" si="8"/>
        <v>865240.58006944449</v>
      </c>
      <c r="Y18" s="20" t="str">
        <f t="shared" ca="1" si="9"/>
        <v>PEP</v>
      </c>
      <c r="Z18" s="20" t="s">
        <v>5845</v>
      </c>
      <c r="AA18" s="3">
        <f t="shared" ref="AA18:AA31" si="12">IF(ISNUMBER($AN18),AN18,"")</f>
        <v>7.1033004000000002</v>
      </c>
      <c r="AB18" s="524">
        <f t="shared" ca="1" si="10"/>
        <v>0.18137575944444445</v>
      </c>
      <c r="AC18" s="524" t="str">
        <f t="shared" ca="1" si="11"/>
        <v/>
      </c>
      <c r="AH18" s="512" t="s">
        <v>772</v>
      </c>
      <c r="AI18" s="512" t="s">
        <v>5799</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25-291/16:11</v>
      </c>
      <c r="M19" s="20" t="str">
        <f t="shared" ca="1" si="4"/>
        <v>25-292/06:05</v>
      </c>
      <c r="N19" s="3" t="s">
        <v>5865</v>
      </c>
      <c r="O19" s="20" t="s">
        <v>5846</v>
      </c>
      <c r="Q19" s="517">
        <f t="shared" ref="Q19:Q24" si="13">R18+(-1)</f>
        <v>623109815.86369443</v>
      </c>
      <c r="R19" s="20">
        <f>Q19+50000</f>
        <v>623159815.86369443</v>
      </c>
      <c r="S19" s="20">
        <f t="shared" si="5"/>
        <v>50000</v>
      </c>
      <c r="T19" s="20">
        <f t="shared" ca="1" si="6"/>
        <v>20732.638888888887</v>
      </c>
      <c r="U19" s="20">
        <f>0</f>
        <v>0</v>
      </c>
      <c r="V19" s="20">
        <f t="shared" ca="1" si="7"/>
        <v>20732.638888888887</v>
      </c>
      <c r="W19" s="20">
        <f ca="1">X18</f>
        <v>865240.58006944449</v>
      </c>
      <c r="X19" s="20">
        <f t="shared" ca="1" si="8"/>
        <v>844507.94118055562</v>
      </c>
      <c r="Y19" s="20" t="str">
        <f t="shared" ca="1" si="9"/>
        <v>PEP</v>
      </c>
      <c r="Z19" s="20" t="s">
        <v>5845</v>
      </c>
      <c r="AA19" s="3" t="str">
        <f t="shared" si="12"/>
        <v/>
      </c>
      <c r="AB19" s="524">
        <f t="shared" ca="1" si="10"/>
        <v>0.1658611111111111</v>
      </c>
      <c r="AC19" s="524" t="str">
        <f t="shared" ca="1" si="11"/>
        <v/>
      </c>
      <c r="AN19" s="3"/>
    </row>
    <row r="20" spans="5:40">
      <c r="F20" s="20" t="s">
        <v>49</v>
      </c>
      <c r="G20" s="20" t="s">
        <v>50</v>
      </c>
      <c r="J20" s="3" t="str">
        <f t="shared" si="2"/>
        <v/>
      </c>
      <c r="L20" s="20" t="str">
        <f t="shared" ca="1" si="3"/>
        <v>25-292/06:04</v>
      </c>
      <c r="M20" s="20" t="str">
        <f t="shared" ca="1" si="4"/>
        <v>25-292/13:01</v>
      </c>
      <c r="N20" s="3" t="s">
        <v>5866</v>
      </c>
      <c r="O20" s="20" t="s">
        <v>5846</v>
      </c>
      <c r="Q20" s="517">
        <f t="shared" si="13"/>
        <v>623159814.86369443</v>
      </c>
      <c r="R20" s="20">
        <f>Q20+25000</f>
        <v>623184814.86369443</v>
      </c>
      <c r="S20" s="20">
        <f t="shared" si="5"/>
        <v>25000</v>
      </c>
      <c r="T20" s="20">
        <f t="shared" ca="1" si="6"/>
        <v>10366.319444444443</v>
      </c>
      <c r="U20" s="20">
        <f>0</f>
        <v>0</v>
      </c>
      <c r="V20" s="20">
        <f t="shared" ca="1" si="7"/>
        <v>10366.319444444443</v>
      </c>
      <c r="W20" s="20">
        <f ca="1">X19</f>
        <v>844507.94118055562</v>
      </c>
      <c r="X20" s="20">
        <f t="shared" ca="1" si="8"/>
        <v>834141.62173611112</v>
      </c>
      <c r="Y20" s="20" t="str">
        <f t="shared" ca="1" si="9"/>
        <v>PEP</v>
      </c>
      <c r="Z20" s="20" t="s">
        <v>5845</v>
      </c>
      <c r="AA20" s="3" t="str">
        <f t="shared" si="12"/>
        <v/>
      </c>
      <c r="AB20" s="524">
        <f t="shared" ca="1" si="10"/>
        <v>8.2930555555555549E-2</v>
      </c>
      <c r="AC20" s="524" t="str">
        <f t="shared" ca="1" si="11"/>
        <v/>
      </c>
      <c r="AN20" s="3"/>
    </row>
    <row r="21" spans="5:40">
      <c r="F21" s="20" t="s">
        <v>49</v>
      </c>
      <c r="G21" s="20" t="s">
        <v>50</v>
      </c>
      <c r="J21" s="3" t="str">
        <f t="shared" si="2"/>
        <v/>
      </c>
      <c r="L21" s="20" t="str">
        <f t="shared" ca="1" si="3"/>
        <v>25-292/13:01</v>
      </c>
      <c r="M21" s="20" t="str">
        <f t="shared" ca="1" si="4"/>
        <v>25-292/16:29</v>
      </c>
      <c r="N21" s="3" t="s">
        <v>5867</v>
      </c>
      <c r="O21" s="20" t="s">
        <v>5846</v>
      </c>
      <c r="Q21" s="517">
        <f t="shared" si="13"/>
        <v>623184813.86369443</v>
      </c>
      <c r="R21" s="20">
        <f>Q21+12500</f>
        <v>623197313.86369443</v>
      </c>
      <c r="S21" s="20">
        <f t="shared" si="5"/>
        <v>12500</v>
      </c>
      <c r="T21" s="20">
        <f t="shared" ca="1" si="6"/>
        <v>5183.1597222222217</v>
      </c>
      <c r="U21" s="20">
        <f>0</f>
        <v>0</v>
      </c>
      <c r="V21" s="20">
        <f t="shared" ca="1" si="7"/>
        <v>5183.1597222222217</v>
      </c>
      <c r="W21" s="20">
        <f ca="1">X20+(0)</f>
        <v>834141.62173611112</v>
      </c>
      <c r="X21" s="20">
        <f t="shared" ca="1" si="8"/>
        <v>828958.46201388887</v>
      </c>
      <c r="Y21" s="20" t="str">
        <f t="shared" ca="1" si="9"/>
        <v>PEP</v>
      </c>
      <c r="Z21" s="20" t="s">
        <v>5845</v>
      </c>
      <c r="AA21" s="3" t="str">
        <f t="shared" si="12"/>
        <v/>
      </c>
      <c r="AB21" s="524">
        <f t="shared" ca="1" si="10"/>
        <v>4.1465277777777775E-2</v>
      </c>
      <c r="AC21" s="524" t="str">
        <f t="shared" ca="1" si="11"/>
        <v/>
      </c>
      <c r="AN21" s="3"/>
    </row>
    <row r="22" spans="5:40">
      <c r="F22" s="20" t="s">
        <v>49</v>
      </c>
      <c r="G22" s="20" t="s">
        <v>50</v>
      </c>
      <c r="J22" s="3" t="str">
        <f t="shared" si="2"/>
        <v/>
      </c>
      <c r="L22" s="20" t="str">
        <f t="shared" ca="1" si="3"/>
        <v>25-292/16:29</v>
      </c>
      <c r="M22" s="20" t="str">
        <f t="shared" ca="1" si="4"/>
        <v>25-315/19:49</v>
      </c>
      <c r="N22" s="3" t="s">
        <v>5868</v>
      </c>
      <c r="O22" s="20" t="s">
        <v>5846</v>
      </c>
      <c r="Q22" s="517">
        <f t="shared" si="13"/>
        <v>623197312.86369443</v>
      </c>
      <c r="R22" s="20">
        <f ca="1">$Q22+$W22/devrate($E22:$K22,$Q22)</f>
        <v>625196475.79335451</v>
      </c>
      <c r="S22" s="20">
        <f t="shared" ca="1" si="5"/>
        <v>1999162.9296600819</v>
      </c>
      <c r="T22" s="20">
        <f t="shared" ca="1" si="6"/>
        <v>828958.46201391309</v>
      </c>
      <c r="U22" s="20">
        <f>0</f>
        <v>0</v>
      </c>
      <c r="V22" s="20">
        <f t="shared" ca="1" si="7"/>
        <v>828958.46201391309</v>
      </c>
      <c r="W22" s="20">
        <f ca="1">X21</f>
        <v>828958.46201388887</v>
      </c>
      <c r="X22" s="20">
        <f t="shared" ca="1" si="8"/>
        <v>-2.4214386940002441E-8</v>
      </c>
      <c r="Y22" s="20" t="str">
        <f t="shared" ca="1" si="9"/>
        <v>PEP</v>
      </c>
      <c r="AA22" s="3" t="str">
        <f t="shared" si="12"/>
        <v/>
      </c>
      <c r="AB22" s="524">
        <f t="shared" ca="1" si="10"/>
        <v>6.6316676961113048</v>
      </c>
      <c r="AC22" s="524" t="str">
        <f t="shared" ca="1" si="11"/>
        <v/>
      </c>
      <c r="AN22" s="3"/>
    </row>
    <row r="23" spans="5:40">
      <c r="G23" s="20" t="s">
        <v>50</v>
      </c>
      <c r="H23" s="20" t="s">
        <v>53</v>
      </c>
      <c r="J23" s="3" t="str">
        <f t="shared" si="2"/>
        <v/>
      </c>
      <c r="L23" s="20" t="str">
        <f t="shared" ca="1" si="3"/>
        <v>25-315/19:49</v>
      </c>
      <c r="M23" s="20" t="str">
        <f t="shared" ca="1" si="4"/>
        <v>25-320/09:20</v>
      </c>
      <c r="N23" s="3" t="s">
        <v>5863</v>
      </c>
      <c r="O23" s="20" t="str">
        <f t="shared" ref="O23:O30" si="14">MID(deltautc($AI23),6,9)</f>
        <v>211/13:39</v>
      </c>
      <c r="P23" s="3" t="str">
        <f t="shared" ref="P23:P30" si="15">MID(AH23,5,5)</f>
        <v>211_1</v>
      </c>
      <c r="Q23" s="517">
        <f t="shared" ca="1" si="13"/>
        <v>625196474.79335451</v>
      </c>
      <c r="R23" s="20">
        <f ca="1">$Q23+$W23/devrate($E23:$K23,$Q23)</f>
        <v>625590728.1828469</v>
      </c>
      <c r="S23" s="20">
        <f t="shared" ca="1" si="5"/>
        <v>394253.38949239254</v>
      </c>
      <c r="T23" s="20">
        <f t="shared" ca="1" si="6"/>
        <v>864537.45000008889</v>
      </c>
      <c r="U23" s="20">
        <f>0</f>
        <v>0</v>
      </c>
      <c r="V23" s="20">
        <f t="shared" ca="1" si="7"/>
        <v>864537.45000008889</v>
      </c>
      <c r="W23" s="20">
        <f t="shared" ref="W23:W30" si="16">AN23*1000000/8</f>
        <v>864537.45</v>
      </c>
      <c r="X23" s="20">
        <f t="shared" ca="1" si="8"/>
        <v>-8.8941305875778198E-8</v>
      </c>
      <c r="Y23" s="20" t="str">
        <f t="shared" ca="1" si="9"/>
        <v>PEP</v>
      </c>
      <c r="AA23" s="3">
        <f t="shared" si="12"/>
        <v>6.9162995999999994</v>
      </c>
      <c r="AB23" s="524">
        <f t="shared" ca="1" si="10"/>
        <v>6.9162996000007109</v>
      </c>
      <c r="AC23" s="524" t="str">
        <f t="shared" ca="1" si="11"/>
        <v/>
      </c>
      <c r="AH23" s="512" t="s">
        <v>39</v>
      </c>
      <c r="AI23" s="512" t="s">
        <v>5800</v>
      </c>
      <c r="AJ23" s="6">
        <v>0.24687999999999999</v>
      </c>
      <c r="AK23" s="6">
        <v>1.070249</v>
      </c>
      <c r="AL23" s="6">
        <v>0.82336900000000002</v>
      </c>
      <c r="AM23" s="6">
        <v>7.2456469999999999</v>
      </c>
      <c r="AN23" s="3">
        <f t="shared" ref="AN23:AN30" si="17">AL23*8*(100+AN$16)/100</f>
        <v>6.9162995999999994</v>
      </c>
    </row>
    <row r="24" spans="5:40">
      <c r="H24" s="20" t="s">
        <v>53</v>
      </c>
      <c r="I24" s="20" t="s">
        <v>54</v>
      </c>
      <c r="J24" s="3" t="str">
        <f t="shared" si="2"/>
        <v/>
      </c>
      <c r="L24" s="20" t="str">
        <f t="shared" ca="1" si="3"/>
        <v>25-320/09:20</v>
      </c>
      <c r="M24" s="20" t="str">
        <f t="shared" ca="1" si="4"/>
        <v>25-321/02:55</v>
      </c>
      <c r="N24" s="3" t="s">
        <v>5863</v>
      </c>
      <c r="O24" s="20" t="str">
        <f t="shared" si="14"/>
        <v>212/08:19</v>
      </c>
      <c r="P24" s="3" t="str">
        <f t="shared" si="15"/>
        <v>212_1</v>
      </c>
      <c r="Q24" s="517">
        <f t="shared" ca="1" si="13"/>
        <v>625590727.1828469</v>
      </c>
      <c r="R24" s="20">
        <f ca="1">$Q24+$W24/devrate($E24:$K24,$Q24)</f>
        <v>625654024.27758372</v>
      </c>
      <c r="S24" s="20">
        <f t="shared" ca="1" si="5"/>
        <v>63297.094736814499</v>
      </c>
      <c r="T24" s="20">
        <f t="shared" ca="1" si="6"/>
        <v>116923.79999994901</v>
      </c>
      <c r="U24" s="20">
        <f>0</f>
        <v>0</v>
      </c>
      <c r="V24" s="20">
        <f t="shared" ca="1" si="7"/>
        <v>116923.79999994901</v>
      </c>
      <c r="W24" s="20">
        <f t="shared" si="16"/>
        <v>116923.79999999999</v>
      </c>
      <c r="X24" s="20">
        <f t="shared" ca="1" si="8"/>
        <v>5.0975359044969082E-8</v>
      </c>
      <c r="Y24" s="20" t="str">
        <f t="shared" ca="1" si="9"/>
        <v>PEP</v>
      </c>
      <c r="AA24" s="3">
        <f t="shared" si="12"/>
        <v>0.93539039999999996</v>
      </c>
      <c r="AB24" s="524">
        <f t="shared" ca="1" si="10"/>
        <v>0.93539039999959206</v>
      </c>
      <c r="AC24" s="524" t="str">
        <f t="shared" ca="1" si="11"/>
        <v/>
      </c>
      <c r="AH24" s="512" t="s">
        <v>779</v>
      </c>
      <c r="AI24" s="512" t="s">
        <v>5801</v>
      </c>
      <c r="AJ24" s="6">
        <v>0.26269700000000001</v>
      </c>
      <c r="AK24" s="6">
        <v>0.37405300000000002</v>
      </c>
      <c r="AL24" s="6">
        <v>0.111356</v>
      </c>
      <c r="AM24" s="6">
        <v>0.97992999999999997</v>
      </c>
      <c r="AN24" s="3">
        <f t="shared" si="17"/>
        <v>0.93539039999999996</v>
      </c>
    </row>
    <row r="25" spans="5:40">
      <c r="J25" s="3" t="str">
        <f>IF(LEFT($K25,4)="&lt;=RT",IF(RIGHT($K25,4)="noHK",LEFT(J$1,4),J$1),IF($K25="","","???=&gt;"))</f>
        <v>SDT1HSK4</v>
      </c>
      <c r="K25" s="18" t="str">
        <f>$T$2</f>
        <v>&lt;=RT2H</v>
      </c>
      <c r="L25" s="20" t="str">
        <f t="shared" ca="1" si="3"/>
        <v>25-289/15:53</v>
      </c>
      <c r="M25" s="20" t="str">
        <f t="shared" ca="1" si="4"/>
        <v>25-315/23:44</v>
      </c>
      <c r="N25" s="3" t="s">
        <v>5863</v>
      </c>
      <c r="O25" s="20" t="str">
        <f t="shared" si="14"/>
        <v>212/20:54</v>
      </c>
      <c r="P25" s="3" t="str">
        <f t="shared" si="15"/>
        <v>212_2</v>
      </c>
      <c r="Q25" s="525">
        <v>622935950.93747699</v>
      </c>
      <c r="R25" s="20">
        <f t="shared" ref="R25:R29" si="18">$Q25+$W25/devrate($E25:$K25,$Q25)</f>
        <v>625210581.70676863</v>
      </c>
      <c r="S25" s="20">
        <f t="shared" si="5"/>
        <v>2274630.7692916393</v>
      </c>
      <c r="T25" s="20">
        <f t="shared" ca="1" si="6"/>
        <v>1150204.6500000274</v>
      </c>
      <c r="U25" s="20">
        <f>0</f>
        <v>0</v>
      </c>
      <c r="V25" s="20">
        <f t="shared" ca="1" si="7"/>
        <v>1150204.6500000274</v>
      </c>
      <c r="W25" s="20">
        <f t="shared" si="16"/>
        <v>1150204.6500000001</v>
      </c>
      <c r="X25" s="20">
        <f t="shared" ca="1" si="8"/>
        <v>-2.7241185307502747E-8</v>
      </c>
      <c r="Y25" s="20" t="str">
        <f t="shared" ca="1" si="9"/>
        <v>SWA</v>
      </c>
      <c r="AA25" s="3">
        <f t="shared" si="12"/>
        <v>9.2016372000000004</v>
      </c>
      <c r="AB25" s="524" t="str">
        <f t="shared" ca="1" si="10"/>
        <v/>
      </c>
      <c r="AC25" s="524">
        <f t="shared" ca="1" si="11"/>
        <v>9.2016372000002189</v>
      </c>
      <c r="AH25" s="512" t="s">
        <v>783</v>
      </c>
      <c r="AI25" s="512" t="s">
        <v>5802</v>
      </c>
      <c r="AJ25" s="6">
        <v>0.227911</v>
      </c>
      <c r="AK25" s="6">
        <v>1.3233440000000001</v>
      </c>
      <c r="AL25" s="6">
        <v>1.0954330000000001</v>
      </c>
      <c r="AM25" s="6">
        <v>9.6398080000000004</v>
      </c>
      <c r="AN25" s="3">
        <f t="shared" si="17"/>
        <v>9.2016372000000004</v>
      </c>
    </row>
    <row r="26" spans="5:40">
      <c r="E26" s="20" t="s">
        <v>51</v>
      </c>
      <c r="F26" s="20" t="s">
        <v>49</v>
      </c>
      <c r="G26" s="20" t="s">
        <v>50</v>
      </c>
      <c r="J26" s="3" t="str">
        <f t="shared" ref="J26:J31" si="19">IF(LEFT($K26,4)="&lt;=RT",IF(RIGHT($K26,4)="noHK",LEFT(J$1,4),J$1),IF($K26="","","???=&gt;"))</f>
        <v/>
      </c>
      <c r="K26" s="18" t="str">
        <f>$T$10</f>
        <v/>
      </c>
      <c r="L26" s="20" t="str">
        <f t="shared" ca="1" si="3"/>
        <v>25-321/02:55</v>
      </c>
      <c r="M26" s="20" t="str">
        <f t="shared" ca="1" si="4"/>
        <v>25-341/19:01</v>
      </c>
      <c r="N26" s="3" t="s">
        <v>5863</v>
      </c>
      <c r="O26" s="20" t="str">
        <f t="shared" si="14"/>
        <v>213/11:49</v>
      </c>
      <c r="P26" s="3" t="str">
        <f t="shared" si="15"/>
        <v>213_1</v>
      </c>
      <c r="Q26" s="517">
        <f ca="1">R24+(-1)</f>
        <v>625654023.27758372</v>
      </c>
      <c r="R26" s="20">
        <f t="shared" ca="1" si="18"/>
        <v>627440015.8021884</v>
      </c>
      <c r="S26" s="20">
        <f t="shared" ca="1" si="5"/>
        <v>1785992.5246046782</v>
      </c>
      <c r="T26" s="20">
        <f t="shared" ca="1" si="6"/>
        <v>1121578.5000000072</v>
      </c>
      <c r="U26" s="20">
        <f>0</f>
        <v>0</v>
      </c>
      <c r="V26" s="20">
        <f t="shared" ca="1" si="7"/>
        <v>1121578.5000000072</v>
      </c>
      <c r="W26" s="20">
        <f t="shared" si="16"/>
        <v>1121578.5</v>
      </c>
      <c r="X26" s="20">
        <f t="shared" ca="1" si="8"/>
        <v>-7.2177499532699585E-9</v>
      </c>
      <c r="Y26" s="20" t="str">
        <f t="shared" ca="1" si="9"/>
        <v>PEP</v>
      </c>
      <c r="AA26" s="3">
        <f t="shared" si="12"/>
        <v>8.9726280000000003</v>
      </c>
      <c r="AB26" s="524">
        <f t="shared" ca="1" si="10"/>
        <v>8.9726280000000571</v>
      </c>
      <c r="AC26" s="524" t="str">
        <f t="shared" ca="1" si="11"/>
        <v/>
      </c>
      <c r="AH26" s="512" t="s">
        <v>40</v>
      </c>
      <c r="AI26" s="512" t="s">
        <v>5803</v>
      </c>
      <c r="AJ26" s="6">
        <v>0.386322</v>
      </c>
      <c r="AK26" s="6">
        <v>1.4544919999999999</v>
      </c>
      <c r="AL26" s="6">
        <v>1.0681700000000001</v>
      </c>
      <c r="AM26" s="6">
        <v>9.3998989999999996</v>
      </c>
      <c r="AN26" s="3">
        <f t="shared" si="17"/>
        <v>8.9726280000000003</v>
      </c>
    </row>
    <row r="27" spans="5:40">
      <c r="F27" s="20" t="s">
        <v>49</v>
      </c>
      <c r="G27" s="20" t="s">
        <v>50</v>
      </c>
      <c r="H27" s="20" t="s">
        <v>53</v>
      </c>
      <c r="J27" s="3" t="str">
        <f t="shared" si="19"/>
        <v/>
      </c>
      <c r="K27" s="18" t="str">
        <f>$T$10</f>
        <v/>
      </c>
      <c r="L27" s="20" t="str">
        <f t="shared" ca="1" si="3"/>
        <v>25-341/19:01</v>
      </c>
      <c r="M27" s="20" t="str">
        <f t="shared" ca="1" si="4"/>
        <v>25-347/18:50</v>
      </c>
      <c r="N27" s="3" t="s">
        <v>5863</v>
      </c>
      <c r="O27" s="20" t="str">
        <f t="shared" si="14"/>
        <v>215/17:43</v>
      </c>
      <c r="P27" s="3" t="str">
        <f t="shared" si="15"/>
        <v>215_1</v>
      </c>
      <c r="Q27" s="517">
        <f t="shared" ref="Q27:Q28" ca="1" si="20">R26+(-1)</f>
        <v>627440014.8021884</v>
      </c>
      <c r="R27" s="20">
        <f t="shared" ca="1" si="18"/>
        <v>627957743.0807184</v>
      </c>
      <c r="S27" s="20">
        <f t="shared" ca="1" si="5"/>
        <v>517728.27853000164</v>
      </c>
      <c r="T27" s="20">
        <f t="shared" ca="1" si="6"/>
        <v>1171036.6500000476</v>
      </c>
      <c r="U27" s="20">
        <f>0</f>
        <v>0</v>
      </c>
      <c r="V27" s="20">
        <f t="shared" ca="1" si="7"/>
        <v>1171036.6500000476</v>
      </c>
      <c r="W27" s="20">
        <f t="shared" si="16"/>
        <v>1171036.6499999999</v>
      </c>
      <c r="X27" s="20">
        <f t="shared" ca="1" si="8"/>
        <v>-4.7730281949043274E-8</v>
      </c>
      <c r="Y27" s="20" t="str">
        <f t="shared" ca="1" si="9"/>
        <v>PEP</v>
      </c>
      <c r="AA27" s="3">
        <f t="shared" si="12"/>
        <v>9.3682932000000001</v>
      </c>
      <c r="AB27" s="524">
        <f t="shared" ca="1" si="10"/>
        <v>9.3682932000003802</v>
      </c>
      <c r="AC27" s="524" t="str">
        <f t="shared" ca="1" si="11"/>
        <v/>
      </c>
      <c r="AH27" s="512" t="s">
        <v>795</v>
      </c>
      <c r="AI27" s="512" t="s">
        <v>5804</v>
      </c>
      <c r="AJ27" s="6">
        <v>0.97636599999999996</v>
      </c>
      <c r="AK27" s="6">
        <v>2.0916389999999998</v>
      </c>
      <c r="AL27" s="6">
        <v>1.115273</v>
      </c>
      <c r="AM27" s="6">
        <v>9.8144030000000004</v>
      </c>
      <c r="AN27" s="3">
        <f t="shared" si="17"/>
        <v>9.3682932000000001</v>
      </c>
    </row>
    <row r="28" spans="5:40">
      <c r="G28" s="20" t="s">
        <v>50</v>
      </c>
      <c r="H28" s="20" t="s">
        <v>53</v>
      </c>
      <c r="I28" s="20" t="s">
        <v>54</v>
      </c>
      <c r="J28" s="3" t="str">
        <f t="shared" si="19"/>
        <v/>
      </c>
      <c r="K28" s="18" t="str">
        <f>$T$10</f>
        <v/>
      </c>
      <c r="L28" s="20" t="str">
        <f t="shared" ca="1" si="3"/>
        <v>25-347/18:50</v>
      </c>
      <c r="M28" s="20" t="str">
        <f t="shared" ca="1" si="4"/>
        <v>25-362/21:37</v>
      </c>
      <c r="N28" s="3" t="s">
        <v>5863</v>
      </c>
      <c r="O28" s="20" t="str">
        <f t="shared" si="14"/>
        <v>216/11:48</v>
      </c>
      <c r="P28" s="3" t="str">
        <f t="shared" si="15"/>
        <v>216_1</v>
      </c>
      <c r="Q28" s="517">
        <f t="shared" ca="1" si="20"/>
        <v>627957742.0807184</v>
      </c>
      <c r="R28" s="20">
        <f t="shared" ca="1" si="18"/>
        <v>629263750.57550895</v>
      </c>
      <c r="S28" s="20">
        <f t="shared" ca="1" si="5"/>
        <v>1306008.494790554</v>
      </c>
      <c r="T28" s="20">
        <f t="shared" ca="1" si="6"/>
        <v>2863877.1000000923</v>
      </c>
      <c r="U28" s="20">
        <f>0</f>
        <v>0</v>
      </c>
      <c r="V28" s="20">
        <f t="shared" ca="1" si="7"/>
        <v>2863877.1000000923</v>
      </c>
      <c r="W28" s="20">
        <f t="shared" si="16"/>
        <v>2863877.0999999996</v>
      </c>
      <c r="X28" s="20">
        <f t="shared" ca="1" si="8"/>
        <v>-9.2666596174240112E-8</v>
      </c>
      <c r="Y28" s="20" t="str">
        <f t="shared" ca="1" si="9"/>
        <v>PEP</v>
      </c>
      <c r="AA28" s="3">
        <f t="shared" si="12"/>
        <v>22.911016799999999</v>
      </c>
      <c r="AB28" s="524">
        <f t="shared" ca="1" si="10"/>
        <v>22.911016800000738</v>
      </c>
      <c r="AC28" s="524" t="str">
        <f t="shared" ca="1" si="11"/>
        <v/>
      </c>
      <c r="AH28" s="512" t="s">
        <v>797</v>
      </c>
      <c r="AI28" s="512" t="s">
        <v>5805</v>
      </c>
      <c r="AJ28" s="6">
        <v>0.246971</v>
      </c>
      <c r="AK28" s="6">
        <v>2.9744730000000001</v>
      </c>
      <c r="AL28" s="6">
        <v>2.7275019999999999</v>
      </c>
      <c r="AM28" s="6">
        <v>24.002020000000002</v>
      </c>
      <c r="AN28" s="3">
        <f t="shared" si="17"/>
        <v>22.911016799999999</v>
      </c>
    </row>
    <row r="29" spans="5:40">
      <c r="J29" s="3" t="str">
        <f t="shared" si="19"/>
        <v>SDT1</v>
      </c>
      <c r="K29" s="18" t="str">
        <f>$T$6</f>
        <v>&lt;=RT2HnoHK</v>
      </c>
      <c r="L29" s="20" t="str">
        <f t="shared" ca="1" si="3"/>
        <v>25-315/23:44</v>
      </c>
      <c r="M29" s="20" t="str">
        <f t="shared" ca="1" si="4"/>
        <v>25-337/02:13</v>
      </c>
      <c r="N29" s="3" t="s">
        <v>5863</v>
      </c>
      <c r="O29" s="20" t="str">
        <f t="shared" si="14"/>
        <v>217/20:13</v>
      </c>
      <c r="P29" s="3" t="str">
        <f t="shared" si="15"/>
        <v>217_2</v>
      </c>
      <c r="Q29" s="525">
        <f>R25+(-3)</f>
        <v>625210578.70676863</v>
      </c>
      <c r="R29" s="20">
        <f t="shared" si="18"/>
        <v>627033940.85396898</v>
      </c>
      <c r="S29" s="20">
        <f t="shared" si="5"/>
        <v>1823362.147200346</v>
      </c>
      <c r="T29" s="20">
        <f t="shared" ca="1" si="6"/>
        <v>884026.50000000838</v>
      </c>
      <c r="U29" s="20">
        <f>0</f>
        <v>0</v>
      </c>
      <c r="V29" s="20">
        <f t="shared" ca="1" si="7"/>
        <v>884026.50000000838</v>
      </c>
      <c r="W29" s="20">
        <f t="shared" si="16"/>
        <v>884026.49999999988</v>
      </c>
      <c r="X29" s="20">
        <f t="shared" ca="1" si="8"/>
        <v>-8.4983184933662415E-9</v>
      </c>
      <c r="Y29" s="20" t="str">
        <f t="shared" ca="1" si="9"/>
        <v>SWA</v>
      </c>
      <c r="AA29" s="3">
        <f t="shared" si="12"/>
        <v>7.0722119999999995</v>
      </c>
      <c r="AB29" s="524" t="str">
        <f t="shared" ca="1" si="10"/>
        <v/>
      </c>
      <c r="AC29" s="524">
        <f t="shared" ca="1" si="11"/>
        <v>7.072212000000067</v>
      </c>
      <c r="AH29" s="512" t="s">
        <v>804</v>
      </c>
      <c r="AI29" s="512" t="s">
        <v>5806</v>
      </c>
      <c r="AJ29" s="6">
        <v>0.52772699999999995</v>
      </c>
      <c r="AK29" s="6">
        <v>1.3696569999999999</v>
      </c>
      <c r="AL29" s="6">
        <v>0.84192999999999996</v>
      </c>
      <c r="AM29" s="6">
        <v>7.4089850000000004</v>
      </c>
      <c r="AN29" s="3">
        <f t="shared" si="17"/>
        <v>7.0722119999999995</v>
      </c>
    </row>
    <row r="30" spans="5:40">
      <c r="J30" s="3" t="str">
        <f t="shared" si="19"/>
        <v>SDT1</v>
      </c>
      <c r="K30" s="18" t="str">
        <f>$T$9</f>
        <v>&lt;=RT10MnoHK</v>
      </c>
      <c r="L30" s="20" t="str">
        <f t="shared" ca="1" si="3"/>
        <v>25-337/02:13</v>
      </c>
      <c r="M30" s="20" t="str">
        <f t="shared" ca="1" si="4"/>
        <v>25-337/04:22</v>
      </c>
      <c r="N30" s="3" t="s">
        <v>5870</v>
      </c>
      <c r="O30" s="20" t="str">
        <f t="shared" si="14"/>
        <v>218/19:43</v>
      </c>
      <c r="P30" s="3" t="str">
        <f t="shared" si="15"/>
        <v>218_1</v>
      </c>
      <c r="Q30" s="525">
        <f>R29+(-3)</f>
        <v>627033937.85396898</v>
      </c>
      <c r="R30" s="20">
        <f>$Q30+$W30/devrate($E30:$K30,$Q30)/2</f>
        <v>627041658.21808374</v>
      </c>
      <c r="S30" s="20">
        <f t="shared" si="5"/>
        <v>7720.3641147613525</v>
      </c>
      <c r="T30" s="20">
        <f t="shared" ca="1" si="6"/>
        <v>28373.099999785609</v>
      </c>
      <c r="U30" s="20">
        <f>0</f>
        <v>0</v>
      </c>
      <c r="V30" s="20">
        <f t="shared" ca="1" si="7"/>
        <v>28373.099999785609</v>
      </c>
      <c r="W30" s="20">
        <f t="shared" si="16"/>
        <v>56746.2</v>
      </c>
      <c r="X30" s="20">
        <f t="shared" ca="1" si="8"/>
        <v>28373.100000214388</v>
      </c>
      <c r="Y30" s="20" t="str">
        <f t="shared" ca="1" si="9"/>
        <v>SWA</v>
      </c>
      <c r="Z30" s="20" t="s">
        <v>5845</v>
      </c>
      <c r="AA30" s="3">
        <f t="shared" si="12"/>
        <v>0.45396959999999997</v>
      </c>
      <c r="AB30" s="524" t="str">
        <f t="shared" ca="1" si="10"/>
        <v/>
      </c>
      <c r="AC30" s="524">
        <f t="shared" ca="1" si="11"/>
        <v>0.22698479999828486</v>
      </c>
      <c r="AH30" s="512" t="s">
        <v>809</v>
      </c>
      <c r="AI30" s="512" t="s">
        <v>5807</v>
      </c>
      <c r="AJ30" s="6">
        <v>0.27238099999999998</v>
      </c>
      <c r="AK30" s="6">
        <v>0.32642500000000002</v>
      </c>
      <c r="AL30" s="6">
        <v>5.4044000000000002E-2</v>
      </c>
      <c r="AM30" s="6">
        <v>0.47558499999999998</v>
      </c>
      <c r="AN30" s="3">
        <f t="shared" si="17"/>
        <v>0.45396959999999997</v>
      </c>
    </row>
    <row r="31" spans="5:40">
      <c r="E31" s="20" t="s">
        <v>51</v>
      </c>
      <c r="F31" s="20" t="s">
        <v>49</v>
      </c>
      <c r="G31" s="20" t="s">
        <v>50</v>
      </c>
      <c r="H31" s="20" t="s">
        <v>53</v>
      </c>
      <c r="I31" s="20" t="s">
        <v>54</v>
      </c>
      <c r="J31" s="3" t="str">
        <f t="shared" si="19"/>
        <v/>
      </c>
      <c r="L31" s="20" t="str">
        <f t="shared" ca="1" si="3"/>
        <v>25-362/21:37</v>
      </c>
      <c r="M31" s="20" t="str">
        <f t="shared" ca="1" si="4"/>
        <v>25-363/00:48</v>
      </c>
      <c r="N31" s="3" t="s">
        <v>5869</v>
      </c>
      <c r="O31" s="20" t="s">
        <v>5846</v>
      </c>
      <c r="Q31" s="517">
        <f ca="1">R28+(-1)</f>
        <v>629263749.57550895</v>
      </c>
      <c r="R31" s="20">
        <f ca="1">Q31+W31/devrate(E31:K31,Q31)</f>
        <v>629275212.48940516</v>
      </c>
      <c r="S31" s="20">
        <f ca="1">R31-Q31</f>
        <v>11462.913896203041</v>
      </c>
      <c r="T31" s="20">
        <f ca="1">S31*IF(OR(EXACT($Y31,"PEP"),EXACT($Y31,"SWA")),devrate(E31:K31,$Q31),0)</f>
        <v>28373.100000164239</v>
      </c>
      <c r="U31" s="20">
        <f>0</f>
        <v>0</v>
      </c>
      <c r="V31" s="20">
        <f ca="1">T31+IF($Y31="PEP",$U31*$U$2,0)</f>
        <v>28373.100000164239</v>
      </c>
      <c r="W31" s="20">
        <f ca="1">X30</f>
        <v>28373.100000214388</v>
      </c>
      <c r="X31" s="20">
        <f ca="1">W31-V31</f>
        <v>5.0149537855759263E-8</v>
      </c>
      <c r="Y31" s="20" t="str">
        <f ca="1">IF($L31&lt;&gt;"",IF($M31&lt;&gt;"",IF(_xlfn.XOR(_xlfn.TEXTJOIN("",TRUE,$E31:$I31)&lt;&gt;"",_xlfn.TEXTJOIN("",TRUE,$J31:$K31)&lt;&gt;""),IF(_xlfn.TEXTJOIN("",TRUE,$J31:$K31)="","PEP","SWA"),""),""),"")</f>
        <v>PEP</v>
      </c>
      <c r="AA31" s="3" t="str">
        <f t="shared" si="12"/>
        <v/>
      </c>
      <c r="AB31" s="524">
        <f ca="1">IF(AND(ISNUMBER(V31),EXACT(Y31,"PEP")),V31*8/1000000,"")</f>
        <v>0.22698480000131391</v>
      </c>
      <c r="AC31" s="524" t="str">
        <f ca="1">IF(AND(ISNUMBER(V31),EXACT(Y31,"SWA")),V31*8/1000000,"")</f>
        <v/>
      </c>
      <c r="AN31" s="3"/>
    </row>
    <row r="32" spans="5:40">
      <c r="AH32" s="512" t="s">
        <v>5796</v>
      </c>
    </row>
    <row r="33" spans="1:40">
      <c r="AH33" s="512" t="s">
        <v>5808</v>
      </c>
    </row>
    <row r="34" spans="1:40">
      <c r="AH34" s="512" t="s">
        <v>5809</v>
      </c>
    </row>
    <row r="35" spans="1:40">
      <c r="AH35" s="512" t="s">
        <v>5797</v>
      </c>
    </row>
    <row r="39" spans="1:40" s="453" customFormat="1">
      <c r="A39" s="522"/>
      <c r="B39" s="20"/>
      <c r="C39" s="20"/>
      <c r="D39" s="20"/>
      <c r="E39" s="20"/>
      <c r="F39" s="20"/>
      <c r="G39" s="20"/>
      <c r="H39" s="20"/>
      <c r="I39" s="20"/>
      <c r="J39" s="3"/>
      <c r="K39" s="18"/>
      <c r="L39" s="20"/>
      <c r="M39" s="20"/>
      <c r="N39" s="3"/>
      <c r="O39" s="20"/>
      <c r="P39" s="3"/>
      <c r="Q39" s="515"/>
      <c r="R39" s="515"/>
      <c r="S39" s="515"/>
      <c r="T39" s="515"/>
      <c r="U39" s="515"/>
      <c r="V39" s="515"/>
      <c r="W39" s="515"/>
      <c r="X39" s="515"/>
      <c r="Y39" s="20"/>
      <c r="Z39" s="20"/>
      <c r="AA39" s="3"/>
      <c r="AB39" s="531"/>
      <c r="AC39" s="531"/>
      <c r="AD39" s="20"/>
      <c r="AE39" s="20"/>
      <c r="AF39" s="20"/>
      <c r="AG39" s="20"/>
      <c r="AH39" s="512"/>
      <c r="AI39" s="512"/>
      <c r="AJ39" s="6"/>
      <c r="AK39" s="6"/>
      <c r="AL39" s="6"/>
      <c r="AM39" s="6"/>
      <c r="AN39" s="6"/>
    </row>
    <row r="40" spans="1:40" s="453" customFormat="1">
      <c r="A40" s="522"/>
      <c r="B40" s="522"/>
      <c r="C40" s="522"/>
      <c r="D40" s="522"/>
      <c r="E40" s="522"/>
      <c r="F40" s="522"/>
      <c r="G40" s="522"/>
      <c r="H40" s="522"/>
      <c r="I40" s="522"/>
      <c r="J40" s="513"/>
      <c r="K40" s="527"/>
      <c r="L40" s="522"/>
      <c r="M40" s="522"/>
      <c r="N40" s="513"/>
      <c r="O40" s="522"/>
      <c r="P40" s="513"/>
      <c r="Q40" s="516"/>
      <c r="R40" s="522"/>
      <c r="S40" s="522"/>
      <c r="T40" s="522"/>
      <c r="U40" s="522"/>
      <c r="V40" s="522"/>
      <c r="W40" s="522"/>
      <c r="X40" s="522"/>
      <c r="Y40" s="522"/>
      <c r="Z40" s="522"/>
      <c r="AA40" s="529"/>
      <c r="AB40" s="530"/>
      <c r="AC40" s="530"/>
      <c r="AD40" s="522"/>
      <c r="AE40" s="522"/>
      <c r="AF40" s="522"/>
      <c r="AG40" s="522"/>
      <c r="AH40" s="520"/>
      <c r="AI40" s="520"/>
      <c r="AJ40" s="521"/>
      <c r="AK40" s="521"/>
      <c r="AL40" s="521"/>
      <c r="AM40" s="521"/>
      <c r="AN40" s="513"/>
    </row>
    <row r="41" spans="1:40" s="453" customFormat="1">
      <c r="A41" s="522"/>
      <c r="B41" s="20"/>
      <c r="C41" s="20"/>
      <c r="D41" s="20"/>
      <c r="E41" s="20"/>
      <c r="F41" s="20"/>
      <c r="G41" s="20"/>
      <c r="H41" s="20"/>
      <c r="I41" s="20"/>
      <c r="J41" s="3"/>
      <c r="K41" s="18"/>
      <c r="L41" s="20"/>
      <c r="M41" s="20"/>
      <c r="N41" s="3"/>
      <c r="O41" s="20"/>
      <c r="P41" s="3"/>
      <c r="Q41" s="515"/>
      <c r="R41" s="20"/>
      <c r="S41" s="20"/>
      <c r="T41" s="20"/>
      <c r="U41" s="20"/>
      <c r="V41" s="20"/>
      <c r="W41" s="20"/>
      <c r="X41" s="20"/>
      <c r="Y41" s="20"/>
      <c r="Z41" s="20"/>
      <c r="AA41" s="3"/>
      <c r="AB41" s="531"/>
      <c r="AC41" s="531"/>
      <c r="AD41" s="20"/>
      <c r="AE41" s="20"/>
      <c r="AF41" s="20"/>
      <c r="AG41" s="20"/>
      <c r="AH41" s="512"/>
      <c r="AI41" s="512"/>
      <c r="AJ41" s="6"/>
      <c r="AK41" s="6"/>
      <c r="AL41" s="6"/>
      <c r="AM41" s="6"/>
      <c r="AN41" s="3"/>
    </row>
    <row r="42" spans="1:40">
      <c r="Q42" s="517"/>
      <c r="R42" s="20"/>
      <c r="S42" s="20"/>
      <c r="T42" s="20"/>
      <c r="U42" s="20"/>
      <c r="V42" s="20"/>
      <c r="W42" s="20"/>
      <c r="X42" s="20"/>
      <c r="AN42" s="3"/>
    </row>
    <row r="43" spans="1:40">
      <c r="Q43" s="525"/>
      <c r="R43" s="20"/>
      <c r="S43" s="20"/>
      <c r="T43" s="20"/>
      <c r="U43" s="20"/>
      <c r="V43" s="20"/>
      <c r="W43" s="20"/>
      <c r="X43" s="20"/>
      <c r="AN43" s="3"/>
    </row>
    <row r="44" spans="1:40">
      <c r="Q44" s="525"/>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row r="70" spans="18:40">
      <c r="R70" s="20"/>
      <c r="S70" s="20"/>
      <c r="T70" s="20"/>
      <c r="U70" s="20"/>
      <c r="V70" s="20"/>
      <c r="W70" s="20"/>
      <c r="X70" s="20"/>
      <c r="AN70" s="3"/>
    </row>
  </sheetData>
  <conditionalFormatting sqref="E1:J1048576">
    <cfRule type="expression" dxfId="29" priority="6" stopIfTrue="1">
      <formula>IF($A1&lt;&gt;"=$E:$J",NOT(OR(EXACT(E1,""),EXACT(E1,E$1),EXACT(E1,LEFT(E$1,4)))))</formula>
    </cfRule>
  </conditionalFormatting>
  <conditionalFormatting sqref="P1:X1048576">
    <cfRule type="expression" dxfId="28" priority="9" stopIfTrue="1">
      <formula>IF($A1&lt;&gt;"=$P:$X",EXACT(P$1,P1))</formula>
    </cfRule>
  </conditionalFormatting>
  <conditionalFormatting sqref="X1:X1048576">
    <cfRule type="expression" dxfId="27" priority="11">
      <formula>IF($A1&lt;&gt;"=$X:$X",IF(ISNUMBER(X1),IF(X1&gt;0.1,TRUE)))</formula>
    </cfRule>
  </conditionalFormatting>
  <conditionalFormatting sqref="O1:P1048576 E1:K1048576">
    <cfRule type="expression" dxfId="26" priority="5" stopIfTrue="1">
      <formula>IF($A1&lt;&gt;"=$O:$P,E:$K",AND(_xlfn.XOR(_xlfn.TEXTJOIN("",TRUE,$E1:$I1)&lt;&gt;"",_xlfn.TEXTJOIN("",TRUE,$J1:$K1)&lt;&gt;""),$O1="",$P1=""))</formula>
    </cfRule>
  </conditionalFormatting>
  <conditionalFormatting sqref="X1:X1048576 Q1:T1048576">
    <cfRule type="expression" dxfId="25" priority="19">
      <formula>IF($A1&lt;&gt;"=$X:$X,$Q:$T",OR(EXACT($Y1,"SWA"),EXACT($Y1,"PEP")))</formula>
    </cfRule>
  </conditionalFormatting>
  <conditionalFormatting sqref="P1:P1048576">
    <cfRule type="expression" dxfId="24" priority="1" stopIfTrue="1">
      <formula>IF($A1&lt;&gt;"=$P:$P",AND(ISNUMBER(P1),P1&gt;20000,P1&lt;100000))</formula>
    </cfRule>
    <cfRule type="expression" dxfId="23" priority="32">
      <formula>IF($A1&lt;&gt;"=$P:$P",OR(EXACT($Y1,"SWA"),EXACT($Y1,"PEP")))</formula>
    </cfRule>
  </conditionalFormatting>
  <conditionalFormatting sqref="O1:O1048576 Y1:Y1048576">
    <cfRule type="expression" dxfId="22" priority="10">
      <formula>IF($A1&lt;&gt;"=$O:$O,$Y:$Y",OR(EXACT($Y1,"PEP"),EXACT($Y1,"SWA")))</formula>
    </cfRule>
  </conditionalFormatting>
  <conditionalFormatting sqref="Q1:Q1048576">
    <cfRule type="expression" dxfId="21" priority="12">
      <formula>IF($A1&lt;&gt;"=$Q:$Q",AND(OR(EXACT($Y1,"SWA"),EXACT($Y1,"PEP")),EXACT(LEFT($Z1,1),"S")))</formula>
    </cfRule>
  </conditionalFormatting>
  <conditionalFormatting sqref="R1:R1048576">
    <cfRule type="expression" dxfId="20" priority="18">
      <formula>IF($A1&lt;&gt;"=$R:$R",AND(OR(EXACT($Y1,"SWA"),EXACT($Y1,"PEP")),EXACT(RIGHT($Z1,1),"E")))</formula>
    </cfRule>
  </conditionalFormatting>
  <conditionalFormatting sqref="L1:M1048576">
    <cfRule type="expression" dxfId="19" priority="7" stopIfTrue="1">
      <formula>IF($A1&lt;&gt;"=$L:$M",EXACT($Y1,"PEP"))</formula>
    </cfRule>
    <cfRule type="expression" dxfId="18" priority="8" stopIfTrue="1">
      <formula>IF($A1&lt;&gt;"=$L:$M",EXACT($Y1,"SWA"))</formula>
    </cfRule>
  </conditionalFormatting>
  <conditionalFormatting sqref="C1:K1048576">
    <cfRule type="expression" dxfId="17" priority="3" stopIfTrue="1">
      <formula>IF($A1&lt;&gt;"=$C:$K",_xlfn.TEXTJOIN("",FALSE,$E1:$J1)="HSK3DT1DT2DT3DT4SDT1HSK4")</formula>
    </cfRule>
    <cfRule type="expression" dxfId="16" priority="4" stopIfTrue="1">
      <formula>IF($A1&lt;&gt;"=$C:$K",AND(_xlfn.TEXTJOIN("",FALSE,$E1:$I1) &lt;&gt;"",_xlfn.TEXTJOIN("",FALSE,$J1:$K1) &lt;&gt; ""))</formula>
    </cfRule>
  </conditionalFormatting>
  <conditionalFormatting sqref="AA1:AA1048576">
    <cfRule type="expression" dxfId="15" priority="131">
      <formula>IF($A1&lt;&gt;"=$AA:$AA",ISNUMBER($AA1))</formula>
    </cfRule>
  </conditionalFormatting>
  <conditionalFormatting sqref="W1:W1048576">
    <cfRule type="expression" dxfId="14" priority="96">
      <formula>IF($A1&lt;&gt;"=$W:$W",IF(ISNUMBER(W1),IF(W1&gt;0.5,IF(X1048576=W1,TRUE))))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5816</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t="shared" ref="C11:D14" ca="1" si="0">MID(met2utc(A11),3,15)</f>
        <v>25-160/03:11:00</v>
      </c>
      <c r="D11" s="3" t="str">
        <f t="shared" ca="1" si="0"/>
        <v>25-160/03:39:00</v>
      </c>
      <c r="E11" s="6" t="str">
        <f>FormatDuration(B11-A11)</f>
        <v>28:00</v>
      </c>
    </row>
    <row r="12" spans="1:10">
      <c r="A12" s="5">
        <v>611746256</v>
      </c>
      <c r="B12" s="5">
        <v>613555316</v>
      </c>
      <c r="C12" s="3" t="str">
        <f t="shared" ca="1" si="0"/>
        <v>25-160/03:39:00</v>
      </c>
      <c r="D12" s="3" t="str">
        <f t="shared" ca="1" si="0"/>
        <v>25-181/02:10:00</v>
      </c>
      <c r="E12" s="6" t="str">
        <f>FormatDuration(B12-A12)</f>
        <v>20-22:31:00</v>
      </c>
    </row>
    <row r="13" spans="1:10">
      <c r="A13" s="5">
        <v>613555316</v>
      </c>
      <c r="B13" s="5">
        <v>615857156</v>
      </c>
      <c r="C13" s="3" t="str">
        <f t="shared" ca="1" si="0"/>
        <v>25-181/02:10:00</v>
      </c>
      <c r="D13" s="3" t="str">
        <f t="shared" ca="1" si="0"/>
        <v>25-207/17:34:00</v>
      </c>
      <c r="E13" s="6" t="str">
        <f>FormatDuration(B13-A13)</f>
        <v>26-15:24:00</v>
      </c>
    </row>
    <row r="14" spans="1:10">
      <c r="A14" s="5">
        <v>615857156</v>
      </c>
      <c r="B14" s="5">
        <v>616807206</v>
      </c>
      <c r="C14" s="3" t="str">
        <f t="shared" ca="1" si="0"/>
        <v>25-207/17:34:00</v>
      </c>
      <c r="D14" s="3" t="str">
        <f t="shared" ca="1" si="0"/>
        <v>25-218/17:28:10</v>
      </c>
      <c r="E14" s="6" t="str">
        <f>FormatDuration(B14-A14)</f>
        <v>10-23:54:10</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5817</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t="shared" ref="C11:C20" ca="1" si="0">MID(met2utc(A11),3,15)</f>
        <v>25-219/03:27:00</v>
      </c>
      <c r="D11" s="3" t="str">
        <f t="shared" ref="D11:D20" ca="1" si="1">MID(met2utc(B11),3,15)</f>
        <v>25-219/03:55:00</v>
      </c>
      <c r="E11" s="6" t="str">
        <f t="shared" ref="E11:E20" si="2">FormatDuration(B11-A11)</f>
        <v>28:00</v>
      </c>
    </row>
    <row r="12" spans="1:10">
      <c r="A12" s="5">
        <v>616844816</v>
      </c>
      <c r="B12" s="5">
        <v>622845951</v>
      </c>
      <c r="C12" s="3" t="str">
        <f t="shared" ca="1" si="0"/>
        <v>25-219/03:55:00</v>
      </c>
      <c r="D12" s="3" t="str">
        <f t="shared" ca="1" si="1"/>
        <v>25-288/14:53:55</v>
      </c>
      <c r="E12" s="6" t="str">
        <f t="shared" si="2"/>
        <v>69-10:58:55</v>
      </c>
    </row>
    <row r="13" spans="1:10">
      <c r="A13" s="5">
        <v>622845951</v>
      </c>
      <c r="B13" s="5">
        <v>622855951</v>
      </c>
      <c r="C13" s="3" t="str">
        <f t="shared" ca="1" si="0"/>
        <v>25-288/14:53:55</v>
      </c>
      <c r="D13" s="3" t="str">
        <f t="shared" ca="1" si="1"/>
        <v>25-288/17:40:35</v>
      </c>
      <c r="E13" s="6" t="str">
        <f t="shared" si="2"/>
        <v>02:46:40</v>
      </c>
      <c r="F13" s="3" t="s">
        <v>51</v>
      </c>
    </row>
    <row r="14" spans="1:10">
      <c r="A14" s="5">
        <v>622855951</v>
      </c>
      <c r="B14" s="5">
        <v>622865951</v>
      </c>
      <c r="C14" s="3" t="str">
        <f t="shared" ca="1" si="0"/>
        <v>25-288/17:40:35</v>
      </c>
      <c r="D14" s="3" t="str">
        <f t="shared" ca="1" si="1"/>
        <v>25-288/20:27:15</v>
      </c>
      <c r="E14" s="6" t="str">
        <f t="shared" si="2"/>
        <v>02:46:40</v>
      </c>
      <c r="F14" s="3" t="s">
        <v>51</v>
      </c>
      <c r="G14" s="3" t="s">
        <v>49</v>
      </c>
    </row>
    <row r="15" spans="1:10">
      <c r="A15" s="5">
        <v>622865951</v>
      </c>
      <c r="B15" s="5">
        <v>622875951</v>
      </c>
      <c r="C15" s="3" t="str">
        <f t="shared" ca="1" si="0"/>
        <v>25-288/20:27:15</v>
      </c>
      <c r="D15" s="3" t="str">
        <f t="shared" ca="1" si="1"/>
        <v>25-288/23:13:55</v>
      </c>
      <c r="E15" s="6" t="str">
        <f t="shared" si="2"/>
        <v>02:46:40</v>
      </c>
      <c r="F15" s="3" t="s">
        <v>51</v>
      </c>
      <c r="G15" s="3" t="s">
        <v>49</v>
      </c>
      <c r="H15" s="3" t="s">
        <v>50</v>
      </c>
    </row>
    <row r="16" spans="1:10">
      <c r="A16" s="5">
        <v>622875951</v>
      </c>
      <c r="B16" s="5">
        <v>622892887</v>
      </c>
      <c r="C16" s="3" t="str">
        <f t="shared" ca="1" si="0"/>
        <v>25-288/23:13:55</v>
      </c>
      <c r="D16" s="3" t="str">
        <f t="shared" ca="1" si="1"/>
        <v>25-289/03:56:11</v>
      </c>
      <c r="E16" s="6" t="str">
        <f t="shared" si="2"/>
        <v>04:42:16</v>
      </c>
      <c r="F16" s="3" t="s">
        <v>51</v>
      </c>
      <c r="G16" s="3" t="s">
        <v>49</v>
      </c>
      <c r="H16" s="3" t="s">
        <v>50</v>
      </c>
      <c r="I16" s="3" t="s">
        <v>53</v>
      </c>
      <c r="J16" s="3" t="s">
        <v>54</v>
      </c>
    </row>
    <row r="17" spans="1:8">
      <c r="A17" s="5">
        <v>622892887</v>
      </c>
      <c r="B17" s="5">
        <v>623037141</v>
      </c>
      <c r="C17" s="3" t="str">
        <f t="shared" ca="1" si="0"/>
        <v>25-289/03:56:11</v>
      </c>
      <c r="D17" s="3" t="str">
        <f t="shared" ca="1" si="1"/>
        <v>25-290/20:00:25</v>
      </c>
      <c r="E17" s="6" t="str">
        <f t="shared" si="2"/>
        <v>1-16:04:14</v>
      </c>
      <c r="F17" s="3" t="s">
        <v>51</v>
      </c>
      <c r="G17" s="3" t="s">
        <v>49</v>
      </c>
      <c r="H17" s="3" t="s">
        <v>50</v>
      </c>
    </row>
    <row r="18" spans="1:8">
      <c r="A18" s="5">
        <v>623037141</v>
      </c>
      <c r="B18" s="5">
        <v>623792487</v>
      </c>
      <c r="C18" s="3" t="str">
        <f t="shared" ca="1" si="0"/>
        <v>25-290/20:00:25</v>
      </c>
      <c r="D18" s="3" t="str">
        <f t="shared" ca="1" si="1"/>
        <v>25-299/13:49:31</v>
      </c>
      <c r="E18" s="6" t="str">
        <f t="shared" si="2"/>
        <v>8-17:49:06</v>
      </c>
      <c r="F18" s="3" t="s">
        <v>51</v>
      </c>
      <c r="G18" s="3" t="s">
        <v>49</v>
      </c>
    </row>
    <row r="19" spans="1:8">
      <c r="A19" s="5">
        <v>623792487</v>
      </c>
      <c r="B19" s="5">
        <v>624142263</v>
      </c>
      <c r="C19" s="3" t="str">
        <f t="shared" ca="1" si="0"/>
        <v>25-299/13:49:31</v>
      </c>
      <c r="D19" s="3" t="str">
        <f t="shared" ca="1" si="1"/>
        <v>25-303/14:59:07</v>
      </c>
      <c r="E19" s="6" t="str">
        <f t="shared" si="2"/>
        <v>4-01:09:36</v>
      </c>
      <c r="G19" s="3" t="s">
        <v>49</v>
      </c>
    </row>
    <row r="20" spans="1:8">
      <c r="A20" s="5">
        <v>624142263</v>
      </c>
      <c r="B20" s="5">
        <v>644287985</v>
      </c>
      <c r="C20" s="3" t="str">
        <f t="shared" ca="1" si="0"/>
        <v>25-303/14:59:07</v>
      </c>
      <c r="D20" s="3" t="str">
        <f t="shared" ca="1" si="1"/>
        <v>26-171/19:01:09</v>
      </c>
      <c r="E20" s="6" t="str">
        <f t="shared" si="2"/>
        <v>233-04:02:02</v>
      </c>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5815</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t="shared" ref="C11:D13" ca="1" si="0">MID(met2utc(A11),3,15)</f>
        <v>26-179/03:29:59</v>
      </c>
      <c r="D11" s="3" t="str">
        <f t="shared" ca="1" si="0"/>
        <v>26-179/03:57:59</v>
      </c>
      <c r="E11" s="6" t="str">
        <f>FormatDuration(B11-A11)</f>
        <v>28:00</v>
      </c>
    </row>
    <row r="12" spans="1:10">
      <c r="A12" s="5">
        <v>644924995</v>
      </c>
      <c r="B12" s="5">
        <v>646883515</v>
      </c>
      <c r="C12" s="3" t="str">
        <f t="shared" ca="1" si="0"/>
        <v>26-179/03:57:59</v>
      </c>
      <c r="D12" s="3" t="str">
        <f t="shared" ca="1" si="0"/>
        <v>26-201/19:59:59</v>
      </c>
      <c r="E12" s="6" t="str">
        <f>FormatDuration(B12-A12)</f>
        <v>22-16:02:00</v>
      </c>
    </row>
    <row r="13" spans="1:10">
      <c r="A13" s="5">
        <v>646883515</v>
      </c>
      <c r="B13" s="5">
        <v>678385315</v>
      </c>
      <c r="C13" s="3" t="str">
        <f t="shared" ca="1" si="0"/>
        <v>26-201/19:59:59</v>
      </c>
      <c r="D13" s="3" t="str">
        <f t="shared" ca="1" si="0"/>
        <v>27-201/10:30:00</v>
      </c>
      <c r="E13" s="6" t="str">
        <f>FormatDuration(B13-A13)</f>
        <v>364-14:30:00</v>
      </c>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t="s">
        <v>5418</v>
      </c>
      <c r="F1" s="3" t="s">
        <v>51</v>
      </c>
      <c r="G1" s="3" t="s">
        <v>49</v>
      </c>
    </row>
    <row r="2" spans="1:10">
      <c r="A2" s="5" t="s">
        <v>5416</v>
      </c>
      <c r="B2" s="311" t="s">
        <v>5417</v>
      </c>
      <c r="E2" s="6" t="s">
        <v>5418</v>
      </c>
      <c r="H2" s="3" t="s">
        <v>50</v>
      </c>
      <c r="I2" s="3" t="s">
        <v>53</v>
      </c>
      <c r="J2" s="3" t="s">
        <v>54</v>
      </c>
    </row>
    <row r="10" spans="1:10" s="3" customFormat="1">
      <c r="A10" s="312"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heetViews>
  <sheetFormatPr defaultColWidth="11.5703125" defaultRowHeight="12.75"/>
  <cols>
    <col min="1" max="1" width="11.28515625" style="198" customWidth="1"/>
    <col min="2" max="2" width="19.42578125" style="198" customWidth="1"/>
    <col min="3" max="3" width="20.28515625" style="198" customWidth="1"/>
    <col min="4" max="4" width="30.5703125" style="198" customWidth="1"/>
    <col min="5" max="5" width="28.42578125" style="198" customWidth="1"/>
    <col min="6" max="6" width="35.42578125" style="198" customWidth="1"/>
    <col min="7" max="7" width="20.42578125" style="198" bestFit="1" customWidth="1"/>
    <col min="8" max="16384" width="11.5703125" style="198"/>
  </cols>
  <sheetData>
    <row r="1" spans="1:7">
      <c r="A1" s="198" t="s">
        <v>1291</v>
      </c>
      <c r="B1" s="198" t="s">
        <v>1292</v>
      </c>
      <c r="C1" s="198" t="s">
        <v>1293</v>
      </c>
      <c r="D1" s="198" t="s">
        <v>1294</v>
      </c>
      <c r="E1" s="198" t="s">
        <v>1295</v>
      </c>
      <c r="F1" s="198" t="s">
        <v>1296</v>
      </c>
      <c r="G1" s="198" t="s">
        <v>1297</v>
      </c>
    </row>
    <row r="2" spans="1:7">
      <c r="A2" s="198" t="s">
        <v>1298</v>
      </c>
      <c r="B2" s="198" t="s">
        <v>1299</v>
      </c>
      <c r="C2" s="198" t="s">
        <v>1300</v>
      </c>
    </row>
    <row r="3" spans="1:7">
      <c r="A3" s="198">
        <v>346118620</v>
      </c>
      <c r="B3" s="198">
        <v>537084701.42623997</v>
      </c>
      <c r="C3" s="199">
        <v>36526.5</v>
      </c>
      <c r="D3" s="198" t="s">
        <v>1301</v>
      </c>
      <c r="E3" s="198" t="s">
        <v>1302</v>
      </c>
      <c r="F3" s="198" t="str">
        <f ca="1">met2utc(A3)</f>
        <v>2017-007/18:11:41.426240</v>
      </c>
      <c r="G3" s="315"/>
    </row>
    <row r="4" spans="1:7">
      <c r="A4" s="198">
        <v>346291416</v>
      </c>
      <c r="B4" s="198">
        <v>537257497.42819095</v>
      </c>
      <c r="C4" s="198">
        <v>86400</v>
      </c>
      <c r="D4" s="198" t="s">
        <v>1303</v>
      </c>
      <c r="E4" s="198" t="s">
        <v>1304</v>
      </c>
      <c r="F4" s="198" t="str" cm="1">
        <f t="array" aca="1" ref="F4" ca="1">MID(met2utc(A4),3,12)</f>
        <v>17-009/18:11</v>
      </c>
    </row>
    <row r="5" spans="1:7">
      <c r="A5" s="198">
        <v>346428190</v>
      </c>
      <c r="B5" s="198">
        <v>537394271.42971897</v>
      </c>
      <c r="D5" s="198" t="s">
        <v>1305</v>
      </c>
      <c r="E5" s="198" t="s">
        <v>1306</v>
      </c>
    </row>
    <row r="6" spans="1:7">
      <c r="A6" s="198">
        <v>346604594</v>
      </c>
      <c r="B6" s="198">
        <v>537570675.43171895</v>
      </c>
      <c r="D6" s="198" t="s">
        <v>1307</v>
      </c>
      <c r="E6" s="198" t="s">
        <v>1308</v>
      </c>
    </row>
    <row r="7" spans="1:7">
      <c r="A7" s="198">
        <v>346860176</v>
      </c>
      <c r="B7" s="198">
        <v>537826257.43458998</v>
      </c>
      <c r="D7" s="198" t="s">
        <v>1309</v>
      </c>
      <c r="E7" s="198" t="s">
        <v>1310</v>
      </c>
    </row>
    <row r="8" spans="1:7">
      <c r="A8" s="198">
        <v>347022168</v>
      </c>
      <c r="B8" s="198">
        <v>537988249.43640804</v>
      </c>
      <c r="C8" s="314">
        <f>C$3+B8/C$4</f>
        <v>42753.215849958426</v>
      </c>
      <c r="D8" s="198" t="s">
        <v>1311</v>
      </c>
      <c r="E8" s="198" t="s">
        <v>1312</v>
      </c>
    </row>
    <row r="9" spans="1:7">
      <c r="A9" s="198">
        <v>347151788</v>
      </c>
      <c r="B9" s="198">
        <v>538117869.43789995</v>
      </c>
      <c r="C9" s="314">
        <f t="shared" ref="C9:C15" si="0">C$3+B9/C$4</f>
        <v>42754.716081457176</v>
      </c>
      <c r="D9" s="198" t="s">
        <v>1313</v>
      </c>
      <c r="E9" s="198" t="s">
        <v>1314</v>
      </c>
    </row>
    <row r="10" spans="1:7">
      <c r="A10" s="198">
        <v>347202166</v>
      </c>
      <c r="B10" s="198">
        <v>538168247.43844998</v>
      </c>
      <c r="C10" s="314">
        <f t="shared" si="0"/>
        <v>42755.299160167247</v>
      </c>
      <c r="D10" s="198" t="s">
        <v>1315</v>
      </c>
      <c r="E10" s="198" t="s">
        <v>1316</v>
      </c>
    </row>
    <row r="11" spans="1:7">
      <c r="A11" s="198">
        <v>347464967</v>
      </c>
      <c r="B11" s="198">
        <v>538431048.44142306</v>
      </c>
      <c r="C11" s="314">
        <f t="shared" si="0"/>
        <v>42758.340838442396</v>
      </c>
      <c r="D11" s="198" t="s">
        <v>1317</v>
      </c>
      <c r="E11" s="198" t="s">
        <v>1318</v>
      </c>
      <c r="F11" s="315" t="s">
        <v>5429</v>
      </c>
    </row>
    <row r="12" spans="1:7">
      <c r="A12" s="198">
        <v>347612597</v>
      </c>
      <c r="B12" s="198">
        <v>538578678.44311404</v>
      </c>
      <c r="C12" s="314">
        <f t="shared" si="0"/>
        <v>42760.049519017521</v>
      </c>
      <c r="D12" s="198" t="s">
        <v>1319</v>
      </c>
      <c r="E12" s="198" t="s">
        <v>1320</v>
      </c>
    </row>
    <row r="13" spans="1:7">
      <c r="A13" s="198">
        <v>347698989</v>
      </c>
      <c r="B13" s="198">
        <v>538665070.44409597</v>
      </c>
      <c r="C13" s="314">
        <f t="shared" si="0"/>
        <v>42761.049426436293</v>
      </c>
      <c r="D13" s="198" t="s">
        <v>1321</v>
      </c>
      <c r="E13" s="198" t="s">
        <v>1322</v>
      </c>
    </row>
    <row r="14" spans="1:7">
      <c r="A14" s="198">
        <v>347828574</v>
      </c>
      <c r="B14" s="198">
        <v>538794655.445521</v>
      </c>
      <c r="C14" s="314">
        <f t="shared" si="0"/>
        <v>42762.54925284168</v>
      </c>
      <c r="D14" s="198" t="s">
        <v>1323</v>
      </c>
      <c r="E14" s="198" t="s">
        <v>1324</v>
      </c>
    </row>
    <row r="15" spans="1:7">
      <c r="A15" s="198">
        <v>348019376</v>
      </c>
      <c r="B15" s="198">
        <v>538985457.44769204</v>
      </c>
      <c r="C15" s="314">
        <f t="shared" si="0"/>
        <v>42764.757609348286</v>
      </c>
      <c r="D15" s="198" t="s">
        <v>1325</v>
      </c>
      <c r="E15" s="198" t="s">
        <v>1326</v>
      </c>
    </row>
    <row r="16" spans="1:7">
      <c r="A16" s="198">
        <v>348091416</v>
      </c>
      <c r="B16" s="198">
        <v>539057497.448506</v>
      </c>
      <c r="D16" s="198" t="s">
        <v>1327</v>
      </c>
      <c r="E16" s="198" t="s">
        <v>1328</v>
      </c>
    </row>
    <row r="17" spans="1:5">
      <c r="A17" s="198">
        <v>348192174</v>
      </c>
      <c r="B17" s="198">
        <v>539158255.44964194</v>
      </c>
      <c r="D17" s="198" t="s">
        <v>1329</v>
      </c>
      <c r="E17" s="198" t="s">
        <v>1330</v>
      </c>
    </row>
    <row r="18" spans="1:5">
      <c r="A18" s="198">
        <v>348278575</v>
      </c>
      <c r="B18" s="198">
        <v>539244656.45060098</v>
      </c>
      <c r="D18" s="198" t="s">
        <v>1331</v>
      </c>
      <c r="E18" s="198" t="s">
        <v>1332</v>
      </c>
    </row>
    <row r="19" spans="1:5">
      <c r="A19" s="198">
        <v>348328957</v>
      </c>
      <c r="B19" s="198">
        <v>539295038.45118701</v>
      </c>
      <c r="D19" s="198" t="s">
        <v>1333</v>
      </c>
      <c r="E19" s="198" t="s">
        <v>1334</v>
      </c>
    </row>
    <row r="20" spans="1:5">
      <c r="A20" s="198">
        <v>348624221</v>
      </c>
      <c r="B20" s="198">
        <v>539590302.45451498</v>
      </c>
      <c r="D20" s="198" t="s">
        <v>1335</v>
      </c>
      <c r="E20" s="198" t="s">
        <v>1336</v>
      </c>
    </row>
    <row r="21" spans="1:5">
      <c r="A21" s="198">
        <v>348703375</v>
      </c>
      <c r="B21" s="198">
        <v>539669456.45543504</v>
      </c>
      <c r="D21" s="198" t="s">
        <v>1337</v>
      </c>
      <c r="E21" s="198" t="s">
        <v>1338</v>
      </c>
    </row>
    <row r="22" spans="1:5">
      <c r="A22" s="198">
        <v>348959883</v>
      </c>
      <c r="B22" s="198">
        <v>539925964.458318</v>
      </c>
      <c r="D22" s="198" t="s">
        <v>1339</v>
      </c>
      <c r="E22" s="198" t="s">
        <v>1340</v>
      </c>
    </row>
    <row r="23" spans="1:5">
      <c r="A23" s="198">
        <v>349056219</v>
      </c>
      <c r="B23" s="198">
        <v>540022300.45943296</v>
      </c>
      <c r="D23" s="198" t="s">
        <v>1341</v>
      </c>
      <c r="E23" s="198" t="s">
        <v>1342</v>
      </c>
    </row>
    <row r="24" spans="1:5">
      <c r="A24" s="198">
        <v>349142624</v>
      </c>
      <c r="B24" s="198">
        <v>540108705.46040595</v>
      </c>
      <c r="D24" s="198" t="s">
        <v>1343</v>
      </c>
      <c r="E24" s="198" t="s">
        <v>1344</v>
      </c>
    </row>
    <row r="25" spans="1:5">
      <c r="A25" s="198">
        <v>349228966</v>
      </c>
      <c r="B25" s="198">
        <v>540195047.46139205</v>
      </c>
      <c r="D25" s="198" t="s">
        <v>1345</v>
      </c>
      <c r="E25" s="198" t="s">
        <v>1346</v>
      </c>
    </row>
    <row r="26" spans="1:5">
      <c r="A26" s="198">
        <v>349275763</v>
      </c>
      <c r="B26" s="198">
        <v>540241844.46192002</v>
      </c>
      <c r="D26" s="198" t="s">
        <v>1347</v>
      </c>
      <c r="E26" s="198" t="s">
        <v>1348</v>
      </c>
    </row>
    <row r="27" spans="1:5">
      <c r="A27" s="198">
        <v>349488170</v>
      </c>
      <c r="B27" s="198">
        <v>540454251.46434104</v>
      </c>
      <c r="D27" s="198" t="s">
        <v>1349</v>
      </c>
      <c r="E27" s="198" t="s">
        <v>1350</v>
      </c>
    </row>
    <row r="28" spans="1:5">
      <c r="A28" s="198">
        <v>349506157</v>
      </c>
      <c r="B28" s="198">
        <v>540472238.46455395</v>
      </c>
      <c r="D28" s="198" t="s">
        <v>1351</v>
      </c>
      <c r="E28" s="198" t="s">
        <v>1352</v>
      </c>
    </row>
    <row r="29" spans="1:5">
      <c r="A29" s="198">
        <v>349610561</v>
      </c>
      <c r="B29" s="198">
        <v>540576642.46572006</v>
      </c>
      <c r="D29" s="198" t="s">
        <v>1353</v>
      </c>
      <c r="E29" s="198" t="s">
        <v>1354</v>
      </c>
    </row>
    <row r="30" spans="1:5">
      <c r="A30" s="198">
        <v>349707771</v>
      </c>
      <c r="B30" s="198">
        <v>540673852.46684396</v>
      </c>
      <c r="D30" s="198" t="s">
        <v>1355</v>
      </c>
      <c r="E30" s="198" t="s">
        <v>1356</v>
      </c>
    </row>
    <row r="31" spans="1:5">
      <c r="A31" s="198">
        <v>349909442</v>
      </c>
      <c r="B31" s="198">
        <v>540875523.46914601</v>
      </c>
      <c r="D31" s="198" t="s">
        <v>1357</v>
      </c>
      <c r="E31" s="198" t="s">
        <v>1358</v>
      </c>
    </row>
    <row r="32" spans="1:5">
      <c r="A32" s="198">
        <v>349995791</v>
      </c>
      <c r="B32" s="198">
        <v>540961872.47012401</v>
      </c>
      <c r="D32" s="198" t="s">
        <v>1359</v>
      </c>
      <c r="E32" s="198" t="s">
        <v>1360</v>
      </c>
    </row>
    <row r="33" spans="1:5">
      <c r="A33" s="198">
        <v>350021024</v>
      </c>
      <c r="B33" s="198">
        <v>540987105.47040701</v>
      </c>
      <c r="D33" s="198" t="s">
        <v>1361</v>
      </c>
      <c r="E33" s="198" t="s">
        <v>1362</v>
      </c>
    </row>
    <row r="34" spans="1:5">
      <c r="A34" s="198">
        <v>350312595</v>
      </c>
      <c r="B34" s="198">
        <v>541278676.47372794</v>
      </c>
      <c r="D34" s="198" t="s">
        <v>1363</v>
      </c>
      <c r="E34" s="198" t="s">
        <v>1364</v>
      </c>
    </row>
    <row r="35" spans="1:5">
      <c r="A35" s="198">
        <v>350384581</v>
      </c>
      <c r="B35" s="198">
        <v>541350662.47454</v>
      </c>
      <c r="D35" s="198" t="s">
        <v>1365</v>
      </c>
      <c r="E35" s="198" t="s">
        <v>1366</v>
      </c>
    </row>
    <row r="36" spans="1:5">
      <c r="A36" s="198">
        <v>350557387</v>
      </c>
      <c r="B36" s="198">
        <v>541523468.47650695</v>
      </c>
      <c r="D36" s="198" t="s">
        <v>1367</v>
      </c>
      <c r="E36" s="198" t="s">
        <v>1368</v>
      </c>
    </row>
    <row r="37" spans="1:5">
      <c r="A37" s="198">
        <v>350683460</v>
      </c>
      <c r="B37" s="198">
        <v>541649541.47796404</v>
      </c>
      <c r="D37" s="198" t="s">
        <v>1369</v>
      </c>
      <c r="E37" s="198" t="s">
        <v>1370</v>
      </c>
    </row>
    <row r="38" spans="1:5">
      <c r="A38" s="198">
        <v>350870608</v>
      </c>
      <c r="B38" s="198">
        <v>541836689.48008704</v>
      </c>
      <c r="D38" s="198" t="s">
        <v>1371</v>
      </c>
      <c r="E38" s="198" t="s">
        <v>1372</v>
      </c>
    </row>
    <row r="39" spans="1:5">
      <c r="A39" s="198">
        <v>350942618</v>
      </c>
      <c r="B39" s="198">
        <v>541908699.48093796</v>
      </c>
      <c r="D39" s="198" t="s">
        <v>1373</v>
      </c>
      <c r="E39" s="198" t="s">
        <v>1374</v>
      </c>
    </row>
    <row r="40" spans="1:5">
      <c r="A40" s="198">
        <v>351029023</v>
      </c>
      <c r="B40" s="198">
        <v>541995104.481884</v>
      </c>
      <c r="D40" s="198" t="s">
        <v>1375</v>
      </c>
      <c r="E40" s="198" t="s">
        <v>1376</v>
      </c>
    </row>
    <row r="41" spans="1:5">
      <c r="A41" s="198">
        <v>351115470</v>
      </c>
      <c r="B41" s="198">
        <v>542081551.48288703</v>
      </c>
      <c r="D41" s="198" t="s">
        <v>1377</v>
      </c>
      <c r="E41" s="198" t="s">
        <v>1378</v>
      </c>
    </row>
    <row r="42" spans="1:5">
      <c r="A42" s="198">
        <v>351338616</v>
      </c>
      <c r="B42" s="198">
        <v>542304697.48546302</v>
      </c>
      <c r="D42" s="198" t="s">
        <v>1379</v>
      </c>
      <c r="E42" s="198" t="s">
        <v>1380</v>
      </c>
    </row>
    <row r="43" spans="1:5">
      <c r="A43" s="198">
        <v>351475430</v>
      </c>
      <c r="B43" s="198">
        <v>542441511.48701894</v>
      </c>
      <c r="D43" s="198" t="s">
        <v>1381</v>
      </c>
      <c r="E43" s="198" t="s">
        <v>1382</v>
      </c>
    </row>
    <row r="44" spans="1:5">
      <c r="A44" s="198">
        <v>351518636</v>
      </c>
      <c r="B44" s="198">
        <v>542484717.48751795</v>
      </c>
      <c r="D44" s="198" t="s">
        <v>1383</v>
      </c>
      <c r="E44" s="198" t="s">
        <v>1384</v>
      </c>
    </row>
    <row r="45" spans="1:5">
      <c r="A45" s="198">
        <v>351601428</v>
      </c>
      <c r="B45" s="198">
        <v>542567509.488469</v>
      </c>
      <c r="D45" s="198" t="s">
        <v>1385</v>
      </c>
      <c r="E45" s="198" t="s">
        <v>1386</v>
      </c>
    </row>
    <row r="46" spans="1:5">
      <c r="A46" s="198">
        <v>351734699</v>
      </c>
      <c r="B46" s="198">
        <v>542700780.49001002</v>
      </c>
      <c r="D46" s="198" t="s">
        <v>1387</v>
      </c>
      <c r="E46" s="198" t="s">
        <v>1388</v>
      </c>
    </row>
    <row r="47" spans="1:5">
      <c r="A47" s="198">
        <v>351777849</v>
      </c>
      <c r="B47" s="198">
        <v>542743930.49049795</v>
      </c>
      <c r="D47" s="198" t="s">
        <v>1389</v>
      </c>
      <c r="E47" s="198" t="s">
        <v>1390</v>
      </c>
    </row>
    <row r="48" spans="1:5">
      <c r="A48" s="198">
        <v>351972272</v>
      </c>
      <c r="B48" s="198">
        <v>542938353.49273098</v>
      </c>
      <c r="D48" s="198" t="s">
        <v>1391</v>
      </c>
      <c r="E48" s="198" t="s">
        <v>1392</v>
      </c>
    </row>
    <row r="49" spans="1:5">
      <c r="A49" s="198">
        <v>352148701</v>
      </c>
      <c r="B49" s="198">
        <v>543114782.494766</v>
      </c>
      <c r="D49" s="198" t="s">
        <v>1393</v>
      </c>
      <c r="E49" s="198" t="s">
        <v>1394</v>
      </c>
    </row>
    <row r="50" spans="1:5">
      <c r="A50" s="198">
        <v>352242261</v>
      </c>
      <c r="B50" s="198">
        <v>543208342.49583304</v>
      </c>
      <c r="D50" s="198" t="s">
        <v>1395</v>
      </c>
      <c r="E50" s="198" t="s">
        <v>1396</v>
      </c>
    </row>
    <row r="51" spans="1:5">
      <c r="A51" s="198">
        <v>352339469</v>
      </c>
      <c r="B51" s="198">
        <v>543305550.49697304</v>
      </c>
      <c r="D51" s="198" t="s">
        <v>1397</v>
      </c>
      <c r="E51" s="198" t="s">
        <v>1398</v>
      </c>
    </row>
    <row r="52" spans="1:5">
      <c r="A52" s="198">
        <v>352379073</v>
      </c>
      <c r="B52" s="198">
        <v>543345154.49742401</v>
      </c>
      <c r="D52" s="198" t="s">
        <v>1399</v>
      </c>
      <c r="E52" s="198" t="s">
        <v>1400</v>
      </c>
    </row>
    <row r="53" spans="1:5">
      <c r="A53" s="198">
        <v>352566289</v>
      </c>
      <c r="B53" s="198">
        <v>543532370.49956298</v>
      </c>
      <c r="D53" s="198" t="s">
        <v>1401</v>
      </c>
      <c r="E53" s="198" t="s">
        <v>1402</v>
      </c>
    </row>
    <row r="54" spans="1:5">
      <c r="A54" s="198">
        <v>352638286</v>
      </c>
      <c r="B54" s="198">
        <v>543604367.50041902</v>
      </c>
      <c r="D54" s="198" t="s">
        <v>1403</v>
      </c>
      <c r="E54" s="198" t="s">
        <v>1404</v>
      </c>
    </row>
    <row r="55" spans="1:5">
      <c r="A55" s="198">
        <v>352854308</v>
      </c>
      <c r="B55" s="198">
        <v>543820389.50290406</v>
      </c>
      <c r="D55" s="198" t="s">
        <v>1405</v>
      </c>
      <c r="E55" s="198" t="s">
        <v>1406</v>
      </c>
    </row>
    <row r="56" spans="1:5">
      <c r="A56" s="198">
        <v>353009109</v>
      </c>
      <c r="B56" s="198">
        <v>543975190.50470996</v>
      </c>
      <c r="D56" s="198" t="s">
        <v>1407</v>
      </c>
      <c r="E56" s="198" t="s">
        <v>1408</v>
      </c>
    </row>
    <row r="57" spans="1:5">
      <c r="A57" s="198">
        <v>353174705</v>
      </c>
      <c r="B57" s="198">
        <v>544140786.50660396</v>
      </c>
      <c r="D57" s="198" t="s">
        <v>1409</v>
      </c>
      <c r="E57" s="198" t="s">
        <v>1410</v>
      </c>
    </row>
    <row r="58" spans="1:5">
      <c r="A58" s="198">
        <v>353318723</v>
      </c>
      <c r="B58" s="198">
        <v>544284804.50827098</v>
      </c>
      <c r="D58" s="198" t="s">
        <v>1411</v>
      </c>
      <c r="E58" s="198" t="s">
        <v>1412</v>
      </c>
    </row>
    <row r="59" spans="1:5">
      <c r="A59" s="198">
        <v>353441135</v>
      </c>
      <c r="B59" s="198">
        <v>544407216.50971401</v>
      </c>
      <c r="D59" s="198" t="s">
        <v>1413</v>
      </c>
      <c r="E59" s="198" t="s">
        <v>1414</v>
      </c>
    </row>
    <row r="60" spans="1:5">
      <c r="A60" s="198">
        <v>353545529</v>
      </c>
      <c r="B60" s="198">
        <v>544511610.51091099</v>
      </c>
      <c r="D60" s="198" t="s">
        <v>1415</v>
      </c>
      <c r="E60" s="198" t="s">
        <v>1416</v>
      </c>
    </row>
    <row r="61" spans="1:5">
      <c r="A61" s="198">
        <v>353592344</v>
      </c>
      <c r="B61" s="198">
        <v>544558425.51143098</v>
      </c>
      <c r="D61" s="198" t="s">
        <v>1417</v>
      </c>
      <c r="E61" s="198" t="s">
        <v>1418</v>
      </c>
    </row>
    <row r="62" spans="1:5">
      <c r="A62" s="198">
        <v>367449320</v>
      </c>
      <c r="B62" s="198">
        <v>558415401.67506397</v>
      </c>
      <c r="D62" s="198" t="s">
        <v>1419</v>
      </c>
      <c r="E62" s="198" t="s">
        <v>1420</v>
      </c>
    </row>
    <row r="63" spans="1:5">
      <c r="A63" s="198">
        <v>367485357</v>
      </c>
      <c r="B63" s="198">
        <v>558451438.67549503</v>
      </c>
      <c r="D63" s="198" t="s">
        <v>1421</v>
      </c>
      <c r="E63" s="198" t="s">
        <v>1422</v>
      </c>
    </row>
    <row r="64" spans="1:5">
      <c r="A64" s="198">
        <v>367617536</v>
      </c>
      <c r="B64" s="198">
        <v>558583617.67714906</v>
      </c>
      <c r="D64" s="198" t="s">
        <v>1423</v>
      </c>
      <c r="E64" s="198" t="s">
        <v>1424</v>
      </c>
    </row>
    <row r="65" spans="1:5">
      <c r="A65" s="198">
        <v>367685926</v>
      </c>
      <c r="B65" s="198">
        <v>558652007.67796099</v>
      </c>
      <c r="D65" s="198" t="s">
        <v>1425</v>
      </c>
      <c r="E65" s="198" t="s">
        <v>1426</v>
      </c>
    </row>
    <row r="66" spans="1:5">
      <c r="A66" s="198">
        <v>367801101</v>
      </c>
      <c r="B66" s="198">
        <v>558767182.67929399</v>
      </c>
      <c r="D66" s="198" t="s">
        <v>1427</v>
      </c>
      <c r="E66" s="198" t="s">
        <v>1428</v>
      </c>
    </row>
    <row r="67" spans="1:5">
      <c r="A67" s="198">
        <v>367887462</v>
      </c>
      <c r="B67" s="198">
        <v>558853543.68031204</v>
      </c>
      <c r="D67" s="198" t="s">
        <v>1429</v>
      </c>
      <c r="E67" s="198" t="s">
        <v>1430</v>
      </c>
    </row>
    <row r="68" spans="1:5">
      <c r="A68" s="198">
        <v>367941432</v>
      </c>
      <c r="B68" s="198">
        <v>558907513.68094802</v>
      </c>
      <c r="D68" s="198" t="s">
        <v>1431</v>
      </c>
      <c r="E68" s="198" t="s">
        <v>1432</v>
      </c>
    </row>
    <row r="69" spans="1:5">
      <c r="A69" s="198">
        <v>368031453</v>
      </c>
      <c r="B69" s="198">
        <v>558997534.68199301</v>
      </c>
      <c r="D69" s="198" t="s">
        <v>1433</v>
      </c>
      <c r="E69" s="198" t="s">
        <v>1434</v>
      </c>
    </row>
    <row r="70" spans="1:5">
      <c r="A70" s="198">
        <v>368204229</v>
      </c>
      <c r="B70" s="198">
        <v>559170310.684008</v>
      </c>
      <c r="D70" s="198" t="s">
        <v>1435</v>
      </c>
      <c r="E70" s="198" t="s">
        <v>1436</v>
      </c>
    </row>
    <row r="71" spans="1:5">
      <c r="A71" s="198">
        <v>368398602</v>
      </c>
      <c r="B71" s="198">
        <v>559364683.68624604</v>
      </c>
      <c r="D71" s="198" t="s">
        <v>1437</v>
      </c>
      <c r="E71" s="198" t="s">
        <v>1438</v>
      </c>
    </row>
    <row r="72" spans="1:5">
      <c r="A72" s="198">
        <v>368582157</v>
      </c>
      <c r="B72" s="198">
        <v>559548238.68836904</v>
      </c>
      <c r="D72" s="198" t="s">
        <v>1439</v>
      </c>
      <c r="E72" s="198" t="s">
        <v>1440</v>
      </c>
    </row>
    <row r="73" spans="1:5">
      <c r="A73" s="198">
        <v>368657795</v>
      </c>
      <c r="B73" s="198">
        <v>559623876.68929398</v>
      </c>
      <c r="D73" s="198" t="s">
        <v>1441</v>
      </c>
      <c r="E73" s="198" t="s">
        <v>1442</v>
      </c>
    </row>
    <row r="74" spans="1:5">
      <c r="A74" s="198">
        <v>368722539</v>
      </c>
      <c r="B74" s="198">
        <v>559688620.69004405</v>
      </c>
      <c r="D74" s="198" t="s">
        <v>1443</v>
      </c>
      <c r="E74" s="198" t="s">
        <v>1444</v>
      </c>
    </row>
    <row r="75" spans="1:5">
      <c r="A75" s="198">
        <v>369100480</v>
      </c>
      <c r="B75" s="198">
        <v>560066561.69440103</v>
      </c>
      <c r="D75" s="198" t="s">
        <v>1445</v>
      </c>
      <c r="E75" s="198" t="s">
        <v>1446</v>
      </c>
    </row>
    <row r="76" spans="1:5">
      <c r="A76" s="198">
        <v>369150863</v>
      </c>
      <c r="B76" s="198">
        <v>560116944.695014</v>
      </c>
      <c r="D76" s="198" t="s">
        <v>1447</v>
      </c>
      <c r="E76" s="198" t="s">
        <v>1448</v>
      </c>
    </row>
    <row r="77" spans="1:5">
      <c r="A77" s="198">
        <v>369266056</v>
      </c>
      <c r="B77" s="198">
        <v>560232137.69634199</v>
      </c>
      <c r="D77" s="198" t="s">
        <v>1449</v>
      </c>
      <c r="E77" s="198" t="s">
        <v>1450</v>
      </c>
    </row>
    <row r="78" spans="1:5">
      <c r="A78" s="198">
        <v>369359662</v>
      </c>
      <c r="B78" s="198">
        <v>560325743.69740403</v>
      </c>
      <c r="D78" s="198" t="s">
        <v>1451</v>
      </c>
      <c r="E78" s="198" t="s">
        <v>1452</v>
      </c>
    </row>
    <row r="79" spans="1:5">
      <c r="A79" s="198">
        <v>369431672</v>
      </c>
      <c r="B79" s="198">
        <v>560397753.69825006</v>
      </c>
      <c r="D79" s="198" t="s">
        <v>1453</v>
      </c>
      <c r="E79" s="198" t="s">
        <v>1454</v>
      </c>
    </row>
    <row r="80" spans="1:5">
      <c r="A80" s="198">
        <v>369518034</v>
      </c>
      <c r="B80" s="198">
        <v>560484115.69923902</v>
      </c>
      <c r="D80" s="198" t="s">
        <v>1455</v>
      </c>
      <c r="E80" s="198" t="s">
        <v>1456</v>
      </c>
    </row>
    <row r="81" spans="1:5">
      <c r="A81" s="198">
        <v>369611616</v>
      </c>
      <c r="B81" s="198">
        <v>560577697.70033801</v>
      </c>
      <c r="D81" s="198" t="s">
        <v>1457</v>
      </c>
      <c r="E81" s="198" t="s">
        <v>1458</v>
      </c>
    </row>
    <row r="82" spans="1:5">
      <c r="A82" s="198">
        <v>369698000</v>
      </c>
      <c r="B82" s="198">
        <v>560664081.70133698</v>
      </c>
      <c r="D82" s="198" t="s">
        <v>1459</v>
      </c>
      <c r="E82" s="198" t="s">
        <v>1460</v>
      </c>
    </row>
    <row r="83" spans="1:5">
      <c r="A83" s="198">
        <v>369784388</v>
      </c>
      <c r="B83" s="198">
        <v>560750469.70234704</v>
      </c>
      <c r="D83" s="198" t="s">
        <v>1461</v>
      </c>
      <c r="E83" s="198" t="s">
        <v>1462</v>
      </c>
    </row>
    <row r="84" spans="1:5">
      <c r="A84" s="198">
        <v>369870780</v>
      </c>
      <c r="B84" s="198">
        <v>560836861.70334303</v>
      </c>
      <c r="D84" s="198" t="s">
        <v>1463</v>
      </c>
      <c r="E84" s="198" t="s">
        <v>1464</v>
      </c>
    </row>
    <row r="85" spans="1:5">
      <c r="A85" s="198">
        <v>369957165</v>
      </c>
      <c r="B85" s="198">
        <v>560923246.70433295</v>
      </c>
      <c r="D85" s="198" t="s">
        <v>1465</v>
      </c>
      <c r="E85" s="198" t="s">
        <v>1466</v>
      </c>
    </row>
    <row r="86" spans="1:5">
      <c r="A86" s="198">
        <v>370043550</v>
      </c>
      <c r="B86" s="198">
        <v>561009631.70532894</v>
      </c>
      <c r="D86" s="198" t="s">
        <v>1467</v>
      </c>
      <c r="E86" s="198" t="s">
        <v>1468</v>
      </c>
    </row>
    <row r="87" spans="1:5">
      <c r="A87" s="198">
        <v>370129942</v>
      </c>
      <c r="B87" s="198">
        <v>561096023.70632899</v>
      </c>
      <c r="D87" s="198" t="s">
        <v>1469</v>
      </c>
      <c r="E87" s="198" t="s">
        <v>1470</v>
      </c>
    </row>
    <row r="88" spans="1:5">
      <c r="A88" s="198">
        <v>370212719</v>
      </c>
      <c r="B88" s="198">
        <v>561178800.70728302</v>
      </c>
      <c r="D88" s="198" t="s">
        <v>1471</v>
      </c>
      <c r="E88" s="198" t="s">
        <v>1472</v>
      </c>
    </row>
    <row r="89" spans="1:5">
      <c r="A89" s="198">
        <v>370311002</v>
      </c>
      <c r="B89" s="198">
        <v>561277083.70838404</v>
      </c>
      <c r="D89" s="198" t="s">
        <v>1473</v>
      </c>
      <c r="E89" s="198" t="s">
        <v>1474</v>
      </c>
    </row>
    <row r="90" spans="1:5">
      <c r="A90" s="198">
        <v>370385494</v>
      </c>
      <c r="B90" s="198">
        <v>561351575.70926094</v>
      </c>
      <c r="D90" s="198" t="s">
        <v>1475</v>
      </c>
      <c r="E90" s="198" t="s">
        <v>1476</v>
      </c>
    </row>
    <row r="91" spans="1:5">
      <c r="A91" s="198">
        <v>370471885</v>
      </c>
      <c r="B91" s="198">
        <v>561437966.71026504</v>
      </c>
      <c r="D91" s="198" t="s">
        <v>1477</v>
      </c>
      <c r="E91" s="198" t="s">
        <v>1478</v>
      </c>
    </row>
    <row r="92" spans="1:5">
      <c r="A92" s="198">
        <v>370558271</v>
      </c>
      <c r="B92" s="198">
        <v>561524352.71125901</v>
      </c>
      <c r="D92" s="198" t="s">
        <v>1479</v>
      </c>
      <c r="E92" s="198" t="s">
        <v>1480</v>
      </c>
    </row>
    <row r="93" spans="1:5">
      <c r="A93" s="198">
        <v>370657140</v>
      </c>
      <c r="B93" s="198">
        <v>561623221.71238196</v>
      </c>
      <c r="D93" s="198" t="s">
        <v>1481</v>
      </c>
      <c r="E93" s="198" t="s">
        <v>1482</v>
      </c>
    </row>
    <row r="94" spans="1:5">
      <c r="A94" s="198">
        <v>370731093</v>
      </c>
      <c r="B94" s="198">
        <v>561697174.71324503</v>
      </c>
      <c r="D94" s="198" t="s">
        <v>1483</v>
      </c>
      <c r="E94" s="198" t="s">
        <v>1484</v>
      </c>
    </row>
    <row r="95" spans="1:5">
      <c r="A95" s="198">
        <v>370829735</v>
      </c>
      <c r="B95" s="198">
        <v>561795816.71435106</v>
      </c>
      <c r="D95" s="198" t="s">
        <v>1485</v>
      </c>
      <c r="E95" s="198" t="s">
        <v>1486</v>
      </c>
    </row>
    <row r="96" spans="1:5">
      <c r="A96" s="198">
        <v>370903827</v>
      </c>
      <c r="B96" s="198">
        <v>561869908.71522295</v>
      </c>
      <c r="D96" s="198" t="s">
        <v>1487</v>
      </c>
      <c r="E96" s="198" t="s">
        <v>1488</v>
      </c>
    </row>
    <row r="97" spans="1:5">
      <c r="A97" s="198">
        <v>371001003</v>
      </c>
      <c r="B97" s="198">
        <v>561967084.71631205</v>
      </c>
      <c r="D97" s="198" t="s">
        <v>1489</v>
      </c>
      <c r="E97" s="198" t="s">
        <v>1490</v>
      </c>
    </row>
    <row r="98" spans="1:5">
      <c r="A98" s="198">
        <v>371076601</v>
      </c>
      <c r="B98" s="198">
        <v>562042682.71721005</v>
      </c>
      <c r="D98" s="198" t="s">
        <v>1491</v>
      </c>
      <c r="E98" s="198" t="s">
        <v>1492</v>
      </c>
    </row>
    <row r="99" spans="1:5">
      <c r="A99" s="198">
        <v>371162990</v>
      </c>
      <c r="B99" s="198">
        <v>562129071.718189</v>
      </c>
      <c r="D99" s="198" t="s">
        <v>1493</v>
      </c>
      <c r="E99" s="198" t="s">
        <v>1494</v>
      </c>
    </row>
    <row r="100" spans="1:5">
      <c r="A100" s="198">
        <v>371249376</v>
      </c>
      <c r="B100" s="198">
        <v>562215457.71918905</v>
      </c>
      <c r="D100" s="198" t="s">
        <v>1495</v>
      </c>
      <c r="E100" s="198" t="s">
        <v>1496</v>
      </c>
    </row>
    <row r="101" spans="1:5">
      <c r="A101" s="198">
        <v>371335766</v>
      </c>
      <c r="B101" s="198">
        <v>562301847.72016394</v>
      </c>
      <c r="D101" s="198" t="s">
        <v>1497</v>
      </c>
      <c r="E101" s="198" t="s">
        <v>1498</v>
      </c>
    </row>
    <row r="102" spans="1:5">
      <c r="A102" s="198">
        <v>371411340</v>
      </c>
      <c r="B102" s="198">
        <v>562377421.72102702</v>
      </c>
      <c r="D102" s="198" t="s">
        <v>1499</v>
      </c>
      <c r="E102" s="198" t="s">
        <v>1500</v>
      </c>
    </row>
    <row r="103" spans="1:5">
      <c r="A103" s="198">
        <v>371504933</v>
      </c>
      <c r="B103" s="198">
        <v>562471014.72211397</v>
      </c>
      <c r="D103" s="198" t="s">
        <v>1501</v>
      </c>
      <c r="E103" s="198" t="s">
        <v>1502</v>
      </c>
    </row>
    <row r="104" spans="1:5">
      <c r="A104" s="198">
        <v>371591326</v>
      </c>
      <c r="B104" s="198">
        <v>562557407.72309899</v>
      </c>
      <c r="D104" s="198" t="s">
        <v>1503</v>
      </c>
      <c r="E104" s="198" t="s">
        <v>1504</v>
      </c>
    </row>
    <row r="105" spans="1:5">
      <c r="A105" s="198">
        <v>371670568</v>
      </c>
      <c r="B105" s="198">
        <v>562636649.72399604</v>
      </c>
      <c r="D105" s="198" t="s">
        <v>1505</v>
      </c>
      <c r="E105" s="198" t="s">
        <v>1506</v>
      </c>
    </row>
    <row r="106" spans="1:5">
      <c r="A106" s="198">
        <v>371864895</v>
      </c>
      <c r="B106" s="198">
        <v>562830976.726192</v>
      </c>
      <c r="D106" s="198" t="s">
        <v>1507</v>
      </c>
      <c r="E106" s="198" t="s">
        <v>1508</v>
      </c>
    </row>
    <row r="107" spans="1:5">
      <c r="A107" s="198">
        <v>371879310</v>
      </c>
      <c r="B107" s="198">
        <v>562845391.72638702</v>
      </c>
      <c r="D107" s="198" t="s">
        <v>1509</v>
      </c>
      <c r="E107" s="198" t="s">
        <v>1510</v>
      </c>
    </row>
    <row r="108" spans="1:5">
      <c r="A108" s="198">
        <v>372109660</v>
      </c>
      <c r="B108" s="198">
        <v>563075741.72900498</v>
      </c>
      <c r="D108" s="198" t="s">
        <v>1511</v>
      </c>
      <c r="E108" s="198" t="s">
        <v>1512</v>
      </c>
    </row>
    <row r="109" spans="1:5">
      <c r="A109" s="198">
        <v>372138440</v>
      </c>
      <c r="B109" s="198">
        <v>563104521.72934401</v>
      </c>
      <c r="D109" s="198" t="s">
        <v>1513</v>
      </c>
      <c r="E109" s="198" t="s">
        <v>1514</v>
      </c>
    </row>
    <row r="110" spans="1:5">
      <c r="A110" s="198">
        <v>372282433</v>
      </c>
      <c r="B110" s="198">
        <v>563248514.73098803</v>
      </c>
      <c r="D110" s="198" t="s">
        <v>1515</v>
      </c>
      <c r="E110" s="198" t="s">
        <v>1516</v>
      </c>
    </row>
    <row r="111" spans="1:5">
      <c r="A111" s="198">
        <v>372368822</v>
      </c>
      <c r="B111" s="198">
        <v>563334903.731969</v>
      </c>
      <c r="D111" s="198" t="s">
        <v>1517</v>
      </c>
      <c r="E111" s="198" t="s">
        <v>1518</v>
      </c>
    </row>
    <row r="112" spans="1:5">
      <c r="A112" s="198">
        <v>372469598</v>
      </c>
      <c r="B112" s="198">
        <v>563435679.73310494</v>
      </c>
      <c r="D112" s="198" t="s">
        <v>1519</v>
      </c>
      <c r="E112" s="198" t="s">
        <v>1520</v>
      </c>
    </row>
    <row r="113" spans="1:5">
      <c r="A113" s="198">
        <v>372541600</v>
      </c>
      <c r="B113" s="198">
        <v>563507681.73394001</v>
      </c>
      <c r="D113" s="198" t="s">
        <v>1521</v>
      </c>
      <c r="E113" s="198" t="s">
        <v>1522</v>
      </c>
    </row>
    <row r="114" spans="1:5">
      <c r="A114" s="198">
        <v>372656770</v>
      </c>
      <c r="B114" s="198">
        <v>563622851.73524702</v>
      </c>
      <c r="D114" s="198" t="s">
        <v>1523</v>
      </c>
      <c r="E114" s="198" t="s">
        <v>1524</v>
      </c>
    </row>
    <row r="115" spans="1:5">
      <c r="A115" s="198">
        <v>372797164</v>
      </c>
      <c r="B115" s="198">
        <v>563763245.736835</v>
      </c>
      <c r="D115" s="198" t="s">
        <v>1525</v>
      </c>
      <c r="E115" s="198" t="s">
        <v>1526</v>
      </c>
    </row>
    <row r="116" spans="1:5">
      <c r="A116" s="198">
        <v>372883548</v>
      </c>
      <c r="B116" s="198">
        <v>563849629.73782396</v>
      </c>
      <c r="D116" s="198" t="s">
        <v>1527</v>
      </c>
      <c r="E116" s="198" t="s">
        <v>1528</v>
      </c>
    </row>
    <row r="117" spans="1:5">
      <c r="A117" s="198">
        <v>372987934</v>
      </c>
      <c r="B117" s="198">
        <v>563954015.73900402</v>
      </c>
      <c r="D117" s="198" t="s">
        <v>1529</v>
      </c>
      <c r="E117" s="198" t="s">
        <v>1530</v>
      </c>
    </row>
    <row r="118" spans="1:5">
      <c r="A118" s="198">
        <v>373056325</v>
      </c>
      <c r="B118" s="198">
        <v>564022406.739779</v>
      </c>
      <c r="D118" s="198" t="s">
        <v>1531</v>
      </c>
      <c r="E118" s="198" t="s">
        <v>1532</v>
      </c>
    </row>
    <row r="119" spans="1:5">
      <c r="A119" s="198">
        <v>373085108</v>
      </c>
      <c r="B119" s="198">
        <v>564051189.74010396</v>
      </c>
      <c r="D119" s="198" t="s">
        <v>1533</v>
      </c>
      <c r="E119" s="198" t="s">
        <v>1534</v>
      </c>
    </row>
    <row r="120" spans="1:5">
      <c r="A120" s="198">
        <v>373225501</v>
      </c>
      <c r="B120" s="198">
        <v>564191582.74170005</v>
      </c>
      <c r="D120" s="198" t="s">
        <v>1535</v>
      </c>
      <c r="E120" s="198" t="s">
        <v>1536</v>
      </c>
    </row>
    <row r="121" spans="1:5">
      <c r="A121" s="198">
        <v>373333490</v>
      </c>
      <c r="B121" s="198">
        <v>564299571.74291801</v>
      </c>
      <c r="D121" s="198" t="s">
        <v>1537</v>
      </c>
      <c r="E121" s="198" t="s">
        <v>1538</v>
      </c>
    </row>
    <row r="122" spans="1:5">
      <c r="A122" s="198">
        <v>373401889</v>
      </c>
      <c r="B122" s="198">
        <v>564367970.74369395</v>
      </c>
      <c r="D122" s="198" t="s">
        <v>1539</v>
      </c>
      <c r="E122" s="198" t="s">
        <v>1540</v>
      </c>
    </row>
    <row r="123" spans="1:5">
      <c r="A123" s="198">
        <v>373488282</v>
      </c>
      <c r="B123" s="198">
        <v>564454363.74468899</v>
      </c>
      <c r="D123" s="198" t="s">
        <v>1541</v>
      </c>
      <c r="E123" s="198" t="s">
        <v>1542</v>
      </c>
    </row>
    <row r="124" spans="1:5">
      <c r="A124" s="198">
        <v>373593639</v>
      </c>
      <c r="B124" s="198">
        <v>564559720.74586499</v>
      </c>
      <c r="D124" s="198" t="s">
        <v>1543</v>
      </c>
      <c r="E124" s="198" t="s">
        <v>1544</v>
      </c>
    </row>
    <row r="125" spans="1:5">
      <c r="A125" s="198">
        <v>373661061</v>
      </c>
      <c r="B125" s="198">
        <v>564627142.74662995</v>
      </c>
      <c r="D125" s="198" t="s">
        <v>1545</v>
      </c>
      <c r="E125" s="198" t="s">
        <v>1546</v>
      </c>
    </row>
    <row r="126" spans="1:5">
      <c r="A126" s="198">
        <v>373689841</v>
      </c>
      <c r="B126" s="198">
        <v>564655922.74695802</v>
      </c>
      <c r="D126" s="198" t="s">
        <v>1547</v>
      </c>
      <c r="E126" s="198" t="s">
        <v>1548</v>
      </c>
    </row>
    <row r="127" spans="1:5">
      <c r="A127" s="198">
        <v>373938221</v>
      </c>
      <c r="B127" s="198">
        <v>564904302.74976504</v>
      </c>
      <c r="D127" s="198" t="s">
        <v>1549</v>
      </c>
      <c r="E127" s="198" t="s">
        <v>1550</v>
      </c>
    </row>
    <row r="128" spans="1:5">
      <c r="A128" s="198">
        <v>374003023</v>
      </c>
      <c r="B128" s="198">
        <v>564969104.750494</v>
      </c>
      <c r="D128" s="198" t="s">
        <v>1551</v>
      </c>
      <c r="E128" s="198" t="s">
        <v>1552</v>
      </c>
    </row>
    <row r="129" spans="1:5">
      <c r="A129" s="198">
        <v>374168592</v>
      </c>
      <c r="B129" s="198">
        <v>565134673.75236797</v>
      </c>
      <c r="D129" s="198" t="s">
        <v>1553</v>
      </c>
      <c r="E129" s="198" t="s">
        <v>1554</v>
      </c>
    </row>
    <row r="130" spans="1:5">
      <c r="A130" s="198">
        <v>374284705</v>
      </c>
      <c r="B130" s="198">
        <v>565250786.753685</v>
      </c>
      <c r="D130" s="198" t="s">
        <v>1555</v>
      </c>
      <c r="E130" s="198" t="s">
        <v>1556</v>
      </c>
    </row>
    <row r="131" spans="1:5">
      <c r="A131" s="198">
        <v>374370172</v>
      </c>
      <c r="B131" s="198">
        <v>565336253.75464296</v>
      </c>
      <c r="D131" s="198" t="s">
        <v>1557</v>
      </c>
      <c r="E131" s="198" t="s">
        <v>1558</v>
      </c>
    </row>
    <row r="132" spans="1:5">
      <c r="A132" s="198">
        <v>374434978</v>
      </c>
      <c r="B132" s="198">
        <v>565401059.75538504</v>
      </c>
      <c r="D132" s="198" t="s">
        <v>1559</v>
      </c>
      <c r="E132" s="198" t="s">
        <v>1560</v>
      </c>
    </row>
    <row r="133" spans="1:5">
      <c r="A133" s="198">
        <v>374542954</v>
      </c>
      <c r="B133" s="198">
        <v>565509035.75659001</v>
      </c>
      <c r="D133" s="198" t="s">
        <v>1561</v>
      </c>
      <c r="E133" s="198" t="s">
        <v>1562</v>
      </c>
    </row>
    <row r="134" spans="1:5">
      <c r="A134" s="198">
        <v>374546538</v>
      </c>
      <c r="B134" s="198">
        <v>565512619.75664103</v>
      </c>
      <c r="D134" s="198" t="s">
        <v>1563</v>
      </c>
      <c r="E134" s="198" t="s">
        <v>1564</v>
      </c>
    </row>
    <row r="135" spans="1:5">
      <c r="A135" s="198">
        <v>374694149</v>
      </c>
      <c r="B135" s="198">
        <v>565660230.75830805</v>
      </c>
      <c r="D135" s="198" t="s">
        <v>1565</v>
      </c>
      <c r="E135" s="198" t="s">
        <v>1566</v>
      </c>
    </row>
    <row r="136" spans="1:5">
      <c r="A136" s="198">
        <v>374780572</v>
      </c>
      <c r="B136" s="198">
        <v>565746653.75928605</v>
      </c>
      <c r="D136" s="198" t="s">
        <v>1567</v>
      </c>
      <c r="E136" s="198" t="s">
        <v>1568</v>
      </c>
    </row>
    <row r="137" spans="1:5">
      <c r="A137" s="198">
        <v>374974931</v>
      </c>
      <c r="B137" s="198">
        <v>565941012.76160097</v>
      </c>
      <c r="D137" s="198" t="s">
        <v>1569</v>
      </c>
      <c r="E137" s="198" t="s">
        <v>1570</v>
      </c>
    </row>
    <row r="138" spans="1:5">
      <c r="A138" s="198">
        <v>375050524</v>
      </c>
      <c r="B138" s="198">
        <v>566016605.76243699</v>
      </c>
      <c r="D138" s="198" t="s">
        <v>1571</v>
      </c>
      <c r="E138" s="198" t="s">
        <v>1572</v>
      </c>
    </row>
    <row r="139" spans="1:5">
      <c r="A139" s="198">
        <v>375147744</v>
      </c>
      <c r="B139" s="198">
        <v>566113825.76355803</v>
      </c>
      <c r="D139" s="198" t="s">
        <v>1573</v>
      </c>
      <c r="E139" s="198" t="s">
        <v>1574</v>
      </c>
    </row>
    <row r="140" spans="1:5">
      <c r="A140" s="198">
        <v>375234093</v>
      </c>
      <c r="B140" s="198">
        <v>566200174.76452398</v>
      </c>
      <c r="D140" s="198" t="s">
        <v>1575</v>
      </c>
      <c r="E140" s="198" t="s">
        <v>1576</v>
      </c>
    </row>
    <row r="141" spans="1:5">
      <c r="A141" s="198">
        <v>375295292</v>
      </c>
      <c r="B141" s="198">
        <v>566261373.76520503</v>
      </c>
      <c r="D141" s="198" t="s">
        <v>1577</v>
      </c>
      <c r="E141" s="198" t="s">
        <v>1578</v>
      </c>
    </row>
    <row r="142" spans="1:5">
      <c r="A142" s="198">
        <v>375381683</v>
      </c>
      <c r="B142" s="198">
        <v>566347764.76618803</v>
      </c>
      <c r="D142" s="198" t="s">
        <v>1579</v>
      </c>
      <c r="E142" s="198" t="s">
        <v>1580</v>
      </c>
    </row>
    <row r="143" spans="1:5">
      <c r="A143" s="198">
        <v>375493442</v>
      </c>
      <c r="B143" s="198">
        <v>566459523.76745796</v>
      </c>
      <c r="D143" s="198" t="s">
        <v>1581</v>
      </c>
      <c r="E143" s="198" t="s">
        <v>1582</v>
      </c>
    </row>
    <row r="144" spans="1:5">
      <c r="A144" s="198">
        <v>375543654</v>
      </c>
      <c r="B144" s="198">
        <v>566509735.76800001</v>
      </c>
      <c r="D144" s="198" t="s">
        <v>1583</v>
      </c>
      <c r="E144" s="198" t="s">
        <v>1584</v>
      </c>
    </row>
    <row r="145" spans="1:5">
      <c r="A145" s="198">
        <v>375640860</v>
      </c>
      <c r="B145" s="198">
        <v>566606941.76909995</v>
      </c>
      <c r="D145" s="198" t="s">
        <v>1585</v>
      </c>
      <c r="E145" s="198" t="s">
        <v>1586</v>
      </c>
    </row>
    <row r="146" spans="1:5">
      <c r="A146" s="198">
        <v>375752454</v>
      </c>
      <c r="B146" s="198">
        <v>566718535.77035797</v>
      </c>
      <c r="D146" s="198" t="s">
        <v>1587</v>
      </c>
      <c r="E146" s="198" t="s">
        <v>1588</v>
      </c>
    </row>
    <row r="147" spans="1:5">
      <c r="A147" s="198">
        <v>375838841</v>
      </c>
      <c r="B147" s="198">
        <v>566804922.77132499</v>
      </c>
      <c r="D147" s="198" t="s">
        <v>1589</v>
      </c>
      <c r="E147" s="198" t="s">
        <v>1590</v>
      </c>
    </row>
    <row r="148" spans="1:5">
      <c r="A148" s="198">
        <v>375925235</v>
      </c>
      <c r="B148" s="198">
        <v>566891316.77229404</v>
      </c>
      <c r="D148" s="198" t="s">
        <v>1591</v>
      </c>
      <c r="E148" s="198" t="s">
        <v>1592</v>
      </c>
    </row>
    <row r="149" spans="1:5">
      <c r="A149" s="198">
        <v>375968458</v>
      </c>
      <c r="B149" s="198">
        <v>566934539.77275002</v>
      </c>
      <c r="D149" s="198" t="s">
        <v>1593</v>
      </c>
      <c r="E149" s="198" t="s">
        <v>1594</v>
      </c>
    </row>
    <row r="150" spans="1:5">
      <c r="A150" s="198">
        <v>390520899</v>
      </c>
      <c r="B150" s="198">
        <v>581486980.93885398</v>
      </c>
      <c r="D150" s="198" t="s">
        <v>1595</v>
      </c>
      <c r="E150" s="198" t="s">
        <v>1596</v>
      </c>
    </row>
    <row r="151" spans="1:5">
      <c r="A151" s="198">
        <v>390584687</v>
      </c>
      <c r="B151" s="198">
        <v>581550768.94009304</v>
      </c>
      <c r="D151" s="198" t="s">
        <v>1597</v>
      </c>
      <c r="E151" s="198" t="s">
        <v>1598</v>
      </c>
    </row>
    <row r="152" spans="1:5">
      <c r="A152" s="198">
        <v>390656682</v>
      </c>
      <c r="B152" s="198">
        <v>581622763.94094598</v>
      </c>
      <c r="D152" s="198" t="s">
        <v>1599</v>
      </c>
      <c r="E152" s="198" t="s">
        <v>1600</v>
      </c>
    </row>
    <row r="153" spans="1:5">
      <c r="A153" s="198">
        <v>390764660</v>
      </c>
      <c r="B153" s="198">
        <v>581730741.94220996</v>
      </c>
      <c r="D153" s="198" t="s">
        <v>1601</v>
      </c>
      <c r="E153" s="198" t="s">
        <v>1602</v>
      </c>
    </row>
    <row r="154" spans="1:5">
      <c r="A154" s="198">
        <v>390865466</v>
      </c>
      <c r="B154" s="198">
        <v>581831547.94341505</v>
      </c>
      <c r="D154" s="198" t="s">
        <v>1603</v>
      </c>
      <c r="E154" s="198" t="s">
        <v>1604</v>
      </c>
    </row>
    <row r="155" spans="1:5">
      <c r="A155" s="198">
        <v>390951865</v>
      </c>
      <c r="B155" s="198">
        <v>581917946.94443703</v>
      </c>
      <c r="D155" s="198" t="s">
        <v>1605</v>
      </c>
      <c r="E155" s="198" t="s">
        <v>1606</v>
      </c>
    </row>
    <row r="156" spans="1:5">
      <c r="A156" s="198">
        <v>391028004</v>
      </c>
      <c r="B156" s="198">
        <v>581994085.94534194</v>
      </c>
      <c r="D156" s="198" t="s">
        <v>1607</v>
      </c>
      <c r="E156" s="198" t="s">
        <v>1608</v>
      </c>
    </row>
    <row r="157" spans="1:5">
      <c r="A157" s="198">
        <v>391085035</v>
      </c>
      <c r="B157" s="198">
        <v>582051116.94599295</v>
      </c>
      <c r="D157" s="198" t="s">
        <v>1609</v>
      </c>
      <c r="E157" s="198" t="s">
        <v>1610</v>
      </c>
    </row>
    <row r="158" spans="1:5">
      <c r="A158" s="198">
        <v>391211066</v>
      </c>
      <c r="B158" s="198">
        <v>582177147.94750595</v>
      </c>
      <c r="D158" s="198" t="s">
        <v>1611</v>
      </c>
      <c r="E158" s="198" t="s">
        <v>1612</v>
      </c>
    </row>
    <row r="159" spans="1:5">
      <c r="A159" s="198">
        <v>391304780</v>
      </c>
      <c r="B159" s="198">
        <v>582270861.94856501</v>
      </c>
      <c r="D159" s="198" t="s">
        <v>1613</v>
      </c>
      <c r="E159" s="198" t="s">
        <v>1614</v>
      </c>
    </row>
    <row r="160" spans="1:5">
      <c r="A160" s="198">
        <v>391380245</v>
      </c>
      <c r="B160" s="198">
        <v>582346326.94949698</v>
      </c>
      <c r="D160" s="198" t="s">
        <v>1615</v>
      </c>
      <c r="E160" s="198" t="s">
        <v>1616</v>
      </c>
    </row>
    <row r="161" spans="1:5">
      <c r="A161" s="198">
        <v>391459435</v>
      </c>
      <c r="B161" s="198">
        <v>582425516.95043898</v>
      </c>
      <c r="D161" s="198" t="s">
        <v>1617</v>
      </c>
      <c r="E161" s="198" t="s">
        <v>1618</v>
      </c>
    </row>
    <row r="162" spans="1:5">
      <c r="A162" s="198">
        <v>391553047</v>
      </c>
      <c r="B162" s="198">
        <v>582519128.95153606</v>
      </c>
      <c r="D162" s="198" t="s">
        <v>1619</v>
      </c>
      <c r="E162" s="198" t="s">
        <v>1620</v>
      </c>
    </row>
    <row r="163" spans="1:5">
      <c r="A163" s="198">
        <v>391610648</v>
      </c>
      <c r="B163" s="198">
        <v>582576729.95221198</v>
      </c>
      <c r="D163" s="198" t="s">
        <v>1621</v>
      </c>
      <c r="E163" s="198" t="s">
        <v>1622</v>
      </c>
    </row>
    <row r="164" spans="1:5">
      <c r="A164" s="198">
        <v>391715033</v>
      </c>
      <c r="B164" s="198">
        <v>582681114.95345294</v>
      </c>
      <c r="D164" s="198" t="s">
        <v>1623</v>
      </c>
      <c r="E164" s="198" t="s">
        <v>1624</v>
      </c>
    </row>
    <row r="165" spans="1:5">
      <c r="A165" s="198">
        <v>391783448</v>
      </c>
      <c r="B165" s="198">
        <v>582749529.95424795</v>
      </c>
      <c r="D165" s="198" t="s">
        <v>1625</v>
      </c>
      <c r="E165" s="198" t="s">
        <v>1626</v>
      </c>
    </row>
    <row r="166" spans="1:5">
      <c r="A166" s="198">
        <v>391910236</v>
      </c>
      <c r="B166" s="198">
        <v>582876317.955778</v>
      </c>
      <c r="D166" s="198" t="s">
        <v>1627</v>
      </c>
      <c r="E166" s="198" t="s">
        <v>1628</v>
      </c>
    </row>
    <row r="167" spans="1:5">
      <c r="A167" s="198">
        <v>391985042</v>
      </c>
      <c r="B167" s="198">
        <v>582951123.95665205</v>
      </c>
      <c r="D167" s="198" t="s">
        <v>1629</v>
      </c>
      <c r="E167" s="198" t="s">
        <v>1630</v>
      </c>
    </row>
    <row r="168" spans="1:5">
      <c r="A168" s="198">
        <v>392082400</v>
      </c>
      <c r="B168" s="198">
        <v>583048481.95776999</v>
      </c>
      <c r="D168" s="198" t="s">
        <v>1631</v>
      </c>
      <c r="E168" s="198" t="s">
        <v>1632</v>
      </c>
    </row>
    <row r="169" spans="1:5">
      <c r="A169" s="198">
        <v>392154236</v>
      </c>
      <c r="B169" s="198">
        <v>583120317.95865905</v>
      </c>
      <c r="D169" s="198" t="s">
        <v>1633</v>
      </c>
      <c r="E169" s="198" t="s">
        <v>1634</v>
      </c>
    </row>
    <row r="170" spans="1:5">
      <c r="A170" s="198">
        <v>392208237</v>
      </c>
      <c r="B170" s="198">
        <v>583174318.95927703</v>
      </c>
      <c r="D170" s="198" t="s">
        <v>1635</v>
      </c>
      <c r="E170" s="198" t="s">
        <v>1636</v>
      </c>
    </row>
    <row r="171" spans="1:5">
      <c r="A171" s="198">
        <v>392330681</v>
      </c>
      <c r="B171" s="198">
        <v>583296762.96074498</v>
      </c>
      <c r="D171" s="198" t="s">
        <v>1637</v>
      </c>
      <c r="E171" s="198" t="s">
        <v>1638</v>
      </c>
    </row>
    <row r="172" spans="1:5">
      <c r="A172" s="198">
        <v>392417075</v>
      </c>
      <c r="B172" s="198">
        <v>583383156.96176505</v>
      </c>
      <c r="D172" s="198" t="s">
        <v>1639</v>
      </c>
      <c r="E172" s="198" t="s">
        <v>1640</v>
      </c>
    </row>
    <row r="173" spans="1:5">
      <c r="A173" s="198">
        <v>392503471</v>
      </c>
      <c r="B173" s="198">
        <v>583469552.96278906</v>
      </c>
      <c r="D173" s="198" t="s">
        <v>1641</v>
      </c>
      <c r="E173" s="198" t="s">
        <v>1642</v>
      </c>
    </row>
    <row r="174" spans="1:5">
      <c r="A174" s="198">
        <v>392589881</v>
      </c>
      <c r="B174" s="198">
        <v>583555962.96379697</v>
      </c>
      <c r="D174" s="198" t="s">
        <v>1643</v>
      </c>
      <c r="E174" s="198" t="s">
        <v>1644</v>
      </c>
    </row>
    <row r="175" spans="1:5">
      <c r="A175" s="198">
        <v>392669014</v>
      </c>
      <c r="B175" s="198">
        <v>583635095.96473598</v>
      </c>
      <c r="D175" s="198" t="s">
        <v>1645</v>
      </c>
      <c r="E175" s="198" t="s">
        <v>1646</v>
      </c>
    </row>
    <row r="176" spans="1:5">
      <c r="A176" s="198">
        <v>392759013</v>
      </c>
      <c r="B176" s="198">
        <v>583725094.96580803</v>
      </c>
      <c r="D176" s="198" t="s">
        <v>1647</v>
      </c>
      <c r="E176" s="198" t="s">
        <v>1648</v>
      </c>
    </row>
    <row r="177" spans="1:5">
      <c r="A177" s="198">
        <v>392838204</v>
      </c>
      <c r="B177" s="198">
        <v>583804285.96673405</v>
      </c>
      <c r="D177" s="198" t="s">
        <v>1649</v>
      </c>
      <c r="E177" s="198" t="s">
        <v>1650</v>
      </c>
    </row>
    <row r="178" spans="1:5">
      <c r="A178" s="198">
        <v>392917399</v>
      </c>
      <c r="B178" s="198">
        <v>583883480.96767104</v>
      </c>
      <c r="D178" s="198" t="s">
        <v>1651</v>
      </c>
      <c r="E178" s="198" t="s">
        <v>1652</v>
      </c>
    </row>
    <row r="179" spans="1:5">
      <c r="A179" s="198">
        <v>393000194</v>
      </c>
      <c r="B179" s="198">
        <v>583966275.96864998</v>
      </c>
      <c r="D179" s="198" t="s">
        <v>1653</v>
      </c>
      <c r="E179" s="198" t="s">
        <v>1654</v>
      </c>
    </row>
    <row r="180" spans="1:5">
      <c r="A180" s="198">
        <v>393119468</v>
      </c>
      <c r="B180" s="198">
        <v>584085549.97006404</v>
      </c>
      <c r="D180" s="198" t="s">
        <v>1655</v>
      </c>
      <c r="E180" s="198" t="s">
        <v>1656</v>
      </c>
    </row>
    <row r="181" spans="1:5">
      <c r="A181" s="198">
        <v>393180186</v>
      </c>
      <c r="B181" s="198">
        <v>584146267.97077</v>
      </c>
      <c r="D181" s="198" t="s">
        <v>1657</v>
      </c>
      <c r="E181" s="198" t="s">
        <v>1658</v>
      </c>
    </row>
    <row r="182" spans="1:5">
      <c r="A182" s="198">
        <v>393273793</v>
      </c>
      <c r="B182" s="198">
        <v>584239874.97189498</v>
      </c>
      <c r="D182" s="198" t="s">
        <v>1659</v>
      </c>
      <c r="E182" s="198" t="s">
        <v>1660</v>
      </c>
    </row>
    <row r="183" spans="1:5">
      <c r="A183" s="198">
        <v>393360185</v>
      </c>
      <c r="B183" s="198">
        <v>584326266.97291505</v>
      </c>
      <c r="D183" s="198" t="s">
        <v>1661</v>
      </c>
      <c r="E183" s="198" t="s">
        <v>1662</v>
      </c>
    </row>
    <row r="184" spans="1:5">
      <c r="A184" s="198">
        <v>393464750</v>
      </c>
      <c r="B184" s="198">
        <v>584430831.97412097</v>
      </c>
      <c r="D184" s="198" t="s">
        <v>1663</v>
      </c>
      <c r="E184" s="198" t="s">
        <v>1664</v>
      </c>
    </row>
    <row r="185" spans="1:5">
      <c r="A185" s="198">
        <v>393522169</v>
      </c>
      <c r="B185" s="198">
        <v>584488250.97481298</v>
      </c>
      <c r="D185" s="198" t="s">
        <v>1665</v>
      </c>
      <c r="E185" s="198" t="s">
        <v>1666</v>
      </c>
    </row>
    <row r="186" spans="1:5">
      <c r="A186" s="198">
        <v>393637540</v>
      </c>
      <c r="B186" s="198">
        <v>584603621.97616005</v>
      </c>
      <c r="D186" s="198" t="s">
        <v>1667</v>
      </c>
      <c r="E186" s="198" t="s">
        <v>1668</v>
      </c>
    </row>
    <row r="187" spans="1:5">
      <c r="A187" s="198">
        <v>393691360</v>
      </c>
      <c r="B187" s="198">
        <v>584657441.976807</v>
      </c>
      <c r="D187" s="198" t="s">
        <v>1669</v>
      </c>
      <c r="E187" s="198" t="s">
        <v>1670</v>
      </c>
    </row>
    <row r="188" spans="1:5">
      <c r="A188" s="198">
        <v>393792165</v>
      </c>
      <c r="B188" s="198">
        <v>584758246.97802997</v>
      </c>
      <c r="D188" s="198" t="s">
        <v>1671</v>
      </c>
      <c r="E188" s="198" t="s">
        <v>1672</v>
      </c>
    </row>
    <row r="189" spans="1:5">
      <c r="A189" s="198">
        <v>393878561</v>
      </c>
      <c r="B189" s="198">
        <v>584844642.97904003</v>
      </c>
      <c r="D189" s="198" t="s">
        <v>1673</v>
      </c>
      <c r="E189" s="198" t="s">
        <v>1674</v>
      </c>
    </row>
    <row r="190" spans="1:5">
      <c r="A190" s="198">
        <v>393957746</v>
      </c>
      <c r="B190" s="198">
        <v>584923827.97996902</v>
      </c>
      <c r="D190" s="198" t="s">
        <v>1675</v>
      </c>
      <c r="E190" s="198" t="s">
        <v>1676</v>
      </c>
    </row>
    <row r="191" spans="1:5">
      <c r="A191" s="198">
        <v>394062335</v>
      </c>
      <c r="B191" s="198">
        <v>585028416.98119295</v>
      </c>
      <c r="D191" s="198" t="s">
        <v>1677</v>
      </c>
      <c r="E191" s="198" t="s">
        <v>1678</v>
      </c>
    </row>
    <row r="192" spans="1:5">
      <c r="A192" s="198">
        <v>394108952</v>
      </c>
      <c r="B192" s="198">
        <v>585075033.98176301</v>
      </c>
      <c r="D192" s="198" t="s">
        <v>1679</v>
      </c>
      <c r="E192" s="198" t="s">
        <v>1680</v>
      </c>
    </row>
    <row r="193" spans="1:5">
      <c r="A193" s="198">
        <v>394328692</v>
      </c>
      <c r="B193" s="198">
        <v>585294773.98432398</v>
      </c>
      <c r="D193" s="198" t="s">
        <v>1681</v>
      </c>
      <c r="E193" s="198" t="s">
        <v>1682</v>
      </c>
    </row>
    <row r="194" spans="1:5">
      <c r="A194" s="198">
        <v>394382520</v>
      </c>
      <c r="B194" s="198">
        <v>585348601.98498905</v>
      </c>
      <c r="D194" s="198" t="s">
        <v>1683</v>
      </c>
      <c r="E194" s="198" t="s">
        <v>1684</v>
      </c>
    </row>
    <row r="195" spans="1:5">
      <c r="A195" s="198">
        <v>394476118</v>
      </c>
      <c r="B195" s="198">
        <v>585442199.98610103</v>
      </c>
      <c r="D195" s="198" t="s">
        <v>1685</v>
      </c>
      <c r="E195" s="198" t="s">
        <v>1686</v>
      </c>
    </row>
    <row r="196" spans="1:5">
      <c r="A196" s="198">
        <v>394540930</v>
      </c>
      <c r="B196" s="198">
        <v>585507011.98686504</v>
      </c>
      <c r="D196" s="198" t="s">
        <v>1687</v>
      </c>
      <c r="E196" s="198" t="s">
        <v>1688</v>
      </c>
    </row>
    <row r="197" spans="1:5">
      <c r="A197" s="198">
        <v>394648903</v>
      </c>
      <c r="B197" s="198">
        <v>585614984.98814094</v>
      </c>
      <c r="D197" s="198" t="s">
        <v>1689</v>
      </c>
      <c r="E197" s="198" t="s">
        <v>1690</v>
      </c>
    </row>
    <row r="198" spans="1:5">
      <c r="A198" s="198">
        <v>394800111</v>
      </c>
      <c r="B198" s="198">
        <v>585766192.98993397</v>
      </c>
      <c r="D198" s="198" t="s">
        <v>1691</v>
      </c>
      <c r="E198" s="198" t="s">
        <v>1692</v>
      </c>
    </row>
    <row r="199" spans="1:5">
      <c r="A199" s="198">
        <v>394933457</v>
      </c>
      <c r="B199" s="198">
        <v>585899538.99149203</v>
      </c>
      <c r="D199" s="198" t="s">
        <v>1693</v>
      </c>
      <c r="E199" s="198" t="s">
        <v>1694</v>
      </c>
    </row>
    <row r="200" spans="1:5">
      <c r="A200" s="198">
        <v>394987275</v>
      </c>
      <c r="B200" s="198">
        <v>585953356.99213696</v>
      </c>
      <c r="D200" s="198" t="s">
        <v>1695</v>
      </c>
      <c r="E200" s="198" t="s">
        <v>1696</v>
      </c>
    </row>
    <row r="201" spans="1:5">
      <c r="A201" s="198">
        <v>395048465</v>
      </c>
      <c r="B201" s="198">
        <v>586014546.99284601</v>
      </c>
      <c r="D201" s="198" t="s">
        <v>1697</v>
      </c>
      <c r="E201" s="198" t="s">
        <v>1698</v>
      </c>
    </row>
    <row r="202" spans="1:5">
      <c r="A202" s="198">
        <v>395189030</v>
      </c>
      <c r="B202" s="198">
        <v>586155111.99453604</v>
      </c>
      <c r="D202" s="198" t="s">
        <v>1699</v>
      </c>
      <c r="E202" s="198" t="s">
        <v>1700</v>
      </c>
    </row>
    <row r="203" spans="1:5">
      <c r="A203" s="198">
        <v>395275422</v>
      </c>
      <c r="B203" s="198">
        <v>586241503.99549496</v>
      </c>
      <c r="D203" s="198" t="s">
        <v>1701</v>
      </c>
      <c r="E203" s="198" t="s">
        <v>1702</v>
      </c>
    </row>
    <row r="204" spans="1:5">
      <c r="A204" s="198">
        <v>395336450</v>
      </c>
      <c r="B204" s="198">
        <v>586302531.99625802</v>
      </c>
      <c r="D204" s="198" t="s">
        <v>1703</v>
      </c>
      <c r="E204" s="198" t="s">
        <v>1704</v>
      </c>
    </row>
    <row r="205" spans="1:5">
      <c r="A205" s="198">
        <v>395426441</v>
      </c>
      <c r="B205" s="198">
        <v>586392522.99732697</v>
      </c>
      <c r="D205" s="198" t="s">
        <v>1705</v>
      </c>
      <c r="E205" s="198" t="s">
        <v>1706</v>
      </c>
    </row>
    <row r="206" spans="1:5">
      <c r="A206" s="198">
        <v>395512834</v>
      </c>
      <c r="B206" s="198">
        <v>586478915.99835205</v>
      </c>
      <c r="D206" s="198" t="s">
        <v>1707</v>
      </c>
      <c r="E206" s="198" t="s">
        <v>1708</v>
      </c>
    </row>
    <row r="207" spans="1:5">
      <c r="A207" s="198">
        <v>395584821</v>
      </c>
      <c r="B207" s="198">
        <v>586550902.99919903</v>
      </c>
      <c r="D207" s="198" t="s">
        <v>1709</v>
      </c>
      <c r="E207" s="198" t="s">
        <v>1710</v>
      </c>
    </row>
    <row r="208" spans="1:5">
      <c r="A208" s="198">
        <v>395682015</v>
      </c>
      <c r="B208" s="198">
        <v>586648097.00035501</v>
      </c>
      <c r="D208" s="198" t="s">
        <v>1711</v>
      </c>
      <c r="E208" s="198" t="s">
        <v>1712</v>
      </c>
    </row>
    <row r="209" spans="1:5">
      <c r="A209" s="198">
        <v>395826001</v>
      </c>
      <c r="B209" s="198">
        <v>586792083.00204301</v>
      </c>
      <c r="D209" s="198" t="s">
        <v>1713</v>
      </c>
      <c r="E209" s="198" t="s">
        <v>1714</v>
      </c>
    </row>
    <row r="210" spans="1:5">
      <c r="A210" s="198">
        <v>395919608</v>
      </c>
      <c r="B210" s="198">
        <v>586885690.00316</v>
      </c>
      <c r="D210" s="198" t="s">
        <v>1715</v>
      </c>
      <c r="E210" s="198" t="s">
        <v>1716</v>
      </c>
    </row>
    <row r="211" spans="1:5">
      <c r="A211" s="198">
        <v>396031194</v>
      </c>
      <c r="B211" s="198">
        <v>586997276.00447202</v>
      </c>
      <c r="D211" s="198" t="s">
        <v>1717</v>
      </c>
      <c r="E211" s="198" t="s">
        <v>1718</v>
      </c>
    </row>
    <row r="212" spans="1:5">
      <c r="A212" s="198">
        <v>396099572</v>
      </c>
      <c r="B212" s="198">
        <v>587065654.00526094</v>
      </c>
      <c r="D212" s="198" t="s">
        <v>1719</v>
      </c>
      <c r="E212" s="198" t="s">
        <v>1720</v>
      </c>
    </row>
    <row r="213" spans="1:5">
      <c r="A213" s="198">
        <v>396189568</v>
      </c>
      <c r="B213" s="198">
        <v>587155650.00632405</v>
      </c>
      <c r="D213" s="198" t="s">
        <v>1721</v>
      </c>
      <c r="E213" s="198" t="s">
        <v>1722</v>
      </c>
    </row>
    <row r="214" spans="1:5">
      <c r="A214" s="198">
        <v>396312309</v>
      </c>
      <c r="B214" s="198">
        <v>587278391.00779295</v>
      </c>
      <c r="D214" s="198" t="s">
        <v>1723</v>
      </c>
      <c r="E214" s="198" t="s">
        <v>1724</v>
      </c>
    </row>
    <row r="215" spans="1:5">
      <c r="A215" s="198">
        <v>396369550</v>
      </c>
      <c r="B215" s="198">
        <v>587335632.00847304</v>
      </c>
      <c r="D215" s="198" t="s">
        <v>1725</v>
      </c>
      <c r="E215" s="198" t="s">
        <v>1726</v>
      </c>
    </row>
    <row r="216" spans="1:5">
      <c r="A216" s="198">
        <v>396452359</v>
      </c>
      <c r="B216" s="198">
        <v>587418441.00943398</v>
      </c>
      <c r="D216" s="198" t="s">
        <v>1727</v>
      </c>
      <c r="E216" s="198" t="s">
        <v>1728</v>
      </c>
    </row>
    <row r="217" spans="1:5">
      <c r="A217" s="198">
        <v>396549577</v>
      </c>
      <c r="B217" s="198">
        <v>587515659.01058996</v>
      </c>
      <c r="D217" s="198" t="s">
        <v>1729</v>
      </c>
      <c r="E217" s="198" t="s">
        <v>1730</v>
      </c>
    </row>
    <row r="218" spans="1:5">
      <c r="A218" s="198">
        <v>396718733</v>
      </c>
      <c r="B218" s="198">
        <v>587684815.01257098</v>
      </c>
      <c r="D218" s="198" t="s">
        <v>1731</v>
      </c>
      <c r="E218" s="198" t="s">
        <v>1732</v>
      </c>
    </row>
    <row r="219" spans="1:5">
      <c r="A219" s="198">
        <v>396920480</v>
      </c>
      <c r="B219" s="198">
        <v>587886562.01493001</v>
      </c>
      <c r="D219" s="198" t="s">
        <v>1733</v>
      </c>
      <c r="E219" s="198" t="s">
        <v>1734</v>
      </c>
    </row>
    <row r="220" spans="1:5">
      <c r="A220" s="198">
        <v>396941900</v>
      </c>
      <c r="B220" s="198">
        <v>587907982.01518297</v>
      </c>
      <c r="D220" s="198" t="s">
        <v>1735</v>
      </c>
      <c r="E220" s="198" t="s">
        <v>1736</v>
      </c>
    </row>
    <row r="221" spans="1:5">
      <c r="A221" s="198">
        <v>397125525</v>
      </c>
      <c r="B221" s="198">
        <v>588091607.01736701</v>
      </c>
      <c r="D221" s="198" t="s">
        <v>1737</v>
      </c>
      <c r="E221" s="198" t="s">
        <v>1738</v>
      </c>
    </row>
    <row r="222" spans="1:5">
      <c r="A222" s="198">
        <v>397323479</v>
      </c>
      <c r="B222" s="198">
        <v>588289561.01968706</v>
      </c>
      <c r="D222" s="198" t="s">
        <v>1739</v>
      </c>
      <c r="E222" s="198" t="s">
        <v>1740</v>
      </c>
    </row>
    <row r="223" spans="1:5">
      <c r="A223" s="198">
        <v>397409870</v>
      </c>
      <c r="B223" s="198">
        <v>588375952.02071202</v>
      </c>
      <c r="D223" s="198" t="s">
        <v>1741</v>
      </c>
      <c r="E223" s="198" t="s">
        <v>1742</v>
      </c>
    </row>
    <row r="224" spans="1:5">
      <c r="A224" s="198">
        <v>397525191</v>
      </c>
      <c r="B224" s="198">
        <v>588491273.02206194</v>
      </c>
      <c r="D224" s="198" t="s">
        <v>1743</v>
      </c>
      <c r="E224" s="198" t="s">
        <v>1744</v>
      </c>
    </row>
    <row r="225" spans="1:5">
      <c r="A225" s="198">
        <v>397582641</v>
      </c>
      <c r="B225" s="198">
        <v>588548723.02274597</v>
      </c>
      <c r="D225" s="198" t="s">
        <v>1745</v>
      </c>
      <c r="E225" s="198" t="s">
        <v>1746</v>
      </c>
    </row>
    <row r="226" spans="1:5">
      <c r="A226" s="198">
        <v>397647423</v>
      </c>
      <c r="B226" s="198">
        <v>588613505.02348399</v>
      </c>
      <c r="D226" s="198" t="s">
        <v>1747</v>
      </c>
      <c r="E226" s="198" t="s">
        <v>1748</v>
      </c>
    </row>
    <row r="227" spans="1:5">
      <c r="A227" s="198">
        <v>398129934</v>
      </c>
      <c r="B227" s="198">
        <v>589096016.02919602</v>
      </c>
      <c r="D227" s="198" t="s">
        <v>1749</v>
      </c>
      <c r="E227" s="198" t="s">
        <v>1750</v>
      </c>
    </row>
    <row r="228" spans="1:5">
      <c r="A228" s="198">
        <v>398187388</v>
      </c>
      <c r="B228" s="198">
        <v>589153470.02983499</v>
      </c>
      <c r="D228" s="198" t="s">
        <v>1751</v>
      </c>
      <c r="E228" s="198" t="s">
        <v>1752</v>
      </c>
    </row>
    <row r="229" spans="1:5">
      <c r="A229" s="198">
        <v>398273780</v>
      </c>
      <c r="B229" s="198">
        <v>589239862.03086102</v>
      </c>
      <c r="D229" s="198" t="s">
        <v>1753</v>
      </c>
      <c r="E229" s="198" t="s">
        <v>1754</v>
      </c>
    </row>
    <row r="230" spans="1:5">
      <c r="A230" s="198">
        <v>398360170</v>
      </c>
      <c r="B230" s="198">
        <v>589326252.03185904</v>
      </c>
      <c r="D230" s="198" t="s">
        <v>1755</v>
      </c>
      <c r="E230" s="198" t="s">
        <v>1756</v>
      </c>
    </row>
    <row r="231" spans="1:5">
      <c r="A231" s="198">
        <v>398702104</v>
      </c>
      <c r="B231" s="198">
        <v>589668186.03585899</v>
      </c>
      <c r="D231" s="198" t="s">
        <v>1757</v>
      </c>
      <c r="E231" s="198" t="s">
        <v>1758</v>
      </c>
    </row>
    <row r="232" spans="1:5">
      <c r="A232" s="198">
        <v>398763323</v>
      </c>
      <c r="B232" s="198">
        <v>589729405.03657305</v>
      </c>
      <c r="D232" s="198" t="s">
        <v>1759</v>
      </c>
      <c r="E232" s="198" t="s">
        <v>1760</v>
      </c>
    </row>
    <row r="233" spans="1:5">
      <c r="A233" s="198">
        <v>398849711</v>
      </c>
      <c r="B233" s="198">
        <v>589815793.03758001</v>
      </c>
      <c r="D233" s="198" t="s">
        <v>1761</v>
      </c>
      <c r="E233" s="198" t="s">
        <v>1762</v>
      </c>
    </row>
    <row r="234" spans="1:5">
      <c r="A234" s="198">
        <v>398932500</v>
      </c>
      <c r="B234" s="198">
        <v>589898582.03854299</v>
      </c>
      <c r="D234" s="198" t="s">
        <v>1763</v>
      </c>
      <c r="E234" s="198" t="s">
        <v>1764</v>
      </c>
    </row>
    <row r="235" spans="1:5">
      <c r="A235" s="198">
        <v>399134053</v>
      </c>
      <c r="B235" s="198">
        <v>590100135.04092097</v>
      </c>
      <c r="D235" s="198" t="s">
        <v>1765</v>
      </c>
      <c r="E235" s="198" t="s">
        <v>1766</v>
      </c>
    </row>
    <row r="236" spans="1:5">
      <c r="A236" s="198">
        <v>399224060</v>
      </c>
      <c r="B236" s="198">
        <v>590190142.04196298</v>
      </c>
      <c r="D236" s="198" t="s">
        <v>1767</v>
      </c>
      <c r="E236" s="198" t="s">
        <v>1768</v>
      </c>
    </row>
    <row r="237" spans="1:5">
      <c r="A237" s="198">
        <v>399306822</v>
      </c>
      <c r="B237" s="198">
        <v>590272904.04294205</v>
      </c>
      <c r="D237" s="198" t="s">
        <v>1769</v>
      </c>
      <c r="E237" s="198" t="s">
        <v>1770</v>
      </c>
    </row>
    <row r="238" spans="1:5">
      <c r="A238" s="198">
        <v>399479602</v>
      </c>
      <c r="B238" s="198">
        <v>590445684.04495001</v>
      </c>
      <c r="D238" s="198" t="s">
        <v>1771</v>
      </c>
      <c r="E238" s="198" t="s">
        <v>1772</v>
      </c>
    </row>
    <row r="239" spans="1:5">
      <c r="A239" s="198">
        <v>399558777</v>
      </c>
      <c r="B239" s="198">
        <v>590524859.045874</v>
      </c>
      <c r="D239" s="198" t="s">
        <v>1773</v>
      </c>
      <c r="E239" s="198" t="s">
        <v>1774</v>
      </c>
    </row>
    <row r="240" spans="1:5">
      <c r="A240" s="198">
        <v>399652390</v>
      </c>
      <c r="B240" s="198">
        <v>590618472.046978</v>
      </c>
      <c r="D240" s="198" t="s">
        <v>1775</v>
      </c>
      <c r="E240" s="198" t="s">
        <v>1776</v>
      </c>
    </row>
    <row r="241" spans="1:5">
      <c r="A241" s="198">
        <v>399767605</v>
      </c>
      <c r="B241" s="198">
        <v>590733687.04830897</v>
      </c>
      <c r="D241" s="198" t="s">
        <v>1777</v>
      </c>
      <c r="E241" s="198" t="s">
        <v>1778</v>
      </c>
    </row>
    <row r="242" spans="1:5">
      <c r="A242" s="198">
        <v>399817938</v>
      </c>
      <c r="B242" s="198">
        <v>590784020.04890895</v>
      </c>
      <c r="D242" s="198" t="s">
        <v>1779</v>
      </c>
      <c r="E242" s="198" t="s">
        <v>1780</v>
      </c>
    </row>
    <row r="243" spans="1:5">
      <c r="A243" s="198">
        <v>399943973</v>
      </c>
      <c r="B243" s="198">
        <v>590910055.05033696</v>
      </c>
      <c r="D243" s="198" t="s">
        <v>1781</v>
      </c>
      <c r="E243" s="198" t="s">
        <v>1782</v>
      </c>
    </row>
    <row r="244" spans="1:5">
      <c r="A244" s="198">
        <v>399990709</v>
      </c>
      <c r="B244" s="198">
        <v>590956791.05091703</v>
      </c>
      <c r="D244" s="198" t="s">
        <v>1783</v>
      </c>
      <c r="E244" s="198" t="s">
        <v>1784</v>
      </c>
    </row>
    <row r="245" spans="1:5">
      <c r="A245" s="198">
        <v>400055541</v>
      </c>
      <c r="B245" s="198">
        <v>591021623.051669</v>
      </c>
      <c r="D245" s="198" t="s">
        <v>1785</v>
      </c>
      <c r="E245" s="198" t="s">
        <v>1786</v>
      </c>
    </row>
    <row r="246" spans="1:5">
      <c r="A246" s="198">
        <v>400149083</v>
      </c>
      <c r="B246" s="198">
        <v>591115165.05275702</v>
      </c>
      <c r="D246" s="198" t="s">
        <v>1787</v>
      </c>
      <c r="E246" s="198" t="s">
        <v>1788</v>
      </c>
    </row>
    <row r="247" spans="1:5">
      <c r="A247" s="198">
        <v>400224719</v>
      </c>
      <c r="B247" s="198">
        <v>591190801.05364799</v>
      </c>
      <c r="D247" s="198" t="s">
        <v>1789</v>
      </c>
      <c r="E247" s="198" t="s">
        <v>1790</v>
      </c>
    </row>
    <row r="248" spans="1:5">
      <c r="A248" s="198">
        <v>400336263</v>
      </c>
      <c r="B248" s="198">
        <v>591302345.05493701</v>
      </c>
      <c r="D248" s="198" t="s">
        <v>1791</v>
      </c>
      <c r="E248" s="198" t="s">
        <v>1792</v>
      </c>
    </row>
    <row r="249" spans="1:5">
      <c r="A249" s="198">
        <v>400422654</v>
      </c>
      <c r="B249" s="198">
        <v>591388736.05595303</v>
      </c>
      <c r="D249" s="198" t="s">
        <v>1793</v>
      </c>
      <c r="E249" s="198" t="s">
        <v>1794</v>
      </c>
    </row>
    <row r="250" spans="1:5">
      <c r="A250" s="198">
        <v>400541490</v>
      </c>
      <c r="B250" s="198">
        <v>591507572.05733204</v>
      </c>
      <c r="D250" s="198" t="s">
        <v>1795</v>
      </c>
      <c r="E250" s="198" t="s">
        <v>1796</v>
      </c>
    </row>
    <row r="251" spans="1:5">
      <c r="A251" s="198">
        <v>400627880</v>
      </c>
      <c r="B251" s="198">
        <v>591593962.05832696</v>
      </c>
      <c r="D251" s="198" t="s">
        <v>1797</v>
      </c>
      <c r="E251" s="198" t="s">
        <v>1798</v>
      </c>
    </row>
    <row r="252" spans="1:5">
      <c r="A252" s="198">
        <v>400721432</v>
      </c>
      <c r="B252" s="198">
        <v>591687514.05940402</v>
      </c>
      <c r="D252" s="198" t="s">
        <v>1799</v>
      </c>
      <c r="E252" s="198" t="s">
        <v>1800</v>
      </c>
    </row>
    <row r="253" spans="1:5">
      <c r="A253" s="198">
        <v>400789815</v>
      </c>
      <c r="B253" s="198">
        <v>591755897.06001604</v>
      </c>
      <c r="D253" s="198" t="s">
        <v>1801</v>
      </c>
      <c r="E253" s="198" t="s">
        <v>1802</v>
      </c>
    </row>
    <row r="254" spans="1:5">
      <c r="A254" s="198">
        <v>400836581</v>
      </c>
      <c r="B254" s="198">
        <v>591802663.06055999</v>
      </c>
      <c r="D254" s="198" t="s">
        <v>1803</v>
      </c>
      <c r="E254" s="198" t="s">
        <v>1804</v>
      </c>
    </row>
    <row r="255" spans="1:5">
      <c r="A255" s="198">
        <v>400962592</v>
      </c>
      <c r="B255" s="198">
        <v>591928674.062011</v>
      </c>
      <c r="D255" s="198" t="s">
        <v>1805</v>
      </c>
      <c r="E255" s="198" t="s">
        <v>1806</v>
      </c>
    </row>
    <row r="256" spans="1:5">
      <c r="A256" s="198">
        <v>401012960</v>
      </c>
      <c r="B256" s="198">
        <v>591979042.06259799</v>
      </c>
      <c r="D256" s="198" t="s">
        <v>1807</v>
      </c>
      <c r="E256" s="198" t="s">
        <v>1808</v>
      </c>
    </row>
    <row r="257" spans="1:5">
      <c r="A257" s="198">
        <v>401146205</v>
      </c>
      <c r="B257" s="198">
        <v>592112287.06414902</v>
      </c>
      <c r="D257" s="198" t="s">
        <v>1809</v>
      </c>
      <c r="E257" s="198" t="s">
        <v>1810</v>
      </c>
    </row>
    <row r="258" spans="1:5">
      <c r="A258" s="198">
        <v>401239766</v>
      </c>
      <c r="B258" s="198">
        <v>592205848.065207</v>
      </c>
      <c r="D258" s="198" t="s">
        <v>1811</v>
      </c>
      <c r="E258" s="198" t="s">
        <v>1812</v>
      </c>
    </row>
    <row r="259" spans="1:5">
      <c r="A259" s="198">
        <v>401315347</v>
      </c>
      <c r="B259" s="198">
        <v>592281429.06610203</v>
      </c>
      <c r="D259" s="198" t="s">
        <v>1813</v>
      </c>
      <c r="E259" s="198" t="s">
        <v>1814</v>
      </c>
    </row>
    <row r="260" spans="1:5">
      <c r="A260" s="198">
        <v>401434134</v>
      </c>
      <c r="B260" s="198">
        <v>592400216.06747103</v>
      </c>
      <c r="D260" s="198" t="s">
        <v>1815</v>
      </c>
      <c r="E260" s="198" t="s">
        <v>1816</v>
      </c>
    </row>
    <row r="261" spans="1:5">
      <c r="A261" s="198">
        <v>401570899</v>
      </c>
      <c r="B261" s="198">
        <v>592536981.06904995</v>
      </c>
      <c r="D261" s="198" t="s">
        <v>1817</v>
      </c>
      <c r="E261" s="198" t="s">
        <v>1818</v>
      </c>
    </row>
    <row r="262" spans="1:5">
      <c r="A262" s="198">
        <v>401668099</v>
      </c>
      <c r="B262" s="198">
        <v>592634181.07015097</v>
      </c>
      <c r="D262" s="198" t="s">
        <v>1819</v>
      </c>
      <c r="E262" s="198" t="s">
        <v>1820</v>
      </c>
    </row>
    <row r="263" spans="1:5">
      <c r="A263" s="198">
        <v>401758075</v>
      </c>
      <c r="B263" s="198">
        <v>592724157.07118905</v>
      </c>
      <c r="D263" s="198" t="s">
        <v>1821</v>
      </c>
      <c r="E263" s="198" t="s">
        <v>1822</v>
      </c>
    </row>
    <row r="264" spans="1:5">
      <c r="A264" s="198">
        <v>401844464</v>
      </c>
      <c r="B264" s="198">
        <v>592810546.07218695</v>
      </c>
      <c r="D264" s="198" t="s">
        <v>1823</v>
      </c>
      <c r="E264" s="198" t="s">
        <v>1824</v>
      </c>
    </row>
    <row r="265" spans="1:5">
      <c r="A265" s="198">
        <v>401869632</v>
      </c>
      <c r="B265" s="198">
        <v>592835714.07248497</v>
      </c>
      <c r="D265" s="198" t="s">
        <v>1825</v>
      </c>
      <c r="E265" s="198" t="s">
        <v>1826</v>
      </c>
    </row>
    <row r="266" spans="1:5">
      <c r="A266" s="198">
        <v>401999244</v>
      </c>
      <c r="B266" s="198">
        <v>592965326.07397699</v>
      </c>
      <c r="D266" s="198" t="s">
        <v>1827</v>
      </c>
      <c r="E266" s="198" t="s">
        <v>1828</v>
      </c>
    </row>
    <row r="267" spans="1:5">
      <c r="A267" s="198">
        <v>402089250</v>
      </c>
      <c r="B267" s="198">
        <v>593055332.07503104</v>
      </c>
      <c r="D267" s="198" t="s">
        <v>1829</v>
      </c>
      <c r="E267" s="198" t="s">
        <v>1830</v>
      </c>
    </row>
    <row r="268" spans="1:5">
      <c r="A268" s="198">
        <v>402146805</v>
      </c>
      <c r="B268" s="198">
        <v>593112887.07570004</v>
      </c>
      <c r="D268" s="198" t="s">
        <v>1831</v>
      </c>
      <c r="E268" s="198" t="s">
        <v>1832</v>
      </c>
    </row>
    <row r="269" spans="1:5">
      <c r="A269" s="198">
        <v>402236801</v>
      </c>
      <c r="B269" s="198">
        <v>593202883.07674205</v>
      </c>
      <c r="D269" s="198" t="s">
        <v>1833</v>
      </c>
      <c r="E269" s="198" t="s">
        <v>1834</v>
      </c>
    </row>
    <row r="270" spans="1:5">
      <c r="A270" s="198">
        <v>402362784</v>
      </c>
      <c r="B270" s="198">
        <v>593328866.07815802</v>
      </c>
      <c r="D270" s="198" t="s">
        <v>1835</v>
      </c>
      <c r="E270" s="198" t="s">
        <v>1836</v>
      </c>
    </row>
    <row r="271" spans="1:5">
      <c r="A271" s="198">
        <v>402449174</v>
      </c>
      <c r="B271" s="198">
        <v>593415256.07915795</v>
      </c>
      <c r="D271" s="198" t="s">
        <v>1837</v>
      </c>
      <c r="E271" s="198" t="s">
        <v>1838</v>
      </c>
    </row>
    <row r="272" spans="1:5">
      <c r="A272" s="198">
        <v>402513967</v>
      </c>
      <c r="B272" s="198">
        <v>593480049.07990396</v>
      </c>
      <c r="D272" s="198" t="s">
        <v>1839</v>
      </c>
      <c r="E272" s="198" t="s">
        <v>1840</v>
      </c>
    </row>
    <row r="273" spans="1:5">
      <c r="A273" s="198">
        <v>402557133</v>
      </c>
      <c r="B273" s="198">
        <v>593523215.08039904</v>
      </c>
      <c r="D273" s="198" t="s">
        <v>1841</v>
      </c>
      <c r="E273" s="198" t="s">
        <v>1842</v>
      </c>
    </row>
    <row r="274" spans="1:5">
      <c r="A274" s="198">
        <v>402668780</v>
      </c>
      <c r="B274" s="198">
        <v>593634862.08170903</v>
      </c>
      <c r="D274" s="198" t="s">
        <v>1843</v>
      </c>
      <c r="E274" s="198" t="s">
        <v>1844</v>
      </c>
    </row>
    <row r="275" spans="1:5">
      <c r="A275" s="198">
        <v>402755154</v>
      </c>
      <c r="B275" s="198">
        <v>593721236.08268201</v>
      </c>
      <c r="D275" s="198" t="s">
        <v>1845</v>
      </c>
      <c r="E275" s="198" t="s">
        <v>1846</v>
      </c>
    </row>
    <row r="276" spans="1:5">
      <c r="A276" s="198">
        <v>402881109</v>
      </c>
      <c r="B276" s="198">
        <v>593847191.08409595</v>
      </c>
      <c r="D276" s="198" t="s">
        <v>1847</v>
      </c>
      <c r="E276" s="198" t="s">
        <v>1848</v>
      </c>
    </row>
    <row r="277" spans="1:5">
      <c r="A277" s="198">
        <v>402953117</v>
      </c>
      <c r="B277" s="198">
        <v>593919199.08494306</v>
      </c>
      <c r="D277" s="198" t="s">
        <v>1849</v>
      </c>
      <c r="E277" s="198" t="s">
        <v>1850</v>
      </c>
    </row>
    <row r="278" spans="1:5">
      <c r="A278" s="198">
        <v>403115073</v>
      </c>
      <c r="B278" s="198">
        <v>594081155.08678901</v>
      </c>
      <c r="D278" s="198" t="s">
        <v>1851</v>
      </c>
      <c r="E278" s="198" t="s">
        <v>1852</v>
      </c>
    </row>
    <row r="279" spans="1:5">
      <c r="A279" s="198">
        <v>403183469</v>
      </c>
      <c r="B279" s="198">
        <v>594149551.08759403</v>
      </c>
      <c r="D279" s="198" t="s">
        <v>1853</v>
      </c>
      <c r="E279" s="198" t="s">
        <v>1854</v>
      </c>
    </row>
    <row r="280" spans="1:5">
      <c r="A280" s="198">
        <v>403269869</v>
      </c>
      <c r="B280" s="198">
        <v>594235951.08858705</v>
      </c>
      <c r="D280" s="198" t="s">
        <v>1855</v>
      </c>
      <c r="E280" s="198" t="s">
        <v>1856</v>
      </c>
    </row>
    <row r="281" spans="1:5">
      <c r="A281" s="198">
        <v>403374240</v>
      </c>
      <c r="B281" s="198">
        <v>594340322.08974302</v>
      </c>
      <c r="D281" s="198" t="s">
        <v>1857</v>
      </c>
      <c r="E281" s="198" t="s">
        <v>1858</v>
      </c>
    </row>
    <row r="282" spans="1:5">
      <c r="A282" s="198">
        <v>403442633</v>
      </c>
      <c r="B282" s="198">
        <v>594408715.09054697</v>
      </c>
      <c r="D282" s="198" t="s">
        <v>1859</v>
      </c>
      <c r="E282" s="198" t="s">
        <v>1860</v>
      </c>
    </row>
    <row r="283" spans="1:5">
      <c r="A283" s="198">
        <v>403557838</v>
      </c>
      <c r="B283" s="198">
        <v>594523920.09186804</v>
      </c>
      <c r="D283" s="198" t="s">
        <v>1861</v>
      </c>
      <c r="E283" s="198" t="s">
        <v>1862</v>
      </c>
    </row>
    <row r="284" spans="1:5">
      <c r="A284" s="198">
        <v>403644237</v>
      </c>
      <c r="B284" s="198">
        <v>594610319.09285104</v>
      </c>
      <c r="D284" s="198" t="s">
        <v>1863</v>
      </c>
      <c r="E284" s="198" t="s">
        <v>1864</v>
      </c>
    </row>
    <row r="285" spans="1:5">
      <c r="A285" s="198">
        <v>403723397</v>
      </c>
      <c r="B285" s="198">
        <v>594689479.09374499</v>
      </c>
      <c r="D285" s="198" t="s">
        <v>1865</v>
      </c>
      <c r="E285" s="198" t="s">
        <v>1866</v>
      </c>
    </row>
    <row r="286" spans="1:5">
      <c r="A286" s="198">
        <v>403817021</v>
      </c>
      <c r="B286" s="198">
        <v>594783103.09481001</v>
      </c>
      <c r="D286" s="198" t="s">
        <v>1867</v>
      </c>
      <c r="E286" s="198" t="s">
        <v>1868</v>
      </c>
    </row>
    <row r="287" spans="1:5">
      <c r="A287" s="198">
        <v>403917775</v>
      </c>
      <c r="B287" s="198">
        <v>594883857.09595501</v>
      </c>
      <c r="D287" s="198" t="s">
        <v>1869</v>
      </c>
      <c r="E287" s="198" t="s">
        <v>1870</v>
      </c>
    </row>
    <row r="288" spans="1:5">
      <c r="A288" s="198">
        <v>403989804</v>
      </c>
      <c r="B288" s="198">
        <v>594955886.09678102</v>
      </c>
      <c r="D288" s="198" t="s">
        <v>1871</v>
      </c>
      <c r="E288" s="198" t="s">
        <v>1872</v>
      </c>
    </row>
    <row r="289" spans="1:5">
      <c r="A289" s="198">
        <v>404076183</v>
      </c>
      <c r="B289" s="198">
        <v>595042265.09775603</v>
      </c>
      <c r="D289" s="198" t="s">
        <v>1873</v>
      </c>
      <c r="E289" s="198" t="s">
        <v>1874</v>
      </c>
    </row>
    <row r="290" spans="1:5">
      <c r="A290" s="198">
        <v>404162574</v>
      </c>
      <c r="B290" s="198">
        <v>595128656.09873998</v>
      </c>
      <c r="D290" s="198" t="s">
        <v>1875</v>
      </c>
      <c r="E290" s="198" t="s">
        <v>1876</v>
      </c>
    </row>
    <row r="291" spans="1:5">
      <c r="A291" s="198">
        <v>404263322</v>
      </c>
      <c r="B291" s="198">
        <v>595229404.09986699</v>
      </c>
      <c r="D291" s="198" t="s">
        <v>1877</v>
      </c>
      <c r="E291" s="198" t="s">
        <v>1878</v>
      </c>
    </row>
    <row r="292" spans="1:5">
      <c r="A292" s="198">
        <v>404324514</v>
      </c>
      <c r="B292" s="198">
        <v>595290596.10057294</v>
      </c>
      <c r="D292" s="198" t="s">
        <v>1879</v>
      </c>
      <c r="E292" s="198" t="s">
        <v>1880</v>
      </c>
    </row>
    <row r="293" spans="1:5">
      <c r="A293" s="198">
        <v>404522490</v>
      </c>
      <c r="B293" s="198">
        <v>595488572.10281098</v>
      </c>
      <c r="D293" s="198" t="s">
        <v>1881</v>
      </c>
      <c r="E293" s="198" t="s">
        <v>1882</v>
      </c>
    </row>
    <row r="294" spans="1:5">
      <c r="A294" s="198">
        <v>404533292</v>
      </c>
      <c r="B294" s="198">
        <v>595499374.10294294</v>
      </c>
      <c r="D294" s="198" t="s">
        <v>1883</v>
      </c>
      <c r="E294" s="198" t="s">
        <v>1884</v>
      </c>
    </row>
    <row r="295" spans="1:5">
      <c r="A295" s="198">
        <v>404663104</v>
      </c>
      <c r="B295" s="198">
        <v>595629186.10441101</v>
      </c>
      <c r="D295" s="198" t="s">
        <v>1885</v>
      </c>
      <c r="E295" s="198" t="s">
        <v>1886</v>
      </c>
    </row>
    <row r="296" spans="1:5">
      <c r="A296" s="198">
        <v>404781656</v>
      </c>
      <c r="B296" s="198">
        <v>595747738.10576296</v>
      </c>
      <c r="D296" s="198" t="s">
        <v>1887</v>
      </c>
      <c r="E296" s="198" t="s">
        <v>1888</v>
      </c>
    </row>
    <row r="297" spans="1:5">
      <c r="A297" s="198">
        <v>404868088</v>
      </c>
      <c r="B297" s="198">
        <v>595834170.10670698</v>
      </c>
      <c r="D297" s="198" t="s">
        <v>1889</v>
      </c>
      <c r="E297" s="198" t="s">
        <v>1890</v>
      </c>
    </row>
    <row r="298" spans="1:5">
      <c r="A298" s="198">
        <v>404925639</v>
      </c>
      <c r="B298" s="198">
        <v>595891721.10739303</v>
      </c>
      <c r="D298" s="198" t="s">
        <v>1891</v>
      </c>
      <c r="E298" s="198" t="s">
        <v>1892</v>
      </c>
    </row>
    <row r="299" spans="1:5">
      <c r="A299" s="198">
        <v>405040875</v>
      </c>
      <c r="B299" s="198">
        <v>596006957.10867798</v>
      </c>
      <c r="D299" s="198" t="s">
        <v>1893</v>
      </c>
      <c r="E299" s="198" t="s">
        <v>1894</v>
      </c>
    </row>
    <row r="300" spans="1:5">
      <c r="A300" s="198">
        <v>405109251</v>
      </c>
      <c r="B300" s="198">
        <v>596075333.10947502</v>
      </c>
      <c r="D300" s="198" t="s">
        <v>1895</v>
      </c>
      <c r="E300" s="198" t="s">
        <v>1896</v>
      </c>
    </row>
    <row r="301" spans="1:5">
      <c r="A301" s="198">
        <v>405300018</v>
      </c>
      <c r="B301" s="198">
        <v>596266100.11159801</v>
      </c>
      <c r="D301" s="198" t="s">
        <v>1897</v>
      </c>
      <c r="E301" s="198" t="s">
        <v>1898</v>
      </c>
    </row>
    <row r="302" spans="1:5">
      <c r="A302" s="198">
        <v>405386405</v>
      </c>
      <c r="B302" s="198">
        <v>596352487.11258399</v>
      </c>
      <c r="D302" s="198" t="s">
        <v>1899</v>
      </c>
      <c r="E302" s="198" t="s">
        <v>1900</v>
      </c>
    </row>
    <row r="303" spans="1:5">
      <c r="A303" s="198">
        <v>405472805</v>
      </c>
      <c r="B303" s="198">
        <v>596438887.113554</v>
      </c>
      <c r="D303" s="198" t="s">
        <v>1901</v>
      </c>
      <c r="E303" s="198" t="s">
        <v>1902</v>
      </c>
    </row>
    <row r="304" spans="1:5">
      <c r="A304" s="198">
        <v>405559168</v>
      </c>
      <c r="B304" s="198">
        <v>596525250.11455703</v>
      </c>
      <c r="D304" s="198" t="s">
        <v>1903</v>
      </c>
      <c r="E304" s="198" t="s">
        <v>1904</v>
      </c>
    </row>
    <row r="305" spans="1:5">
      <c r="A305" s="198">
        <v>405616766</v>
      </c>
      <c r="B305" s="198">
        <v>596582848.11519694</v>
      </c>
      <c r="D305" s="198" t="s">
        <v>1905</v>
      </c>
      <c r="E305" s="198" t="s">
        <v>1906</v>
      </c>
    </row>
    <row r="306" spans="1:5">
      <c r="A306" s="198">
        <v>405731950</v>
      </c>
      <c r="B306" s="198">
        <v>596698032.11649597</v>
      </c>
      <c r="D306" s="198" t="s">
        <v>1907</v>
      </c>
      <c r="E306" s="198" t="s">
        <v>1908</v>
      </c>
    </row>
    <row r="307" spans="1:5">
      <c r="A307" s="198">
        <v>405818345</v>
      </c>
      <c r="B307" s="198">
        <v>596784427.11746395</v>
      </c>
      <c r="D307" s="198" t="s">
        <v>1909</v>
      </c>
      <c r="E307" s="198" t="s">
        <v>1910</v>
      </c>
    </row>
    <row r="308" spans="1:5">
      <c r="A308" s="198">
        <v>405904731</v>
      </c>
      <c r="B308" s="198">
        <v>596870813.11842406</v>
      </c>
      <c r="D308" s="198" t="s">
        <v>1911</v>
      </c>
      <c r="E308" s="198" t="s">
        <v>1912</v>
      </c>
    </row>
    <row r="309" spans="1:5">
      <c r="A309" s="198">
        <v>405991138</v>
      </c>
      <c r="B309" s="198">
        <v>596957220.11937404</v>
      </c>
      <c r="D309" s="198" t="s">
        <v>1913</v>
      </c>
      <c r="E309" s="198" t="s">
        <v>1914</v>
      </c>
    </row>
    <row r="310" spans="1:5">
      <c r="A310" s="198">
        <v>406077533</v>
      </c>
      <c r="B310" s="198">
        <v>597043615.11990094</v>
      </c>
      <c r="D310" s="198" t="s">
        <v>1915</v>
      </c>
      <c r="E310" s="198" t="s">
        <v>1916</v>
      </c>
    </row>
    <row r="311" spans="1:5">
      <c r="A311" s="198">
        <v>406142346</v>
      </c>
      <c r="B311" s="198">
        <v>597108428.12063503</v>
      </c>
      <c r="D311" s="198" t="s">
        <v>1917</v>
      </c>
      <c r="E311" s="198" t="s">
        <v>1918</v>
      </c>
    </row>
    <row r="312" spans="1:5">
      <c r="A312" s="198">
        <v>406250307</v>
      </c>
      <c r="B312" s="198">
        <v>597216389.12184203</v>
      </c>
      <c r="D312" s="198" t="s">
        <v>1919</v>
      </c>
      <c r="E312" s="198" t="s">
        <v>1920</v>
      </c>
    </row>
    <row r="313" spans="1:5">
      <c r="A313" s="198">
        <v>406336696</v>
      </c>
      <c r="B313" s="198">
        <v>597302778.12280905</v>
      </c>
      <c r="D313" s="198" t="s">
        <v>1921</v>
      </c>
      <c r="E313" s="198" t="s">
        <v>1922</v>
      </c>
    </row>
    <row r="314" spans="1:5">
      <c r="A314" s="198">
        <v>406423090</v>
      </c>
      <c r="B314" s="198">
        <v>597389172.12375605</v>
      </c>
      <c r="D314" s="198" t="s">
        <v>1923</v>
      </c>
      <c r="E314" s="198" t="s">
        <v>1924</v>
      </c>
    </row>
    <row r="315" spans="1:5">
      <c r="A315" s="198">
        <v>406480673</v>
      </c>
      <c r="B315" s="198">
        <v>597446755.12441194</v>
      </c>
      <c r="D315" s="198" t="s">
        <v>1925</v>
      </c>
      <c r="E315" s="198" t="s">
        <v>1926</v>
      </c>
    </row>
    <row r="316" spans="1:5">
      <c r="A316" s="198">
        <v>406592261</v>
      </c>
      <c r="B316" s="198">
        <v>597558343.12565899</v>
      </c>
      <c r="D316" s="198" t="s">
        <v>1927</v>
      </c>
      <c r="E316" s="198" t="s">
        <v>1928</v>
      </c>
    </row>
    <row r="317" spans="1:5">
      <c r="A317" s="198">
        <v>406682260</v>
      </c>
      <c r="B317" s="198">
        <v>597648342.12668097</v>
      </c>
      <c r="D317" s="198" t="s">
        <v>1929</v>
      </c>
      <c r="E317" s="198" t="s">
        <v>1930</v>
      </c>
    </row>
    <row r="318" spans="1:5">
      <c r="A318" s="198">
        <v>406761445</v>
      </c>
      <c r="B318" s="198">
        <v>597727527.12756002</v>
      </c>
      <c r="D318" s="198" t="s">
        <v>1931</v>
      </c>
      <c r="E318" s="198" t="s">
        <v>1932</v>
      </c>
    </row>
    <row r="319" spans="1:5">
      <c r="A319" s="198">
        <v>406855042</v>
      </c>
      <c r="B319" s="198">
        <v>597821124.12858105</v>
      </c>
      <c r="D319" s="198" t="s">
        <v>1933</v>
      </c>
      <c r="E319" s="198" t="s">
        <v>1934</v>
      </c>
    </row>
    <row r="320" spans="1:5">
      <c r="A320" s="198">
        <v>406941441</v>
      </c>
      <c r="B320" s="198">
        <v>597907523.12954199</v>
      </c>
      <c r="D320" s="198" t="s">
        <v>1935</v>
      </c>
      <c r="E320" s="198" t="s">
        <v>1936</v>
      </c>
    </row>
    <row r="321" spans="1:5">
      <c r="A321" s="198">
        <v>407006261</v>
      </c>
      <c r="B321" s="198">
        <v>597972343.13030696</v>
      </c>
      <c r="D321" s="198" t="s">
        <v>1937</v>
      </c>
      <c r="E321" s="198" t="s">
        <v>1938</v>
      </c>
    </row>
    <row r="322" spans="1:5">
      <c r="A322" s="198">
        <v>407114215</v>
      </c>
      <c r="B322" s="198">
        <v>598080297.13149297</v>
      </c>
      <c r="D322" s="198" t="s">
        <v>1939</v>
      </c>
      <c r="E322" s="198" t="s">
        <v>1940</v>
      </c>
    </row>
    <row r="323" spans="1:5">
      <c r="A323" s="198">
        <v>407193404</v>
      </c>
      <c r="B323" s="198">
        <v>598159486.13239002</v>
      </c>
      <c r="D323" s="198" t="s">
        <v>1941</v>
      </c>
      <c r="E323" s="198" t="s">
        <v>1942</v>
      </c>
    </row>
    <row r="324" spans="1:5">
      <c r="A324" s="198">
        <v>407279802</v>
      </c>
      <c r="B324" s="198">
        <v>598245884.13334596</v>
      </c>
      <c r="D324" s="198" t="s">
        <v>1943</v>
      </c>
      <c r="E324" s="198" t="s">
        <v>1944</v>
      </c>
    </row>
    <row r="325" spans="1:5">
      <c r="A325" s="198">
        <v>407366190</v>
      </c>
      <c r="B325" s="198">
        <v>598332272.13432395</v>
      </c>
      <c r="D325" s="198" t="s">
        <v>1945</v>
      </c>
      <c r="E325" s="198" t="s">
        <v>1946</v>
      </c>
    </row>
    <row r="326" spans="1:5">
      <c r="A326" s="198">
        <v>407459800</v>
      </c>
      <c r="B326" s="198">
        <v>598425882.13536406</v>
      </c>
      <c r="D326" s="198" t="s">
        <v>1947</v>
      </c>
      <c r="E326" s="198" t="s">
        <v>1948</v>
      </c>
    </row>
    <row r="327" spans="1:5">
      <c r="A327" s="198">
        <v>407521028</v>
      </c>
      <c r="B327" s="198">
        <v>598487110.13606703</v>
      </c>
      <c r="D327" s="198" t="s">
        <v>1949</v>
      </c>
      <c r="E327" s="198" t="s">
        <v>1950</v>
      </c>
    </row>
    <row r="328" spans="1:5">
      <c r="A328" s="198">
        <v>407632592</v>
      </c>
      <c r="B328" s="198">
        <v>598598674.13730705</v>
      </c>
      <c r="D328" s="198" t="s">
        <v>1951</v>
      </c>
      <c r="E328" s="198" t="s">
        <v>1952</v>
      </c>
    </row>
    <row r="329" spans="1:5">
      <c r="A329" s="198">
        <v>407715378</v>
      </c>
      <c r="B329" s="198">
        <v>598681460.13821697</v>
      </c>
      <c r="D329" s="198" t="s">
        <v>1953</v>
      </c>
      <c r="E329" s="198" t="s">
        <v>1954</v>
      </c>
    </row>
    <row r="330" spans="1:5">
      <c r="A330" s="198">
        <v>407805378</v>
      </c>
      <c r="B330" s="198">
        <v>598771460.13921797</v>
      </c>
      <c r="D330" s="198" t="s">
        <v>1955</v>
      </c>
      <c r="E330" s="198" t="s">
        <v>1956</v>
      </c>
    </row>
    <row r="331" spans="1:5">
      <c r="A331" s="198">
        <v>407873755</v>
      </c>
      <c r="B331" s="198">
        <v>598839837.139979</v>
      </c>
      <c r="D331" s="198" t="s">
        <v>1957</v>
      </c>
      <c r="E331" s="198" t="s">
        <v>1958</v>
      </c>
    </row>
    <row r="332" spans="1:5">
      <c r="A332" s="198">
        <v>407967351</v>
      </c>
      <c r="B332" s="198">
        <v>598933433.14104295</v>
      </c>
      <c r="D332" s="198" t="s">
        <v>1959</v>
      </c>
      <c r="E332" s="198" t="s">
        <v>1960</v>
      </c>
    </row>
    <row r="333" spans="1:5">
      <c r="A333" s="198">
        <v>408064552</v>
      </c>
      <c r="B333" s="198">
        <v>599030634.14214599</v>
      </c>
      <c r="D333" s="198" t="s">
        <v>1961</v>
      </c>
      <c r="E333" s="198" t="s">
        <v>1962</v>
      </c>
    </row>
    <row r="334" spans="1:5">
      <c r="A334" s="198">
        <v>408150941</v>
      </c>
      <c r="B334" s="198">
        <v>599117023.14307499</v>
      </c>
      <c r="D334" s="198" t="s">
        <v>1963</v>
      </c>
      <c r="E334" s="198" t="s">
        <v>1964</v>
      </c>
    </row>
    <row r="335" spans="1:5">
      <c r="A335" s="198">
        <v>408237339</v>
      </c>
      <c r="B335" s="198">
        <v>599203421.14403796</v>
      </c>
      <c r="D335" s="198" t="s">
        <v>1965</v>
      </c>
      <c r="E335" s="198" t="s">
        <v>1966</v>
      </c>
    </row>
    <row r="336" spans="1:5">
      <c r="A336" s="198">
        <v>408323778</v>
      </c>
      <c r="B336" s="198">
        <v>599289860.14501297</v>
      </c>
      <c r="D336" s="198" t="s">
        <v>1967</v>
      </c>
      <c r="E336" s="198" t="s">
        <v>1968</v>
      </c>
    </row>
    <row r="337" spans="1:5">
      <c r="A337" s="198">
        <v>408410160</v>
      </c>
      <c r="B337" s="198">
        <v>599376242.14601302</v>
      </c>
      <c r="D337" s="198" t="s">
        <v>1969</v>
      </c>
      <c r="E337" s="198" t="s">
        <v>1970</v>
      </c>
    </row>
    <row r="338" spans="1:5">
      <c r="A338" s="198">
        <v>408471361</v>
      </c>
      <c r="B338" s="198">
        <v>599437443.14668798</v>
      </c>
      <c r="D338" s="198" t="s">
        <v>1971</v>
      </c>
      <c r="E338" s="198" t="s">
        <v>1972</v>
      </c>
    </row>
    <row r="339" spans="1:5">
      <c r="A339" s="198">
        <v>408572114</v>
      </c>
      <c r="B339" s="198">
        <v>599538196.14780605</v>
      </c>
      <c r="D339" s="198" t="s">
        <v>1973</v>
      </c>
      <c r="E339" s="198" t="s">
        <v>1974</v>
      </c>
    </row>
    <row r="340" spans="1:5">
      <c r="A340" s="198">
        <v>408665757</v>
      </c>
      <c r="B340" s="198">
        <v>599631839.148862</v>
      </c>
      <c r="D340" s="198" t="s">
        <v>1975</v>
      </c>
      <c r="E340" s="198" t="s">
        <v>1976</v>
      </c>
    </row>
    <row r="341" spans="1:5">
      <c r="A341" s="198">
        <v>408755695</v>
      </c>
      <c r="B341" s="198">
        <v>599721777.14984405</v>
      </c>
      <c r="D341" s="198" t="s">
        <v>1977</v>
      </c>
      <c r="E341" s="198" t="s">
        <v>1978</v>
      </c>
    </row>
    <row r="342" spans="1:5">
      <c r="A342" s="198">
        <v>408842090</v>
      </c>
      <c r="B342" s="198">
        <v>599808172.15085006</v>
      </c>
      <c r="D342" s="198" t="s">
        <v>1979</v>
      </c>
      <c r="E342" s="198" t="s">
        <v>1980</v>
      </c>
    </row>
    <row r="343" spans="1:5">
      <c r="A343" s="198">
        <v>408899706</v>
      </c>
      <c r="B343" s="198">
        <v>599865788.15147603</v>
      </c>
      <c r="D343" s="198" t="s">
        <v>1981</v>
      </c>
      <c r="E343" s="198" t="s">
        <v>1982</v>
      </c>
    </row>
    <row r="344" spans="1:5">
      <c r="A344" s="198">
        <v>409266881</v>
      </c>
      <c r="B344" s="198">
        <v>600232963.15556896</v>
      </c>
      <c r="D344" s="198" t="s">
        <v>1983</v>
      </c>
      <c r="E344" s="198" t="s">
        <v>1984</v>
      </c>
    </row>
    <row r="345" spans="1:5">
      <c r="A345" s="198">
        <v>409360445</v>
      </c>
      <c r="B345" s="198">
        <v>600326527.15659499</v>
      </c>
      <c r="D345" s="198" t="s">
        <v>1985</v>
      </c>
      <c r="E345" s="198" t="s">
        <v>1986</v>
      </c>
    </row>
    <row r="346" spans="1:5">
      <c r="A346" s="198">
        <v>409446873</v>
      </c>
      <c r="B346" s="198">
        <v>600412955.15757406</v>
      </c>
      <c r="D346" s="198" t="s">
        <v>1987</v>
      </c>
      <c r="E346" s="198" t="s">
        <v>1988</v>
      </c>
    </row>
    <row r="347" spans="1:5">
      <c r="A347" s="198">
        <v>409533236</v>
      </c>
      <c r="B347" s="198">
        <v>600499318.15849197</v>
      </c>
      <c r="D347" s="198" t="s">
        <v>1989</v>
      </c>
      <c r="E347" s="198" t="s">
        <v>1990</v>
      </c>
    </row>
    <row r="348" spans="1:5">
      <c r="A348" s="198">
        <v>409619634</v>
      </c>
      <c r="B348" s="198">
        <v>600585716.15945995</v>
      </c>
      <c r="D348" s="198" t="s">
        <v>1991</v>
      </c>
      <c r="E348" s="198" t="s">
        <v>1992</v>
      </c>
    </row>
    <row r="349" spans="1:5">
      <c r="A349" s="198">
        <v>409706030</v>
      </c>
      <c r="B349" s="198">
        <v>600672112.16039705</v>
      </c>
      <c r="D349" s="198" t="s">
        <v>1993</v>
      </c>
      <c r="E349" s="198" t="s">
        <v>1994</v>
      </c>
    </row>
    <row r="350" spans="1:5">
      <c r="A350" s="198">
        <v>409785231</v>
      </c>
      <c r="B350" s="198">
        <v>600751313.16130805</v>
      </c>
      <c r="D350" s="198" t="s">
        <v>1995</v>
      </c>
      <c r="E350" s="198" t="s">
        <v>1996</v>
      </c>
    </row>
    <row r="351" spans="1:5">
      <c r="A351" s="198">
        <v>409846438</v>
      </c>
      <c r="B351" s="198">
        <v>600812520.16199303</v>
      </c>
      <c r="D351" s="198" t="s">
        <v>1997</v>
      </c>
      <c r="E351" s="198" t="s">
        <v>1998</v>
      </c>
    </row>
    <row r="352" spans="1:5">
      <c r="A352" s="198">
        <v>409943625</v>
      </c>
      <c r="B352" s="198">
        <v>600909707.16304803</v>
      </c>
      <c r="D352" s="198" t="s">
        <v>1999</v>
      </c>
      <c r="E352" s="198" t="s">
        <v>2000</v>
      </c>
    </row>
    <row r="353" spans="1:5">
      <c r="A353" s="198">
        <v>410138018</v>
      </c>
      <c r="B353" s="198">
        <v>601104100.16520298</v>
      </c>
      <c r="D353" s="198" t="s">
        <v>2001</v>
      </c>
      <c r="E353" s="198" t="s">
        <v>2002</v>
      </c>
    </row>
    <row r="354" spans="1:5">
      <c r="A354" s="198">
        <v>410224417</v>
      </c>
      <c r="B354" s="198">
        <v>601190499.16614497</v>
      </c>
      <c r="D354" s="198" t="s">
        <v>2003</v>
      </c>
      <c r="E354" s="198" t="s">
        <v>2004</v>
      </c>
    </row>
    <row r="355" spans="1:5">
      <c r="A355" s="198">
        <v>410310814</v>
      </c>
      <c r="B355" s="198">
        <v>601276896.16711295</v>
      </c>
      <c r="D355" s="198" t="s">
        <v>2005</v>
      </c>
      <c r="E355" s="198" t="s">
        <v>2006</v>
      </c>
    </row>
    <row r="356" spans="1:5">
      <c r="A356" s="198">
        <v>410386417</v>
      </c>
      <c r="B356" s="198">
        <v>601352499.167974</v>
      </c>
      <c r="D356" s="198" t="s">
        <v>2007</v>
      </c>
      <c r="E356" s="198" t="s">
        <v>2008</v>
      </c>
    </row>
    <row r="357" spans="1:5">
      <c r="A357" s="198">
        <v>410483609</v>
      </c>
      <c r="B357" s="198">
        <v>601449691.16903996</v>
      </c>
      <c r="D357" s="198" t="s">
        <v>2009</v>
      </c>
      <c r="E357" s="198" t="s">
        <v>2010</v>
      </c>
    </row>
    <row r="358" spans="1:5">
      <c r="A358" s="198">
        <v>410570007</v>
      </c>
      <c r="B358" s="198">
        <v>601536089.169994</v>
      </c>
      <c r="D358" s="198" t="s">
        <v>2011</v>
      </c>
      <c r="E358" s="198" t="s">
        <v>2012</v>
      </c>
    </row>
    <row r="359" spans="1:5">
      <c r="A359" s="198">
        <v>410656407</v>
      </c>
      <c r="B359" s="198">
        <v>601622489.17095602</v>
      </c>
      <c r="D359" s="198" t="s">
        <v>2013</v>
      </c>
      <c r="E359" s="198" t="s">
        <v>2014</v>
      </c>
    </row>
    <row r="360" spans="1:5">
      <c r="A360" s="198">
        <v>410742807</v>
      </c>
      <c r="B360" s="198">
        <v>601708889.17190897</v>
      </c>
      <c r="D360" s="198" t="s">
        <v>2015</v>
      </c>
      <c r="E360" s="198" t="s">
        <v>2016</v>
      </c>
    </row>
    <row r="361" spans="1:5">
      <c r="A361" s="198">
        <v>410829206</v>
      </c>
      <c r="B361" s="198">
        <v>601795288.172876</v>
      </c>
      <c r="D361" s="198" t="s">
        <v>2017</v>
      </c>
      <c r="E361" s="198" t="s">
        <v>2018</v>
      </c>
    </row>
    <row r="362" spans="1:5">
      <c r="A362" s="198">
        <v>410915604</v>
      </c>
      <c r="B362" s="198">
        <v>601881686.173841</v>
      </c>
      <c r="D362" s="198" t="s">
        <v>2019</v>
      </c>
      <c r="E362" s="198" t="s">
        <v>2020</v>
      </c>
    </row>
    <row r="363" spans="1:5">
      <c r="A363" s="198">
        <v>410994818</v>
      </c>
      <c r="B363" s="198">
        <v>601960900.17473698</v>
      </c>
      <c r="D363" s="198" t="s">
        <v>2021</v>
      </c>
      <c r="E363" s="198" t="s">
        <v>2022</v>
      </c>
    </row>
    <row r="364" spans="1:5">
      <c r="A364" s="198">
        <v>411077606</v>
      </c>
      <c r="B364" s="198">
        <v>602043688.17565501</v>
      </c>
      <c r="D364" s="198" t="s">
        <v>2023</v>
      </c>
      <c r="E364" s="198" t="s">
        <v>2024</v>
      </c>
    </row>
    <row r="365" spans="1:5">
      <c r="A365" s="198">
        <v>411138817</v>
      </c>
      <c r="B365" s="198">
        <v>602104899.17633402</v>
      </c>
      <c r="D365" s="198" t="s">
        <v>2025</v>
      </c>
      <c r="E365" s="198" t="s">
        <v>2026</v>
      </c>
    </row>
    <row r="366" spans="1:5">
      <c r="A366" s="198">
        <v>411347600</v>
      </c>
      <c r="B366" s="198">
        <v>602313682.17864394</v>
      </c>
      <c r="D366" s="198" t="s">
        <v>2027</v>
      </c>
      <c r="E366" s="198" t="s">
        <v>2028</v>
      </c>
    </row>
    <row r="367" spans="1:5">
      <c r="A367" s="198">
        <v>411434002</v>
      </c>
      <c r="B367" s="198">
        <v>602400084.1796</v>
      </c>
      <c r="D367" s="198" t="s">
        <v>2029</v>
      </c>
      <c r="E367" s="198" t="s">
        <v>2030</v>
      </c>
    </row>
    <row r="368" spans="1:5">
      <c r="A368" s="198">
        <v>411520401</v>
      </c>
      <c r="B368" s="198">
        <v>602486483.18056095</v>
      </c>
      <c r="D368" s="198" t="s">
        <v>2031</v>
      </c>
      <c r="E368" s="198" t="s">
        <v>2032</v>
      </c>
    </row>
    <row r="369" spans="1:5">
      <c r="A369" s="198">
        <v>411567205</v>
      </c>
      <c r="B369" s="198">
        <v>602533287.18109596</v>
      </c>
      <c r="D369" s="198" t="s">
        <v>2033</v>
      </c>
      <c r="E369" s="198" t="s">
        <v>2034</v>
      </c>
    </row>
    <row r="370" spans="1:5">
      <c r="A370" s="198">
        <v>411686023</v>
      </c>
      <c r="B370" s="198">
        <v>602652105.18243206</v>
      </c>
      <c r="D370" s="198" t="s">
        <v>2035</v>
      </c>
      <c r="E370" s="198" t="s">
        <v>2036</v>
      </c>
    </row>
    <row r="371" spans="1:5">
      <c r="A371" s="198">
        <v>411768806</v>
      </c>
      <c r="B371" s="198">
        <v>602734888.18334103</v>
      </c>
      <c r="D371" s="198" t="s">
        <v>2037</v>
      </c>
      <c r="E371" s="198" t="s">
        <v>2038</v>
      </c>
    </row>
    <row r="372" spans="1:5">
      <c r="A372" s="198">
        <v>411866002</v>
      </c>
      <c r="B372" s="198">
        <v>602832084.18441606</v>
      </c>
      <c r="D372" s="198" t="s">
        <v>2039</v>
      </c>
      <c r="E372" s="198" t="s">
        <v>2040</v>
      </c>
    </row>
    <row r="373" spans="1:5">
      <c r="A373" s="198">
        <v>411952402</v>
      </c>
      <c r="B373" s="198">
        <v>602918484.18544996</v>
      </c>
      <c r="D373" s="198" t="s">
        <v>2041</v>
      </c>
      <c r="E373" s="198" t="s">
        <v>2042</v>
      </c>
    </row>
    <row r="374" spans="1:5">
      <c r="A374" s="198">
        <v>412038801</v>
      </c>
      <c r="B374" s="198">
        <v>603004883.18641603</v>
      </c>
      <c r="D374" s="198" t="s">
        <v>2043</v>
      </c>
      <c r="E374" s="198" t="s">
        <v>2044</v>
      </c>
    </row>
    <row r="375" spans="1:5">
      <c r="A375" s="198">
        <v>412125203</v>
      </c>
      <c r="B375" s="198">
        <v>603091285.18737996</v>
      </c>
      <c r="D375" s="198" t="s">
        <v>2045</v>
      </c>
      <c r="E375" s="198" t="s">
        <v>2046</v>
      </c>
    </row>
    <row r="376" spans="1:5">
      <c r="A376" s="198">
        <v>412208000</v>
      </c>
      <c r="B376" s="198">
        <v>603174082.18830299</v>
      </c>
      <c r="D376" s="198" t="s">
        <v>2047</v>
      </c>
      <c r="E376" s="198" t="s">
        <v>2048</v>
      </c>
    </row>
    <row r="377" spans="1:5">
      <c r="A377" s="198">
        <v>412258412</v>
      </c>
      <c r="B377" s="198">
        <v>603224494.18888402</v>
      </c>
      <c r="D377" s="198" t="s">
        <v>2049</v>
      </c>
      <c r="E377" s="198" t="s">
        <v>2050</v>
      </c>
    </row>
    <row r="378" spans="1:5">
      <c r="A378" s="198">
        <v>412359202</v>
      </c>
      <c r="B378" s="198">
        <v>603325284.19000399</v>
      </c>
      <c r="D378" s="198" t="s">
        <v>2051</v>
      </c>
      <c r="E378" s="198" t="s">
        <v>2052</v>
      </c>
    </row>
    <row r="379" spans="1:5">
      <c r="A379" s="198">
        <v>412470808</v>
      </c>
      <c r="B379" s="198">
        <v>603436890.19124997</v>
      </c>
      <c r="D379" s="198" t="s">
        <v>2053</v>
      </c>
      <c r="E379" s="198" t="s">
        <v>2054</v>
      </c>
    </row>
    <row r="380" spans="1:5">
      <c r="A380" s="198">
        <v>412553608</v>
      </c>
      <c r="B380" s="198">
        <v>603519690.19217503</v>
      </c>
      <c r="D380" s="198" t="s">
        <v>2055</v>
      </c>
      <c r="E380" s="198" t="s">
        <v>2056</v>
      </c>
    </row>
    <row r="381" spans="1:5">
      <c r="A381" s="198">
        <v>412643612</v>
      </c>
      <c r="B381" s="198">
        <v>603609694.19319201</v>
      </c>
      <c r="D381" s="198" t="s">
        <v>2057</v>
      </c>
      <c r="E381" s="198" t="s">
        <v>2058</v>
      </c>
    </row>
    <row r="382" spans="1:5">
      <c r="A382" s="198">
        <v>412730950</v>
      </c>
      <c r="B382" s="198">
        <v>603697032.19417095</v>
      </c>
      <c r="D382" s="198" t="s">
        <v>2059</v>
      </c>
      <c r="E382" s="198" t="s">
        <v>2060</v>
      </c>
    </row>
    <row r="383" spans="1:5">
      <c r="A383" s="198">
        <v>412791212</v>
      </c>
      <c r="B383" s="198">
        <v>603757294.19484901</v>
      </c>
      <c r="D383" s="198" t="s">
        <v>2061</v>
      </c>
      <c r="E383" s="198" t="s">
        <v>2062</v>
      </c>
    </row>
    <row r="384" spans="1:5">
      <c r="A384" s="198">
        <v>412877615</v>
      </c>
      <c r="B384" s="198">
        <v>603843697.19581497</v>
      </c>
      <c r="D384" s="198" t="s">
        <v>2063</v>
      </c>
      <c r="E384" s="198" t="s">
        <v>2064</v>
      </c>
    </row>
    <row r="385" spans="1:5">
      <c r="A385" s="198">
        <v>412964013</v>
      </c>
      <c r="B385" s="198">
        <v>603930095.19679201</v>
      </c>
      <c r="D385" s="198" t="s">
        <v>2065</v>
      </c>
      <c r="E385" s="198" t="s">
        <v>2066</v>
      </c>
    </row>
    <row r="386" spans="1:5">
      <c r="A386" s="198">
        <v>413075618</v>
      </c>
      <c r="B386" s="198">
        <v>604041700.198053</v>
      </c>
      <c r="D386" s="198" t="s">
        <v>2067</v>
      </c>
      <c r="E386" s="198" t="s">
        <v>2068</v>
      </c>
    </row>
    <row r="387" spans="1:5">
      <c r="A387" s="198">
        <v>413162020</v>
      </c>
      <c r="B387" s="198">
        <v>604128102.19902396</v>
      </c>
      <c r="D387" s="198" t="s">
        <v>2069</v>
      </c>
      <c r="E387" s="198" t="s">
        <v>2070</v>
      </c>
    </row>
    <row r="388" spans="1:5">
      <c r="A388" s="198">
        <v>413248423</v>
      </c>
      <c r="B388" s="198">
        <v>604214505.19999099</v>
      </c>
      <c r="D388" s="198" t="s">
        <v>2071</v>
      </c>
      <c r="E388" s="198" t="s">
        <v>2072</v>
      </c>
    </row>
    <row r="389" spans="1:5">
      <c r="A389" s="198">
        <v>413334828</v>
      </c>
      <c r="B389" s="198">
        <v>604300910.20095801</v>
      </c>
      <c r="D389" s="198" t="s">
        <v>2073</v>
      </c>
      <c r="E389" s="198" t="s">
        <v>2074</v>
      </c>
    </row>
    <row r="390" spans="1:5">
      <c r="A390" s="198">
        <v>413421229</v>
      </c>
      <c r="B390" s="198">
        <v>604387311.20192599</v>
      </c>
      <c r="D390" s="198" t="s">
        <v>2075</v>
      </c>
      <c r="E390" s="198" t="s">
        <v>2076</v>
      </c>
    </row>
    <row r="391" spans="1:5">
      <c r="A391" s="198">
        <v>413453619</v>
      </c>
      <c r="B391" s="198">
        <v>604419701.20229197</v>
      </c>
      <c r="D391" s="198" t="s">
        <v>2077</v>
      </c>
      <c r="E391" s="198" t="s">
        <v>2078</v>
      </c>
    </row>
    <row r="392" spans="1:5">
      <c r="A392" s="198">
        <v>413594033</v>
      </c>
      <c r="B392" s="198">
        <v>604560115.20387495</v>
      </c>
      <c r="D392" s="198" t="s">
        <v>2079</v>
      </c>
      <c r="E392" s="198" t="s">
        <v>2080</v>
      </c>
    </row>
    <row r="393" spans="1:5">
      <c r="A393" s="198">
        <v>413673234</v>
      </c>
      <c r="B393" s="198">
        <v>604639316.20475399</v>
      </c>
      <c r="D393" s="198" t="s">
        <v>2081</v>
      </c>
      <c r="E393" s="198" t="s">
        <v>2082</v>
      </c>
    </row>
    <row r="394" spans="1:5">
      <c r="A394" s="198">
        <v>413766861</v>
      </c>
      <c r="B394" s="198">
        <v>604732943.20583296</v>
      </c>
      <c r="D394" s="198" t="s">
        <v>2083</v>
      </c>
      <c r="E394" s="198" t="s">
        <v>2084</v>
      </c>
    </row>
    <row r="395" spans="1:5">
      <c r="A395" s="198">
        <v>413824465</v>
      </c>
      <c r="B395" s="198">
        <v>604790547.20646095</v>
      </c>
      <c r="D395" s="198" t="s">
        <v>2085</v>
      </c>
      <c r="E395" s="198" t="s">
        <v>2086</v>
      </c>
    </row>
    <row r="396" spans="1:5">
      <c r="A396" s="198">
        <v>414113118</v>
      </c>
      <c r="B396" s="198">
        <v>605079200.20974004</v>
      </c>
      <c r="D396" s="198" t="s">
        <v>2087</v>
      </c>
      <c r="E396" s="198" t="s">
        <v>2088</v>
      </c>
    </row>
    <row r="397" spans="1:5">
      <c r="A397" s="198">
        <v>414170077</v>
      </c>
      <c r="B397" s="198">
        <v>605136159.21035504</v>
      </c>
      <c r="D397" s="198" t="s">
        <v>2089</v>
      </c>
      <c r="E397" s="198" t="s">
        <v>2090</v>
      </c>
    </row>
    <row r="398" spans="1:5">
      <c r="A398" s="198">
        <v>414447343</v>
      </c>
      <c r="B398" s="198">
        <v>605413425.21349001</v>
      </c>
      <c r="D398" s="198" t="s">
        <v>2091</v>
      </c>
      <c r="E398" s="198" t="s">
        <v>2092</v>
      </c>
    </row>
    <row r="399" spans="1:5">
      <c r="A399" s="198">
        <v>414497693</v>
      </c>
      <c r="B399" s="198">
        <v>605463775.21406305</v>
      </c>
      <c r="D399" s="198" t="s">
        <v>2093</v>
      </c>
      <c r="E399" s="198" t="s">
        <v>2094</v>
      </c>
    </row>
    <row r="400" spans="1:5">
      <c r="A400" s="198">
        <v>414630949</v>
      </c>
      <c r="B400" s="198">
        <v>605597031.21555603</v>
      </c>
      <c r="D400" s="198" t="s">
        <v>2095</v>
      </c>
      <c r="E400" s="198" t="s">
        <v>2096</v>
      </c>
    </row>
    <row r="401" spans="1:5">
      <c r="A401" s="198">
        <v>414695706</v>
      </c>
      <c r="B401" s="198">
        <v>605661788.21628797</v>
      </c>
      <c r="D401" s="198" t="s">
        <v>2097</v>
      </c>
      <c r="E401" s="198" t="s">
        <v>2098</v>
      </c>
    </row>
    <row r="402" spans="1:5">
      <c r="A402" s="198">
        <v>414976504</v>
      </c>
      <c r="B402" s="198">
        <v>605942586.219455</v>
      </c>
      <c r="D402" s="198" t="s">
        <v>2099</v>
      </c>
      <c r="E402" s="198" t="s">
        <v>2100</v>
      </c>
    </row>
    <row r="403" spans="1:5">
      <c r="A403" s="198">
        <v>415221366</v>
      </c>
      <c r="B403" s="198">
        <v>606187448.22219896</v>
      </c>
      <c r="D403" s="198" t="s">
        <v>2101</v>
      </c>
      <c r="E403" s="198" t="s">
        <v>2102</v>
      </c>
    </row>
    <row r="404" spans="1:5">
      <c r="A404" s="198">
        <v>415264522</v>
      </c>
      <c r="B404" s="198">
        <v>606230604.22271299</v>
      </c>
      <c r="D404" s="198" t="s">
        <v>2103</v>
      </c>
      <c r="E404" s="198" t="s">
        <v>2104</v>
      </c>
    </row>
    <row r="405" spans="1:5">
      <c r="A405" s="198">
        <v>415476906</v>
      </c>
      <c r="B405" s="198">
        <v>606442988.22509694</v>
      </c>
      <c r="D405" s="198" t="s">
        <v>2105</v>
      </c>
      <c r="E405" s="198" t="s">
        <v>2106</v>
      </c>
    </row>
    <row r="406" spans="1:5">
      <c r="A406" s="198">
        <v>415581313</v>
      </c>
      <c r="B406" s="198">
        <v>606547395.22629702</v>
      </c>
      <c r="D406" s="198" t="s">
        <v>2107</v>
      </c>
      <c r="E406" s="198" t="s">
        <v>2108</v>
      </c>
    </row>
    <row r="407" spans="1:5">
      <c r="A407" s="198">
        <v>415664117</v>
      </c>
      <c r="B407" s="198">
        <v>606630199.22721899</v>
      </c>
      <c r="D407" s="198" t="s">
        <v>2109</v>
      </c>
      <c r="E407" s="198" t="s">
        <v>2110</v>
      </c>
    </row>
    <row r="408" spans="1:5">
      <c r="A408" s="198">
        <v>415754125</v>
      </c>
      <c r="B408" s="198">
        <v>606720207.22824204</v>
      </c>
      <c r="D408" s="198" t="s">
        <v>2111</v>
      </c>
      <c r="E408" s="198" t="s">
        <v>2112</v>
      </c>
    </row>
    <row r="409" spans="1:5">
      <c r="A409" s="198">
        <v>415829726</v>
      </c>
      <c r="B409" s="198">
        <v>606795808.22907901</v>
      </c>
      <c r="D409" s="198" t="s">
        <v>2113</v>
      </c>
      <c r="E409" s="198" t="s">
        <v>2114</v>
      </c>
    </row>
    <row r="410" spans="1:5">
      <c r="A410" s="198">
        <v>415894527</v>
      </c>
      <c r="B410" s="198">
        <v>606860609.229828</v>
      </c>
      <c r="D410" s="198" t="s">
        <v>2115</v>
      </c>
      <c r="E410" s="198" t="s">
        <v>2116</v>
      </c>
    </row>
    <row r="411" spans="1:5">
      <c r="A411" s="198">
        <v>415952125</v>
      </c>
      <c r="B411" s="198">
        <v>606918207.23045897</v>
      </c>
      <c r="D411" s="198" t="s">
        <v>2117</v>
      </c>
      <c r="E411" s="198" t="s">
        <v>2118</v>
      </c>
    </row>
    <row r="412" spans="1:5">
      <c r="A412" s="198">
        <v>416038525</v>
      </c>
      <c r="B412" s="198">
        <v>607004607.23145103</v>
      </c>
      <c r="D412" s="198" t="s">
        <v>2119</v>
      </c>
      <c r="E412" s="198" t="s">
        <v>2120</v>
      </c>
    </row>
    <row r="413" spans="1:5">
      <c r="A413" s="198">
        <v>416186144</v>
      </c>
      <c r="B413" s="198">
        <v>607152226.23312902</v>
      </c>
      <c r="D413" s="198" t="s">
        <v>2121</v>
      </c>
      <c r="E413" s="198" t="s">
        <v>2122</v>
      </c>
    </row>
    <row r="414" spans="1:5">
      <c r="A414" s="198">
        <v>416272549</v>
      </c>
      <c r="B414" s="198">
        <v>607238631.23410904</v>
      </c>
      <c r="D414" s="198" t="s">
        <v>2123</v>
      </c>
      <c r="E414" s="198" t="s">
        <v>2124</v>
      </c>
    </row>
    <row r="415" spans="1:5">
      <c r="A415" s="198">
        <v>416358953</v>
      </c>
      <c r="B415" s="198">
        <v>607325035.23508704</v>
      </c>
      <c r="D415" s="198" t="s">
        <v>2125</v>
      </c>
      <c r="E415" s="198" t="s">
        <v>2126</v>
      </c>
    </row>
    <row r="416" spans="1:5">
      <c r="A416" s="198">
        <v>416416553</v>
      </c>
      <c r="B416" s="198">
        <v>607382635.23572898</v>
      </c>
      <c r="D416" s="198" t="s">
        <v>2127</v>
      </c>
      <c r="E416" s="198" t="s">
        <v>2128</v>
      </c>
    </row>
    <row r="417" spans="1:5">
      <c r="A417" s="198">
        <v>416513755</v>
      </c>
      <c r="B417" s="198">
        <v>607479837.23681605</v>
      </c>
      <c r="D417" s="198" t="s">
        <v>2129</v>
      </c>
      <c r="E417" s="198" t="s">
        <v>2130</v>
      </c>
    </row>
    <row r="418" spans="1:5">
      <c r="A418" s="198">
        <v>416600163</v>
      </c>
      <c r="B418" s="198">
        <v>607566245.23779094</v>
      </c>
      <c r="D418" s="198" t="s">
        <v>2131</v>
      </c>
      <c r="E418" s="198" t="s">
        <v>2132</v>
      </c>
    </row>
    <row r="419" spans="1:5">
      <c r="A419" s="198">
        <v>416790976</v>
      </c>
      <c r="B419" s="198">
        <v>607757058.23999405</v>
      </c>
      <c r="D419" s="198" t="s">
        <v>2133</v>
      </c>
      <c r="E419" s="198" t="s">
        <v>2134</v>
      </c>
    </row>
    <row r="420" spans="1:5">
      <c r="A420" s="198">
        <v>416798165</v>
      </c>
      <c r="B420" s="198">
        <v>607764247.24007404</v>
      </c>
      <c r="D420" s="198" t="s">
        <v>2135</v>
      </c>
      <c r="E420" s="198" t="s">
        <v>2136</v>
      </c>
    </row>
    <row r="421" spans="1:5">
      <c r="A421" s="198">
        <v>416960183</v>
      </c>
      <c r="B421" s="198">
        <v>607926265.24190605</v>
      </c>
      <c r="D421" s="198" t="s">
        <v>2137</v>
      </c>
      <c r="E421" s="198" t="s">
        <v>2138</v>
      </c>
    </row>
    <row r="422" spans="1:5">
      <c r="A422" s="198">
        <v>417042988</v>
      </c>
      <c r="B422" s="198">
        <v>608009070.24284196</v>
      </c>
      <c r="D422" s="198" t="s">
        <v>2139</v>
      </c>
      <c r="E422" s="198" t="s">
        <v>2140</v>
      </c>
    </row>
    <row r="423" spans="1:5">
      <c r="A423" s="198">
        <v>417132992</v>
      </c>
      <c r="B423" s="198">
        <v>608099074.24388099</v>
      </c>
      <c r="D423" s="198" t="s">
        <v>2141</v>
      </c>
      <c r="E423" s="198" t="s">
        <v>2142</v>
      </c>
    </row>
    <row r="424" spans="1:5">
      <c r="A424" s="198">
        <v>417208595</v>
      </c>
      <c r="B424" s="198">
        <v>608174677.24472499</v>
      </c>
      <c r="D424" s="198" t="s">
        <v>2143</v>
      </c>
      <c r="E424" s="198" t="s">
        <v>2144</v>
      </c>
    </row>
    <row r="425" spans="1:5">
      <c r="A425" s="198">
        <v>417298601</v>
      </c>
      <c r="B425" s="198">
        <v>608264683.245749</v>
      </c>
      <c r="D425" s="198" t="s">
        <v>2145</v>
      </c>
      <c r="E425" s="198" t="s">
        <v>2146</v>
      </c>
    </row>
    <row r="426" spans="1:5">
      <c r="A426" s="198">
        <v>417395808</v>
      </c>
      <c r="B426" s="198">
        <v>608361890.24687397</v>
      </c>
      <c r="D426" s="198" t="s">
        <v>2147</v>
      </c>
      <c r="E426" s="198" t="s">
        <v>2148</v>
      </c>
    </row>
    <row r="427" spans="1:5">
      <c r="A427" s="198">
        <v>417475012</v>
      </c>
      <c r="B427" s="198">
        <v>608441094.24776006</v>
      </c>
      <c r="D427" s="198" t="s">
        <v>2149</v>
      </c>
      <c r="E427" s="198" t="s">
        <v>2150</v>
      </c>
    </row>
    <row r="428" spans="1:5">
      <c r="A428" s="198">
        <v>417554212</v>
      </c>
      <c r="B428" s="198">
        <v>608520294.24865699</v>
      </c>
      <c r="D428" s="198" t="s">
        <v>2151</v>
      </c>
      <c r="E428" s="198" t="s">
        <v>2152</v>
      </c>
    </row>
    <row r="429" spans="1:5">
      <c r="A429" s="198">
        <v>417622612</v>
      </c>
      <c r="B429" s="198">
        <v>608588694.24945199</v>
      </c>
      <c r="D429" s="198" t="s">
        <v>2153</v>
      </c>
      <c r="E429" s="198" t="s">
        <v>2154</v>
      </c>
    </row>
    <row r="430" spans="1:5">
      <c r="A430" s="198">
        <v>417734225</v>
      </c>
      <c r="B430" s="198">
        <v>608700307.25073302</v>
      </c>
      <c r="D430" s="198" t="s">
        <v>2155</v>
      </c>
      <c r="E430" s="198" t="s">
        <v>2156</v>
      </c>
    </row>
    <row r="431" spans="1:5">
      <c r="A431" s="198">
        <v>417813428</v>
      </c>
      <c r="B431" s="198">
        <v>608779510.25162697</v>
      </c>
      <c r="D431" s="198" t="s">
        <v>2157</v>
      </c>
      <c r="E431" s="198" t="s">
        <v>2158</v>
      </c>
    </row>
    <row r="432" spans="1:5">
      <c r="A432" s="198">
        <v>417910631</v>
      </c>
      <c r="B432" s="198">
        <v>608876713.25274801</v>
      </c>
      <c r="D432" s="198" t="s">
        <v>2159</v>
      </c>
      <c r="E432" s="198" t="s">
        <v>2160</v>
      </c>
    </row>
    <row r="433" spans="1:5">
      <c r="A433" s="198">
        <v>417989834</v>
      </c>
      <c r="B433" s="198">
        <v>608955916.25364995</v>
      </c>
      <c r="D433" s="198" t="s">
        <v>2161</v>
      </c>
      <c r="E433" s="198" t="s">
        <v>2162</v>
      </c>
    </row>
    <row r="434" spans="1:5">
      <c r="A434" s="198">
        <v>418083444</v>
      </c>
      <c r="B434" s="198">
        <v>609049526.25472796</v>
      </c>
      <c r="D434" s="198" t="s">
        <v>2163</v>
      </c>
      <c r="E434" s="198" t="s">
        <v>2164</v>
      </c>
    </row>
    <row r="435" spans="1:5">
      <c r="A435" s="198">
        <v>418173451</v>
      </c>
      <c r="B435" s="198">
        <v>609139533.255759</v>
      </c>
      <c r="D435" s="198" t="s">
        <v>2165</v>
      </c>
      <c r="E435" s="198" t="s">
        <v>2166</v>
      </c>
    </row>
    <row r="436" spans="1:5">
      <c r="A436" s="198">
        <v>418252649</v>
      </c>
      <c r="B436" s="198">
        <v>609218731.25667298</v>
      </c>
      <c r="D436" s="198" t="s">
        <v>2167</v>
      </c>
      <c r="E436" s="198" t="s">
        <v>2168</v>
      </c>
    </row>
    <row r="437" spans="1:5">
      <c r="A437" s="198">
        <v>418335454</v>
      </c>
      <c r="B437" s="198">
        <v>609301536.25760698</v>
      </c>
      <c r="D437" s="198" t="s">
        <v>2169</v>
      </c>
      <c r="E437" s="198" t="s">
        <v>2170</v>
      </c>
    </row>
    <row r="438" spans="1:5">
      <c r="A438" s="198">
        <v>418429061</v>
      </c>
      <c r="B438" s="198">
        <v>609395143.25869298</v>
      </c>
      <c r="D438" s="198" t="s">
        <v>2171</v>
      </c>
      <c r="E438" s="198" t="s">
        <v>2172</v>
      </c>
    </row>
    <row r="439" spans="1:5">
      <c r="A439" s="198">
        <v>418508262</v>
      </c>
      <c r="B439" s="198">
        <v>609474344.25959396</v>
      </c>
      <c r="D439" s="198" t="s">
        <v>2173</v>
      </c>
      <c r="E439" s="198" t="s">
        <v>2174</v>
      </c>
    </row>
    <row r="440" spans="1:5">
      <c r="A440" s="198">
        <v>418601867</v>
      </c>
      <c r="B440" s="198">
        <v>609567949.26066804</v>
      </c>
      <c r="D440" s="198" t="s">
        <v>2175</v>
      </c>
      <c r="E440" s="198" t="s">
        <v>2176</v>
      </c>
    </row>
    <row r="441" spans="1:5">
      <c r="A441" s="198">
        <v>418673868</v>
      </c>
      <c r="B441" s="198">
        <v>609639950.26148105</v>
      </c>
      <c r="D441" s="198" t="s">
        <v>2177</v>
      </c>
      <c r="E441" s="198" t="s">
        <v>2178</v>
      </c>
    </row>
    <row r="442" spans="1:5">
      <c r="A442" s="198">
        <v>418771076</v>
      </c>
      <c r="B442" s="198">
        <v>609737158.26260495</v>
      </c>
      <c r="D442" s="198" t="s">
        <v>2179</v>
      </c>
      <c r="E442" s="198" t="s">
        <v>2180</v>
      </c>
    </row>
    <row r="443" spans="1:5">
      <c r="A443" s="198">
        <v>418857479</v>
      </c>
      <c r="B443" s="198">
        <v>609823561.26360404</v>
      </c>
      <c r="D443" s="198" t="s">
        <v>2181</v>
      </c>
      <c r="E443" s="198" t="s">
        <v>2182</v>
      </c>
    </row>
    <row r="444" spans="1:5">
      <c r="A444" s="198">
        <v>418918687</v>
      </c>
      <c r="B444" s="198">
        <v>609884769.26429498</v>
      </c>
      <c r="D444" s="198" t="s">
        <v>2183</v>
      </c>
      <c r="E444" s="198" t="s">
        <v>2184</v>
      </c>
    </row>
    <row r="445" spans="1:5">
      <c r="A445" s="198">
        <v>419001482</v>
      </c>
      <c r="B445" s="198">
        <v>609967564.26524198</v>
      </c>
      <c r="D445" s="198" t="s">
        <v>2185</v>
      </c>
      <c r="E445" s="198" t="s">
        <v>2186</v>
      </c>
    </row>
    <row r="446" spans="1:5">
      <c r="A446" s="198">
        <v>419116692</v>
      </c>
      <c r="B446" s="198">
        <v>610082774.26658297</v>
      </c>
      <c r="D446" s="198" t="s">
        <v>2187</v>
      </c>
      <c r="E446" s="198" t="s">
        <v>2188</v>
      </c>
    </row>
    <row r="447" spans="1:5">
      <c r="A447" s="198">
        <v>419296709</v>
      </c>
      <c r="B447" s="198">
        <v>610262791.26865196</v>
      </c>
      <c r="D447" s="198" t="s">
        <v>2189</v>
      </c>
      <c r="E447" s="198" t="s">
        <v>2190</v>
      </c>
    </row>
    <row r="448" spans="1:5">
      <c r="A448" s="198">
        <v>419361497</v>
      </c>
      <c r="B448" s="198">
        <v>610327579.26938701</v>
      </c>
      <c r="D448" s="198" t="s">
        <v>2191</v>
      </c>
      <c r="E448" s="198" t="s">
        <v>2192</v>
      </c>
    </row>
    <row r="449" spans="1:5">
      <c r="A449" s="198">
        <v>419462305</v>
      </c>
      <c r="B449" s="198">
        <v>610428387.27057004</v>
      </c>
      <c r="D449" s="198" t="s">
        <v>2193</v>
      </c>
      <c r="E449" s="198" t="s">
        <v>2194</v>
      </c>
    </row>
    <row r="450" spans="1:5">
      <c r="A450" s="198">
        <v>419537905</v>
      </c>
      <c r="B450" s="198">
        <v>610503987.27142596</v>
      </c>
      <c r="D450" s="198" t="s">
        <v>2195</v>
      </c>
      <c r="E450" s="198" t="s">
        <v>2196</v>
      </c>
    </row>
    <row r="451" spans="1:5">
      <c r="A451" s="198">
        <v>419728739</v>
      </c>
      <c r="B451" s="198">
        <v>610694821.27363598</v>
      </c>
      <c r="D451" s="198" t="s">
        <v>2197</v>
      </c>
      <c r="E451" s="198" t="s">
        <v>2198</v>
      </c>
    </row>
    <row r="452" spans="1:5">
      <c r="A452" s="198">
        <v>419815146</v>
      </c>
      <c r="B452" s="198">
        <v>610781228.274634</v>
      </c>
      <c r="D452" s="198" t="s">
        <v>2199</v>
      </c>
      <c r="E452" s="198" t="s">
        <v>2200</v>
      </c>
    </row>
    <row r="453" spans="1:5">
      <c r="A453" s="198">
        <v>419872736</v>
      </c>
      <c r="B453" s="198">
        <v>610838818.275298</v>
      </c>
      <c r="D453" s="198" t="s">
        <v>2201</v>
      </c>
      <c r="E453" s="198" t="s">
        <v>2202</v>
      </c>
    </row>
    <row r="454" spans="1:5">
      <c r="A454" s="198">
        <v>419987951</v>
      </c>
      <c r="B454" s="198">
        <v>610954033.27662396</v>
      </c>
      <c r="D454" s="198" t="s">
        <v>2203</v>
      </c>
      <c r="E454" s="198" t="s">
        <v>2204</v>
      </c>
    </row>
    <row r="455" spans="1:5">
      <c r="A455" s="198">
        <v>420074357</v>
      </c>
      <c r="B455" s="198">
        <v>611040439.277632</v>
      </c>
      <c r="D455" s="198" t="s">
        <v>2205</v>
      </c>
      <c r="E455" s="198" t="s">
        <v>2206</v>
      </c>
    </row>
    <row r="456" spans="1:5">
      <c r="A456" s="198">
        <v>420146328</v>
      </c>
      <c r="B456" s="198">
        <v>611112410.27844405</v>
      </c>
      <c r="D456" s="198" t="s">
        <v>2207</v>
      </c>
      <c r="E456" s="198" t="s">
        <v>2208</v>
      </c>
    </row>
    <row r="457" spans="1:5">
      <c r="A457" s="198">
        <v>420239933</v>
      </c>
      <c r="B457" s="198">
        <v>611206015.27952802</v>
      </c>
      <c r="D457" s="198" t="s">
        <v>2209</v>
      </c>
      <c r="E457" s="198" t="s">
        <v>2210</v>
      </c>
    </row>
    <row r="458" spans="1:5">
      <c r="A458" s="198">
        <v>420333566</v>
      </c>
      <c r="B458" s="198">
        <v>611299648.28062797</v>
      </c>
      <c r="D458" s="198" t="s">
        <v>2211</v>
      </c>
      <c r="E458" s="198" t="s">
        <v>2212</v>
      </c>
    </row>
    <row r="459" spans="1:5">
      <c r="A459" s="198">
        <v>420416352</v>
      </c>
      <c r="B459" s="198">
        <v>611382434.28157604</v>
      </c>
      <c r="D459" s="198" t="s">
        <v>2213</v>
      </c>
      <c r="E459" s="198" t="s">
        <v>2214</v>
      </c>
    </row>
    <row r="460" spans="1:5">
      <c r="A460" s="198">
        <v>420488336</v>
      </c>
      <c r="B460" s="198">
        <v>611454418.28239298</v>
      </c>
      <c r="D460" s="198" t="s">
        <v>2215</v>
      </c>
      <c r="E460" s="198" t="s">
        <v>2216</v>
      </c>
    </row>
    <row r="461" spans="1:5">
      <c r="A461" s="198">
        <v>420581942</v>
      </c>
      <c r="B461" s="198">
        <v>611548024.28350306</v>
      </c>
      <c r="D461" s="198" t="s">
        <v>2217</v>
      </c>
      <c r="E461" s="198" t="s">
        <v>2218</v>
      </c>
    </row>
    <row r="462" spans="1:5">
      <c r="A462" s="198">
        <v>420671949</v>
      </c>
      <c r="B462" s="198">
        <v>611638031.28454006</v>
      </c>
      <c r="D462" s="198" t="s">
        <v>2219</v>
      </c>
      <c r="E462" s="198" t="s">
        <v>2220</v>
      </c>
    </row>
    <row r="463" spans="1:5">
      <c r="A463" s="198">
        <v>420743945</v>
      </c>
      <c r="B463" s="198">
        <v>611710027.28535497</v>
      </c>
      <c r="D463" s="198" t="s">
        <v>2221</v>
      </c>
      <c r="E463" s="198" t="s">
        <v>2222</v>
      </c>
    </row>
    <row r="464" spans="1:5">
      <c r="A464" s="198">
        <v>420833949</v>
      </c>
      <c r="B464" s="198">
        <v>611800031.28640199</v>
      </c>
      <c r="D464" s="198" t="s">
        <v>2223</v>
      </c>
      <c r="E464" s="198" t="s">
        <v>2224</v>
      </c>
    </row>
    <row r="465" spans="1:5">
      <c r="A465" s="198">
        <v>420934782</v>
      </c>
      <c r="B465" s="198">
        <v>611900864.28758204</v>
      </c>
      <c r="D465" s="198" t="s">
        <v>2225</v>
      </c>
      <c r="E465" s="198" t="s">
        <v>2226</v>
      </c>
    </row>
    <row r="466" spans="1:5">
      <c r="A466" s="198">
        <v>421021176</v>
      </c>
      <c r="B466" s="198">
        <v>611987258.28858805</v>
      </c>
      <c r="D466" s="198" t="s">
        <v>2227</v>
      </c>
      <c r="E466" s="198" t="s">
        <v>2228</v>
      </c>
    </row>
    <row r="467" spans="1:5">
      <c r="A467" s="198">
        <v>421078771</v>
      </c>
      <c r="B467" s="198">
        <v>612044853.28925002</v>
      </c>
      <c r="D467" s="198" t="s">
        <v>2229</v>
      </c>
      <c r="E467" s="198" t="s">
        <v>2230</v>
      </c>
    </row>
    <row r="468" spans="1:5">
      <c r="A468" s="198">
        <v>421193985</v>
      </c>
      <c r="B468" s="198">
        <v>612160067.29060102</v>
      </c>
      <c r="D468" s="198" t="s">
        <v>2231</v>
      </c>
      <c r="E468" s="198" t="s">
        <v>2232</v>
      </c>
    </row>
    <row r="469" spans="1:5">
      <c r="A469" s="198">
        <v>421276768</v>
      </c>
      <c r="B469" s="198">
        <v>612242850.29155397</v>
      </c>
      <c r="D469" s="198" t="s">
        <v>2233</v>
      </c>
      <c r="E469" s="198" t="s">
        <v>2234</v>
      </c>
    </row>
    <row r="470" spans="1:5">
      <c r="A470" s="198">
        <v>421366784</v>
      </c>
      <c r="B470" s="198">
        <v>612332866.292593</v>
      </c>
      <c r="D470" s="198" t="s">
        <v>2235</v>
      </c>
      <c r="E470" s="198" t="s">
        <v>2236</v>
      </c>
    </row>
    <row r="471" spans="1:5">
      <c r="A471" s="198">
        <v>421539587</v>
      </c>
      <c r="B471" s="198">
        <v>612505669.294613</v>
      </c>
      <c r="D471" s="198" t="s">
        <v>2237</v>
      </c>
      <c r="E471" s="198" t="s">
        <v>2238</v>
      </c>
    </row>
    <row r="472" spans="1:5">
      <c r="A472" s="198">
        <v>421625995</v>
      </c>
      <c r="B472" s="198">
        <v>612592077.29561305</v>
      </c>
      <c r="D472" s="198" t="s">
        <v>2239</v>
      </c>
      <c r="E472" s="198" t="s">
        <v>2240</v>
      </c>
    </row>
    <row r="473" spans="1:5">
      <c r="A473" s="198">
        <v>421701565</v>
      </c>
      <c r="B473" s="198">
        <v>612667647.29648399</v>
      </c>
      <c r="D473" s="198" t="s">
        <v>2241</v>
      </c>
      <c r="E473" s="198" t="s">
        <v>2242</v>
      </c>
    </row>
    <row r="474" spans="1:5">
      <c r="A474" s="198">
        <v>421798792</v>
      </c>
      <c r="B474" s="198">
        <v>612764874.297611</v>
      </c>
      <c r="D474" s="198" t="s">
        <v>2243</v>
      </c>
      <c r="E474" s="198" t="s">
        <v>2244</v>
      </c>
    </row>
    <row r="475" spans="1:5">
      <c r="A475" s="198">
        <v>421881576</v>
      </c>
      <c r="B475" s="198">
        <v>612847658.29858601</v>
      </c>
      <c r="D475" s="198" t="s">
        <v>2245</v>
      </c>
      <c r="E475" s="198" t="s">
        <v>2246</v>
      </c>
    </row>
    <row r="476" spans="1:5">
      <c r="A476" s="198">
        <v>421967976</v>
      </c>
      <c r="B476" s="198">
        <v>612934058.29958403</v>
      </c>
      <c r="D476" s="198" t="s">
        <v>2247</v>
      </c>
      <c r="E476" s="198" t="s">
        <v>2248</v>
      </c>
    </row>
    <row r="477" spans="1:5">
      <c r="A477" s="198">
        <v>422025588</v>
      </c>
      <c r="B477" s="198">
        <v>612991670.30024803</v>
      </c>
      <c r="D477" s="198" t="s">
        <v>2249</v>
      </c>
      <c r="E477" s="198" t="s">
        <v>2250</v>
      </c>
    </row>
    <row r="478" spans="1:5">
      <c r="A478" s="198">
        <v>422140781</v>
      </c>
      <c r="B478" s="198">
        <v>613106863.30160105</v>
      </c>
      <c r="D478" s="198" t="s">
        <v>2251</v>
      </c>
      <c r="E478" s="198" t="s">
        <v>2252</v>
      </c>
    </row>
    <row r="479" spans="1:5">
      <c r="A479" s="198">
        <v>422198391</v>
      </c>
      <c r="B479" s="198">
        <v>613164473.30226004</v>
      </c>
      <c r="D479" s="198" t="s">
        <v>2253</v>
      </c>
      <c r="E479" s="198" t="s">
        <v>2254</v>
      </c>
    </row>
    <row r="480" spans="1:5">
      <c r="A480" s="198">
        <v>422320857</v>
      </c>
      <c r="B480" s="198">
        <v>613286939.30367303</v>
      </c>
      <c r="D480" s="198" t="s">
        <v>2255</v>
      </c>
      <c r="E480" s="198" t="s">
        <v>2256</v>
      </c>
    </row>
    <row r="481" spans="1:5">
      <c r="A481" s="198">
        <v>422385566</v>
      </c>
      <c r="B481" s="198">
        <v>613351648.30444098</v>
      </c>
      <c r="D481" s="198" t="s">
        <v>2257</v>
      </c>
      <c r="E481" s="198" t="s">
        <v>2258</v>
      </c>
    </row>
    <row r="482" spans="1:5">
      <c r="A482" s="198">
        <v>422468367</v>
      </c>
      <c r="B482" s="198">
        <v>613434449.30538797</v>
      </c>
      <c r="D482" s="198" t="s">
        <v>2259</v>
      </c>
      <c r="E482" s="198" t="s">
        <v>2260</v>
      </c>
    </row>
    <row r="483" spans="1:5">
      <c r="A483" s="198">
        <v>422572792</v>
      </c>
      <c r="B483" s="198">
        <v>613538874.30663097</v>
      </c>
      <c r="D483" s="198" t="s">
        <v>2261</v>
      </c>
      <c r="E483" s="198" t="s">
        <v>2262</v>
      </c>
    </row>
    <row r="484" spans="1:5">
      <c r="A484" s="198">
        <v>422641166</v>
      </c>
      <c r="B484" s="198">
        <v>613607248.30741501</v>
      </c>
      <c r="D484" s="198" t="s">
        <v>2263</v>
      </c>
      <c r="E484" s="198" t="s">
        <v>2264</v>
      </c>
    </row>
    <row r="485" spans="1:5">
      <c r="A485" s="198">
        <v>422745594</v>
      </c>
      <c r="B485" s="198">
        <v>613711676.30864704</v>
      </c>
      <c r="D485" s="198" t="s">
        <v>2265</v>
      </c>
      <c r="E485" s="198" t="s">
        <v>2266</v>
      </c>
    </row>
    <row r="486" spans="1:5">
      <c r="A486" s="198">
        <v>422792364</v>
      </c>
      <c r="B486" s="198">
        <v>613758446.30916595</v>
      </c>
      <c r="D486" s="198" t="s">
        <v>2267</v>
      </c>
      <c r="E486" s="198" t="s">
        <v>2268</v>
      </c>
    </row>
    <row r="487" spans="1:5">
      <c r="A487" s="198">
        <v>422918397</v>
      </c>
      <c r="B487" s="198">
        <v>613884479.31065404</v>
      </c>
      <c r="D487" s="198" t="s">
        <v>2269</v>
      </c>
      <c r="E487" s="198" t="s">
        <v>2270</v>
      </c>
    </row>
    <row r="488" spans="1:5">
      <c r="A488" s="198">
        <v>422972384</v>
      </c>
      <c r="B488" s="198">
        <v>613938466.311288</v>
      </c>
      <c r="D488" s="198" t="s">
        <v>2271</v>
      </c>
      <c r="E488" s="198" t="s">
        <v>2272</v>
      </c>
    </row>
    <row r="489" spans="1:5">
      <c r="A489" s="198">
        <v>423058783</v>
      </c>
      <c r="B489" s="198">
        <v>614024865.31228495</v>
      </c>
      <c r="D489" s="198" t="s">
        <v>2273</v>
      </c>
      <c r="E489" s="198" t="s">
        <v>2274</v>
      </c>
    </row>
    <row r="490" spans="1:5">
      <c r="A490" s="198">
        <v>423177589</v>
      </c>
      <c r="B490" s="198">
        <v>614143671.31367302</v>
      </c>
      <c r="D490" s="198" t="s">
        <v>2275</v>
      </c>
      <c r="E490" s="198" t="s">
        <v>2276</v>
      </c>
    </row>
    <row r="491" spans="1:5">
      <c r="A491" s="198">
        <v>423231582</v>
      </c>
      <c r="B491" s="198">
        <v>614197664.31430101</v>
      </c>
      <c r="D491" s="198" t="s">
        <v>2277</v>
      </c>
      <c r="E491" s="198" t="s">
        <v>2278</v>
      </c>
    </row>
    <row r="492" spans="1:5">
      <c r="A492" s="198">
        <v>423317978</v>
      </c>
      <c r="B492" s="198">
        <v>614284060.31531203</v>
      </c>
      <c r="D492" s="198" t="s">
        <v>2279</v>
      </c>
      <c r="E492" s="198" t="s">
        <v>2280</v>
      </c>
    </row>
    <row r="493" spans="1:5">
      <c r="A493" s="198">
        <v>423422358</v>
      </c>
      <c r="B493" s="198">
        <v>614388440.31653094</v>
      </c>
      <c r="D493" s="198" t="s">
        <v>2281</v>
      </c>
      <c r="E493" s="198" t="s">
        <v>2282</v>
      </c>
    </row>
    <row r="494" spans="1:5">
      <c r="A494" s="198">
        <v>423508756</v>
      </c>
      <c r="B494" s="198">
        <v>614474838.31752706</v>
      </c>
      <c r="D494" s="198" t="s">
        <v>2283</v>
      </c>
      <c r="E494" s="198" t="s">
        <v>2284</v>
      </c>
    </row>
    <row r="495" spans="1:5">
      <c r="A495" s="198">
        <v>423606027</v>
      </c>
      <c r="B495" s="198">
        <v>614572109.31868196</v>
      </c>
      <c r="D495" s="198" t="s">
        <v>2285</v>
      </c>
      <c r="E495" s="198" t="s">
        <v>2286</v>
      </c>
    </row>
    <row r="496" spans="1:5">
      <c r="A496" s="198">
        <v>423692376</v>
      </c>
      <c r="B496" s="198">
        <v>614658458.31967402</v>
      </c>
      <c r="D496" s="198" t="s">
        <v>2287</v>
      </c>
      <c r="E496" s="198" t="s">
        <v>2288</v>
      </c>
    </row>
    <row r="497" spans="1:5">
      <c r="A497" s="198">
        <v>423749974</v>
      </c>
      <c r="B497" s="198">
        <v>614716056.32036102</v>
      </c>
      <c r="D497" s="198" t="s">
        <v>2289</v>
      </c>
      <c r="E497" s="198" t="s">
        <v>2290</v>
      </c>
    </row>
    <row r="498" spans="1:5">
      <c r="A498" s="198">
        <v>423865175</v>
      </c>
      <c r="B498" s="198">
        <v>614831257.32170904</v>
      </c>
      <c r="D498" s="198" t="s">
        <v>2291</v>
      </c>
      <c r="E498" s="198" t="s">
        <v>2292</v>
      </c>
    </row>
    <row r="499" spans="1:5">
      <c r="A499" s="198">
        <v>424037973</v>
      </c>
      <c r="B499" s="198">
        <v>615004055.32371402</v>
      </c>
      <c r="D499" s="198" t="s">
        <v>2293</v>
      </c>
      <c r="E499" s="198" t="s">
        <v>2294</v>
      </c>
    </row>
    <row r="500" spans="1:5">
      <c r="A500" s="198">
        <v>424091962</v>
      </c>
      <c r="B500" s="198">
        <v>615058044.32434702</v>
      </c>
      <c r="D500" s="198" t="s">
        <v>2295</v>
      </c>
      <c r="E500" s="198" t="s">
        <v>2296</v>
      </c>
    </row>
    <row r="501" spans="1:5">
      <c r="A501" s="198">
        <v>424210769</v>
      </c>
      <c r="B501" s="198">
        <v>615176851.32572997</v>
      </c>
      <c r="D501" s="198" t="s">
        <v>2297</v>
      </c>
      <c r="E501" s="198" t="s">
        <v>2298</v>
      </c>
    </row>
    <row r="502" spans="1:5">
      <c r="A502" s="198">
        <v>424289941</v>
      </c>
      <c r="B502" s="198">
        <v>615256023.326653</v>
      </c>
      <c r="D502" s="198" t="s">
        <v>2299</v>
      </c>
      <c r="E502" s="198" t="s">
        <v>2300</v>
      </c>
    </row>
    <row r="503" spans="1:5">
      <c r="A503" s="198">
        <v>424379943</v>
      </c>
      <c r="B503" s="198">
        <v>615346025.32771504</v>
      </c>
      <c r="D503" s="198" t="s">
        <v>2301</v>
      </c>
      <c r="E503" s="198" t="s">
        <v>2302</v>
      </c>
    </row>
    <row r="504" spans="1:5">
      <c r="A504" s="198">
        <v>424459130</v>
      </c>
      <c r="B504" s="198">
        <v>615425212.32863498</v>
      </c>
      <c r="D504" s="198" t="s">
        <v>2303</v>
      </c>
      <c r="E504" s="198" t="s">
        <v>2304</v>
      </c>
    </row>
    <row r="505" spans="1:5">
      <c r="A505" s="198">
        <v>424523947</v>
      </c>
      <c r="B505" s="198">
        <v>615490029.32937503</v>
      </c>
      <c r="D505" s="198" t="s">
        <v>2305</v>
      </c>
      <c r="E505" s="198" t="s">
        <v>2306</v>
      </c>
    </row>
    <row r="506" spans="1:5">
      <c r="A506" s="198">
        <v>424653602</v>
      </c>
      <c r="B506" s="198">
        <v>615619684.33089602</v>
      </c>
      <c r="D506" s="198" t="s">
        <v>2307</v>
      </c>
      <c r="E506" s="198" t="s">
        <v>2308</v>
      </c>
    </row>
    <row r="507" spans="1:5">
      <c r="A507" s="198">
        <v>424718318</v>
      </c>
      <c r="B507" s="198">
        <v>615684400.33165205</v>
      </c>
      <c r="D507" s="198" t="s">
        <v>2309</v>
      </c>
      <c r="E507" s="198" t="s">
        <v>2310</v>
      </c>
    </row>
    <row r="508" spans="1:5">
      <c r="A508" s="198">
        <v>424811942</v>
      </c>
      <c r="B508" s="198">
        <v>615778024.33275604</v>
      </c>
      <c r="D508" s="198" t="s">
        <v>2311</v>
      </c>
      <c r="E508" s="198" t="s">
        <v>2312</v>
      </c>
    </row>
    <row r="509" spans="1:5">
      <c r="A509" s="198">
        <v>424912784</v>
      </c>
      <c r="B509" s="198">
        <v>615878866.333884</v>
      </c>
      <c r="D509" s="198" t="s">
        <v>2313</v>
      </c>
      <c r="E509" s="198" t="s">
        <v>2314</v>
      </c>
    </row>
    <row r="510" spans="1:5">
      <c r="A510" s="198">
        <v>424955929</v>
      </c>
      <c r="B510" s="198">
        <v>615922011.33443105</v>
      </c>
      <c r="D510" s="198" t="s">
        <v>2315</v>
      </c>
      <c r="E510" s="198" t="s">
        <v>2316</v>
      </c>
    </row>
    <row r="511" spans="1:5">
      <c r="A511" s="198">
        <v>425067514</v>
      </c>
      <c r="B511" s="198">
        <v>616033596.33572495</v>
      </c>
      <c r="D511" s="198" t="s">
        <v>2317</v>
      </c>
      <c r="E511" s="198" t="s">
        <v>2318</v>
      </c>
    </row>
    <row r="512" spans="1:5">
      <c r="A512" s="198">
        <v>425171978</v>
      </c>
      <c r="B512" s="198">
        <v>616138060.336941</v>
      </c>
      <c r="D512" s="198" t="s">
        <v>2319</v>
      </c>
      <c r="E512" s="198" t="s">
        <v>2320</v>
      </c>
    </row>
    <row r="513" spans="1:5">
      <c r="A513" s="198">
        <v>425243910</v>
      </c>
      <c r="B513" s="198">
        <v>616209992.33779204</v>
      </c>
      <c r="D513" s="198" t="s">
        <v>2321</v>
      </c>
      <c r="E513" s="198" t="s">
        <v>2322</v>
      </c>
    </row>
    <row r="514" spans="1:5">
      <c r="A514" s="198">
        <v>425315890</v>
      </c>
      <c r="B514" s="198">
        <v>616281972.33863199</v>
      </c>
      <c r="D514" s="198" t="s">
        <v>2323</v>
      </c>
      <c r="E514" s="198" t="s">
        <v>2324</v>
      </c>
    </row>
    <row r="515" spans="1:5">
      <c r="A515" s="198">
        <v>425384295</v>
      </c>
      <c r="B515" s="198">
        <v>616350377.33942294</v>
      </c>
      <c r="D515" s="198" t="s">
        <v>2325</v>
      </c>
      <c r="E515" s="198" t="s">
        <v>2326</v>
      </c>
    </row>
    <row r="516" spans="1:5">
      <c r="A516" s="198">
        <v>425517563</v>
      </c>
      <c r="B516" s="198">
        <v>616483645.34098399</v>
      </c>
      <c r="D516" s="198" t="s">
        <v>2327</v>
      </c>
      <c r="E516" s="198" t="s">
        <v>2328</v>
      </c>
    </row>
    <row r="517" spans="1:5">
      <c r="A517" s="198">
        <v>425582277</v>
      </c>
      <c r="B517" s="198">
        <v>616548359.34174204</v>
      </c>
      <c r="D517" s="198" t="s">
        <v>2329</v>
      </c>
      <c r="E517" s="198" t="s">
        <v>2330</v>
      </c>
    </row>
    <row r="518" spans="1:5">
      <c r="A518" s="198">
        <v>425661467</v>
      </c>
      <c r="B518" s="198">
        <v>616627549.34265494</v>
      </c>
      <c r="D518" s="198" t="s">
        <v>2331</v>
      </c>
      <c r="E518" s="198" t="s">
        <v>2332</v>
      </c>
    </row>
    <row r="519" spans="1:5">
      <c r="A519" s="198">
        <v>425751465</v>
      </c>
      <c r="B519" s="198">
        <v>616717547.34370995</v>
      </c>
      <c r="D519" s="198" t="s">
        <v>2333</v>
      </c>
      <c r="E519" s="198" t="s">
        <v>2334</v>
      </c>
    </row>
    <row r="520" spans="1:5">
      <c r="A520" s="198">
        <v>425845076</v>
      </c>
      <c r="B520" s="198">
        <v>616811158.34481502</v>
      </c>
      <c r="D520" s="198" t="s">
        <v>2335</v>
      </c>
      <c r="E520" s="198" t="s">
        <v>2336</v>
      </c>
    </row>
    <row r="521" spans="1:5">
      <c r="A521" s="198">
        <v>425924255</v>
      </c>
      <c r="B521" s="198">
        <v>616890337.34573805</v>
      </c>
      <c r="D521" s="198" t="s">
        <v>2337</v>
      </c>
      <c r="E521" s="198" t="s">
        <v>2338</v>
      </c>
    </row>
    <row r="522" spans="1:5">
      <c r="A522" s="198">
        <v>426104256</v>
      </c>
      <c r="B522" s="198">
        <v>617070338.34783399</v>
      </c>
      <c r="D522" s="198" t="s">
        <v>2339</v>
      </c>
      <c r="E522" s="198" t="s">
        <v>2340</v>
      </c>
    </row>
    <row r="523" spans="1:5">
      <c r="A523" s="198">
        <v>426161856</v>
      </c>
      <c r="B523" s="198">
        <v>617127938.34851003</v>
      </c>
      <c r="D523" s="198" t="s">
        <v>2341</v>
      </c>
      <c r="E523" s="198" t="s">
        <v>2342</v>
      </c>
    </row>
    <row r="524" spans="1:5">
      <c r="A524" s="198">
        <v>426295103</v>
      </c>
      <c r="B524" s="198">
        <v>617261185.35003996</v>
      </c>
      <c r="D524" s="198" t="s">
        <v>2343</v>
      </c>
      <c r="E524" s="198" t="s">
        <v>2344</v>
      </c>
    </row>
    <row r="525" spans="1:5">
      <c r="A525" s="198">
        <v>426356226</v>
      </c>
      <c r="B525" s="198">
        <v>617322308.35076499</v>
      </c>
      <c r="D525" s="198" t="s">
        <v>2345</v>
      </c>
      <c r="E525" s="198" t="s">
        <v>2346</v>
      </c>
    </row>
    <row r="526" spans="1:5">
      <c r="A526" s="198">
        <v>426446227</v>
      </c>
      <c r="B526" s="198">
        <v>617412309.35182905</v>
      </c>
      <c r="D526" s="198" t="s">
        <v>2347</v>
      </c>
      <c r="E526" s="198" t="s">
        <v>2348</v>
      </c>
    </row>
    <row r="527" spans="1:5">
      <c r="A527" s="198">
        <v>426507428</v>
      </c>
      <c r="B527" s="198">
        <v>617473510.352525</v>
      </c>
      <c r="D527" s="198" t="s">
        <v>2349</v>
      </c>
      <c r="E527" s="198" t="s">
        <v>2350</v>
      </c>
    </row>
    <row r="528" spans="1:5">
      <c r="A528" s="198">
        <v>426611802</v>
      </c>
      <c r="B528" s="198">
        <v>617577884.35374999</v>
      </c>
      <c r="D528" s="198" t="s">
        <v>2351</v>
      </c>
      <c r="E528" s="198" t="s">
        <v>2352</v>
      </c>
    </row>
    <row r="529" spans="1:5">
      <c r="A529" s="198">
        <v>426709018</v>
      </c>
      <c r="B529" s="198">
        <v>617675100.35488296</v>
      </c>
      <c r="D529" s="198" t="s">
        <v>2353</v>
      </c>
      <c r="E529" s="198" t="s">
        <v>2354</v>
      </c>
    </row>
    <row r="530" spans="1:5">
      <c r="A530" s="198">
        <v>426780985</v>
      </c>
      <c r="B530" s="198">
        <v>617747067.35570705</v>
      </c>
      <c r="D530" s="198" t="s">
        <v>2355</v>
      </c>
      <c r="E530" s="198" t="s">
        <v>2356</v>
      </c>
    </row>
    <row r="531" spans="1:5">
      <c r="A531" s="198">
        <v>426874583</v>
      </c>
      <c r="B531" s="198">
        <v>617840665.35680997</v>
      </c>
      <c r="D531" s="198" t="s">
        <v>2357</v>
      </c>
      <c r="E531" s="198" t="s">
        <v>2358</v>
      </c>
    </row>
    <row r="532" spans="1:5">
      <c r="A532" s="198">
        <v>426935794</v>
      </c>
      <c r="B532" s="198">
        <v>617901876.35750699</v>
      </c>
      <c r="D532" s="198" t="s">
        <v>2359</v>
      </c>
      <c r="E532" s="198" t="s">
        <v>2360</v>
      </c>
    </row>
    <row r="533" spans="1:5">
      <c r="A533" s="198">
        <v>427040164</v>
      </c>
      <c r="B533" s="198">
        <v>618006246.35871994</v>
      </c>
      <c r="D533" s="198" t="s">
        <v>2361</v>
      </c>
      <c r="E533" s="198" t="s">
        <v>2362</v>
      </c>
    </row>
    <row r="534" spans="1:5">
      <c r="A534" s="198">
        <v>427159041</v>
      </c>
      <c r="B534" s="198">
        <v>618125123.36009002</v>
      </c>
      <c r="D534" s="198" t="s">
        <v>2363</v>
      </c>
      <c r="E534" s="198" t="s">
        <v>2364</v>
      </c>
    </row>
    <row r="535" spans="1:5">
      <c r="A535" s="198">
        <v>427245436</v>
      </c>
      <c r="B535" s="198">
        <v>618211518.361094</v>
      </c>
      <c r="D535" s="198" t="s">
        <v>2365</v>
      </c>
      <c r="E535" s="198" t="s">
        <v>2366</v>
      </c>
    </row>
    <row r="536" spans="1:5">
      <c r="A536" s="198">
        <v>427310163</v>
      </c>
      <c r="B536" s="198">
        <v>618276245.36188102</v>
      </c>
      <c r="D536" s="198" t="s">
        <v>2367</v>
      </c>
      <c r="E536" s="198" t="s">
        <v>2368</v>
      </c>
    </row>
    <row r="537" spans="1:5">
      <c r="A537" s="198">
        <v>427367760</v>
      </c>
      <c r="B537" s="198">
        <v>618333842.36255002</v>
      </c>
      <c r="D537" s="198" t="s">
        <v>2369</v>
      </c>
      <c r="E537" s="198" t="s">
        <v>2370</v>
      </c>
    </row>
    <row r="538" spans="1:5">
      <c r="A538" s="198">
        <v>427504604</v>
      </c>
      <c r="B538" s="198">
        <v>618470686.36414397</v>
      </c>
      <c r="D538" s="198" t="s">
        <v>2371</v>
      </c>
      <c r="E538" s="198" t="s">
        <v>2372</v>
      </c>
    </row>
    <row r="539" spans="1:5">
      <c r="A539" s="198">
        <v>427562120</v>
      </c>
      <c r="B539" s="198">
        <v>618528202.36480606</v>
      </c>
      <c r="D539" s="198" t="s">
        <v>2373</v>
      </c>
      <c r="E539" s="198" t="s">
        <v>2374</v>
      </c>
    </row>
    <row r="540" spans="1:5">
      <c r="A540" s="198">
        <v>427652119</v>
      </c>
      <c r="B540" s="198">
        <v>618618201.36584997</v>
      </c>
      <c r="D540" s="198" t="s">
        <v>2375</v>
      </c>
      <c r="E540" s="198" t="s">
        <v>2376</v>
      </c>
    </row>
    <row r="541" spans="1:5">
      <c r="A541" s="198">
        <v>427734906</v>
      </c>
      <c r="B541" s="198">
        <v>618700988.36681104</v>
      </c>
      <c r="D541" s="198" t="s">
        <v>2377</v>
      </c>
      <c r="E541" s="198" t="s">
        <v>2378</v>
      </c>
    </row>
    <row r="542" spans="1:5">
      <c r="A542" s="198">
        <v>427850167</v>
      </c>
      <c r="B542" s="198">
        <v>618816249.36815405</v>
      </c>
      <c r="D542" s="198" t="s">
        <v>2379</v>
      </c>
      <c r="E542" s="198" t="s">
        <v>2380</v>
      </c>
    </row>
    <row r="543" spans="1:5">
      <c r="A543" s="198">
        <v>427936558</v>
      </c>
      <c r="B543" s="198">
        <v>618902640.36913705</v>
      </c>
      <c r="D543" s="198" t="s">
        <v>2381</v>
      </c>
      <c r="E543" s="198" t="s">
        <v>2382</v>
      </c>
    </row>
    <row r="544" spans="1:5">
      <c r="A544" s="198">
        <v>427997681</v>
      </c>
      <c r="B544" s="198">
        <v>618963763.36987197</v>
      </c>
      <c r="D544" s="198" t="s">
        <v>2383</v>
      </c>
      <c r="E544" s="198" t="s">
        <v>2384</v>
      </c>
    </row>
    <row r="545" spans="1:5">
      <c r="A545" s="198">
        <v>428076868</v>
      </c>
      <c r="B545" s="198">
        <v>619042950.37077796</v>
      </c>
      <c r="D545" s="198" t="s">
        <v>2385</v>
      </c>
      <c r="E545" s="198" t="s">
        <v>2386</v>
      </c>
    </row>
    <row r="546" spans="1:5">
      <c r="A546" s="198">
        <v>428170468</v>
      </c>
      <c r="B546" s="198">
        <v>619136550.37186599</v>
      </c>
      <c r="D546" s="198" t="s">
        <v>2387</v>
      </c>
      <c r="E546" s="198" t="s">
        <v>2388</v>
      </c>
    </row>
    <row r="547" spans="1:5">
      <c r="A547" s="198">
        <v>428256860</v>
      </c>
      <c r="B547" s="198">
        <v>619222942.37288105</v>
      </c>
      <c r="D547" s="198" t="s">
        <v>2389</v>
      </c>
      <c r="E547" s="198" t="s">
        <v>2390</v>
      </c>
    </row>
    <row r="548" spans="1:5">
      <c r="A548" s="198">
        <v>428343253</v>
      </c>
      <c r="B548" s="198">
        <v>619309335.373873</v>
      </c>
      <c r="D548" s="198" t="s">
        <v>2391</v>
      </c>
      <c r="E548" s="198" t="s">
        <v>2392</v>
      </c>
    </row>
    <row r="549" spans="1:5">
      <c r="A549" s="198">
        <v>428426034</v>
      </c>
      <c r="B549" s="198">
        <v>619392116.37482703</v>
      </c>
      <c r="D549" s="198" t="s">
        <v>2393</v>
      </c>
      <c r="E549" s="198" t="s">
        <v>2394</v>
      </c>
    </row>
    <row r="550" spans="1:5">
      <c r="A550" s="198">
        <v>428487242</v>
      </c>
      <c r="B550" s="198">
        <v>619453324.37555206</v>
      </c>
      <c r="D550" s="198" t="s">
        <v>2395</v>
      </c>
      <c r="E550" s="198" t="s">
        <v>2396</v>
      </c>
    </row>
    <row r="551" spans="1:5">
      <c r="A551" s="198">
        <v>428602427</v>
      </c>
      <c r="B551" s="198">
        <v>619568509.37688899</v>
      </c>
      <c r="D551" s="198" t="s">
        <v>2397</v>
      </c>
      <c r="E551" s="198" t="s">
        <v>2398</v>
      </c>
    </row>
    <row r="552" spans="1:5">
      <c r="A552" s="198">
        <v>428714072</v>
      </c>
      <c r="B552" s="198">
        <v>619680154.37819195</v>
      </c>
      <c r="D552" s="198" t="s">
        <v>2399</v>
      </c>
      <c r="E552" s="198" t="s">
        <v>2400</v>
      </c>
    </row>
    <row r="553" spans="1:5">
      <c r="A553" s="198">
        <v>428800404</v>
      </c>
      <c r="B553" s="198">
        <v>619766486.37917101</v>
      </c>
      <c r="D553" s="198" t="s">
        <v>2401</v>
      </c>
      <c r="E553" s="198" t="s">
        <v>2402</v>
      </c>
    </row>
    <row r="554" spans="1:5">
      <c r="A554" s="198">
        <v>428861597</v>
      </c>
      <c r="B554" s="198">
        <v>619827679.37987196</v>
      </c>
      <c r="D554" s="198" t="s">
        <v>2403</v>
      </c>
      <c r="E554" s="198" t="s">
        <v>2404</v>
      </c>
    </row>
    <row r="555" spans="1:5">
      <c r="A555" s="198">
        <v>428973249</v>
      </c>
      <c r="B555" s="198">
        <v>619939331.38112998</v>
      </c>
      <c r="D555" s="198" t="s">
        <v>2405</v>
      </c>
      <c r="E555" s="198" t="s">
        <v>2406</v>
      </c>
    </row>
    <row r="556" spans="1:5">
      <c r="A556" s="198">
        <v>429030775</v>
      </c>
      <c r="B556" s="198">
        <v>619996857.38182998</v>
      </c>
      <c r="D556" s="198" t="s">
        <v>2407</v>
      </c>
      <c r="E556" s="198" t="s">
        <v>2408</v>
      </c>
    </row>
    <row r="557" spans="1:5">
      <c r="A557" s="198">
        <v>429117164</v>
      </c>
      <c r="B557" s="198">
        <v>620083246.38282597</v>
      </c>
      <c r="D557" s="198" t="s">
        <v>2409</v>
      </c>
      <c r="E557" s="198" t="s">
        <v>2410</v>
      </c>
    </row>
    <row r="558" spans="1:5">
      <c r="A558" s="198">
        <v>429192742</v>
      </c>
      <c r="B558" s="198">
        <v>620158824.38370395</v>
      </c>
      <c r="D558" s="198" t="s">
        <v>2411</v>
      </c>
      <c r="E558" s="198" t="s">
        <v>2412</v>
      </c>
    </row>
    <row r="559" spans="1:5">
      <c r="A559" s="198">
        <v>429286333</v>
      </c>
      <c r="B559" s="198">
        <v>620252415.38478303</v>
      </c>
      <c r="D559" s="198" t="s">
        <v>2413</v>
      </c>
      <c r="E559" s="198" t="s">
        <v>2414</v>
      </c>
    </row>
    <row r="560" spans="1:5">
      <c r="A560" s="198">
        <v>429361917</v>
      </c>
      <c r="B560" s="198">
        <v>620327999.38565302</v>
      </c>
      <c r="D560" s="198" t="s">
        <v>2415</v>
      </c>
      <c r="E560" s="198" t="s">
        <v>2416</v>
      </c>
    </row>
    <row r="561" spans="1:5">
      <c r="A561" s="198">
        <v>429459137</v>
      </c>
      <c r="B561" s="198">
        <v>620425219.38677597</v>
      </c>
      <c r="D561" s="198" t="s">
        <v>2417</v>
      </c>
      <c r="E561" s="198" t="s">
        <v>2418</v>
      </c>
    </row>
    <row r="562" spans="1:5">
      <c r="A562" s="198">
        <v>429750728</v>
      </c>
      <c r="B562" s="198">
        <v>620716810.39013696</v>
      </c>
      <c r="D562" s="198" t="s">
        <v>2419</v>
      </c>
      <c r="E562" s="198" t="s">
        <v>2420</v>
      </c>
    </row>
    <row r="563" spans="1:5">
      <c r="A563" s="198">
        <v>429865923</v>
      </c>
      <c r="B563" s="198">
        <v>620832005.39145303</v>
      </c>
      <c r="D563" s="198" t="s">
        <v>2421</v>
      </c>
      <c r="E563" s="198" t="s">
        <v>2422</v>
      </c>
    </row>
    <row r="564" spans="1:5">
      <c r="A564" s="198">
        <v>430009943</v>
      </c>
      <c r="B564" s="198">
        <v>620976025.39310706</v>
      </c>
      <c r="D564" s="198" t="s">
        <v>2423</v>
      </c>
      <c r="E564" s="198" t="s">
        <v>2424</v>
      </c>
    </row>
    <row r="565" spans="1:5">
      <c r="A565" s="198">
        <v>430067462</v>
      </c>
      <c r="B565" s="198">
        <v>621033544.39377797</v>
      </c>
      <c r="D565" s="198" t="s">
        <v>2425</v>
      </c>
      <c r="E565" s="198" t="s">
        <v>2426</v>
      </c>
    </row>
    <row r="566" spans="1:5">
      <c r="A566" s="198">
        <v>430182650</v>
      </c>
      <c r="B566" s="198">
        <v>621148732.39509404</v>
      </c>
      <c r="D566" s="198" t="s">
        <v>2427</v>
      </c>
      <c r="E566" s="198" t="s">
        <v>2428</v>
      </c>
    </row>
    <row r="567" spans="1:5">
      <c r="A567" s="198">
        <v>430269036</v>
      </c>
      <c r="B567" s="198">
        <v>621235118.39607704</v>
      </c>
      <c r="D567" s="198" t="s">
        <v>2429</v>
      </c>
      <c r="E567" s="198" t="s">
        <v>2430</v>
      </c>
    </row>
    <row r="568" spans="1:5">
      <c r="A568" s="198">
        <v>430319400</v>
      </c>
      <c r="B568" s="198">
        <v>621285482.39666295</v>
      </c>
      <c r="D568" s="198" t="s">
        <v>2431</v>
      </c>
      <c r="E568" s="198" t="s">
        <v>2432</v>
      </c>
    </row>
    <row r="569" spans="1:5">
      <c r="A569" s="198">
        <v>430441816</v>
      </c>
      <c r="B569" s="198">
        <v>621407898.39804804</v>
      </c>
      <c r="D569" s="198" t="s">
        <v>2433</v>
      </c>
      <c r="E569" s="198" t="s">
        <v>2434</v>
      </c>
    </row>
    <row r="570" spans="1:5">
      <c r="A570" s="198">
        <v>430495783</v>
      </c>
      <c r="B570" s="198">
        <v>621461865.39866698</v>
      </c>
      <c r="D570" s="198" t="s">
        <v>2435</v>
      </c>
      <c r="E570" s="198" t="s">
        <v>2436</v>
      </c>
    </row>
    <row r="571" spans="1:5">
      <c r="A571" s="198">
        <v>430614590</v>
      </c>
      <c r="B571" s="198">
        <v>621580672.40001798</v>
      </c>
      <c r="D571" s="198" t="s">
        <v>2437</v>
      </c>
      <c r="E571" s="198" t="s">
        <v>2438</v>
      </c>
    </row>
    <row r="572" spans="1:5">
      <c r="A572" s="198">
        <v>430700988</v>
      </c>
      <c r="B572" s="198">
        <v>621667070.40100896</v>
      </c>
      <c r="D572" s="198" t="s">
        <v>2439</v>
      </c>
      <c r="E572" s="198" t="s">
        <v>2440</v>
      </c>
    </row>
    <row r="573" spans="1:5">
      <c r="A573" s="198">
        <v>430783814</v>
      </c>
      <c r="B573" s="198">
        <v>621749896.40193498</v>
      </c>
      <c r="D573" s="198" t="s">
        <v>2441</v>
      </c>
      <c r="E573" s="198" t="s">
        <v>2442</v>
      </c>
    </row>
    <row r="574" spans="1:5">
      <c r="A574" s="198">
        <v>430830528</v>
      </c>
      <c r="B574" s="198">
        <v>621796610.40248895</v>
      </c>
      <c r="D574" s="198" t="s">
        <v>2443</v>
      </c>
      <c r="E574" s="198" t="s">
        <v>2444</v>
      </c>
    </row>
    <row r="575" spans="1:5">
      <c r="A575" s="198">
        <v>430956551</v>
      </c>
      <c r="B575" s="198">
        <v>621922633.40393305</v>
      </c>
      <c r="D575" s="198" t="s">
        <v>2445</v>
      </c>
      <c r="E575" s="198" t="s">
        <v>2446</v>
      </c>
    </row>
    <row r="576" spans="1:5">
      <c r="A576" s="198">
        <v>431003304</v>
      </c>
      <c r="B576" s="198">
        <v>621969386.40446603</v>
      </c>
      <c r="D576" s="198" t="s">
        <v>2447</v>
      </c>
      <c r="E576" s="198" t="s">
        <v>2448</v>
      </c>
    </row>
    <row r="577" spans="1:5">
      <c r="A577" s="198">
        <v>431096897</v>
      </c>
      <c r="B577" s="198">
        <v>622062979.40552199</v>
      </c>
      <c r="D577" s="198" t="s">
        <v>2449</v>
      </c>
      <c r="E577" s="198" t="s">
        <v>2450</v>
      </c>
    </row>
    <row r="578" spans="1:5">
      <c r="A578" s="198">
        <v>431186896</v>
      </c>
      <c r="B578" s="198">
        <v>622152978.40655303</v>
      </c>
      <c r="D578" s="198" t="s">
        <v>2451</v>
      </c>
      <c r="E578" s="198" t="s">
        <v>2452</v>
      </c>
    </row>
    <row r="579" spans="1:5">
      <c r="A579" s="198">
        <v>431302106</v>
      </c>
      <c r="B579" s="198">
        <v>622268188.40785503</v>
      </c>
      <c r="D579" s="198" t="s">
        <v>2453</v>
      </c>
      <c r="E579" s="198" t="s">
        <v>2454</v>
      </c>
    </row>
    <row r="580" spans="1:5">
      <c r="A580" s="198">
        <v>431330877</v>
      </c>
      <c r="B580" s="198">
        <v>622296959.40819395</v>
      </c>
      <c r="D580" s="198" t="s">
        <v>2455</v>
      </c>
      <c r="E580" s="198" t="s">
        <v>2456</v>
      </c>
    </row>
    <row r="581" spans="1:5">
      <c r="A581" s="198">
        <v>431474878</v>
      </c>
      <c r="B581" s="198">
        <v>622440960.40982902</v>
      </c>
      <c r="D581" s="198" t="s">
        <v>2457</v>
      </c>
      <c r="E581" s="198" t="s">
        <v>2458</v>
      </c>
    </row>
    <row r="582" spans="1:5">
      <c r="A582" s="198">
        <v>431561262</v>
      </c>
      <c r="B582" s="198">
        <v>622527344.41080499</v>
      </c>
      <c r="D582" s="198" t="s">
        <v>2459</v>
      </c>
      <c r="E582" s="198" t="s">
        <v>2460</v>
      </c>
    </row>
    <row r="583" spans="1:5">
      <c r="A583" s="198">
        <v>431651236</v>
      </c>
      <c r="B583" s="198">
        <v>622617318.41179895</v>
      </c>
      <c r="D583" s="198" t="s">
        <v>2461</v>
      </c>
      <c r="E583" s="198" t="s">
        <v>2462</v>
      </c>
    </row>
    <row r="584" spans="1:5">
      <c r="A584" s="198">
        <v>431665606</v>
      </c>
      <c r="B584" s="198">
        <v>622631688.41198802</v>
      </c>
      <c r="D584" s="198" t="s">
        <v>2463</v>
      </c>
      <c r="E584" s="198" t="s">
        <v>2464</v>
      </c>
    </row>
    <row r="585" spans="1:5">
      <c r="A585" s="198">
        <v>431780794</v>
      </c>
      <c r="B585" s="198">
        <v>622746876.41329801</v>
      </c>
      <c r="D585" s="198" t="s">
        <v>2465</v>
      </c>
      <c r="E585" s="198" t="s">
        <v>2466</v>
      </c>
    </row>
    <row r="586" spans="1:5">
      <c r="A586" s="198">
        <v>431964400</v>
      </c>
      <c r="B586" s="198">
        <v>622930482.41537404</v>
      </c>
      <c r="D586" s="198" t="s">
        <v>2467</v>
      </c>
      <c r="E586" s="198" t="s">
        <v>2468</v>
      </c>
    </row>
    <row r="587" spans="1:5">
      <c r="A587" s="198">
        <v>432075992</v>
      </c>
      <c r="B587" s="198">
        <v>623042074.41663504</v>
      </c>
      <c r="D587" s="198" t="s">
        <v>2469</v>
      </c>
      <c r="E587" s="198" t="s">
        <v>2470</v>
      </c>
    </row>
    <row r="588" spans="1:5">
      <c r="A588" s="198">
        <v>432133557</v>
      </c>
      <c r="B588" s="198">
        <v>623099639.41729903</v>
      </c>
      <c r="D588" s="198" t="s">
        <v>2471</v>
      </c>
      <c r="E588" s="198" t="s">
        <v>2472</v>
      </c>
    </row>
    <row r="589" spans="1:5">
      <c r="A589" s="198">
        <v>432421530</v>
      </c>
      <c r="B589" s="198">
        <v>623387612.42054498</v>
      </c>
      <c r="D589" s="198" t="s">
        <v>2473</v>
      </c>
      <c r="E589" s="198" t="s">
        <v>2474</v>
      </c>
    </row>
    <row r="590" spans="1:5">
      <c r="A590" s="198">
        <v>432515108</v>
      </c>
      <c r="B590" s="198">
        <v>623481190.42156994</v>
      </c>
      <c r="D590" s="198" t="s">
        <v>2475</v>
      </c>
      <c r="E590" s="198" t="s">
        <v>2476</v>
      </c>
    </row>
    <row r="591" spans="1:5">
      <c r="A591" s="198">
        <v>432601494</v>
      </c>
      <c r="B591" s="198">
        <v>623567576.42254305</v>
      </c>
      <c r="D591" s="198" t="s">
        <v>2477</v>
      </c>
      <c r="E591" s="198" t="s">
        <v>2478</v>
      </c>
    </row>
    <row r="592" spans="1:5">
      <c r="A592" s="198">
        <v>432651882</v>
      </c>
      <c r="B592" s="198">
        <v>623617964.42315698</v>
      </c>
      <c r="D592" s="198" t="s">
        <v>2479</v>
      </c>
      <c r="E592" s="198" t="s">
        <v>2480</v>
      </c>
    </row>
    <row r="593" spans="1:5">
      <c r="A593" s="198">
        <v>432767092</v>
      </c>
      <c r="B593" s="198">
        <v>623733174.42443895</v>
      </c>
      <c r="D593" s="198" t="s">
        <v>2481</v>
      </c>
      <c r="E593" s="198" t="s">
        <v>2482</v>
      </c>
    </row>
    <row r="594" spans="1:5">
      <c r="A594" s="198">
        <v>432993822</v>
      </c>
      <c r="B594" s="198">
        <v>623959904.42700005</v>
      </c>
      <c r="D594" s="198" t="s">
        <v>2483</v>
      </c>
      <c r="E594" s="198" t="s">
        <v>2484</v>
      </c>
    </row>
    <row r="595" spans="1:5">
      <c r="A595" s="198">
        <v>433119822</v>
      </c>
      <c r="B595" s="198">
        <v>624085904.42838705</v>
      </c>
      <c r="D595" s="198" t="s">
        <v>2485</v>
      </c>
      <c r="E595" s="198" t="s">
        <v>2486</v>
      </c>
    </row>
    <row r="596" spans="1:5">
      <c r="A596" s="198">
        <v>433137818</v>
      </c>
      <c r="B596" s="198">
        <v>624103900.42863095</v>
      </c>
      <c r="D596" s="198" t="s">
        <v>2487</v>
      </c>
      <c r="E596" s="198" t="s">
        <v>2488</v>
      </c>
    </row>
    <row r="597" spans="1:5">
      <c r="A597" s="198">
        <v>433285412</v>
      </c>
      <c r="B597" s="198">
        <v>624251494.43028605</v>
      </c>
      <c r="D597" s="198" t="s">
        <v>2489</v>
      </c>
      <c r="E597" s="198" t="s">
        <v>2490</v>
      </c>
    </row>
    <row r="598" spans="1:5">
      <c r="A598" s="198">
        <v>433368205</v>
      </c>
      <c r="B598" s="198">
        <v>624334287.43120301</v>
      </c>
      <c r="D598" s="198" t="s">
        <v>2491</v>
      </c>
      <c r="E598" s="198" t="s">
        <v>2492</v>
      </c>
    </row>
    <row r="599" spans="1:5">
      <c r="A599" s="198">
        <v>433483372</v>
      </c>
      <c r="B599" s="198">
        <v>624449454.43249595</v>
      </c>
      <c r="D599" s="198" t="s">
        <v>2493</v>
      </c>
      <c r="E599" s="198" t="s">
        <v>2494</v>
      </c>
    </row>
    <row r="600" spans="1:5">
      <c r="A600" s="198">
        <v>433629047</v>
      </c>
      <c r="B600" s="198">
        <v>624595129.43414795</v>
      </c>
      <c r="D600" s="198" t="s">
        <v>2495</v>
      </c>
      <c r="E600" s="198" t="s">
        <v>2496</v>
      </c>
    </row>
    <row r="601" spans="1:5">
      <c r="A601" s="198">
        <v>433724529</v>
      </c>
      <c r="B601" s="198">
        <v>624690611.43518198</v>
      </c>
      <c r="D601" s="198" t="s">
        <v>2497</v>
      </c>
      <c r="E601" s="198" t="s">
        <v>2498</v>
      </c>
    </row>
    <row r="602" spans="1:5">
      <c r="A602" s="198">
        <v>433771388</v>
      </c>
      <c r="B602" s="198">
        <v>624737470.43573904</v>
      </c>
      <c r="D602" s="198" t="s">
        <v>2499</v>
      </c>
      <c r="E602" s="198" t="s">
        <v>2500</v>
      </c>
    </row>
    <row r="603" spans="1:5">
      <c r="A603" s="198">
        <v>433857707</v>
      </c>
      <c r="B603" s="198">
        <v>624823789.43670797</v>
      </c>
      <c r="D603" s="198" t="s">
        <v>2501</v>
      </c>
      <c r="E603" s="198" t="s">
        <v>2502</v>
      </c>
    </row>
    <row r="604" spans="1:5">
      <c r="A604" s="198">
        <v>433972915</v>
      </c>
      <c r="B604" s="198">
        <v>624938997.43799698</v>
      </c>
      <c r="D604" s="198" t="s">
        <v>2503</v>
      </c>
      <c r="E604" s="198" t="s">
        <v>2504</v>
      </c>
    </row>
    <row r="605" spans="1:5">
      <c r="A605" s="198">
        <v>434026874</v>
      </c>
      <c r="B605" s="198">
        <v>624992956.43859994</v>
      </c>
      <c r="D605" s="198" t="s">
        <v>2505</v>
      </c>
      <c r="E605" s="198" t="s">
        <v>2506</v>
      </c>
    </row>
    <row r="606" spans="1:5">
      <c r="A606" s="198">
        <v>434300443</v>
      </c>
      <c r="B606" s="198">
        <v>625266525.44162595</v>
      </c>
      <c r="D606" s="198" t="s">
        <v>2507</v>
      </c>
      <c r="E606" s="198" t="s">
        <v>2508</v>
      </c>
    </row>
    <row r="607" spans="1:5">
      <c r="A607" s="198">
        <v>434376044</v>
      </c>
      <c r="B607" s="198">
        <v>625342126.44250202</v>
      </c>
      <c r="D607" s="198" t="s">
        <v>2509</v>
      </c>
      <c r="E607" s="198" t="s">
        <v>2510</v>
      </c>
    </row>
    <row r="608" spans="1:5">
      <c r="A608" s="198">
        <v>434448008</v>
      </c>
      <c r="B608" s="198">
        <v>625414090.44328904</v>
      </c>
      <c r="D608" s="198" t="s">
        <v>2511</v>
      </c>
      <c r="E608" s="198" t="s">
        <v>2512</v>
      </c>
    </row>
    <row r="609" spans="1:5">
      <c r="A609" s="198">
        <v>434545207</v>
      </c>
      <c r="B609" s="198">
        <v>625511289.44439006</v>
      </c>
      <c r="D609" s="198" t="s">
        <v>2513</v>
      </c>
      <c r="E609" s="198" t="s">
        <v>2514</v>
      </c>
    </row>
    <row r="610" spans="1:5">
      <c r="A610" s="198">
        <v>434645989</v>
      </c>
      <c r="B610" s="198">
        <v>625612071.44548702</v>
      </c>
      <c r="D610" s="198" t="s">
        <v>2515</v>
      </c>
      <c r="E610" s="198" t="s">
        <v>2516</v>
      </c>
    </row>
    <row r="611" spans="1:5">
      <c r="A611" s="198">
        <v>434717979</v>
      </c>
      <c r="B611" s="198">
        <v>625684061.44630897</v>
      </c>
      <c r="D611" s="198" t="s">
        <v>2517</v>
      </c>
      <c r="E611" s="198" t="s">
        <v>2518</v>
      </c>
    </row>
    <row r="612" spans="1:5">
      <c r="A612" s="198">
        <v>434847657</v>
      </c>
      <c r="B612" s="198">
        <v>625813739.44775605</v>
      </c>
      <c r="D612" s="198" t="s">
        <v>2519</v>
      </c>
      <c r="E612" s="198" t="s">
        <v>2520</v>
      </c>
    </row>
    <row r="613" spans="1:5">
      <c r="A613" s="198">
        <v>434854835</v>
      </c>
      <c r="B613" s="198">
        <v>625820917.44781494</v>
      </c>
      <c r="D613" s="198" t="s">
        <v>2521</v>
      </c>
      <c r="E613" s="198" t="s">
        <v>2522</v>
      </c>
    </row>
    <row r="614" spans="1:5">
      <c r="A614" s="198">
        <v>434973537</v>
      </c>
      <c r="B614" s="198">
        <v>625939619.44916701</v>
      </c>
      <c r="D614" s="198" t="s">
        <v>2523</v>
      </c>
      <c r="E614" s="198" t="s">
        <v>2524</v>
      </c>
    </row>
    <row r="615" spans="1:5">
      <c r="A615" s="198">
        <v>435063529</v>
      </c>
      <c r="B615" s="198">
        <v>626029611.45015895</v>
      </c>
      <c r="D615" s="198" t="s">
        <v>2525</v>
      </c>
      <c r="E615" s="198" t="s">
        <v>2526</v>
      </c>
    </row>
    <row r="616" spans="1:5">
      <c r="A616" s="198">
        <v>435178736</v>
      </c>
      <c r="B616" s="198">
        <v>626144818.45142996</v>
      </c>
      <c r="D616" s="198" t="s">
        <v>2527</v>
      </c>
      <c r="E616" s="198" t="s">
        <v>2528</v>
      </c>
    </row>
    <row r="617" spans="1:5">
      <c r="A617" s="198">
        <v>435207520</v>
      </c>
      <c r="B617" s="198">
        <v>626173602.45175803</v>
      </c>
      <c r="D617" s="198" t="s">
        <v>2529</v>
      </c>
      <c r="E617" s="198" t="s">
        <v>2530</v>
      </c>
    </row>
    <row r="618" spans="1:5">
      <c r="A618" s="198">
        <v>435362298</v>
      </c>
      <c r="B618" s="198">
        <v>626328380.45346403</v>
      </c>
      <c r="D618" s="198" t="s">
        <v>2531</v>
      </c>
      <c r="E618" s="198" t="s">
        <v>2532</v>
      </c>
    </row>
    <row r="619" spans="1:5">
      <c r="A619" s="198">
        <v>435524293</v>
      </c>
      <c r="B619" s="198">
        <v>626490375.45527506</v>
      </c>
      <c r="D619" s="198" t="s">
        <v>2533</v>
      </c>
      <c r="E619" s="198" t="s">
        <v>2534</v>
      </c>
    </row>
    <row r="620" spans="1:5">
      <c r="A620" s="198">
        <v>435603466</v>
      </c>
      <c r="B620" s="198">
        <v>626569548.45614195</v>
      </c>
      <c r="D620" s="198" t="s">
        <v>2535</v>
      </c>
      <c r="E620" s="198" t="s">
        <v>2536</v>
      </c>
    </row>
    <row r="621" spans="1:5">
      <c r="A621" s="198">
        <v>435697079</v>
      </c>
      <c r="B621" s="198">
        <v>626663161.45719194</v>
      </c>
      <c r="D621" s="198" t="s">
        <v>2537</v>
      </c>
      <c r="E621" s="198" t="s">
        <v>2538</v>
      </c>
    </row>
    <row r="622" spans="1:5">
      <c r="A622" s="198">
        <v>435751037</v>
      </c>
      <c r="B622" s="198">
        <v>626717119.45780396</v>
      </c>
      <c r="D622" s="198" t="s">
        <v>2539</v>
      </c>
      <c r="E622" s="198" t="s">
        <v>2540</v>
      </c>
    </row>
    <row r="623" spans="1:5">
      <c r="A623" s="198">
        <v>435830221</v>
      </c>
      <c r="B623" s="198">
        <v>626796303.45867503</v>
      </c>
      <c r="D623" s="198" t="s">
        <v>2541</v>
      </c>
      <c r="E623" s="198" t="s">
        <v>2542</v>
      </c>
    </row>
    <row r="624" spans="1:5">
      <c r="A624" s="198">
        <v>435970621</v>
      </c>
      <c r="B624" s="198">
        <v>626936703.46020699</v>
      </c>
      <c r="D624" s="198" t="s">
        <v>2543</v>
      </c>
      <c r="E624" s="198" t="s">
        <v>2544</v>
      </c>
    </row>
    <row r="625" spans="1:5">
      <c r="A625" s="198">
        <v>435981410</v>
      </c>
      <c r="B625" s="198">
        <v>626947492.46033394</v>
      </c>
      <c r="D625" s="198" t="s">
        <v>2545</v>
      </c>
      <c r="E625" s="198" t="s">
        <v>2546</v>
      </c>
    </row>
    <row r="626" spans="1:5">
      <c r="A626" s="198">
        <v>436136201</v>
      </c>
      <c r="B626" s="198">
        <v>627102283.46202397</v>
      </c>
      <c r="D626" s="198" t="s">
        <v>2547</v>
      </c>
      <c r="E626" s="198" t="s">
        <v>2548</v>
      </c>
    </row>
    <row r="627" spans="1:5">
      <c r="A627" s="198">
        <v>436222592</v>
      </c>
      <c r="B627" s="198">
        <v>627188674.46298003</v>
      </c>
      <c r="D627" s="198" t="s">
        <v>2549</v>
      </c>
      <c r="E627" s="198" t="s">
        <v>2550</v>
      </c>
    </row>
    <row r="628" spans="1:5">
      <c r="A628" s="198">
        <v>436262166</v>
      </c>
      <c r="B628" s="198">
        <v>627228248.46344304</v>
      </c>
      <c r="D628" s="198" t="s">
        <v>2551</v>
      </c>
      <c r="E628" s="198" t="s">
        <v>2552</v>
      </c>
    </row>
    <row r="629" spans="1:5">
      <c r="A629" s="198">
        <v>436352157</v>
      </c>
      <c r="B629" s="198">
        <v>627318239.46445501</v>
      </c>
      <c r="D629" s="198" t="s">
        <v>2553</v>
      </c>
      <c r="E629" s="198" t="s">
        <v>2554</v>
      </c>
    </row>
    <row r="630" spans="1:5">
      <c r="A630" s="198">
        <v>436470969</v>
      </c>
      <c r="B630" s="198">
        <v>627437051.46574903</v>
      </c>
      <c r="D630" s="198" t="s">
        <v>2555</v>
      </c>
      <c r="E630" s="198" t="s">
        <v>2556</v>
      </c>
    </row>
    <row r="631" spans="1:5">
      <c r="A631" s="198">
        <v>436575347</v>
      </c>
      <c r="B631" s="198">
        <v>627541429.46690094</v>
      </c>
      <c r="D631" s="198" t="s">
        <v>2557</v>
      </c>
      <c r="E631" s="198" t="s">
        <v>2558</v>
      </c>
    </row>
    <row r="632" spans="1:5">
      <c r="A632" s="198">
        <v>436586147</v>
      </c>
      <c r="B632" s="198">
        <v>627552229.46701896</v>
      </c>
      <c r="D632" s="198" t="s">
        <v>2559</v>
      </c>
      <c r="E632" s="198" t="s">
        <v>2560</v>
      </c>
    </row>
    <row r="633" spans="1:5">
      <c r="A633" s="198">
        <v>436748123</v>
      </c>
      <c r="B633" s="198">
        <v>627714205.46880496</v>
      </c>
      <c r="D633" s="198" t="s">
        <v>2561</v>
      </c>
      <c r="E633" s="198" t="s">
        <v>2562</v>
      </c>
    </row>
    <row r="634" spans="1:5">
      <c r="A634" s="198">
        <v>436816535</v>
      </c>
      <c r="B634" s="198">
        <v>627782617.46955895</v>
      </c>
      <c r="D634" s="198" t="s">
        <v>2563</v>
      </c>
      <c r="E634" s="198" t="s">
        <v>2564</v>
      </c>
    </row>
    <row r="635" spans="1:5">
      <c r="A635" s="198">
        <v>436920906</v>
      </c>
      <c r="B635" s="198">
        <v>627886988.47070098</v>
      </c>
      <c r="D635" s="198" t="s">
        <v>2565</v>
      </c>
      <c r="E635" s="198" t="s">
        <v>2566</v>
      </c>
    </row>
    <row r="636" spans="1:5">
      <c r="A636" s="198">
        <v>436989322</v>
      </c>
      <c r="B636" s="198">
        <v>627955404.47145998</v>
      </c>
      <c r="D636" s="198" t="s">
        <v>2567</v>
      </c>
      <c r="E636" s="198" t="s">
        <v>2568</v>
      </c>
    </row>
    <row r="637" spans="1:5">
      <c r="A637" s="198">
        <v>437043282</v>
      </c>
      <c r="B637" s="198">
        <v>628009364.472067</v>
      </c>
      <c r="D637" s="198" t="s">
        <v>2569</v>
      </c>
      <c r="E637" s="198" t="s">
        <v>2570</v>
      </c>
    </row>
    <row r="638" spans="1:5">
      <c r="A638" s="198">
        <v>437388843</v>
      </c>
      <c r="B638" s="198">
        <v>628354925.47586</v>
      </c>
      <c r="D638" s="198" t="s">
        <v>2571</v>
      </c>
      <c r="E638" s="198" t="s">
        <v>2572</v>
      </c>
    </row>
    <row r="639" spans="1:5">
      <c r="A639" s="198">
        <v>437525635</v>
      </c>
      <c r="B639" s="198">
        <v>628491717.47736597</v>
      </c>
      <c r="D639" s="198" t="s">
        <v>2573</v>
      </c>
      <c r="E639" s="198" t="s">
        <v>2574</v>
      </c>
    </row>
    <row r="640" spans="1:5">
      <c r="A640" s="198">
        <v>437590454</v>
      </c>
      <c r="B640" s="198">
        <v>628556536.478073</v>
      </c>
      <c r="D640" s="198" t="s">
        <v>2575</v>
      </c>
      <c r="E640" s="198" t="s">
        <v>2576</v>
      </c>
    </row>
    <row r="641" spans="1:5">
      <c r="A641" s="198">
        <v>437648017</v>
      </c>
      <c r="B641" s="198">
        <v>628614099.47871196</v>
      </c>
      <c r="D641" s="198" t="s">
        <v>2577</v>
      </c>
      <c r="E641" s="198" t="s">
        <v>2578</v>
      </c>
    </row>
    <row r="642" spans="1:5">
      <c r="A642" s="198">
        <v>437777682</v>
      </c>
      <c r="B642" s="198">
        <v>628743764.48015106</v>
      </c>
      <c r="D642" s="198" t="s">
        <v>2579</v>
      </c>
      <c r="E642" s="198" t="s">
        <v>2580</v>
      </c>
    </row>
    <row r="643" spans="1:5">
      <c r="A643" s="198">
        <v>437820800</v>
      </c>
      <c r="B643" s="198">
        <v>628786882.48061001</v>
      </c>
      <c r="D643" s="198" t="s">
        <v>2581</v>
      </c>
      <c r="E643" s="198" t="s">
        <v>2582</v>
      </c>
    </row>
    <row r="644" spans="1:5">
      <c r="A644" s="198">
        <v>438191575</v>
      </c>
      <c r="B644" s="198">
        <v>629157657.48466694</v>
      </c>
      <c r="D644" s="198" t="s">
        <v>2583</v>
      </c>
      <c r="E644" s="198" t="s">
        <v>2584</v>
      </c>
    </row>
    <row r="645" spans="1:5">
      <c r="A645" s="198">
        <v>438303171</v>
      </c>
      <c r="B645" s="198">
        <v>629269253.48589003</v>
      </c>
      <c r="D645" s="198" t="s">
        <v>2585</v>
      </c>
      <c r="E645" s="198" t="s">
        <v>2586</v>
      </c>
    </row>
    <row r="646" spans="1:5">
      <c r="A646" s="198">
        <v>438335545</v>
      </c>
      <c r="B646" s="198">
        <v>629301627.486251</v>
      </c>
      <c r="D646" s="198" t="s">
        <v>2587</v>
      </c>
      <c r="E646" s="198" t="s">
        <v>2588</v>
      </c>
    </row>
    <row r="647" spans="1:5">
      <c r="A647" s="198">
        <v>438562343</v>
      </c>
      <c r="B647" s="198">
        <v>629528425.48873699</v>
      </c>
      <c r="D647" s="198" t="s">
        <v>2589</v>
      </c>
      <c r="E647" s="198" t="s">
        <v>2590</v>
      </c>
    </row>
    <row r="648" spans="1:5">
      <c r="A648" s="198">
        <v>438623539</v>
      </c>
      <c r="B648" s="198">
        <v>629589621.489393</v>
      </c>
      <c r="D648" s="198" t="s">
        <v>2591</v>
      </c>
      <c r="E648" s="198" t="s">
        <v>2592</v>
      </c>
    </row>
    <row r="649" spans="1:5">
      <c r="A649" s="198">
        <v>438702716</v>
      </c>
      <c r="B649" s="198">
        <v>629668798.49025297</v>
      </c>
      <c r="D649" s="198" t="s">
        <v>2593</v>
      </c>
      <c r="E649" s="198" t="s">
        <v>2594</v>
      </c>
    </row>
    <row r="650" spans="1:5">
      <c r="A650" s="198">
        <v>438796324</v>
      </c>
      <c r="B650" s="198">
        <v>629762406.49128199</v>
      </c>
      <c r="D650" s="198" t="s">
        <v>2595</v>
      </c>
      <c r="E650" s="198" t="s">
        <v>2596</v>
      </c>
    </row>
    <row r="651" spans="1:5">
      <c r="A651" s="198">
        <v>438907914</v>
      </c>
      <c r="B651" s="198">
        <v>629873996.49251902</v>
      </c>
      <c r="D651" s="198" t="s">
        <v>2597</v>
      </c>
      <c r="E651" s="198" t="s">
        <v>2598</v>
      </c>
    </row>
    <row r="652" spans="1:5">
      <c r="A652" s="198">
        <v>438994306</v>
      </c>
      <c r="B652" s="198">
        <v>629960388.49346304</v>
      </c>
      <c r="D652" s="198" t="s">
        <v>2599</v>
      </c>
      <c r="E652" s="198" t="s">
        <v>2600</v>
      </c>
    </row>
    <row r="653" spans="1:5">
      <c r="A653" s="198">
        <v>438997904</v>
      </c>
      <c r="B653" s="198">
        <v>629963986.49351001</v>
      </c>
      <c r="D653" s="198" t="s">
        <v>2601</v>
      </c>
      <c r="E653" s="198" t="s">
        <v>2602</v>
      </c>
    </row>
    <row r="654" spans="1:5">
      <c r="A654" s="198">
        <v>439167085</v>
      </c>
      <c r="B654" s="198">
        <v>630133167.49531603</v>
      </c>
      <c r="D654" s="198" t="s">
        <v>2603</v>
      </c>
      <c r="E654" s="198" t="s">
        <v>2604</v>
      </c>
    </row>
    <row r="655" spans="1:5">
      <c r="A655" s="198">
        <v>439177859</v>
      </c>
      <c r="B655" s="198">
        <v>630143941.495453</v>
      </c>
      <c r="D655" s="198" t="s">
        <v>2605</v>
      </c>
      <c r="E655" s="198" t="s">
        <v>2606</v>
      </c>
    </row>
    <row r="656" spans="1:5">
      <c r="A656" s="198">
        <v>439314729</v>
      </c>
      <c r="B656" s="198">
        <v>630280811.49696505</v>
      </c>
      <c r="D656" s="198" t="s">
        <v>2607</v>
      </c>
      <c r="E656" s="198" t="s">
        <v>2608</v>
      </c>
    </row>
    <row r="657" spans="1:5">
      <c r="A657" s="198">
        <v>439476656</v>
      </c>
      <c r="B657" s="198">
        <v>630442738.49871898</v>
      </c>
      <c r="D657" s="198" t="s">
        <v>2609</v>
      </c>
      <c r="E657" s="198" t="s">
        <v>2610</v>
      </c>
    </row>
    <row r="658" spans="1:5">
      <c r="A658" s="198">
        <v>439771881</v>
      </c>
      <c r="B658" s="198">
        <v>630737963.50195396</v>
      </c>
      <c r="D658" s="198" t="s">
        <v>2611</v>
      </c>
      <c r="E658" s="198" t="s">
        <v>2612</v>
      </c>
    </row>
    <row r="659" spans="1:5">
      <c r="A659" s="198">
        <v>439858235</v>
      </c>
      <c r="B659" s="198">
        <v>630824317.50285399</v>
      </c>
      <c r="D659" s="198" t="s">
        <v>2613</v>
      </c>
      <c r="E659" s="198" t="s">
        <v>2614</v>
      </c>
    </row>
    <row r="660" spans="1:5">
      <c r="A660" s="198">
        <v>439944629</v>
      </c>
      <c r="B660" s="198">
        <v>630910711.50381196</v>
      </c>
      <c r="D660" s="198" t="s">
        <v>2615</v>
      </c>
      <c r="E660" s="198" t="s">
        <v>2616</v>
      </c>
    </row>
    <row r="661" spans="1:5">
      <c r="A661" s="198">
        <v>440023827</v>
      </c>
      <c r="B661" s="198">
        <v>630989909.50469697</v>
      </c>
      <c r="D661" s="198" t="s">
        <v>2617</v>
      </c>
      <c r="E661" s="198" t="s">
        <v>2618</v>
      </c>
    </row>
    <row r="662" spans="1:5">
      <c r="A662" s="198">
        <v>440376607</v>
      </c>
      <c r="B662" s="198">
        <v>631342689.50853598</v>
      </c>
      <c r="D662" s="198" t="s">
        <v>2619</v>
      </c>
      <c r="E662" s="198" t="s">
        <v>2620</v>
      </c>
    </row>
    <row r="663" spans="1:5">
      <c r="A663" s="198">
        <v>440434226</v>
      </c>
      <c r="B663" s="198">
        <v>631400308.50917399</v>
      </c>
      <c r="D663" s="198" t="s">
        <v>2621</v>
      </c>
      <c r="E663" s="198" t="s">
        <v>2622</v>
      </c>
    </row>
    <row r="664" spans="1:5">
      <c r="A664" s="198">
        <v>440549395</v>
      </c>
      <c r="B664" s="198">
        <v>631515477.510414</v>
      </c>
      <c r="D664" s="198" t="s">
        <v>2623</v>
      </c>
      <c r="E664" s="198" t="s">
        <v>2624</v>
      </c>
    </row>
    <row r="665" spans="1:5">
      <c r="A665" s="198">
        <v>440607017</v>
      </c>
      <c r="B665" s="198">
        <v>631573099.51108205</v>
      </c>
      <c r="D665" s="198" t="s">
        <v>2625</v>
      </c>
      <c r="E665" s="198" t="s">
        <v>2626</v>
      </c>
    </row>
    <row r="666" spans="1:5">
      <c r="A666" s="198">
        <v>440682586</v>
      </c>
      <c r="B666" s="198">
        <v>631648668.51188195</v>
      </c>
      <c r="D666" s="198" t="s">
        <v>2627</v>
      </c>
      <c r="E666" s="198" t="s">
        <v>2628</v>
      </c>
    </row>
    <row r="667" spans="1:5">
      <c r="A667" s="198">
        <v>440808587</v>
      </c>
      <c r="B667" s="198">
        <v>631774669.51323998</v>
      </c>
      <c r="D667" s="198" t="s">
        <v>2629</v>
      </c>
      <c r="E667" s="198" t="s">
        <v>2630</v>
      </c>
    </row>
    <row r="668" spans="1:5">
      <c r="A668" s="198">
        <v>440981379</v>
      </c>
      <c r="B668" s="198">
        <v>631947461.51511502</v>
      </c>
      <c r="D668" s="198" t="s">
        <v>2631</v>
      </c>
      <c r="E668" s="198" t="s">
        <v>2632</v>
      </c>
    </row>
    <row r="669" spans="1:5">
      <c r="A669" s="198">
        <v>441064176</v>
      </c>
      <c r="B669" s="198">
        <v>632030258.51602197</v>
      </c>
      <c r="D669" s="198" t="s">
        <v>2633</v>
      </c>
      <c r="E669" s="198" t="s">
        <v>2634</v>
      </c>
    </row>
    <row r="670" spans="1:5">
      <c r="A670" s="198">
        <v>441154172</v>
      </c>
      <c r="B670" s="198">
        <v>632120254.51699996</v>
      </c>
      <c r="D670" s="198" t="s">
        <v>2635</v>
      </c>
      <c r="E670" s="198" t="s">
        <v>2636</v>
      </c>
    </row>
    <row r="671" spans="1:5">
      <c r="A671" s="198">
        <v>441161347</v>
      </c>
      <c r="B671" s="198">
        <v>632127429.517084</v>
      </c>
      <c r="D671" s="198" t="s">
        <v>2637</v>
      </c>
      <c r="E671" s="198" t="s">
        <v>2638</v>
      </c>
    </row>
    <row r="672" spans="1:5">
      <c r="A672" s="198">
        <v>441287360</v>
      </c>
      <c r="B672" s="198">
        <v>632253442.518448</v>
      </c>
      <c r="D672" s="198" t="s">
        <v>2639</v>
      </c>
      <c r="E672" s="198" t="s">
        <v>2640</v>
      </c>
    </row>
    <row r="673" spans="1:5">
      <c r="A673" s="198">
        <v>441370159</v>
      </c>
      <c r="B673" s="198">
        <v>632336241.51935101</v>
      </c>
      <c r="D673" s="198" t="s">
        <v>2641</v>
      </c>
      <c r="E673" s="198" t="s">
        <v>2642</v>
      </c>
    </row>
    <row r="674" spans="1:5">
      <c r="A674" s="198">
        <v>441499761</v>
      </c>
      <c r="B674" s="198">
        <v>632465843.52076101</v>
      </c>
      <c r="D674" s="198" t="s">
        <v>2643</v>
      </c>
      <c r="E674" s="198" t="s">
        <v>2644</v>
      </c>
    </row>
    <row r="675" spans="1:5">
      <c r="A675" s="198">
        <v>441553776</v>
      </c>
      <c r="B675" s="198">
        <v>632519858.52135301</v>
      </c>
      <c r="D675" s="198" t="s">
        <v>2645</v>
      </c>
      <c r="E675" s="198" t="s">
        <v>2646</v>
      </c>
    </row>
    <row r="676" spans="1:5">
      <c r="A676" s="198">
        <v>441611347</v>
      </c>
      <c r="B676" s="198">
        <v>632577429.52199399</v>
      </c>
      <c r="D676" s="198" t="s">
        <v>2647</v>
      </c>
      <c r="E676" s="198" t="s">
        <v>2648</v>
      </c>
    </row>
    <row r="677" spans="1:5">
      <c r="A677" s="198">
        <v>441726571</v>
      </c>
      <c r="B677" s="198">
        <v>632692653.52324104</v>
      </c>
      <c r="D677" s="198" t="s">
        <v>2649</v>
      </c>
      <c r="E677" s="198" t="s">
        <v>2650</v>
      </c>
    </row>
    <row r="678" spans="1:5">
      <c r="A678" s="198">
        <v>441830951</v>
      </c>
      <c r="B678" s="198">
        <v>632797033.524369</v>
      </c>
      <c r="D678" s="198" t="s">
        <v>2651</v>
      </c>
      <c r="E678" s="198" t="s">
        <v>2652</v>
      </c>
    </row>
    <row r="679" spans="1:5">
      <c r="A679" s="198">
        <v>442190941</v>
      </c>
      <c r="B679" s="198">
        <v>633157023.52827096</v>
      </c>
      <c r="D679" s="198" t="s">
        <v>2653</v>
      </c>
      <c r="E679" s="198" t="s">
        <v>2654</v>
      </c>
    </row>
    <row r="680" spans="1:5">
      <c r="A680" s="198">
        <v>442273770</v>
      </c>
      <c r="B680" s="198">
        <v>633239852.529199</v>
      </c>
      <c r="D680" s="198" t="s">
        <v>2655</v>
      </c>
      <c r="E680" s="198" t="s">
        <v>2656</v>
      </c>
    </row>
    <row r="681" spans="1:5">
      <c r="A681" s="198">
        <v>442316932</v>
      </c>
      <c r="B681" s="198">
        <v>633283014.52966297</v>
      </c>
      <c r="D681" s="198" t="s">
        <v>2657</v>
      </c>
      <c r="E681" s="198" t="s">
        <v>2658</v>
      </c>
    </row>
    <row r="682" spans="1:5">
      <c r="A682" s="198">
        <v>442622935</v>
      </c>
      <c r="B682" s="198">
        <v>633589017.53299105</v>
      </c>
      <c r="D682" s="198" t="s">
        <v>2659</v>
      </c>
      <c r="E682" s="198" t="s">
        <v>2660</v>
      </c>
    </row>
    <row r="683" spans="1:5">
      <c r="A683" s="198">
        <v>442691334</v>
      </c>
      <c r="B683" s="198">
        <v>633657416.53374398</v>
      </c>
      <c r="D683" s="198" t="s">
        <v>2661</v>
      </c>
      <c r="E683" s="198" t="s">
        <v>2662</v>
      </c>
    </row>
    <row r="684" spans="1:5">
      <c r="A684" s="198">
        <v>442871342</v>
      </c>
      <c r="B684" s="198">
        <v>633837424.53568006</v>
      </c>
      <c r="D684" s="198" t="s">
        <v>2663</v>
      </c>
      <c r="E684" s="198" t="s">
        <v>2664</v>
      </c>
    </row>
    <row r="685" spans="1:5">
      <c r="A685" s="198">
        <v>442903726</v>
      </c>
      <c r="B685" s="198">
        <v>633869808.53608894</v>
      </c>
      <c r="D685" s="198" t="s">
        <v>2665</v>
      </c>
      <c r="E685" s="198" t="s">
        <v>2666</v>
      </c>
    </row>
    <row r="686" spans="1:5">
      <c r="A686" s="198">
        <v>443018941</v>
      </c>
      <c r="B686" s="198">
        <v>633985023.53733504</v>
      </c>
      <c r="D686" s="198" t="s">
        <v>2667</v>
      </c>
      <c r="E686" s="198" t="s">
        <v>2668</v>
      </c>
    </row>
    <row r="687" spans="1:5">
      <c r="A687" s="198">
        <v>443220562</v>
      </c>
      <c r="B687" s="198">
        <v>634186644.53954899</v>
      </c>
      <c r="D687" s="198" t="s">
        <v>2669</v>
      </c>
      <c r="E687" s="198" t="s">
        <v>2670</v>
      </c>
    </row>
    <row r="688" spans="1:5">
      <c r="A688" s="198">
        <v>443393360</v>
      </c>
      <c r="B688" s="198">
        <v>634359442.54143596</v>
      </c>
      <c r="D688" s="198" t="s">
        <v>2671</v>
      </c>
      <c r="E688" s="198" t="s">
        <v>2672</v>
      </c>
    </row>
    <row r="689" spans="1:5">
      <c r="A689" s="198">
        <v>443487023</v>
      </c>
      <c r="B689" s="198">
        <v>634453105.542431</v>
      </c>
      <c r="D689" s="198" t="s">
        <v>2673</v>
      </c>
      <c r="E689" s="198" t="s">
        <v>2674</v>
      </c>
    </row>
    <row r="690" spans="1:5">
      <c r="A690" s="198">
        <v>443555337</v>
      </c>
      <c r="B690" s="198">
        <v>634521419.54319406</v>
      </c>
      <c r="D690" s="198" t="s">
        <v>2675</v>
      </c>
      <c r="E690" s="198" t="s">
        <v>2676</v>
      </c>
    </row>
    <row r="691" spans="1:5">
      <c r="A691" s="198">
        <v>443623754</v>
      </c>
      <c r="B691" s="198">
        <v>634589836.54395294</v>
      </c>
      <c r="D691" s="198" t="s">
        <v>2677</v>
      </c>
      <c r="E691" s="198" t="s">
        <v>2678</v>
      </c>
    </row>
    <row r="692" spans="1:5">
      <c r="A692" s="198">
        <v>443738968</v>
      </c>
      <c r="B692" s="198">
        <v>634705050.54517496</v>
      </c>
      <c r="D692" s="198" t="s">
        <v>2679</v>
      </c>
      <c r="E692" s="198" t="s">
        <v>2680</v>
      </c>
    </row>
    <row r="693" spans="1:5">
      <c r="A693" s="198">
        <v>443803739</v>
      </c>
      <c r="B693" s="198">
        <v>634769821.54589903</v>
      </c>
      <c r="D693" s="198" t="s">
        <v>2681</v>
      </c>
      <c r="E693" s="198" t="s">
        <v>2682</v>
      </c>
    </row>
    <row r="694" spans="1:5">
      <c r="A694" s="198">
        <v>444005428</v>
      </c>
      <c r="B694" s="198">
        <v>634971510.54812896</v>
      </c>
      <c r="D694" s="198" t="s">
        <v>2683</v>
      </c>
      <c r="E694" s="198" t="s">
        <v>2684</v>
      </c>
    </row>
    <row r="695" spans="1:5">
      <c r="A695" s="198">
        <v>444091829</v>
      </c>
      <c r="B695" s="198">
        <v>635057911.54902899</v>
      </c>
      <c r="D695" s="198" t="s">
        <v>2685</v>
      </c>
      <c r="E695" s="198" t="s">
        <v>2686</v>
      </c>
    </row>
    <row r="696" spans="1:5">
      <c r="A696" s="198">
        <v>444167373</v>
      </c>
      <c r="B696" s="198">
        <v>635133455.54989898</v>
      </c>
      <c r="D696" s="198" t="s">
        <v>2687</v>
      </c>
      <c r="E696" s="198" t="s">
        <v>2688</v>
      </c>
    </row>
    <row r="697" spans="1:5">
      <c r="A697" s="198">
        <v>444224952</v>
      </c>
      <c r="B697" s="198">
        <v>635191034.55497003</v>
      </c>
      <c r="D697" s="198" t="s">
        <v>2689</v>
      </c>
      <c r="E697" s="198" t="s">
        <v>2690</v>
      </c>
    </row>
    <row r="698" spans="1:5">
      <c r="A698" s="198">
        <v>444426578</v>
      </c>
      <c r="B698" s="198">
        <v>635392660.55723798</v>
      </c>
      <c r="D698" s="198" t="s">
        <v>2691</v>
      </c>
      <c r="E698" s="198" t="s">
        <v>2692</v>
      </c>
    </row>
    <row r="699" spans="1:5">
      <c r="A699" s="198">
        <v>444599378</v>
      </c>
      <c r="B699" s="198">
        <v>635565460.55915201</v>
      </c>
      <c r="D699" s="198" t="s">
        <v>2693</v>
      </c>
      <c r="E699" s="198" t="s">
        <v>2694</v>
      </c>
    </row>
    <row r="700" spans="1:5">
      <c r="A700" s="198">
        <v>444693042</v>
      </c>
      <c r="B700" s="198">
        <v>635659124.56018305</v>
      </c>
      <c r="D700" s="198" t="s">
        <v>2695</v>
      </c>
      <c r="E700" s="198" t="s">
        <v>2696</v>
      </c>
    </row>
    <row r="701" spans="1:5">
      <c r="A701" s="198">
        <v>444743370</v>
      </c>
      <c r="B701" s="198">
        <v>635709452.56075394</v>
      </c>
      <c r="D701" s="198" t="s">
        <v>2697</v>
      </c>
      <c r="E701" s="198" t="s">
        <v>2698</v>
      </c>
    </row>
    <row r="702" spans="1:5">
      <c r="A702" s="198">
        <v>444829775</v>
      </c>
      <c r="B702" s="198">
        <v>635795857.56173098</v>
      </c>
      <c r="D702" s="198" t="s">
        <v>2699</v>
      </c>
      <c r="E702" s="198" t="s">
        <v>2700</v>
      </c>
    </row>
    <row r="703" spans="1:5">
      <c r="A703" s="198">
        <v>444916181</v>
      </c>
      <c r="B703" s="198">
        <v>635882263.56269395</v>
      </c>
      <c r="D703" s="198" t="s">
        <v>2701</v>
      </c>
      <c r="E703" s="198" t="s">
        <v>2702</v>
      </c>
    </row>
    <row r="704" spans="1:5">
      <c r="A704" s="198">
        <v>444980965</v>
      </c>
      <c r="B704" s="198">
        <v>635947047.56338096</v>
      </c>
      <c r="D704" s="198" t="s">
        <v>2703</v>
      </c>
      <c r="E704" s="198" t="s">
        <v>2704</v>
      </c>
    </row>
    <row r="705" spans="1:5">
      <c r="A705" s="198">
        <v>445067362</v>
      </c>
      <c r="B705" s="198">
        <v>636033444.56436598</v>
      </c>
      <c r="D705" s="198" t="s">
        <v>2705</v>
      </c>
      <c r="E705" s="198" t="s">
        <v>2706</v>
      </c>
    </row>
    <row r="706" spans="1:5">
      <c r="A706" s="198">
        <v>445211461</v>
      </c>
      <c r="B706" s="198">
        <v>636177543.56599295</v>
      </c>
      <c r="D706" s="198" t="s">
        <v>2707</v>
      </c>
      <c r="E706" s="198" t="s">
        <v>2708</v>
      </c>
    </row>
    <row r="707" spans="1:5">
      <c r="A707" s="198">
        <v>445279769</v>
      </c>
      <c r="B707" s="198">
        <v>636245851.56675196</v>
      </c>
      <c r="D707" s="198" t="s">
        <v>2709</v>
      </c>
      <c r="E707" s="198" t="s">
        <v>2710</v>
      </c>
    </row>
    <row r="708" spans="1:5">
      <c r="A708" s="198">
        <v>445373396</v>
      </c>
      <c r="B708" s="198">
        <v>636339478.56780696</v>
      </c>
      <c r="D708" s="198" t="s">
        <v>2711</v>
      </c>
      <c r="E708" s="198" t="s">
        <v>2712</v>
      </c>
    </row>
    <row r="709" spans="1:5">
      <c r="A709" s="198">
        <v>445546207</v>
      </c>
      <c r="B709" s="198">
        <v>636512289.56975198</v>
      </c>
      <c r="D709" s="198" t="s">
        <v>2713</v>
      </c>
      <c r="E709" s="198" t="s">
        <v>2714</v>
      </c>
    </row>
    <row r="710" spans="1:5">
      <c r="A710" s="198">
        <v>445647074</v>
      </c>
      <c r="B710" s="198">
        <v>636613156.57083905</v>
      </c>
      <c r="D710" s="198" t="s">
        <v>2715</v>
      </c>
      <c r="E710" s="198" t="s">
        <v>2716</v>
      </c>
    </row>
    <row r="711" spans="1:5">
      <c r="A711" s="198">
        <v>445719017</v>
      </c>
      <c r="B711" s="198">
        <v>636685099.57168901</v>
      </c>
      <c r="D711" s="198" t="s">
        <v>2717</v>
      </c>
      <c r="E711" s="198" t="s">
        <v>2718</v>
      </c>
    </row>
    <row r="712" spans="1:5">
      <c r="A712" s="198">
        <v>445819881</v>
      </c>
      <c r="B712" s="198">
        <v>636785963.57280195</v>
      </c>
      <c r="D712" s="198" t="s">
        <v>2719</v>
      </c>
      <c r="E712" s="198" t="s">
        <v>2720</v>
      </c>
    </row>
    <row r="713" spans="1:5">
      <c r="A713" s="198">
        <v>445891817</v>
      </c>
      <c r="B713" s="198">
        <v>636857899.57364094</v>
      </c>
      <c r="D713" s="198" t="s">
        <v>2721</v>
      </c>
      <c r="E713" s="198" t="s">
        <v>2722</v>
      </c>
    </row>
    <row r="714" spans="1:5">
      <c r="A714" s="198">
        <v>445960192</v>
      </c>
      <c r="B714" s="198">
        <v>636926274.57437003</v>
      </c>
      <c r="D714" s="198" t="s">
        <v>2723</v>
      </c>
      <c r="E714" s="198" t="s">
        <v>2724</v>
      </c>
    </row>
    <row r="715" spans="1:5">
      <c r="A715" s="198">
        <v>446061011</v>
      </c>
      <c r="B715" s="198">
        <v>637027093.57552004</v>
      </c>
      <c r="D715" s="198" t="s">
        <v>2725</v>
      </c>
      <c r="E715" s="198" t="s">
        <v>2726</v>
      </c>
    </row>
    <row r="716" spans="1:5">
      <c r="A716" s="198">
        <v>446132997</v>
      </c>
      <c r="B716" s="198">
        <v>637099079.57632899</v>
      </c>
      <c r="D716" s="198" t="s">
        <v>2727</v>
      </c>
      <c r="E716" s="198" t="s">
        <v>2728</v>
      </c>
    </row>
    <row r="717" spans="1:5">
      <c r="A717" s="198">
        <v>446280598</v>
      </c>
      <c r="B717" s="198">
        <v>637246680.577986</v>
      </c>
      <c r="D717" s="198" t="s">
        <v>2729</v>
      </c>
      <c r="E717" s="198" t="s">
        <v>2730</v>
      </c>
    </row>
    <row r="718" spans="1:5">
      <c r="A718" s="198">
        <v>446424692</v>
      </c>
      <c r="B718" s="198">
        <v>637390774.579597</v>
      </c>
      <c r="D718" s="198" t="s">
        <v>2731</v>
      </c>
      <c r="E718" s="198" t="s">
        <v>2732</v>
      </c>
    </row>
    <row r="719" spans="1:5">
      <c r="A719" s="198">
        <v>446489425</v>
      </c>
      <c r="B719" s="198">
        <v>637455507.580351</v>
      </c>
      <c r="D719" s="198" t="s">
        <v>2733</v>
      </c>
      <c r="E719" s="198" t="s">
        <v>2734</v>
      </c>
    </row>
    <row r="720" spans="1:5">
      <c r="A720" s="198">
        <v>446565015</v>
      </c>
      <c r="B720" s="198">
        <v>637531097.58118403</v>
      </c>
      <c r="D720" s="198" t="s">
        <v>2735</v>
      </c>
      <c r="E720" s="198" t="s">
        <v>2736</v>
      </c>
    </row>
    <row r="721" spans="1:5">
      <c r="A721" s="198">
        <v>446665846</v>
      </c>
      <c r="B721" s="198">
        <v>637631928.58234</v>
      </c>
      <c r="D721" s="198" t="s">
        <v>2737</v>
      </c>
      <c r="E721" s="198" t="s">
        <v>2738</v>
      </c>
    </row>
    <row r="722" spans="1:5">
      <c r="A722" s="198">
        <v>446709021</v>
      </c>
      <c r="B722" s="198">
        <v>637675103.58280694</v>
      </c>
      <c r="D722" s="198" t="s">
        <v>2739</v>
      </c>
      <c r="E722" s="198" t="s">
        <v>2740</v>
      </c>
    </row>
    <row r="723" spans="1:5">
      <c r="A723" s="198">
        <v>446802621</v>
      </c>
      <c r="B723" s="198">
        <v>637768703.58388305</v>
      </c>
      <c r="D723" s="198" t="s">
        <v>2741</v>
      </c>
      <c r="E723" s="198" t="s">
        <v>2742</v>
      </c>
    </row>
    <row r="724" spans="1:5">
      <c r="A724" s="198">
        <v>446878230</v>
      </c>
      <c r="B724" s="198">
        <v>637844312.58471</v>
      </c>
      <c r="D724" s="198" t="s">
        <v>2743</v>
      </c>
      <c r="E724" s="198" t="s">
        <v>2744</v>
      </c>
    </row>
    <row r="725" spans="1:5">
      <c r="A725" s="198">
        <v>447018714</v>
      </c>
      <c r="B725" s="198">
        <v>637984796.58629596</v>
      </c>
      <c r="D725" s="198" t="s">
        <v>2745</v>
      </c>
      <c r="E725" s="198" t="s">
        <v>2746</v>
      </c>
    </row>
    <row r="726" spans="1:5">
      <c r="A726" s="198">
        <v>447069053</v>
      </c>
      <c r="B726" s="198">
        <v>638035135.58689499</v>
      </c>
      <c r="D726" s="198" t="s">
        <v>2747</v>
      </c>
      <c r="E726" s="198" t="s">
        <v>2748</v>
      </c>
    </row>
    <row r="727" spans="1:5">
      <c r="A727" s="198">
        <v>447241871</v>
      </c>
      <c r="B727" s="198">
        <v>638207953.58884799</v>
      </c>
      <c r="D727" s="198" t="s">
        <v>2749</v>
      </c>
      <c r="E727" s="198" t="s">
        <v>2750</v>
      </c>
    </row>
    <row r="728" spans="1:5">
      <c r="A728" s="198">
        <v>447357084</v>
      </c>
      <c r="B728" s="198">
        <v>638323166.59015405</v>
      </c>
      <c r="D728" s="198" t="s">
        <v>2751</v>
      </c>
      <c r="E728" s="198" t="s">
        <v>2752</v>
      </c>
    </row>
    <row r="729" spans="1:5">
      <c r="A729" s="198">
        <v>447411057</v>
      </c>
      <c r="B729" s="198">
        <v>638377139.59075606</v>
      </c>
      <c r="D729" s="198" t="s">
        <v>2753</v>
      </c>
      <c r="E729" s="198" t="s">
        <v>2754</v>
      </c>
    </row>
    <row r="730" spans="1:5">
      <c r="A730" s="198">
        <v>447486652</v>
      </c>
      <c r="B730" s="198">
        <v>638452734.59160995</v>
      </c>
      <c r="D730" s="198" t="s">
        <v>2755</v>
      </c>
      <c r="E730" s="198" t="s">
        <v>2756</v>
      </c>
    </row>
    <row r="731" spans="1:5">
      <c r="A731" s="198">
        <v>447587489</v>
      </c>
      <c r="B731" s="198">
        <v>638553571.59275603</v>
      </c>
      <c r="D731" s="198" t="s">
        <v>2757</v>
      </c>
      <c r="E731" s="198" t="s">
        <v>2758</v>
      </c>
    </row>
    <row r="732" spans="1:5">
      <c r="A732" s="198">
        <v>447720754</v>
      </c>
      <c r="B732" s="198">
        <v>638686836.59428596</v>
      </c>
      <c r="D732" s="198" t="s">
        <v>2759</v>
      </c>
      <c r="E732" s="198" t="s">
        <v>2760</v>
      </c>
    </row>
    <row r="733" spans="1:5">
      <c r="A733" s="198">
        <v>447789102</v>
      </c>
      <c r="B733" s="198">
        <v>638755184.59505796</v>
      </c>
      <c r="D733" s="198" t="s">
        <v>2761</v>
      </c>
      <c r="E733" s="198" t="s">
        <v>2762</v>
      </c>
    </row>
    <row r="734" spans="1:5">
      <c r="A734" s="198">
        <v>447951086</v>
      </c>
      <c r="B734" s="198">
        <v>638917168.59687805</v>
      </c>
      <c r="D734" s="198" t="s">
        <v>2763</v>
      </c>
      <c r="E734" s="198" t="s">
        <v>2764</v>
      </c>
    </row>
    <row r="735" spans="1:5">
      <c r="A735" s="198">
        <v>448120292</v>
      </c>
      <c r="B735" s="198">
        <v>639086374.59880602</v>
      </c>
      <c r="D735" s="198" t="s">
        <v>2765</v>
      </c>
      <c r="E735" s="198" t="s">
        <v>2766</v>
      </c>
    </row>
    <row r="736" spans="1:5">
      <c r="A736" s="198">
        <v>448239189</v>
      </c>
      <c r="B736" s="198">
        <v>639205271.60016</v>
      </c>
      <c r="D736" s="198" t="s">
        <v>2767</v>
      </c>
      <c r="E736" s="198" t="s">
        <v>2768</v>
      </c>
    </row>
    <row r="737" spans="1:5">
      <c r="A737" s="198">
        <v>448303916</v>
      </c>
      <c r="B737" s="198">
        <v>639269998.60090399</v>
      </c>
      <c r="D737" s="198" t="s">
        <v>2769</v>
      </c>
      <c r="E737" s="198" t="s">
        <v>2770</v>
      </c>
    </row>
    <row r="738" spans="1:5">
      <c r="A738" s="198">
        <v>448465910</v>
      </c>
      <c r="B738" s="198">
        <v>639431992.60273397</v>
      </c>
      <c r="D738" s="198" t="s">
        <v>2771</v>
      </c>
      <c r="E738" s="198" t="s">
        <v>2772</v>
      </c>
    </row>
    <row r="739" spans="1:5">
      <c r="A739" s="198">
        <v>448563171</v>
      </c>
      <c r="B739" s="198">
        <v>639529253.60386801</v>
      </c>
      <c r="D739" s="198" t="s">
        <v>2773</v>
      </c>
      <c r="E739" s="198" t="s">
        <v>2774</v>
      </c>
    </row>
    <row r="740" spans="1:5">
      <c r="A740" s="198">
        <v>448649546</v>
      </c>
      <c r="B740" s="198">
        <v>639615628.60483694</v>
      </c>
      <c r="D740" s="198" t="s">
        <v>2775</v>
      </c>
      <c r="E740" s="198" t="s">
        <v>2776</v>
      </c>
    </row>
    <row r="741" spans="1:5">
      <c r="A741" s="198">
        <v>448743220</v>
      </c>
      <c r="B741" s="198">
        <v>639709302.60590303</v>
      </c>
      <c r="D741" s="198" t="s">
        <v>2777</v>
      </c>
      <c r="E741" s="198" t="s">
        <v>2778</v>
      </c>
    </row>
    <row r="742" spans="1:5">
      <c r="A742" s="198">
        <v>448793549</v>
      </c>
      <c r="B742" s="198">
        <v>639759631.60649395</v>
      </c>
      <c r="D742" s="198" t="s">
        <v>2779</v>
      </c>
      <c r="E742" s="198" t="s">
        <v>2780</v>
      </c>
    </row>
    <row r="743" spans="1:5">
      <c r="A743" s="198">
        <v>448908766</v>
      </c>
      <c r="B743" s="198">
        <v>639874848.60780001</v>
      </c>
      <c r="D743" s="198" t="s">
        <v>2781</v>
      </c>
      <c r="E743" s="198" t="s">
        <v>2782</v>
      </c>
    </row>
    <row r="744" spans="1:5">
      <c r="A744" s="198">
        <v>449103227</v>
      </c>
      <c r="B744" s="198">
        <v>640069309.61004198</v>
      </c>
      <c r="D744" s="198" t="s">
        <v>2783</v>
      </c>
      <c r="E744" s="198" t="s">
        <v>2784</v>
      </c>
    </row>
    <row r="745" spans="1:5">
      <c r="A745" s="198">
        <v>449164377</v>
      </c>
      <c r="B745" s="198">
        <v>640130459.61071897</v>
      </c>
      <c r="D745" s="198" t="s">
        <v>2785</v>
      </c>
      <c r="E745" s="198" t="s">
        <v>2786</v>
      </c>
    </row>
    <row r="746" spans="1:5">
      <c r="A746" s="198">
        <v>449243551</v>
      </c>
      <c r="B746" s="198">
        <v>640209633.61162305</v>
      </c>
      <c r="D746" s="198" t="s">
        <v>2787</v>
      </c>
      <c r="E746" s="198" t="s">
        <v>2788</v>
      </c>
    </row>
    <row r="747" spans="1:5">
      <c r="A747" s="198">
        <v>449391176</v>
      </c>
      <c r="B747" s="198">
        <v>640357258.61332202</v>
      </c>
      <c r="D747" s="198" t="s">
        <v>2789</v>
      </c>
      <c r="E747" s="198" t="s">
        <v>2790</v>
      </c>
    </row>
    <row r="748" spans="1:5">
      <c r="A748" s="198">
        <v>449509997</v>
      </c>
      <c r="B748" s="198">
        <v>640476079.61467505</v>
      </c>
      <c r="D748" s="198" t="s">
        <v>2791</v>
      </c>
      <c r="E748" s="198" t="s">
        <v>2792</v>
      </c>
    </row>
    <row r="749" spans="1:5">
      <c r="A749" s="198">
        <v>449592776</v>
      </c>
      <c r="B749" s="198">
        <v>640558858.61563599</v>
      </c>
      <c r="D749" s="198" t="s">
        <v>2793</v>
      </c>
      <c r="E749" s="198" t="s">
        <v>2794</v>
      </c>
    </row>
    <row r="750" spans="1:5">
      <c r="A750" s="198">
        <v>449690067</v>
      </c>
      <c r="B750" s="198">
        <v>640656149.61672795</v>
      </c>
      <c r="D750" s="198" t="s">
        <v>2795</v>
      </c>
      <c r="E750" s="198" t="s">
        <v>2796</v>
      </c>
    </row>
    <row r="751" spans="1:5">
      <c r="A751" s="198">
        <v>449740448</v>
      </c>
      <c r="B751" s="198">
        <v>640706530.61732197</v>
      </c>
      <c r="D751" s="198" t="s">
        <v>2797</v>
      </c>
      <c r="E751" s="198" t="s">
        <v>2798</v>
      </c>
    </row>
    <row r="752" spans="1:5">
      <c r="A752" s="198">
        <v>450028467</v>
      </c>
      <c r="B752" s="198">
        <v>640994549.62064004</v>
      </c>
      <c r="D752" s="198" t="s">
        <v>2799</v>
      </c>
      <c r="E752" s="198" t="s">
        <v>2800</v>
      </c>
    </row>
    <row r="753" spans="1:5">
      <c r="A753" s="198">
        <v>450428058</v>
      </c>
      <c r="B753" s="198">
        <v>641394140.62520397</v>
      </c>
      <c r="D753" s="198" t="s">
        <v>2801</v>
      </c>
      <c r="E753" s="198" t="s">
        <v>2802</v>
      </c>
    </row>
    <row r="754" spans="1:5">
      <c r="A754" s="198">
        <v>450644114</v>
      </c>
      <c r="B754" s="198">
        <v>641610196.62767804</v>
      </c>
      <c r="D754" s="198" t="s">
        <v>2803</v>
      </c>
      <c r="E754" s="198" t="s">
        <v>2804</v>
      </c>
    </row>
    <row r="755" spans="1:5">
      <c r="A755" s="198">
        <v>450906928</v>
      </c>
      <c r="B755" s="198">
        <v>641873010.63070798</v>
      </c>
      <c r="D755" s="198" t="s">
        <v>2805</v>
      </c>
      <c r="E755" s="198" t="s">
        <v>2806</v>
      </c>
    </row>
    <row r="756" spans="1:5">
      <c r="A756" s="198">
        <v>451234531</v>
      </c>
      <c r="B756" s="198">
        <v>642200613.63448906</v>
      </c>
      <c r="D756" s="198" t="s">
        <v>2807</v>
      </c>
      <c r="E756" s="198" t="s">
        <v>2808</v>
      </c>
    </row>
    <row r="757" spans="1:5">
      <c r="A757" s="198">
        <v>451551334</v>
      </c>
      <c r="B757" s="198">
        <v>642517416.63813698</v>
      </c>
      <c r="D757" s="198" t="s">
        <v>2809</v>
      </c>
      <c r="E757" s="198" t="s">
        <v>2810</v>
      </c>
    </row>
    <row r="758" spans="1:5">
      <c r="A758" s="198">
        <v>451846540</v>
      </c>
      <c r="B758" s="198">
        <v>642812622.64153397</v>
      </c>
      <c r="D758" s="198" t="s">
        <v>2811</v>
      </c>
      <c r="E758" s="198" t="s">
        <v>2812</v>
      </c>
    </row>
    <row r="759" spans="1:5">
      <c r="A759" s="198">
        <v>452181363</v>
      </c>
      <c r="B759" s="198">
        <v>643147445.64541495</v>
      </c>
      <c r="D759" s="198" t="s">
        <v>2813</v>
      </c>
      <c r="E759" s="198" t="s">
        <v>2814</v>
      </c>
    </row>
    <row r="760" spans="1:5">
      <c r="A760" s="198">
        <v>452473881</v>
      </c>
      <c r="B760" s="198">
        <v>643439963.64875996</v>
      </c>
      <c r="D760" s="198" t="s">
        <v>2815</v>
      </c>
      <c r="E760" s="198" t="s">
        <v>2816</v>
      </c>
    </row>
    <row r="761" spans="1:5">
      <c r="A761" s="198">
        <v>452498127</v>
      </c>
      <c r="B761" s="198">
        <v>643464209.649055</v>
      </c>
      <c r="D761" s="198" t="s">
        <v>2817</v>
      </c>
      <c r="E761" s="198" t="s">
        <v>2818</v>
      </c>
    </row>
    <row r="762" spans="1:5">
      <c r="A762" s="198">
        <v>452818581</v>
      </c>
      <c r="B762" s="198">
        <v>643784663.65274203</v>
      </c>
      <c r="D762" s="198" t="s">
        <v>2819</v>
      </c>
      <c r="E762" s="198" t="s">
        <v>2820</v>
      </c>
    </row>
    <row r="763" spans="1:5">
      <c r="A763" s="198">
        <v>452840135</v>
      </c>
      <c r="B763" s="198">
        <v>643806217.65300298</v>
      </c>
      <c r="D763" s="198" t="s">
        <v>2821</v>
      </c>
      <c r="E763" s="198" t="s">
        <v>2822</v>
      </c>
    </row>
    <row r="764" spans="1:5">
      <c r="A764" s="198">
        <v>453077782</v>
      </c>
      <c r="B764" s="198">
        <v>644043864.65573394</v>
      </c>
      <c r="D764" s="198" t="s">
        <v>2823</v>
      </c>
      <c r="E764" s="198" t="s">
        <v>2824</v>
      </c>
    </row>
    <row r="765" spans="1:5">
      <c r="A765" s="198">
        <v>453138987</v>
      </c>
      <c r="B765" s="198">
        <v>644105069.65645397</v>
      </c>
      <c r="D765" s="198" t="s">
        <v>2825</v>
      </c>
      <c r="E765" s="198" t="s">
        <v>2826</v>
      </c>
    </row>
    <row r="766" spans="1:5">
      <c r="A766" s="198">
        <v>453336996</v>
      </c>
      <c r="B766" s="198">
        <v>644303078.65872896</v>
      </c>
      <c r="D766" s="198" t="s">
        <v>2827</v>
      </c>
      <c r="E766" s="198" t="s">
        <v>2828</v>
      </c>
    </row>
    <row r="767" spans="1:5">
      <c r="A767" s="198">
        <v>453358577</v>
      </c>
      <c r="B767" s="198">
        <v>644324659.65901005</v>
      </c>
      <c r="D767" s="198" t="s">
        <v>2829</v>
      </c>
      <c r="E767" s="198" t="s">
        <v>2830</v>
      </c>
    </row>
    <row r="768" spans="1:5">
      <c r="A768" s="198">
        <v>453646577</v>
      </c>
      <c r="B768" s="198">
        <v>644612659.66234696</v>
      </c>
      <c r="D768" s="198" t="s">
        <v>2831</v>
      </c>
      <c r="E768" s="198" t="s">
        <v>2832</v>
      </c>
    </row>
    <row r="769" spans="1:5">
      <c r="A769" s="198">
        <v>453992179</v>
      </c>
      <c r="B769" s="198">
        <v>644958261.66634595</v>
      </c>
      <c r="D769" s="198" t="s">
        <v>2833</v>
      </c>
      <c r="E769" s="198" t="s">
        <v>2834</v>
      </c>
    </row>
    <row r="770" spans="1:5">
      <c r="A770" s="198">
        <v>454064127</v>
      </c>
      <c r="B770" s="198">
        <v>645030209.66715503</v>
      </c>
      <c r="D770" s="198" t="s">
        <v>2835</v>
      </c>
      <c r="E770" s="198" t="s">
        <v>2836</v>
      </c>
    </row>
    <row r="771" spans="1:5">
      <c r="A771" s="198">
        <v>454287367</v>
      </c>
      <c r="B771" s="198">
        <v>645253449.66973305</v>
      </c>
      <c r="D771" s="198" t="s">
        <v>2837</v>
      </c>
      <c r="E771" s="198" t="s">
        <v>2838</v>
      </c>
    </row>
    <row r="772" spans="1:5">
      <c r="A772" s="198">
        <v>454308967</v>
      </c>
      <c r="B772" s="198">
        <v>645275049.67000198</v>
      </c>
      <c r="D772" s="198" t="s">
        <v>2839</v>
      </c>
      <c r="E772" s="198" t="s">
        <v>2840</v>
      </c>
    </row>
    <row r="773" spans="1:5">
      <c r="A773" s="198">
        <v>454593371</v>
      </c>
      <c r="B773" s="198">
        <v>645559453.67330599</v>
      </c>
      <c r="D773" s="198" t="s">
        <v>2841</v>
      </c>
      <c r="E773" s="198" t="s">
        <v>2842</v>
      </c>
    </row>
    <row r="774" spans="1:5">
      <c r="A774" s="198">
        <v>454719360</v>
      </c>
      <c r="B774" s="198">
        <v>645685442.67473495</v>
      </c>
      <c r="D774" s="198" t="s">
        <v>2843</v>
      </c>
      <c r="E774" s="198" t="s">
        <v>2844</v>
      </c>
    </row>
    <row r="775" spans="1:5">
      <c r="A775" s="198">
        <v>454726519</v>
      </c>
      <c r="B775" s="198">
        <v>645692601.67482197</v>
      </c>
      <c r="D775" s="198" t="s">
        <v>2845</v>
      </c>
      <c r="E775" s="198" t="s">
        <v>2846</v>
      </c>
    </row>
    <row r="776" spans="1:5">
      <c r="A776" s="198">
        <v>454892156</v>
      </c>
      <c r="B776" s="198">
        <v>645858238.67672396</v>
      </c>
      <c r="D776" s="198" t="s">
        <v>2847</v>
      </c>
      <c r="E776" s="198" t="s">
        <v>2848</v>
      </c>
    </row>
    <row r="777" spans="1:5">
      <c r="A777" s="198">
        <v>454910175</v>
      </c>
      <c r="B777" s="198">
        <v>645876257.67695606</v>
      </c>
      <c r="D777" s="198" t="s">
        <v>2849</v>
      </c>
      <c r="E777" s="198" t="s">
        <v>2850</v>
      </c>
    </row>
    <row r="778" spans="1:5">
      <c r="A778" s="198">
        <v>455237761</v>
      </c>
      <c r="B778" s="198">
        <v>646203843.68072701</v>
      </c>
      <c r="D778" s="198" t="s">
        <v>2851</v>
      </c>
      <c r="E778" s="198" t="s">
        <v>2852</v>
      </c>
    </row>
    <row r="779" spans="1:5">
      <c r="A779" s="198">
        <v>455255765</v>
      </c>
      <c r="B779" s="198">
        <v>646221847.68094397</v>
      </c>
      <c r="D779" s="198" t="s">
        <v>2853</v>
      </c>
      <c r="E779" s="198" t="s">
        <v>2854</v>
      </c>
    </row>
    <row r="780" spans="1:5">
      <c r="A780" s="198">
        <v>455457361</v>
      </c>
      <c r="B780" s="198">
        <v>646423443.68329406</v>
      </c>
      <c r="D780" s="198" t="s">
        <v>2855</v>
      </c>
      <c r="E780" s="198" t="s">
        <v>2856</v>
      </c>
    </row>
    <row r="781" spans="1:5">
      <c r="A781" s="198">
        <v>455622910</v>
      </c>
      <c r="B781" s="198">
        <v>646588992.685197</v>
      </c>
      <c r="D781" s="198" t="s">
        <v>2857</v>
      </c>
      <c r="E781" s="198" t="s">
        <v>2858</v>
      </c>
    </row>
    <row r="782" spans="1:5">
      <c r="A782" s="198">
        <v>455842520</v>
      </c>
      <c r="B782" s="198">
        <v>646808602.68771505</v>
      </c>
      <c r="D782" s="198" t="s">
        <v>2859</v>
      </c>
      <c r="E782" s="198" t="s">
        <v>2860</v>
      </c>
    </row>
    <row r="783" spans="1:5">
      <c r="A783" s="198">
        <v>455860543</v>
      </c>
      <c r="B783" s="198">
        <v>646826625.68794405</v>
      </c>
      <c r="D783" s="198" t="s">
        <v>2861</v>
      </c>
      <c r="E783" s="198" t="s">
        <v>2862</v>
      </c>
    </row>
    <row r="784" spans="1:5">
      <c r="A784" s="198">
        <v>456015313</v>
      </c>
      <c r="B784" s="198">
        <v>646981395.68971705</v>
      </c>
      <c r="D784" s="198" t="s">
        <v>2863</v>
      </c>
      <c r="E784" s="198" t="s">
        <v>2864</v>
      </c>
    </row>
    <row r="785" spans="1:5">
      <c r="A785" s="198">
        <v>456065748</v>
      </c>
      <c r="B785" s="198">
        <v>647031830.69029796</v>
      </c>
      <c r="D785" s="198" t="s">
        <v>2865</v>
      </c>
      <c r="E785" s="198" t="s">
        <v>2866</v>
      </c>
    </row>
    <row r="786" spans="1:5">
      <c r="A786" s="198">
        <v>456188106</v>
      </c>
      <c r="B786" s="198">
        <v>647154188.69171202</v>
      </c>
      <c r="D786" s="198" t="s">
        <v>2867</v>
      </c>
      <c r="E786" s="198" t="s">
        <v>2868</v>
      </c>
    </row>
    <row r="787" spans="1:5">
      <c r="A787" s="198">
        <v>456216883</v>
      </c>
      <c r="B787" s="198">
        <v>647182965.69204104</v>
      </c>
      <c r="D787" s="198" t="s">
        <v>2869</v>
      </c>
      <c r="E787" s="198" t="s">
        <v>2870</v>
      </c>
    </row>
    <row r="788" spans="1:5">
      <c r="A788" s="198">
        <v>456404128</v>
      </c>
      <c r="B788" s="198">
        <v>647370210.69420695</v>
      </c>
      <c r="D788" s="198" t="s">
        <v>2871</v>
      </c>
      <c r="E788" s="198" t="s">
        <v>2872</v>
      </c>
    </row>
    <row r="789" spans="1:5">
      <c r="A789" s="198">
        <v>456706482</v>
      </c>
      <c r="B789" s="198">
        <v>647672564.69769895</v>
      </c>
      <c r="D789" s="198" t="s">
        <v>2873</v>
      </c>
      <c r="E789" s="198" t="s">
        <v>2874</v>
      </c>
    </row>
    <row r="790" spans="1:5">
      <c r="A790" s="198">
        <v>456735256</v>
      </c>
      <c r="B790" s="198">
        <v>647701338.69801497</v>
      </c>
      <c r="D790" s="198" t="s">
        <v>2875</v>
      </c>
      <c r="E790" s="198" t="s">
        <v>2876</v>
      </c>
    </row>
    <row r="791" spans="1:5">
      <c r="A791" s="198">
        <v>456908054</v>
      </c>
      <c r="B791" s="198">
        <v>647874136.700014</v>
      </c>
      <c r="D791" s="198" t="s">
        <v>2877</v>
      </c>
      <c r="E791" s="198" t="s">
        <v>2878</v>
      </c>
    </row>
    <row r="792" spans="1:5">
      <c r="A792" s="198">
        <v>457005301</v>
      </c>
      <c r="B792" s="198">
        <v>647971383.70115805</v>
      </c>
      <c r="D792" s="198" t="s">
        <v>2879</v>
      </c>
      <c r="E792" s="198" t="s">
        <v>2880</v>
      </c>
    </row>
    <row r="793" spans="1:5">
      <c r="A793" s="198">
        <v>457311247</v>
      </c>
      <c r="B793" s="198">
        <v>648277329.70465195</v>
      </c>
      <c r="D793" s="198" t="s">
        <v>2881</v>
      </c>
      <c r="E793" s="198" t="s">
        <v>2882</v>
      </c>
    </row>
    <row r="794" spans="1:5">
      <c r="A794" s="198">
        <v>457322068</v>
      </c>
      <c r="B794" s="198">
        <v>648288150.70478904</v>
      </c>
      <c r="D794" s="198" t="s">
        <v>2883</v>
      </c>
      <c r="E794" s="198" t="s">
        <v>2884</v>
      </c>
    </row>
    <row r="795" spans="1:5">
      <c r="A795" s="198">
        <v>457566799</v>
      </c>
      <c r="B795" s="198">
        <v>648532881.70759499</v>
      </c>
      <c r="D795" s="198" t="s">
        <v>2885</v>
      </c>
      <c r="E795" s="198" t="s">
        <v>2886</v>
      </c>
    </row>
    <row r="796" spans="1:5">
      <c r="A796" s="198">
        <v>457656792</v>
      </c>
      <c r="B796" s="198">
        <v>648622874.708637</v>
      </c>
      <c r="D796" s="198" t="s">
        <v>2887</v>
      </c>
      <c r="E796" s="198" t="s">
        <v>2888</v>
      </c>
    </row>
    <row r="797" spans="1:5">
      <c r="A797" s="198">
        <v>457743188</v>
      </c>
      <c r="B797" s="198">
        <v>648709270.70961201</v>
      </c>
      <c r="D797" s="198" t="s">
        <v>2889</v>
      </c>
      <c r="E797" s="198" t="s">
        <v>2890</v>
      </c>
    </row>
    <row r="798" spans="1:5">
      <c r="A798" s="198">
        <v>457754067</v>
      </c>
      <c r="B798" s="198">
        <v>648720149.70974696</v>
      </c>
      <c r="D798" s="198" t="s">
        <v>2891</v>
      </c>
      <c r="E798" s="198" t="s">
        <v>2892</v>
      </c>
    </row>
    <row r="799" spans="1:5">
      <c r="A799" s="198">
        <v>457915978</v>
      </c>
      <c r="B799" s="198">
        <v>648882060.71159601</v>
      </c>
      <c r="D799" s="198" t="s">
        <v>2893</v>
      </c>
      <c r="E799" s="198" t="s">
        <v>2894</v>
      </c>
    </row>
    <row r="800" spans="1:5">
      <c r="A800" s="198">
        <v>457919555</v>
      </c>
      <c r="B800" s="198">
        <v>648885637.71165299</v>
      </c>
      <c r="D800" s="198" t="s">
        <v>2895</v>
      </c>
      <c r="E800" s="198" t="s">
        <v>2896</v>
      </c>
    </row>
    <row r="801" spans="1:5">
      <c r="A801" s="198">
        <v>458175154</v>
      </c>
      <c r="B801" s="198">
        <v>649141236.71457398</v>
      </c>
      <c r="D801" s="198" t="s">
        <v>2897</v>
      </c>
      <c r="E801" s="198" t="s">
        <v>2898</v>
      </c>
    </row>
    <row r="802" spans="1:5">
      <c r="A802" s="198">
        <v>458240014</v>
      </c>
      <c r="B802" s="198">
        <v>649206096.71532595</v>
      </c>
      <c r="D802" s="198" t="s">
        <v>2899</v>
      </c>
      <c r="E802" s="198" t="s">
        <v>2900</v>
      </c>
    </row>
    <row r="803" spans="1:5">
      <c r="A803" s="198">
        <v>458297557</v>
      </c>
      <c r="B803" s="198">
        <v>649263639.71597898</v>
      </c>
      <c r="D803" s="198" t="s">
        <v>2901</v>
      </c>
      <c r="E803" s="198" t="s">
        <v>2902</v>
      </c>
    </row>
    <row r="804" spans="1:5">
      <c r="A804" s="198">
        <v>458434336</v>
      </c>
      <c r="B804" s="198">
        <v>649400418.71754098</v>
      </c>
      <c r="D804" s="198" t="s">
        <v>2903</v>
      </c>
      <c r="E804" s="198" t="s">
        <v>2904</v>
      </c>
    </row>
    <row r="805" spans="1:5">
      <c r="A805" s="198">
        <v>458520727</v>
      </c>
      <c r="B805" s="198">
        <v>649486809.71851695</v>
      </c>
      <c r="D805" s="198" t="s">
        <v>2905</v>
      </c>
      <c r="E805" s="198" t="s">
        <v>2906</v>
      </c>
    </row>
    <row r="806" spans="1:5">
      <c r="A806" s="198">
        <v>458556737</v>
      </c>
      <c r="B806" s="198">
        <v>649522819.71895194</v>
      </c>
      <c r="D806" s="198" t="s">
        <v>2907</v>
      </c>
      <c r="E806" s="198" t="s">
        <v>2908</v>
      </c>
    </row>
    <row r="807" spans="1:5">
      <c r="A807" s="198">
        <v>458689914</v>
      </c>
      <c r="B807" s="198">
        <v>649655996.72046399</v>
      </c>
      <c r="D807" s="198" t="s">
        <v>2909</v>
      </c>
      <c r="E807" s="198" t="s">
        <v>2910</v>
      </c>
    </row>
    <row r="808" spans="1:5">
      <c r="A808" s="198">
        <v>458815903</v>
      </c>
      <c r="B808" s="198">
        <v>649781985.72191894</v>
      </c>
      <c r="D808" s="198" t="s">
        <v>2911</v>
      </c>
      <c r="E808" s="198" t="s">
        <v>2912</v>
      </c>
    </row>
    <row r="809" spans="1:5">
      <c r="A809" s="198">
        <v>458952694</v>
      </c>
      <c r="B809" s="198">
        <v>649918776.72345996</v>
      </c>
      <c r="D809" s="198" t="s">
        <v>2913</v>
      </c>
      <c r="E809" s="198" t="s">
        <v>2914</v>
      </c>
    </row>
    <row r="810" spans="1:5">
      <c r="A810" s="198">
        <v>458959886</v>
      </c>
      <c r="B810" s="198">
        <v>649925968.72356606</v>
      </c>
      <c r="D810" s="198" t="s">
        <v>2915</v>
      </c>
      <c r="E810" s="198" t="s">
        <v>2916</v>
      </c>
    </row>
    <row r="811" spans="1:5">
      <c r="A811" s="198">
        <v>459125476</v>
      </c>
      <c r="B811" s="198">
        <v>650091558.72543705</v>
      </c>
      <c r="D811" s="198" t="s">
        <v>2917</v>
      </c>
      <c r="E811" s="198" t="s">
        <v>2918</v>
      </c>
    </row>
    <row r="812" spans="1:5">
      <c r="A812" s="198">
        <v>459183145</v>
      </c>
      <c r="B812" s="198">
        <v>650149227.72610903</v>
      </c>
      <c r="D812" s="198" t="s">
        <v>2919</v>
      </c>
      <c r="E812" s="198" t="s">
        <v>2920</v>
      </c>
    </row>
    <row r="813" spans="1:5">
      <c r="A813" s="198">
        <v>459237042</v>
      </c>
      <c r="B813" s="198">
        <v>650203124.726717</v>
      </c>
      <c r="D813" s="198" t="s">
        <v>2921</v>
      </c>
      <c r="E813" s="198" t="s">
        <v>2922</v>
      </c>
    </row>
    <row r="814" spans="1:5">
      <c r="A814" s="198">
        <v>459384654</v>
      </c>
      <c r="B814" s="198">
        <v>650350736.72840095</v>
      </c>
      <c r="D814" s="198" t="s">
        <v>2923</v>
      </c>
      <c r="E814" s="198" t="s">
        <v>2924</v>
      </c>
    </row>
    <row r="815" spans="1:5">
      <c r="A815" s="198">
        <v>459471041</v>
      </c>
      <c r="B815" s="198">
        <v>650437123.72939003</v>
      </c>
      <c r="D815" s="198" t="s">
        <v>2925</v>
      </c>
      <c r="E815" s="198" t="s">
        <v>2926</v>
      </c>
    </row>
    <row r="816" spans="1:5">
      <c r="A816" s="198">
        <v>459553834</v>
      </c>
      <c r="B816" s="198">
        <v>650519916.73031604</v>
      </c>
      <c r="D816" s="198" t="s">
        <v>2927</v>
      </c>
      <c r="E816" s="198" t="s">
        <v>2928</v>
      </c>
    </row>
    <row r="817" spans="1:5">
      <c r="A817" s="198">
        <v>459636622</v>
      </c>
      <c r="B817" s="198">
        <v>650602704.73125505</v>
      </c>
      <c r="D817" s="198" t="s">
        <v>2929</v>
      </c>
      <c r="E817" s="198" t="s">
        <v>2930</v>
      </c>
    </row>
    <row r="818" spans="1:5">
      <c r="A818" s="198">
        <v>459676218</v>
      </c>
      <c r="B818" s="198">
        <v>650642300.73172796</v>
      </c>
      <c r="D818" s="198" t="s">
        <v>2931</v>
      </c>
      <c r="E818" s="198" t="s">
        <v>2932</v>
      </c>
    </row>
    <row r="819" spans="1:5">
      <c r="A819" s="198">
        <v>459816656</v>
      </c>
      <c r="B819" s="198">
        <v>650782738.73331702</v>
      </c>
      <c r="D819" s="198" t="s">
        <v>2933</v>
      </c>
      <c r="E819" s="198" t="s">
        <v>2934</v>
      </c>
    </row>
    <row r="820" spans="1:5">
      <c r="A820" s="198">
        <v>459902998</v>
      </c>
      <c r="B820" s="198">
        <v>650869080.734303</v>
      </c>
      <c r="D820" s="198" t="s">
        <v>2935</v>
      </c>
      <c r="E820" s="198" t="s">
        <v>2936</v>
      </c>
    </row>
    <row r="821" spans="1:5">
      <c r="A821" s="198">
        <v>460050648</v>
      </c>
      <c r="B821" s="198">
        <v>651016730.73600197</v>
      </c>
      <c r="D821" s="198" t="s">
        <v>2937</v>
      </c>
      <c r="E821" s="198" t="s">
        <v>2938</v>
      </c>
    </row>
    <row r="822" spans="1:5">
      <c r="A822" s="198">
        <v>460108185</v>
      </c>
      <c r="B822" s="198">
        <v>651074267.73664105</v>
      </c>
      <c r="D822" s="198" t="s">
        <v>2939</v>
      </c>
      <c r="E822" s="198" t="s">
        <v>2940</v>
      </c>
    </row>
    <row r="823" spans="1:5">
      <c r="A823" s="198">
        <v>460248570</v>
      </c>
      <c r="B823" s="198">
        <v>651214652.73823297</v>
      </c>
      <c r="D823" s="198" t="s">
        <v>2941</v>
      </c>
      <c r="E823" s="198" t="s">
        <v>2942</v>
      </c>
    </row>
    <row r="824" spans="1:5">
      <c r="A824" s="198">
        <v>460334954</v>
      </c>
      <c r="B824" s="198">
        <v>651301036.73921895</v>
      </c>
      <c r="D824" s="198" t="s">
        <v>2943</v>
      </c>
      <c r="E824" s="198" t="s">
        <v>2944</v>
      </c>
    </row>
    <row r="825" spans="1:5">
      <c r="A825" s="198">
        <v>460417741</v>
      </c>
      <c r="B825" s="198">
        <v>651383823.74015296</v>
      </c>
      <c r="D825" s="198" t="s">
        <v>2945</v>
      </c>
      <c r="E825" s="198" t="s">
        <v>2946</v>
      </c>
    </row>
    <row r="826" spans="1:5">
      <c r="A826" s="198">
        <v>460518511</v>
      </c>
      <c r="B826" s="198">
        <v>651484593.74128604</v>
      </c>
      <c r="D826" s="198" t="s">
        <v>2947</v>
      </c>
      <c r="E826" s="198" t="s">
        <v>2948</v>
      </c>
    </row>
    <row r="827" spans="1:5">
      <c r="A827" s="198">
        <v>460680516</v>
      </c>
      <c r="B827" s="198">
        <v>651646598.74314594</v>
      </c>
      <c r="D827" s="198" t="s">
        <v>2949</v>
      </c>
      <c r="E827" s="198" t="s">
        <v>2950</v>
      </c>
    </row>
    <row r="828" spans="1:5">
      <c r="A828" s="198">
        <v>460766956</v>
      </c>
      <c r="B828" s="198">
        <v>651733038.744115</v>
      </c>
      <c r="D828" s="198" t="s">
        <v>2951</v>
      </c>
      <c r="E828" s="198" t="s">
        <v>2952</v>
      </c>
    </row>
    <row r="829" spans="1:5">
      <c r="A829" s="198">
        <v>460849688</v>
      </c>
      <c r="B829" s="198">
        <v>651815770.74504697</v>
      </c>
      <c r="D829" s="198" t="s">
        <v>2953</v>
      </c>
      <c r="E829" s="198" t="s">
        <v>2954</v>
      </c>
    </row>
    <row r="830" spans="1:5">
      <c r="A830" s="198">
        <v>460939701</v>
      </c>
      <c r="B830" s="198">
        <v>651905783.74608195</v>
      </c>
      <c r="D830" s="198" t="s">
        <v>2955</v>
      </c>
      <c r="E830" s="198" t="s">
        <v>2956</v>
      </c>
    </row>
    <row r="831" spans="1:5">
      <c r="A831" s="198">
        <v>461022469</v>
      </c>
      <c r="B831" s="198">
        <v>651988551.74700499</v>
      </c>
      <c r="D831" s="198" t="s">
        <v>2957</v>
      </c>
      <c r="E831" s="198" t="s">
        <v>2958</v>
      </c>
    </row>
    <row r="832" spans="1:5">
      <c r="A832" s="198">
        <v>461112478</v>
      </c>
      <c r="B832" s="198">
        <v>652078560.74804497</v>
      </c>
      <c r="D832" s="198" t="s">
        <v>2959</v>
      </c>
      <c r="E832" s="198" t="s">
        <v>2960</v>
      </c>
    </row>
    <row r="833" spans="1:5">
      <c r="A833" s="198">
        <v>461141263</v>
      </c>
      <c r="B833" s="198">
        <v>652107345.74836195</v>
      </c>
      <c r="D833" s="198" t="s">
        <v>2961</v>
      </c>
      <c r="E833" s="198" t="s">
        <v>2962</v>
      </c>
    </row>
    <row r="834" spans="1:5">
      <c r="A834" s="198">
        <v>461285242</v>
      </c>
      <c r="B834" s="198">
        <v>652251324.74999106</v>
      </c>
      <c r="D834" s="198" t="s">
        <v>2963</v>
      </c>
      <c r="E834" s="198" t="s">
        <v>2964</v>
      </c>
    </row>
    <row r="835" spans="1:5">
      <c r="A835" s="198">
        <v>461314043</v>
      </c>
      <c r="B835" s="198">
        <v>652280125.75033295</v>
      </c>
      <c r="D835" s="198" t="s">
        <v>2965</v>
      </c>
      <c r="E835" s="198" t="s">
        <v>2966</v>
      </c>
    </row>
    <row r="836" spans="1:5">
      <c r="A836" s="198">
        <v>461440019</v>
      </c>
      <c r="B836" s="198">
        <v>652406101.75172305</v>
      </c>
      <c r="D836" s="198" t="s">
        <v>2967</v>
      </c>
      <c r="E836" s="198" t="s">
        <v>2968</v>
      </c>
    </row>
    <row r="837" spans="1:5">
      <c r="A837" s="198">
        <v>461486874</v>
      </c>
      <c r="B837" s="198">
        <v>652452956.75227594</v>
      </c>
      <c r="D837" s="198" t="s">
        <v>2969</v>
      </c>
      <c r="E837" s="198" t="s">
        <v>2970</v>
      </c>
    </row>
    <row r="838" spans="1:5">
      <c r="A838" s="198">
        <v>461630861</v>
      </c>
      <c r="B838" s="198">
        <v>652596943.75390601</v>
      </c>
      <c r="D838" s="198" t="s">
        <v>2971</v>
      </c>
      <c r="E838" s="198" t="s">
        <v>2972</v>
      </c>
    </row>
    <row r="839" spans="1:5">
      <c r="A839" s="198">
        <v>461718406</v>
      </c>
      <c r="B839" s="198">
        <v>652684488.75486398</v>
      </c>
      <c r="D839" s="198" t="s">
        <v>2973</v>
      </c>
      <c r="E839" s="198" t="s">
        <v>2974</v>
      </c>
    </row>
    <row r="840" spans="1:5">
      <c r="A840" s="198">
        <v>461803591</v>
      </c>
      <c r="B840" s="198">
        <v>652769673.75585604</v>
      </c>
      <c r="D840" s="198" t="s">
        <v>2975</v>
      </c>
      <c r="E840" s="198" t="s">
        <v>2976</v>
      </c>
    </row>
    <row r="841" spans="1:5">
      <c r="A841" s="198">
        <v>461889977</v>
      </c>
      <c r="B841" s="198">
        <v>652856059.75682795</v>
      </c>
      <c r="D841" s="198" t="s">
        <v>2977</v>
      </c>
      <c r="E841" s="198" t="s">
        <v>2978</v>
      </c>
    </row>
    <row r="842" spans="1:5">
      <c r="A842" s="198">
        <v>461976375</v>
      </c>
      <c r="B842" s="198">
        <v>652942457.75780797</v>
      </c>
      <c r="D842" s="198" t="s">
        <v>2979</v>
      </c>
      <c r="E842" s="198" t="s">
        <v>2980</v>
      </c>
    </row>
    <row r="843" spans="1:5">
      <c r="A843" s="198">
        <v>462001538</v>
      </c>
      <c r="B843" s="198">
        <v>652967620.75808096</v>
      </c>
      <c r="D843" s="198" t="s">
        <v>2981</v>
      </c>
      <c r="E843" s="198" t="s">
        <v>2982</v>
      </c>
    </row>
    <row r="844" spans="1:5">
      <c r="A844" s="198">
        <v>462145545</v>
      </c>
      <c r="B844" s="198">
        <v>653111627.759709</v>
      </c>
      <c r="D844" s="198" t="s">
        <v>2983</v>
      </c>
      <c r="E844" s="198" t="s">
        <v>2984</v>
      </c>
    </row>
    <row r="845" spans="1:5">
      <c r="A845" s="198">
        <v>462235536</v>
      </c>
      <c r="B845" s="198">
        <v>653201618.76071703</v>
      </c>
      <c r="D845" s="198" t="s">
        <v>2985</v>
      </c>
      <c r="E845" s="198" t="s">
        <v>2986</v>
      </c>
    </row>
    <row r="846" spans="1:5">
      <c r="A846" s="198">
        <v>462321928</v>
      </c>
      <c r="B846" s="198">
        <v>653288010.76166499</v>
      </c>
      <c r="D846" s="198" t="s">
        <v>2987</v>
      </c>
      <c r="E846" s="198" t="s">
        <v>2988</v>
      </c>
    </row>
    <row r="847" spans="1:5">
      <c r="A847" s="198">
        <v>462347087</v>
      </c>
      <c r="B847" s="198">
        <v>653313169.76196504</v>
      </c>
      <c r="D847" s="198" t="s">
        <v>2989</v>
      </c>
      <c r="E847" s="198" t="s">
        <v>2990</v>
      </c>
    </row>
    <row r="848" spans="1:5">
      <c r="A848" s="198">
        <v>462433496</v>
      </c>
      <c r="B848" s="198">
        <v>653399578.762936</v>
      </c>
      <c r="D848" s="198" t="s">
        <v>2991</v>
      </c>
      <c r="E848" s="198" t="s">
        <v>2992</v>
      </c>
    </row>
    <row r="849" spans="1:5">
      <c r="A849" s="198">
        <v>462606270</v>
      </c>
      <c r="B849" s="198">
        <v>653572352.76721597</v>
      </c>
      <c r="D849" s="198" t="s">
        <v>2993</v>
      </c>
      <c r="E849" s="198" t="s">
        <v>2994</v>
      </c>
    </row>
    <row r="850" spans="1:5">
      <c r="A850" s="198">
        <v>462750255</v>
      </c>
      <c r="B850" s="198">
        <v>653716337.76888204</v>
      </c>
      <c r="D850" s="198" t="s">
        <v>2995</v>
      </c>
      <c r="E850" s="198" t="s">
        <v>2996</v>
      </c>
    </row>
    <row r="851" spans="1:5">
      <c r="A851" s="198">
        <v>462836638</v>
      </c>
      <c r="B851" s="198">
        <v>653802720.769871</v>
      </c>
      <c r="D851" s="198" t="s">
        <v>2997</v>
      </c>
      <c r="E851" s="198" t="s">
        <v>2998</v>
      </c>
    </row>
    <row r="852" spans="1:5">
      <c r="A852" s="198">
        <v>463013019</v>
      </c>
      <c r="B852" s="198">
        <v>653979101.77185297</v>
      </c>
      <c r="D852" s="198" t="s">
        <v>2999</v>
      </c>
      <c r="E852" s="198" t="s">
        <v>3000</v>
      </c>
    </row>
    <row r="853" spans="1:5">
      <c r="A853" s="198">
        <v>463095814</v>
      </c>
      <c r="B853" s="198">
        <v>654061896.77282298</v>
      </c>
      <c r="D853" s="198" t="s">
        <v>3001</v>
      </c>
      <c r="E853" s="198" t="s">
        <v>3002</v>
      </c>
    </row>
    <row r="854" spans="1:5">
      <c r="A854" s="198">
        <v>463354981</v>
      </c>
      <c r="B854" s="198">
        <v>654321063.77578294</v>
      </c>
      <c r="D854" s="198" t="s">
        <v>3003</v>
      </c>
      <c r="E854" s="198" t="s">
        <v>3004</v>
      </c>
    </row>
    <row r="855" spans="1:5">
      <c r="A855" s="198">
        <v>463437753</v>
      </c>
      <c r="B855" s="198">
        <v>654403835.77673197</v>
      </c>
      <c r="D855" s="198" t="s">
        <v>3005</v>
      </c>
      <c r="E855" s="198" t="s">
        <v>3006</v>
      </c>
    </row>
    <row r="856" spans="1:5">
      <c r="A856" s="198">
        <v>463527758</v>
      </c>
      <c r="B856" s="198">
        <v>654493840.777758</v>
      </c>
      <c r="D856" s="198" t="s">
        <v>3007</v>
      </c>
      <c r="E856" s="198" t="s">
        <v>3008</v>
      </c>
    </row>
    <row r="857" spans="1:5">
      <c r="A857" s="198">
        <v>463552931</v>
      </c>
      <c r="B857" s="198">
        <v>654519013.77803302</v>
      </c>
      <c r="D857" s="198" t="s">
        <v>3009</v>
      </c>
      <c r="E857" s="198" t="s">
        <v>3010</v>
      </c>
    </row>
    <row r="858" spans="1:5">
      <c r="A858" s="198">
        <v>463704108</v>
      </c>
      <c r="B858" s="198">
        <v>654670190.77974105</v>
      </c>
      <c r="D858" s="198" t="s">
        <v>3011</v>
      </c>
      <c r="E858" s="198" t="s">
        <v>3012</v>
      </c>
    </row>
    <row r="859" spans="1:5">
      <c r="A859" s="198">
        <v>463718478</v>
      </c>
      <c r="B859" s="198">
        <v>654684560.77992594</v>
      </c>
      <c r="D859" s="198" t="s">
        <v>3013</v>
      </c>
      <c r="E859" s="198" t="s">
        <v>3014</v>
      </c>
    </row>
    <row r="860" spans="1:5">
      <c r="A860" s="198">
        <v>463878372</v>
      </c>
      <c r="B860" s="198">
        <v>654844454.781726</v>
      </c>
      <c r="D860" s="198" t="s">
        <v>3015</v>
      </c>
      <c r="E860" s="198" t="s">
        <v>3016</v>
      </c>
    </row>
    <row r="861" spans="1:5">
      <c r="A861" s="198">
        <v>463964163</v>
      </c>
      <c r="B861" s="198">
        <v>654930245.782686</v>
      </c>
      <c r="D861" s="198" t="s">
        <v>3017</v>
      </c>
      <c r="E861" s="198" t="s">
        <v>3018</v>
      </c>
    </row>
    <row r="862" spans="1:5">
      <c r="A862" s="198">
        <v>464049656</v>
      </c>
      <c r="B862" s="198">
        <v>655015738.783656</v>
      </c>
      <c r="D862" s="198" t="s">
        <v>3019</v>
      </c>
      <c r="E862" s="198" t="s">
        <v>3020</v>
      </c>
    </row>
    <row r="863" spans="1:5">
      <c r="A863" s="198">
        <v>464136660</v>
      </c>
      <c r="B863" s="198">
        <v>655102742.78464901</v>
      </c>
      <c r="D863" s="198" t="s">
        <v>3021</v>
      </c>
      <c r="E863" s="198" t="s">
        <v>3022</v>
      </c>
    </row>
    <row r="864" spans="1:5">
      <c r="A864" s="198">
        <v>464222632</v>
      </c>
      <c r="B864" s="198">
        <v>655188714.78563797</v>
      </c>
      <c r="D864" s="198" t="s">
        <v>3023</v>
      </c>
      <c r="E864" s="198" t="s">
        <v>3024</v>
      </c>
    </row>
    <row r="865" spans="1:5">
      <c r="A865" s="198">
        <v>464301639</v>
      </c>
      <c r="B865" s="198">
        <v>655267721.78655505</v>
      </c>
      <c r="D865" s="198" t="s">
        <v>3025</v>
      </c>
      <c r="E865" s="198" t="s">
        <v>3026</v>
      </c>
    </row>
    <row r="866" spans="1:5">
      <c r="A866" s="198">
        <v>464395208</v>
      </c>
      <c r="B866" s="198">
        <v>655361290.78757906</v>
      </c>
      <c r="D866" s="198" t="s">
        <v>3027</v>
      </c>
      <c r="E866" s="198" t="s">
        <v>3028</v>
      </c>
    </row>
    <row r="867" spans="1:5">
      <c r="A867" s="198">
        <v>464483170</v>
      </c>
      <c r="B867" s="198">
        <v>655449252.78858399</v>
      </c>
      <c r="D867" s="198" t="s">
        <v>3029</v>
      </c>
      <c r="E867" s="198" t="s">
        <v>3030</v>
      </c>
    </row>
    <row r="868" spans="1:5">
      <c r="A868" s="198">
        <v>464560806</v>
      </c>
      <c r="B868" s="198">
        <v>655526888.78949499</v>
      </c>
      <c r="D868" s="198" t="s">
        <v>3031</v>
      </c>
      <c r="E868" s="198" t="s">
        <v>3032</v>
      </c>
    </row>
    <row r="869" spans="1:5">
      <c r="A869" s="198">
        <v>464654364</v>
      </c>
      <c r="B869" s="198">
        <v>655620446.79052103</v>
      </c>
      <c r="D869" s="198" t="s">
        <v>3033</v>
      </c>
      <c r="E869" s="198" t="s">
        <v>3034</v>
      </c>
    </row>
    <row r="870" spans="1:5">
      <c r="A870" s="198">
        <v>464733572</v>
      </c>
      <c r="B870" s="198">
        <v>655699654.79144704</v>
      </c>
      <c r="D870" s="198" t="s">
        <v>3035</v>
      </c>
      <c r="E870" s="198" t="s">
        <v>3036</v>
      </c>
    </row>
    <row r="871" spans="1:5">
      <c r="A871" s="198">
        <v>464819961</v>
      </c>
      <c r="B871" s="198">
        <v>655786043.79242802</v>
      </c>
      <c r="D871" s="198" t="s">
        <v>3037</v>
      </c>
      <c r="E871" s="198" t="s">
        <v>3038</v>
      </c>
    </row>
    <row r="872" spans="1:5">
      <c r="A872" s="198">
        <v>464906351</v>
      </c>
      <c r="B872" s="198">
        <v>655872433.79338896</v>
      </c>
      <c r="D872" s="198" t="s">
        <v>3039</v>
      </c>
      <c r="E872" s="198" t="s">
        <v>3040</v>
      </c>
    </row>
    <row r="873" spans="1:5">
      <c r="A873" s="198">
        <v>465001434</v>
      </c>
      <c r="B873" s="198">
        <v>655967516.79444003</v>
      </c>
      <c r="D873" s="198" t="s">
        <v>3041</v>
      </c>
      <c r="E873" s="198" t="s">
        <v>3042</v>
      </c>
    </row>
    <row r="874" spans="1:5">
      <c r="A874" s="198">
        <v>465010691</v>
      </c>
      <c r="B874" s="198">
        <v>655976773.79455805</v>
      </c>
      <c r="D874" s="198" t="s">
        <v>3043</v>
      </c>
      <c r="E874" s="198" t="s">
        <v>3044</v>
      </c>
    </row>
    <row r="875" spans="1:5">
      <c r="A875" s="198">
        <v>465248288</v>
      </c>
      <c r="B875" s="198">
        <v>656214370.79724205</v>
      </c>
      <c r="D875" s="198" t="s">
        <v>3045</v>
      </c>
      <c r="E875" s="198" t="s">
        <v>3046</v>
      </c>
    </row>
    <row r="876" spans="1:5">
      <c r="A876" s="198">
        <v>465335604</v>
      </c>
      <c r="B876" s="198">
        <v>656301686.79820096</v>
      </c>
      <c r="D876" s="198" t="s">
        <v>3047</v>
      </c>
      <c r="E876" s="198" t="s">
        <v>3048</v>
      </c>
    </row>
    <row r="877" spans="1:5">
      <c r="A877" s="198">
        <v>465429152</v>
      </c>
      <c r="B877" s="198">
        <v>656395234.79922605</v>
      </c>
      <c r="D877" s="198" t="s">
        <v>3049</v>
      </c>
      <c r="E877" s="198" t="s">
        <v>3050</v>
      </c>
    </row>
    <row r="878" spans="1:5">
      <c r="A878" s="198">
        <v>465503916</v>
      </c>
      <c r="B878" s="198">
        <v>656469998.80012405</v>
      </c>
      <c r="D878" s="198" t="s">
        <v>3051</v>
      </c>
      <c r="E878" s="198" t="s">
        <v>3052</v>
      </c>
    </row>
    <row r="879" spans="1:5">
      <c r="A879" s="198">
        <v>465593912</v>
      </c>
      <c r="B879" s="198">
        <v>656559994.80114198</v>
      </c>
      <c r="D879" s="198" t="s">
        <v>3053</v>
      </c>
      <c r="E879" s="198" t="s">
        <v>3054</v>
      </c>
    </row>
    <row r="880" spans="1:5">
      <c r="A880" s="198">
        <v>465691096</v>
      </c>
      <c r="B880" s="198">
        <v>656657178.80220497</v>
      </c>
      <c r="D880" s="198" t="s">
        <v>3055</v>
      </c>
      <c r="E880" s="198" t="s">
        <v>3056</v>
      </c>
    </row>
    <row r="881" spans="1:5">
      <c r="A881" s="198">
        <v>465777483</v>
      </c>
      <c r="B881" s="198">
        <v>656743565.80317903</v>
      </c>
      <c r="D881" s="198" t="s">
        <v>3057</v>
      </c>
      <c r="E881" s="198" t="s">
        <v>3058</v>
      </c>
    </row>
    <row r="882" spans="1:5">
      <c r="A882" s="198">
        <v>465849475</v>
      </c>
      <c r="B882" s="198">
        <v>656815557.80401099</v>
      </c>
      <c r="D882" s="198" t="s">
        <v>3059</v>
      </c>
      <c r="E882" s="198" t="s">
        <v>3060</v>
      </c>
    </row>
    <row r="883" spans="1:5">
      <c r="A883" s="198">
        <v>465950178</v>
      </c>
      <c r="B883" s="198">
        <v>656916260.80512404</v>
      </c>
      <c r="D883" s="198" t="s">
        <v>3061</v>
      </c>
      <c r="E883" s="198" t="s">
        <v>3062</v>
      </c>
    </row>
    <row r="884" spans="1:5">
      <c r="A884" s="198">
        <v>466036566</v>
      </c>
      <c r="B884" s="198">
        <v>657002648.80608499</v>
      </c>
      <c r="D884" s="198" t="s">
        <v>3063</v>
      </c>
      <c r="E884" s="198" t="s">
        <v>3064</v>
      </c>
    </row>
    <row r="885" spans="1:5">
      <c r="A885" s="198">
        <v>466122955</v>
      </c>
      <c r="B885" s="198">
        <v>657089037.80707204</v>
      </c>
      <c r="D885" s="198" t="s">
        <v>3065</v>
      </c>
      <c r="E885" s="198" t="s">
        <v>3066</v>
      </c>
    </row>
    <row r="886" spans="1:5">
      <c r="A886" s="198">
        <v>466137367</v>
      </c>
      <c r="B886" s="198">
        <v>657103449.80724001</v>
      </c>
      <c r="D886" s="198" t="s">
        <v>3067</v>
      </c>
      <c r="E886" s="198" t="s">
        <v>3068</v>
      </c>
    </row>
    <row r="887" spans="1:5">
      <c r="A887" s="198">
        <v>466382118</v>
      </c>
      <c r="B887" s="198">
        <v>657348200.80996001</v>
      </c>
      <c r="D887" s="198" t="s">
        <v>3069</v>
      </c>
      <c r="E887" s="198" t="s">
        <v>3070</v>
      </c>
    </row>
    <row r="888" spans="1:5">
      <c r="A888" s="198">
        <v>466468503</v>
      </c>
      <c r="B888" s="198">
        <v>657434585.81094098</v>
      </c>
      <c r="D888" s="198" t="s">
        <v>3071</v>
      </c>
      <c r="E888" s="198" t="s">
        <v>3072</v>
      </c>
    </row>
    <row r="889" spans="1:5">
      <c r="A889" s="198">
        <v>466556338</v>
      </c>
      <c r="B889" s="198">
        <v>657522420.81191599</v>
      </c>
      <c r="D889" s="198" t="s">
        <v>3073</v>
      </c>
      <c r="E889" s="198" t="s">
        <v>3074</v>
      </c>
    </row>
    <row r="890" spans="1:5">
      <c r="A890" s="198">
        <v>466626907</v>
      </c>
      <c r="B890" s="198">
        <v>657592989.81272197</v>
      </c>
      <c r="D890" s="198" t="s">
        <v>3075</v>
      </c>
      <c r="E890" s="198" t="s">
        <v>3076</v>
      </c>
    </row>
    <row r="891" spans="1:5">
      <c r="A891" s="198">
        <v>466828470</v>
      </c>
      <c r="B891" s="198">
        <v>657794552.81497598</v>
      </c>
      <c r="D891" s="198" t="s">
        <v>3077</v>
      </c>
      <c r="E891" s="198" t="s">
        <v>3078</v>
      </c>
    </row>
    <row r="892" spans="1:5">
      <c r="A892" s="198">
        <v>466986833</v>
      </c>
      <c r="B892" s="198">
        <v>657952915.81672704</v>
      </c>
      <c r="D892" s="198" t="s">
        <v>3079</v>
      </c>
      <c r="E892" s="198" t="s">
        <v>3080</v>
      </c>
    </row>
    <row r="893" spans="1:5">
      <c r="A893" s="198">
        <v>466994021</v>
      </c>
      <c r="B893" s="198">
        <v>657960103.81681895</v>
      </c>
      <c r="D893" s="198" t="s">
        <v>3081</v>
      </c>
      <c r="E893" s="198" t="s">
        <v>3082</v>
      </c>
    </row>
    <row r="894" spans="1:5">
      <c r="A894" s="198">
        <v>467246000</v>
      </c>
      <c r="B894" s="198">
        <v>658212082.81961095</v>
      </c>
      <c r="D894" s="198" t="s">
        <v>3083</v>
      </c>
      <c r="E894" s="198" t="s">
        <v>3084</v>
      </c>
    </row>
    <row r="895" spans="1:5">
      <c r="A895" s="198">
        <v>467318017</v>
      </c>
      <c r="B895" s="198">
        <v>658284099.82044196</v>
      </c>
      <c r="D895" s="198" t="s">
        <v>3085</v>
      </c>
      <c r="E895" s="198" t="s">
        <v>3086</v>
      </c>
    </row>
    <row r="896" spans="1:5">
      <c r="A896" s="198">
        <v>467346803</v>
      </c>
      <c r="B896" s="198">
        <v>658312885.82076502</v>
      </c>
      <c r="D896" s="198" t="s">
        <v>3087</v>
      </c>
      <c r="E896" s="198" t="s">
        <v>3088</v>
      </c>
    </row>
    <row r="897" spans="1:5">
      <c r="A897" s="198">
        <v>467577181</v>
      </c>
      <c r="B897" s="198">
        <v>658543263.82332695</v>
      </c>
      <c r="D897" s="198" t="s">
        <v>3089</v>
      </c>
      <c r="E897" s="198" t="s">
        <v>3090</v>
      </c>
    </row>
    <row r="898" spans="1:5">
      <c r="A898" s="198">
        <v>467677947</v>
      </c>
      <c r="B898" s="198">
        <v>658644029.82442701</v>
      </c>
      <c r="D898" s="198" t="s">
        <v>3091</v>
      </c>
      <c r="E898" s="198" t="s">
        <v>3092</v>
      </c>
    </row>
    <row r="899" spans="1:5">
      <c r="A899" s="198">
        <v>467764338</v>
      </c>
      <c r="B899" s="198">
        <v>658730420.82539201</v>
      </c>
      <c r="D899" s="198" t="s">
        <v>3093</v>
      </c>
      <c r="E899" s="198" t="s">
        <v>3094</v>
      </c>
    </row>
    <row r="900" spans="1:5">
      <c r="A900" s="198">
        <v>467843529</v>
      </c>
      <c r="B900" s="198">
        <v>658809611.82625306</v>
      </c>
      <c r="D900" s="198" t="s">
        <v>3095</v>
      </c>
      <c r="E900" s="198" t="s">
        <v>3096</v>
      </c>
    </row>
    <row r="901" spans="1:5">
      <c r="A901" s="198">
        <v>467937114</v>
      </c>
      <c r="B901" s="198">
        <v>658903196.82731104</v>
      </c>
      <c r="D901" s="198" t="s">
        <v>3097</v>
      </c>
      <c r="E901" s="198" t="s">
        <v>3098</v>
      </c>
    </row>
    <row r="902" spans="1:5">
      <c r="A902" s="198">
        <v>467947918</v>
      </c>
      <c r="B902" s="198">
        <v>658914000.82744706</v>
      </c>
      <c r="D902" s="198" t="s">
        <v>3099</v>
      </c>
      <c r="E902" s="198" t="s">
        <v>3100</v>
      </c>
    </row>
    <row r="903" spans="1:5">
      <c r="A903" s="198">
        <v>468196280</v>
      </c>
      <c r="B903" s="198">
        <v>659162362.83018196</v>
      </c>
      <c r="D903" s="198" t="s">
        <v>3101</v>
      </c>
      <c r="E903" s="198" t="s">
        <v>3102</v>
      </c>
    </row>
    <row r="904" spans="1:5">
      <c r="A904" s="198">
        <v>468282673</v>
      </c>
      <c r="B904" s="198">
        <v>659248755.83113599</v>
      </c>
      <c r="D904" s="198" t="s">
        <v>3103</v>
      </c>
      <c r="E904" s="198" t="s">
        <v>3104</v>
      </c>
    </row>
    <row r="905" spans="1:5">
      <c r="A905" s="198">
        <v>468369065</v>
      </c>
      <c r="B905" s="198">
        <v>659335147.83210301</v>
      </c>
      <c r="D905" s="198" t="s">
        <v>3105</v>
      </c>
      <c r="E905" s="198" t="s">
        <v>3106</v>
      </c>
    </row>
    <row r="906" spans="1:5">
      <c r="A906" s="198">
        <v>468455456</v>
      </c>
      <c r="B906" s="198">
        <v>659421538.83305705</v>
      </c>
      <c r="D906" s="198" t="s">
        <v>3107</v>
      </c>
      <c r="E906" s="198" t="s">
        <v>3108</v>
      </c>
    </row>
    <row r="907" spans="1:5">
      <c r="A907" s="198">
        <v>468523865</v>
      </c>
      <c r="B907" s="198">
        <v>659489947.83381605</v>
      </c>
      <c r="D907" s="198" t="s">
        <v>3109</v>
      </c>
      <c r="E907" s="198" t="s">
        <v>3110</v>
      </c>
    </row>
    <row r="908" spans="1:5">
      <c r="A908" s="198">
        <v>468714625</v>
      </c>
      <c r="B908" s="198">
        <v>659680707.83591998</v>
      </c>
      <c r="D908" s="198" t="s">
        <v>3111</v>
      </c>
      <c r="E908" s="198" t="s">
        <v>3112</v>
      </c>
    </row>
    <row r="909" spans="1:5">
      <c r="A909" s="198">
        <v>468801012</v>
      </c>
      <c r="B909" s="198">
        <v>659767094.83688903</v>
      </c>
      <c r="D909" s="198" t="s">
        <v>3113</v>
      </c>
      <c r="E909" s="198" t="s">
        <v>3114</v>
      </c>
    </row>
    <row r="910" spans="1:5">
      <c r="A910" s="198">
        <v>468808224</v>
      </c>
      <c r="B910" s="198">
        <v>659774306.83697605</v>
      </c>
      <c r="D910" s="198" t="s">
        <v>3115</v>
      </c>
      <c r="E910" s="198" t="s">
        <v>3116</v>
      </c>
    </row>
    <row r="911" spans="1:5">
      <c r="A911" s="198">
        <v>468973796</v>
      </c>
      <c r="B911" s="198">
        <v>659939878.83879304</v>
      </c>
      <c r="D911" s="198" t="s">
        <v>3117</v>
      </c>
      <c r="E911" s="198" t="s">
        <v>3118</v>
      </c>
    </row>
    <row r="912" spans="1:5">
      <c r="A912" s="198">
        <v>469139373</v>
      </c>
      <c r="B912" s="198">
        <v>660105455.84060097</v>
      </c>
      <c r="D912" s="198" t="s">
        <v>3119</v>
      </c>
      <c r="E912" s="198" t="s">
        <v>3120</v>
      </c>
    </row>
    <row r="913" spans="1:5">
      <c r="A913" s="198">
        <v>469232968</v>
      </c>
      <c r="B913" s="198">
        <v>660199050.84166205</v>
      </c>
      <c r="D913" s="198" t="s">
        <v>3121</v>
      </c>
      <c r="E913" s="198" t="s">
        <v>3122</v>
      </c>
    </row>
    <row r="914" spans="1:5">
      <c r="A914" s="198">
        <v>469286954</v>
      </c>
      <c r="B914" s="198">
        <v>660253036.84223604</v>
      </c>
      <c r="D914" s="198" t="s">
        <v>3123</v>
      </c>
      <c r="E914" s="198" t="s">
        <v>3124</v>
      </c>
    </row>
    <row r="915" spans="1:5">
      <c r="A915" s="198">
        <v>469376947</v>
      </c>
      <c r="B915" s="198">
        <v>660343029.84323597</v>
      </c>
      <c r="D915" s="198" t="s">
        <v>3125</v>
      </c>
      <c r="E915" s="198" t="s">
        <v>3126</v>
      </c>
    </row>
    <row r="916" spans="1:5">
      <c r="A916" s="198">
        <v>469470552</v>
      </c>
      <c r="B916" s="198">
        <v>660436634.84428501</v>
      </c>
      <c r="D916" s="198" t="s">
        <v>3127</v>
      </c>
      <c r="E916" s="198" t="s">
        <v>3128</v>
      </c>
    </row>
    <row r="917" spans="1:5">
      <c r="A917" s="198">
        <v>469578534</v>
      </c>
      <c r="B917" s="198">
        <v>660544616.84547698</v>
      </c>
      <c r="D917" s="198" t="s">
        <v>3129</v>
      </c>
      <c r="E917" s="198" t="s">
        <v>3130</v>
      </c>
    </row>
    <row r="918" spans="1:5">
      <c r="A918" s="198">
        <v>469636121</v>
      </c>
      <c r="B918" s="198">
        <v>660602203.84609401</v>
      </c>
      <c r="D918" s="198" t="s">
        <v>3131</v>
      </c>
      <c r="E918" s="198" t="s">
        <v>3132</v>
      </c>
    </row>
    <row r="919" spans="1:5">
      <c r="A919" s="198">
        <v>469744114</v>
      </c>
      <c r="B919" s="198">
        <v>660710196.84729099</v>
      </c>
      <c r="D919" s="198" t="s">
        <v>3133</v>
      </c>
      <c r="E919" s="198" t="s">
        <v>3134</v>
      </c>
    </row>
    <row r="920" spans="1:5">
      <c r="A920" s="198">
        <v>469898900</v>
      </c>
      <c r="B920" s="198">
        <v>660864982.84899998</v>
      </c>
      <c r="D920" s="198" t="s">
        <v>3135</v>
      </c>
      <c r="E920" s="198" t="s">
        <v>3136</v>
      </c>
    </row>
    <row r="921" spans="1:5">
      <c r="A921" s="198">
        <v>470010501</v>
      </c>
      <c r="B921" s="198">
        <v>660976583.85023904</v>
      </c>
      <c r="D921" s="198" t="s">
        <v>3137</v>
      </c>
      <c r="E921" s="198" t="s">
        <v>3138</v>
      </c>
    </row>
    <row r="922" spans="1:5">
      <c r="A922" s="198">
        <v>470075309</v>
      </c>
      <c r="B922" s="198">
        <v>661041391.85094702</v>
      </c>
      <c r="D922" s="198" t="s">
        <v>3139</v>
      </c>
      <c r="E922" s="198" t="s">
        <v>3140</v>
      </c>
    </row>
    <row r="923" spans="1:5">
      <c r="A923" s="198">
        <v>470183277</v>
      </c>
      <c r="B923" s="198">
        <v>661149359.852139</v>
      </c>
      <c r="D923" s="198" t="s">
        <v>3141</v>
      </c>
      <c r="E923" s="198" t="s">
        <v>3142</v>
      </c>
    </row>
    <row r="924" spans="1:5">
      <c r="A924" s="198">
        <v>470186872</v>
      </c>
      <c r="B924" s="198">
        <v>661152954.85217202</v>
      </c>
      <c r="D924" s="198" t="s">
        <v>3143</v>
      </c>
      <c r="E924" s="198" t="s">
        <v>3144</v>
      </c>
    </row>
    <row r="925" spans="1:5">
      <c r="A925" s="198">
        <v>470356065</v>
      </c>
      <c r="B925" s="198">
        <v>661322147.85402501</v>
      </c>
      <c r="D925" s="198" t="s">
        <v>3145</v>
      </c>
      <c r="E925" s="198" t="s">
        <v>3146</v>
      </c>
    </row>
    <row r="926" spans="1:5">
      <c r="A926" s="198">
        <v>470359655</v>
      </c>
      <c r="B926" s="198">
        <v>661325737.85408401</v>
      </c>
      <c r="D926" s="198" t="s">
        <v>3147</v>
      </c>
      <c r="E926" s="198" t="s">
        <v>3148</v>
      </c>
    </row>
    <row r="927" spans="1:5">
      <c r="A927" s="198">
        <v>470582835</v>
      </c>
      <c r="B927" s="198">
        <v>661548917.85651195</v>
      </c>
      <c r="D927" s="198" t="s">
        <v>3149</v>
      </c>
      <c r="E927" s="198" t="s">
        <v>3150</v>
      </c>
    </row>
    <row r="928" spans="1:5">
      <c r="A928" s="198">
        <v>470701651</v>
      </c>
      <c r="B928" s="198">
        <v>661667733.85782397</v>
      </c>
      <c r="D928" s="198" t="s">
        <v>3151</v>
      </c>
      <c r="E928" s="198" t="s">
        <v>3152</v>
      </c>
    </row>
    <row r="929" spans="1:5">
      <c r="A929" s="198">
        <v>470777226</v>
      </c>
      <c r="B929" s="198">
        <v>661743308.85864997</v>
      </c>
      <c r="D929" s="198" t="s">
        <v>3153</v>
      </c>
      <c r="E929" s="198" t="s">
        <v>3154</v>
      </c>
    </row>
    <row r="930" spans="1:5">
      <c r="A930" s="198">
        <v>470960862</v>
      </c>
      <c r="B930" s="198">
        <v>661926944.86068106</v>
      </c>
      <c r="D930" s="198" t="s">
        <v>3155</v>
      </c>
      <c r="E930" s="198" t="s">
        <v>3156</v>
      </c>
    </row>
    <row r="931" spans="1:5">
      <c r="A931" s="198">
        <v>471011244</v>
      </c>
      <c r="B931" s="198">
        <v>661977326.86121595</v>
      </c>
      <c r="D931" s="198" t="s">
        <v>3157</v>
      </c>
      <c r="E931" s="198" t="s">
        <v>3158</v>
      </c>
    </row>
    <row r="932" spans="1:5">
      <c r="A932" s="198">
        <v>471392880</v>
      </c>
      <c r="B932" s="198">
        <v>662358962.86541796</v>
      </c>
      <c r="D932" s="198" t="s">
        <v>3159</v>
      </c>
      <c r="E932" s="198" t="s">
        <v>3160</v>
      </c>
    </row>
    <row r="933" spans="1:5">
      <c r="A933" s="198">
        <v>471824793</v>
      </c>
      <c r="B933" s="198">
        <v>662790875.87015104</v>
      </c>
      <c r="D933" s="198" t="s">
        <v>3161</v>
      </c>
      <c r="E933" s="198" t="s">
        <v>3162</v>
      </c>
    </row>
    <row r="934" spans="1:5">
      <c r="A934" s="198">
        <v>471882365</v>
      </c>
      <c r="B934" s="198">
        <v>662848447.87078094</v>
      </c>
      <c r="D934" s="198" t="s">
        <v>3163</v>
      </c>
      <c r="E934" s="198" t="s">
        <v>3164</v>
      </c>
    </row>
    <row r="935" spans="1:5">
      <c r="A935" s="198">
        <v>471975959</v>
      </c>
      <c r="B935" s="198">
        <v>662942041.87176704</v>
      </c>
      <c r="D935" s="198" t="s">
        <v>3165</v>
      </c>
      <c r="E935" s="198" t="s">
        <v>3166</v>
      </c>
    </row>
    <row r="936" spans="1:5">
      <c r="A936" s="198">
        <v>472022826</v>
      </c>
      <c r="B936" s="198">
        <v>662988908.87231195</v>
      </c>
      <c r="D936" s="198" t="s">
        <v>3167</v>
      </c>
      <c r="E936" s="198" t="s">
        <v>3168</v>
      </c>
    </row>
    <row r="937" spans="1:5">
      <c r="A937" s="198">
        <v>472141564</v>
      </c>
      <c r="B937" s="198">
        <v>663107646.87361395</v>
      </c>
      <c r="D937" s="198" t="s">
        <v>3169</v>
      </c>
      <c r="E937" s="198" t="s">
        <v>3170</v>
      </c>
    </row>
    <row r="938" spans="1:5">
      <c r="A938" s="198">
        <v>472206359</v>
      </c>
      <c r="B938" s="198">
        <v>663172441.87429404</v>
      </c>
      <c r="D938" s="198" t="s">
        <v>3171</v>
      </c>
      <c r="E938" s="198" t="s">
        <v>3172</v>
      </c>
    </row>
    <row r="939" spans="1:5">
      <c r="A939" s="198">
        <v>472343227</v>
      </c>
      <c r="B939" s="198">
        <v>663309309.87576103</v>
      </c>
      <c r="D939" s="198" t="s">
        <v>3173</v>
      </c>
      <c r="E939" s="198" t="s">
        <v>3174</v>
      </c>
    </row>
    <row r="940" spans="1:5">
      <c r="A940" s="198">
        <v>472400754</v>
      </c>
      <c r="B940" s="198">
        <v>663366836.87641597</v>
      </c>
      <c r="D940" s="198" t="s">
        <v>3175</v>
      </c>
      <c r="E940" s="198" t="s">
        <v>3176</v>
      </c>
    </row>
    <row r="941" spans="1:5">
      <c r="A941" s="198">
        <v>472706801</v>
      </c>
      <c r="B941" s="198">
        <v>663672883.87971699</v>
      </c>
      <c r="D941" s="198" t="s">
        <v>3177</v>
      </c>
      <c r="E941" s="198" t="s">
        <v>3178</v>
      </c>
    </row>
    <row r="942" spans="1:5">
      <c r="A942" s="198">
        <v>472890328</v>
      </c>
      <c r="B942" s="198">
        <v>663856410.881724</v>
      </c>
      <c r="D942" s="198" t="s">
        <v>3179</v>
      </c>
      <c r="E942" s="198" t="s">
        <v>3180</v>
      </c>
    </row>
    <row r="943" spans="1:5">
      <c r="A943" s="198">
        <v>473117137</v>
      </c>
      <c r="B943" s="198">
        <v>664083219.88417196</v>
      </c>
      <c r="D943" s="198" t="s">
        <v>3181</v>
      </c>
      <c r="E943" s="198" t="s">
        <v>3182</v>
      </c>
    </row>
    <row r="944" spans="1:5">
      <c r="A944" s="198">
        <v>473289918</v>
      </c>
      <c r="B944" s="198">
        <v>664256000.88605905</v>
      </c>
      <c r="D944" s="198" t="s">
        <v>3183</v>
      </c>
      <c r="E944" s="198" t="s">
        <v>3184</v>
      </c>
    </row>
    <row r="945" spans="1:5">
      <c r="A945" s="198">
        <v>473376592</v>
      </c>
      <c r="B945" s="198">
        <v>664342674.88699806</v>
      </c>
      <c r="D945" s="198" t="s">
        <v>3185</v>
      </c>
      <c r="E945" s="198" t="s">
        <v>3186</v>
      </c>
    </row>
    <row r="946" spans="1:5">
      <c r="A946" s="198">
        <v>473426788</v>
      </c>
      <c r="B946" s="198">
        <v>664392870.88753998</v>
      </c>
      <c r="D946" s="198" t="s">
        <v>3187</v>
      </c>
      <c r="E946" s="198" t="s">
        <v>3188</v>
      </c>
    </row>
    <row r="947" spans="1:5">
      <c r="A947" s="198">
        <v>473624686</v>
      </c>
      <c r="B947" s="198">
        <v>664590768.88967001</v>
      </c>
      <c r="D947" s="198" t="s">
        <v>3189</v>
      </c>
      <c r="E947" s="198" t="s">
        <v>3190</v>
      </c>
    </row>
    <row r="948" spans="1:5">
      <c r="A948" s="198">
        <v>473714694</v>
      </c>
      <c r="B948" s="198">
        <v>664680776.89066505</v>
      </c>
      <c r="D948" s="198" t="s">
        <v>3191</v>
      </c>
      <c r="E948" s="198" t="s">
        <v>3192</v>
      </c>
    </row>
    <row r="949" spans="1:5">
      <c r="A949" s="198">
        <v>473797486</v>
      </c>
      <c r="B949" s="198">
        <v>664763568.89155996</v>
      </c>
      <c r="D949" s="198" t="s">
        <v>3193</v>
      </c>
      <c r="E949" s="198" t="s">
        <v>3194</v>
      </c>
    </row>
    <row r="950" spans="1:5">
      <c r="A950" s="198">
        <v>473876679</v>
      </c>
      <c r="B950" s="198">
        <v>664842761.89239395</v>
      </c>
      <c r="D950" s="198" t="s">
        <v>3195</v>
      </c>
      <c r="E950" s="198" t="s">
        <v>3196</v>
      </c>
    </row>
    <row r="951" spans="1:5">
      <c r="A951" s="198">
        <v>473977516</v>
      </c>
      <c r="B951" s="198">
        <v>664943598.89352596</v>
      </c>
      <c r="D951" s="198" t="s">
        <v>3197</v>
      </c>
      <c r="E951" s="198" t="s">
        <v>3198</v>
      </c>
    </row>
    <row r="952" spans="1:5">
      <c r="A952" s="198">
        <v>474236706</v>
      </c>
      <c r="B952" s="198">
        <v>665202788.89632905</v>
      </c>
      <c r="D952" s="198" t="s">
        <v>3199</v>
      </c>
      <c r="E952" s="198" t="s">
        <v>3200</v>
      </c>
    </row>
    <row r="953" spans="1:5">
      <c r="A953" s="198">
        <v>474312278</v>
      </c>
      <c r="B953" s="198">
        <v>665278360.89713395</v>
      </c>
      <c r="D953" s="198" t="s">
        <v>3201</v>
      </c>
      <c r="E953" s="198" t="s">
        <v>3202</v>
      </c>
    </row>
    <row r="954" spans="1:5">
      <c r="A954" s="198">
        <v>474380685</v>
      </c>
      <c r="B954" s="198">
        <v>665346767.89790404</v>
      </c>
      <c r="D954" s="198" t="s">
        <v>3203</v>
      </c>
      <c r="E954" s="198" t="s">
        <v>3204</v>
      </c>
    </row>
    <row r="955" spans="1:5">
      <c r="A955" s="198">
        <v>474477887</v>
      </c>
      <c r="B955" s="198">
        <v>665443969.89893699</v>
      </c>
      <c r="D955" s="198" t="s">
        <v>3205</v>
      </c>
      <c r="E955" s="198" t="s">
        <v>3206</v>
      </c>
    </row>
    <row r="956" spans="1:5">
      <c r="A956" s="198">
        <v>474539072</v>
      </c>
      <c r="B956" s="198">
        <v>665505154.89960504</v>
      </c>
      <c r="D956" s="198" t="s">
        <v>3207</v>
      </c>
      <c r="E956" s="198" t="s">
        <v>3208</v>
      </c>
    </row>
    <row r="957" spans="1:5">
      <c r="A957" s="198">
        <v>474849364</v>
      </c>
      <c r="B957" s="198">
        <v>665815446.90299702</v>
      </c>
      <c r="D957" s="198" t="s">
        <v>3209</v>
      </c>
      <c r="E957" s="198" t="s">
        <v>3210</v>
      </c>
    </row>
    <row r="958" spans="1:5">
      <c r="A958" s="198">
        <v>474927907</v>
      </c>
      <c r="B958" s="198">
        <v>665893989.90387201</v>
      </c>
      <c r="D958" s="198" t="s">
        <v>3211</v>
      </c>
      <c r="E958" s="198" t="s">
        <v>3212</v>
      </c>
    </row>
    <row r="959" spans="1:5">
      <c r="A959" s="198">
        <v>475014305</v>
      </c>
      <c r="B959" s="198">
        <v>665980387.90480602</v>
      </c>
      <c r="D959" s="198" t="s">
        <v>3213</v>
      </c>
      <c r="E959" s="198" t="s">
        <v>3214</v>
      </c>
    </row>
    <row r="960" spans="1:5">
      <c r="A960" s="198">
        <v>475082678</v>
      </c>
      <c r="B960" s="198">
        <v>666048760.90552795</v>
      </c>
      <c r="D960" s="198" t="s">
        <v>3215</v>
      </c>
      <c r="E960" s="198" t="s">
        <v>3216</v>
      </c>
    </row>
    <row r="961" spans="1:5">
      <c r="A961" s="198">
        <v>475176276</v>
      </c>
      <c r="B961" s="198">
        <v>666142358.906564</v>
      </c>
      <c r="D961" s="198" t="s">
        <v>3217</v>
      </c>
      <c r="E961" s="198" t="s">
        <v>3218</v>
      </c>
    </row>
    <row r="962" spans="1:5">
      <c r="A962" s="198">
        <v>475453481</v>
      </c>
      <c r="B962" s="198">
        <v>666419563.90956604</v>
      </c>
      <c r="D962" s="198" t="s">
        <v>3219</v>
      </c>
      <c r="E962" s="198" t="s">
        <v>3220</v>
      </c>
    </row>
    <row r="963" spans="1:5">
      <c r="A963" s="198">
        <v>475529101</v>
      </c>
      <c r="B963" s="198">
        <v>666495183.91042602</v>
      </c>
      <c r="D963" s="198" t="s">
        <v>3221</v>
      </c>
      <c r="E963" s="198" t="s">
        <v>3222</v>
      </c>
    </row>
    <row r="964" spans="1:5">
      <c r="A964" s="198">
        <v>475626288</v>
      </c>
      <c r="B964" s="198">
        <v>666592370.91147101</v>
      </c>
      <c r="D964" s="198" t="s">
        <v>3223</v>
      </c>
      <c r="E964" s="198" t="s">
        <v>3224</v>
      </c>
    </row>
    <row r="965" spans="1:5">
      <c r="A965" s="198">
        <v>475662280</v>
      </c>
      <c r="B965" s="198">
        <v>666628362.91185904</v>
      </c>
      <c r="D965" s="198" t="s">
        <v>3225</v>
      </c>
      <c r="E965" s="198" t="s">
        <v>3226</v>
      </c>
    </row>
    <row r="966" spans="1:5">
      <c r="A966" s="198">
        <v>475799089</v>
      </c>
      <c r="B966" s="198">
        <v>666765171.91335404</v>
      </c>
      <c r="D966" s="198" t="s">
        <v>3227</v>
      </c>
      <c r="E966" s="198" t="s">
        <v>3228</v>
      </c>
    </row>
    <row r="967" spans="1:5">
      <c r="A967" s="198">
        <v>475885488</v>
      </c>
      <c r="B967" s="198">
        <v>666851570.91430295</v>
      </c>
      <c r="D967" s="198" t="s">
        <v>3229</v>
      </c>
      <c r="E967" s="198" t="s">
        <v>3230</v>
      </c>
    </row>
    <row r="968" spans="1:5">
      <c r="A968" s="198">
        <v>475971889</v>
      </c>
      <c r="B968" s="198">
        <v>666937971.91523898</v>
      </c>
      <c r="D968" s="198" t="s">
        <v>3231</v>
      </c>
      <c r="E968" s="198" t="s">
        <v>3232</v>
      </c>
    </row>
    <row r="969" spans="1:5">
      <c r="A969" s="198">
        <v>476007889</v>
      </c>
      <c r="B969" s="198">
        <v>666973971.91564095</v>
      </c>
      <c r="D969" s="198" t="s">
        <v>3233</v>
      </c>
      <c r="E969" s="198" t="s">
        <v>3234</v>
      </c>
    </row>
    <row r="970" spans="1:5">
      <c r="A970" s="198">
        <v>476094291</v>
      </c>
      <c r="B970" s="198">
        <v>667060373.91658604</v>
      </c>
      <c r="D970" s="198" t="s">
        <v>3235</v>
      </c>
      <c r="E970" s="198" t="s">
        <v>3236</v>
      </c>
    </row>
    <row r="971" spans="1:5">
      <c r="A971" s="198">
        <v>476180693</v>
      </c>
      <c r="B971" s="198">
        <v>667146775.91752803</v>
      </c>
      <c r="D971" s="198" t="s">
        <v>3237</v>
      </c>
      <c r="E971" s="198" t="s">
        <v>3238</v>
      </c>
    </row>
    <row r="972" spans="1:5">
      <c r="A972" s="198">
        <v>476267094</v>
      </c>
      <c r="B972" s="198">
        <v>667233176.91847503</v>
      </c>
      <c r="D972" s="198" t="s">
        <v>3239</v>
      </c>
      <c r="E972" s="198" t="s">
        <v>3240</v>
      </c>
    </row>
    <row r="973" spans="1:5">
      <c r="A973" s="198">
        <v>476393097</v>
      </c>
      <c r="B973" s="198">
        <v>667359179.91984403</v>
      </c>
      <c r="D973" s="198" t="s">
        <v>3241</v>
      </c>
      <c r="E973" s="198" t="s">
        <v>3242</v>
      </c>
    </row>
    <row r="974" spans="1:5">
      <c r="A974" s="198">
        <v>476439899</v>
      </c>
      <c r="B974" s="198">
        <v>667405981.92037201</v>
      </c>
      <c r="D974" s="198" t="s">
        <v>3243</v>
      </c>
      <c r="E974" s="198" t="s">
        <v>3244</v>
      </c>
    </row>
    <row r="975" spans="1:5">
      <c r="A975" s="198">
        <v>476547899</v>
      </c>
      <c r="B975" s="198">
        <v>667513981.92154396</v>
      </c>
      <c r="D975" s="198" t="s">
        <v>3245</v>
      </c>
      <c r="E975" s="198" t="s">
        <v>3246</v>
      </c>
    </row>
    <row r="976" spans="1:5">
      <c r="A976" s="198">
        <v>476663106</v>
      </c>
      <c r="B976" s="198">
        <v>667629188.92281306</v>
      </c>
      <c r="D976" s="198" t="s">
        <v>3247</v>
      </c>
      <c r="E976" s="198" t="s">
        <v>3248</v>
      </c>
    </row>
    <row r="977" spans="1:5">
      <c r="A977" s="198">
        <v>476727907</v>
      </c>
      <c r="B977" s="198">
        <v>667693989.92354298</v>
      </c>
      <c r="D977" s="198" t="s">
        <v>3249</v>
      </c>
      <c r="E977" s="198" t="s">
        <v>3250</v>
      </c>
    </row>
    <row r="978" spans="1:5">
      <c r="A978" s="198">
        <v>476785509</v>
      </c>
      <c r="B978" s="198">
        <v>667751591.92416894</v>
      </c>
      <c r="D978" s="198" t="s">
        <v>3251</v>
      </c>
      <c r="E978" s="198" t="s">
        <v>3252</v>
      </c>
    </row>
    <row r="979" spans="1:5">
      <c r="A979" s="198">
        <v>476879119</v>
      </c>
      <c r="B979" s="198">
        <v>667845201.92520702</v>
      </c>
      <c r="D979" s="198" t="s">
        <v>3253</v>
      </c>
      <c r="E979" s="198" t="s">
        <v>3254</v>
      </c>
    </row>
    <row r="980" spans="1:5">
      <c r="A980" s="198">
        <v>476990726</v>
      </c>
      <c r="B980" s="198">
        <v>667956808.92643094</v>
      </c>
      <c r="D980" s="198" t="s">
        <v>3255</v>
      </c>
      <c r="E980" s="198" t="s">
        <v>3256</v>
      </c>
    </row>
    <row r="981" spans="1:5">
      <c r="A981" s="198">
        <v>477077124</v>
      </c>
      <c r="B981" s="198">
        <v>668043206.92737699</v>
      </c>
      <c r="D981" s="198" t="s">
        <v>3257</v>
      </c>
      <c r="E981" s="198" t="s">
        <v>3258</v>
      </c>
    </row>
    <row r="982" spans="1:5">
      <c r="A982" s="198">
        <v>477249938</v>
      </c>
      <c r="B982" s="198">
        <v>668216020.92929101</v>
      </c>
      <c r="D982" s="198" t="s">
        <v>3259</v>
      </c>
      <c r="E982" s="198" t="s">
        <v>3260</v>
      </c>
    </row>
    <row r="983" spans="1:5">
      <c r="A983" s="198">
        <v>477311134</v>
      </c>
      <c r="B983" s="198">
        <v>668277216.92996097</v>
      </c>
      <c r="D983" s="198" t="s">
        <v>3261</v>
      </c>
      <c r="E983" s="198" t="s">
        <v>3262</v>
      </c>
    </row>
    <row r="984" spans="1:5">
      <c r="A984" s="198">
        <v>477397542</v>
      </c>
      <c r="B984" s="198">
        <v>668363624.93091905</v>
      </c>
      <c r="D984" s="198" t="s">
        <v>3263</v>
      </c>
      <c r="E984" s="198" t="s">
        <v>3264</v>
      </c>
    </row>
    <row r="985" spans="1:5">
      <c r="A985" s="198">
        <v>477498336</v>
      </c>
      <c r="B985" s="198">
        <v>668464418.93200195</v>
      </c>
      <c r="D985" s="198" t="s">
        <v>3265</v>
      </c>
      <c r="E985" s="198" t="s">
        <v>3266</v>
      </c>
    </row>
    <row r="986" spans="1:5">
      <c r="A986" s="198">
        <v>477570351</v>
      </c>
      <c r="B986" s="198">
        <v>668536433.93281901</v>
      </c>
      <c r="D986" s="198" t="s">
        <v>3267</v>
      </c>
      <c r="E986" s="198" t="s">
        <v>3268</v>
      </c>
    </row>
    <row r="987" spans="1:5">
      <c r="A987" s="198">
        <v>477663949</v>
      </c>
      <c r="B987" s="198">
        <v>668630031.93382704</v>
      </c>
      <c r="D987" s="198" t="s">
        <v>3269</v>
      </c>
      <c r="E987" s="198" t="s">
        <v>3270</v>
      </c>
    </row>
    <row r="988" spans="1:5">
      <c r="A988" s="198">
        <v>477872751</v>
      </c>
      <c r="B988" s="198">
        <v>668838833.93615901</v>
      </c>
      <c r="D988" s="198" t="s">
        <v>3271</v>
      </c>
      <c r="E988" s="198" t="s">
        <v>3272</v>
      </c>
    </row>
    <row r="989" spans="1:5">
      <c r="A989" s="198">
        <v>477944755</v>
      </c>
      <c r="B989" s="198">
        <v>668910837.93691599</v>
      </c>
      <c r="D989" s="198" t="s">
        <v>3273</v>
      </c>
      <c r="E989" s="198" t="s">
        <v>3274</v>
      </c>
    </row>
    <row r="990" spans="1:5">
      <c r="A990" s="198">
        <v>478020354</v>
      </c>
      <c r="B990" s="198">
        <v>668986436.93777394</v>
      </c>
      <c r="D990" s="198" t="s">
        <v>3275</v>
      </c>
      <c r="E990" s="198" t="s">
        <v>3276</v>
      </c>
    </row>
    <row r="991" spans="1:5">
      <c r="A991" s="198">
        <v>478099555</v>
      </c>
      <c r="B991" s="198">
        <v>669065637.93865299</v>
      </c>
      <c r="D991" s="198" t="s">
        <v>3277</v>
      </c>
      <c r="E991" s="198" t="s">
        <v>3278</v>
      </c>
    </row>
    <row r="992" spans="1:5">
      <c r="A992" s="198">
        <v>478211270</v>
      </c>
      <c r="B992" s="198">
        <v>669177352.93989098</v>
      </c>
      <c r="D992" s="198" t="s">
        <v>3279</v>
      </c>
      <c r="E992" s="198" t="s">
        <v>3280</v>
      </c>
    </row>
    <row r="993" spans="1:5">
      <c r="A993" s="198">
        <v>478257978</v>
      </c>
      <c r="B993" s="198">
        <v>669224060.940418</v>
      </c>
      <c r="D993" s="198" t="s">
        <v>3281</v>
      </c>
      <c r="E993" s="198" t="s">
        <v>3282</v>
      </c>
    </row>
    <row r="994" spans="1:5">
      <c r="A994" s="198">
        <v>478380375</v>
      </c>
      <c r="B994" s="198">
        <v>669346457.94175005</v>
      </c>
      <c r="D994" s="198" t="s">
        <v>3283</v>
      </c>
      <c r="E994" s="198" t="s">
        <v>3284</v>
      </c>
    </row>
    <row r="995" spans="1:5">
      <c r="A995" s="198">
        <v>478477581</v>
      </c>
      <c r="B995" s="198">
        <v>669443663.94283903</v>
      </c>
      <c r="D995" s="198" t="s">
        <v>3285</v>
      </c>
      <c r="E995" s="198" t="s">
        <v>3286</v>
      </c>
    </row>
    <row r="996" spans="1:5">
      <c r="A996" s="198">
        <v>478535294</v>
      </c>
      <c r="B996" s="198">
        <v>669501376.94346905</v>
      </c>
      <c r="D996" s="198" t="s">
        <v>3287</v>
      </c>
      <c r="E996" s="198" t="s">
        <v>3288</v>
      </c>
    </row>
    <row r="997" spans="1:5">
      <c r="A997" s="198">
        <v>478636105</v>
      </c>
      <c r="B997" s="198">
        <v>669602187.94455302</v>
      </c>
      <c r="D997" s="198" t="s">
        <v>3289</v>
      </c>
      <c r="E997" s="198" t="s">
        <v>3290</v>
      </c>
    </row>
    <row r="998" spans="1:5">
      <c r="A998" s="198">
        <v>478689999</v>
      </c>
      <c r="B998" s="198">
        <v>669656081.94520795</v>
      </c>
      <c r="D998" s="198" t="s">
        <v>3291</v>
      </c>
      <c r="E998" s="198" t="s">
        <v>3292</v>
      </c>
    </row>
    <row r="999" spans="1:5">
      <c r="A999" s="198">
        <v>478812393</v>
      </c>
      <c r="B999" s="198">
        <v>669778475.94654298</v>
      </c>
      <c r="D999" s="198" t="s">
        <v>3293</v>
      </c>
      <c r="E999" s="198" t="s">
        <v>3294</v>
      </c>
    </row>
    <row r="1000" spans="1:5">
      <c r="A1000" s="198">
        <v>478905999</v>
      </c>
      <c r="B1000" s="198">
        <v>669872081.94758499</v>
      </c>
      <c r="D1000" s="198" t="s">
        <v>3295</v>
      </c>
      <c r="E1000" s="198" t="s">
        <v>3296</v>
      </c>
    </row>
    <row r="1001" spans="1:5">
      <c r="A1001" s="198">
        <v>478992408</v>
      </c>
      <c r="B1001" s="198">
        <v>669958490.94855905</v>
      </c>
      <c r="D1001" s="198" t="s">
        <v>3297</v>
      </c>
      <c r="E1001" s="198" t="s">
        <v>3298</v>
      </c>
    </row>
    <row r="1002" spans="1:5">
      <c r="A1002" s="198">
        <v>479032010</v>
      </c>
      <c r="B1002" s="198">
        <v>669998092.94900703</v>
      </c>
      <c r="D1002" s="198" t="s">
        <v>3299</v>
      </c>
      <c r="E1002" s="198" t="s">
        <v>3300</v>
      </c>
    </row>
    <row r="1003" spans="1:5">
      <c r="A1003" s="198">
        <v>479168813</v>
      </c>
      <c r="B1003" s="198">
        <v>670134895.95052397</v>
      </c>
      <c r="D1003" s="198" t="s">
        <v>3301</v>
      </c>
      <c r="E1003" s="198" t="s">
        <v>3302</v>
      </c>
    </row>
    <row r="1004" spans="1:5">
      <c r="A1004" s="198">
        <v>479330823</v>
      </c>
      <c r="B1004" s="198">
        <v>670296905.95230603</v>
      </c>
      <c r="D1004" s="198" t="s">
        <v>3303</v>
      </c>
      <c r="E1004" s="198" t="s">
        <v>3304</v>
      </c>
    </row>
    <row r="1005" spans="1:5">
      <c r="A1005" s="198">
        <v>479428028</v>
      </c>
      <c r="B1005" s="198">
        <v>670394110.95340502</v>
      </c>
      <c r="D1005" s="198" t="s">
        <v>3305</v>
      </c>
      <c r="E1005" s="198" t="s">
        <v>3306</v>
      </c>
    </row>
    <row r="1006" spans="1:5">
      <c r="A1006" s="198">
        <v>479514430</v>
      </c>
      <c r="B1006" s="198">
        <v>670480512.95437598</v>
      </c>
      <c r="D1006" s="198" t="s">
        <v>3307</v>
      </c>
      <c r="E1006" s="198" t="s">
        <v>3308</v>
      </c>
    </row>
    <row r="1007" spans="1:5">
      <c r="A1007" s="198">
        <v>479550436</v>
      </c>
      <c r="B1007" s="198">
        <v>670516518.95477295</v>
      </c>
      <c r="D1007" s="198" t="s">
        <v>3309</v>
      </c>
      <c r="E1007" s="198" t="s">
        <v>3310</v>
      </c>
    </row>
    <row r="1008" spans="1:5">
      <c r="A1008" s="198">
        <v>479687244</v>
      </c>
      <c r="B1008" s="198">
        <v>670653326.95630205</v>
      </c>
      <c r="D1008" s="198" t="s">
        <v>3311</v>
      </c>
      <c r="E1008" s="198" t="s">
        <v>3312</v>
      </c>
    </row>
    <row r="1009" spans="1:5">
      <c r="A1009" s="198">
        <v>479737709</v>
      </c>
      <c r="B1009" s="198">
        <v>670703791.95685005</v>
      </c>
      <c r="D1009" s="198" t="s">
        <v>3313</v>
      </c>
      <c r="E1009" s="198" t="s">
        <v>3314</v>
      </c>
    </row>
    <row r="1010" spans="1:5">
      <c r="A1010" s="198">
        <v>479860054</v>
      </c>
      <c r="B1010" s="198">
        <v>670826136.95824099</v>
      </c>
      <c r="D1010" s="198" t="s">
        <v>3315</v>
      </c>
      <c r="E1010" s="198" t="s">
        <v>3316</v>
      </c>
    </row>
    <row r="1011" spans="1:5">
      <c r="A1011" s="198">
        <v>479932049</v>
      </c>
      <c r="B1011" s="198">
        <v>670898131.95902598</v>
      </c>
      <c r="D1011" s="198" t="s">
        <v>3317</v>
      </c>
      <c r="E1011" s="198" t="s">
        <v>3318</v>
      </c>
    </row>
    <row r="1012" spans="1:5">
      <c r="A1012" s="198">
        <v>480014854</v>
      </c>
      <c r="B1012" s="198">
        <v>670980936.95994794</v>
      </c>
      <c r="D1012" s="198" t="s">
        <v>3319</v>
      </c>
      <c r="E1012" s="198" t="s">
        <v>3320</v>
      </c>
    </row>
    <row r="1013" spans="1:5">
      <c r="A1013" s="198">
        <v>480119267</v>
      </c>
      <c r="B1013" s="198">
        <v>671085349.96113801</v>
      </c>
      <c r="D1013" s="198" t="s">
        <v>3321</v>
      </c>
      <c r="E1013" s="198" t="s">
        <v>3322</v>
      </c>
    </row>
    <row r="1014" spans="1:5">
      <c r="A1014" s="198">
        <v>480140857</v>
      </c>
      <c r="B1014" s="198">
        <v>671106939.96134996</v>
      </c>
      <c r="D1014" s="198" t="s">
        <v>3323</v>
      </c>
      <c r="E1014" s="198" t="s">
        <v>3324</v>
      </c>
    </row>
    <row r="1015" spans="1:5">
      <c r="A1015" s="198">
        <v>480292075</v>
      </c>
      <c r="B1015" s="198">
        <v>671258157.96305501</v>
      </c>
      <c r="D1015" s="198" t="s">
        <v>3325</v>
      </c>
      <c r="E1015" s="198" t="s">
        <v>3326</v>
      </c>
    </row>
    <row r="1016" spans="1:5">
      <c r="A1016" s="198">
        <v>480349734</v>
      </c>
      <c r="B1016" s="198">
        <v>671315816.963709</v>
      </c>
      <c r="D1016" s="198" t="s">
        <v>3327</v>
      </c>
      <c r="E1016" s="198" t="s">
        <v>3328</v>
      </c>
    </row>
    <row r="1017" spans="1:5">
      <c r="A1017" s="198">
        <v>480464886</v>
      </c>
      <c r="B1017" s="198">
        <v>671430968.96499002</v>
      </c>
      <c r="D1017" s="198" t="s">
        <v>3329</v>
      </c>
      <c r="E1017" s="198" t="s">
        <v>3330</v>
      </c>
    </row>
    <row r="1018" spans="1:5">
      <c r="A1018" s="198">
        <v>480544086</v>
      </c>
      <c r="B1018" s="198">
        <v>671510168.965873</v>
      </c>
      <c r="D1018" s="198" t="s">
        <v>3331</v>
      </c>
      <c r="E1018" s="198" t="s">
        <v>3332</v>
      </c>
    </row>
    <row r="1019" spans="1:5">
      <c r="A1019" s="198">
        <v>480637705</v>
      </c>
      <c r="B1019" s="198">
        <v>671603787.96692705</v>
      </c>
      <c r="D1019" s="198" t="s">
        <v>3333</v>
      </c>
      <c r="E1019" s="198" t="s">
        <v>3334</v>
      </c>
    </row>
    <row r="1020" spans="1:5">
      <c r="A1020" s="198">
        <v>480720499</v>
      </c>
      <c r="B1020" s="198">
        <v>671686581.96786702</v>
      </c>
      <c r="D1020" s="198" t="s">
        <v>3335</v>
      </c>
      <c r="E1020" s="198" t="s">
        <v>3336</v>
      </c>
    </row>
    <row r="1021" spans="1:5">
      <c r="A1021" s="198">
        <v>480968906</v>
      </c>
      <c r="B1021" s="198">
        <v>671934988.97063303</v>
      </c>
      <c r="D1021" s="198" t="s">
        <v>3337</v>
      </c>
      <c r="E1021" s="198" t="s">
        <v>3338</v>
      </c>
    </row>
    <row r="1022" spans="1:5">
      <c r="A1022" s="198">
        <v>481040971</v>
      </c>
      <c r="B1022" s="198">
        <v>672007053.97148001</v>
      </c>
      <c r="D1022" s="198" t="s">
        <v>3339</v>
      </c>
      <c r="E1022" s="198" t="s">
        <v>3340</v>
      </c>
    </row>
    <row r="1023" spans="1:5">
      <c r="A1023" s="198">
        <v>481148919</v>
      </c>
      <c r="B1023" s="198">
        <v>672115001.97268105</v>
      </c>
      <c r="D1023" s="198" t="s">
        <v>3341</v>
      </c>
      <c r="E1023" s="198" t="s">
        <v>3342</v>
      </c>
    </row>
    <row r="1024" spans="1:5">
      <c r="A1024" s="198">
        <v>481238924</v>
      </c>
      <c r="B1024" s="198">
        <v>672205006.97369301</v>
      </c>
      <c r="D1024" s="198" t="s">
        <v>3343</v>
      </c>
      <c r="E1024" s="198" t="s">
        <v>3344</v>
      </c>
    </row>
    <row r="1025" spans="1:5">
      <c r="A1025" s="198">
        <v>481415335</v>
      </c>
      <c r="B1025" s="198">
        <v>672381417.97568595</v>
      </c>
      <c r="D1025" s="198" t="s">
        <v>3345</v>
      </c>
      <c r="E1025" s="198" t="s">
        <v>3346</v>
      </c>
    </row>
    <row r="1026" spans="1:5">
      <c r="A1026" s="198">
        <v>481469398</v>
      </c>
      <c r="B1026" s="198">
        <v>672435480.97630095</v>
      </c>
      <c r="D1026" s="198" t="s">
        <v>3347</v>
      </c>
      <c r="E1026" s="198" t="s">
        <v>3348</v>
      </c>
    </row>
    <row r="1027" spans="1:5">
      <c r="A1027" s="198">
        <v>481555738</v>
      </c>
      <c r="B1027" s="198">
        <v>672521820.97723103</v>
      </c>
      <c r="D1027" s="198" t="s">
        <v>3349</v>
      </c>
      <c r="E1027" s="198" t="s">
        <v>3350</v>
      </c>
    </row>
    <row r="1028" spans="1:5">
      <c r="A1028" s="198">
        <v>481667342</v>
      </c>
      <c r="B1028" s="198">
        <v>672633424.97851396</v>
      </c>
      <c r="D1028" s="198" t="s">
        <v>3351</v>
      </c>
      <c r="E1028" s="198" t="s">
        <v>3352</v>
      </c>
    </row>
    <row r="1029" spans="1:5">
      <c r="A1029" s="198">
        <v>481753746</v>
      </c>
      <c r="B1029" s="198">
        <v>672719828.97948897</v>
      </c>
      <c r="D1029" s="198" t="s">
        <v>3353</v>
      </c>
      <c r="E1029" s="198" t="s">
        <v>3354</v>
      </c>
    </row>
    <row r="1030" spans="1:5">
      <c r="A1030" s="198">
        <v>481847358</v>
      </c>
      <c r="B1030" s="198">
        <v>672813440.98055506</v>
      </c>
      <c r="D1030" s="198" t="s">
        <v>3355</v>
      </c>
      <c r="E1030" s="198" t="s">
        <v>3356</v>
      </c>
    </row>
    <row r="1031" spans="1:5">
      <c r="A1031" s="198">
        <v>481933765</v>
      </c>
      <c r="B1031" s="198">
        <v>672899847.98153102</v>
      </c>
      <c r="D1031" s="198" t="s">
        <v>3357</v>
      </c>
      <c r="E1031" s="198" t="s">
        <v>3358</v>
      </c>
    </row>
    <row r="1032" spans="1:5">
      <c r="A1032" s="198">
        <v>482005759</v>
      </c>
      <c r="B1032" s="198">
        <v>672971841.98232901</v>
      </c>
      <c r="D1032" s="198" t="s">
        <v>3359</v>
      </c>
      <c r="E1032" s="198" t="s">
        <v>3360</v>
      </c>
    </row>
    <row r="1033" spans="1:5">
      <c r="A1033" s="198">
        <v>482095764</v>
      </c>
      <c r="B1033" s="198">
        <v>673061846.98335099</v>
      </c>
      <c r="D1033" s="198" t="s">
        <v>3361</v>
      </c>
      <c r="E1033" s="198" t="s">
        <v>3362</v>
      </c>
    </row>
    <row r="1034" spans="1:5">
      <c r="A1034" s="198">
        <v>482192982</v>
      </c>
      <c r="B1034" s="198">
        <v>673159064.98445904</v>
      </c>
      <c r="D1034" s="198" t="s">
        <v>3363</v>
      </c>
      <c r="E1034" s="198" t="s">
        <v>3364</v>
      </c>
    </row>
    <row r="1035" spans="1:5">
      <c r="A1035" s="198">
        <v>482250582</v>
      </c>
      <c r="B1035" s="198">
        <v>673216664.98512101</v>
      </c>
      <c r="D1035" s="198" t="s">
        <v>3365</v>
      </c>
      <c r="E1035" s="198" t="s">
        <v>3366</v>
      </c>
    </row>
    <row r="1036" spans="1:5">
      <c r="A1036" s="198">
        <v>482358572</v>
      </c>
      <c r="B1036" s="198">
        <v>673324654.98633599</v>
      </c>
      <c r="D1036" s="198" t="s">
        <v>3367</v>
      </c>
      <c r="E1036" s="198" t="s">
        <v>3368</v>
      </c>
    </row>
    <row r="1037" spans="1:5">
      <c r="A1037" s="198">
        <v>482617815</v>
      </c>
      <c r="B1037" s="198">
        <v>673583897.98927402</v>
      </c>
      <c r="D1037" s="198" t="s">
        <v>3369</v>
      </c>
      <c r="E1037" s="198" t="s">
        <v>3370</v>
      </c>
    </row>
    <row r="1038" spans="1:5">
      <c r="A1038" s="198">
        <v>483046233</v>
      </c>
      <c r="B1038" s="198">
        <v>674012315.99412203</v>
      </c>
      <c r="D1038" s="198" t="s">
        <v>3371</v>
      </c>
      <c r="E1038" s="198" t="s">
        <v>3372</v>
      </c>
    </row>
    <row r="1039" spans="1:5">
      <c r="A1039" s="198">
        <v>483078594</v>
      </c>
      <c r="B1039" s="198">
        <v>674044676.99448502</v>
      </c>
      <c r="D1039" s="198" t="s">
        <v>3373</v>
      </c>
      <c r="E1039" s="198" t="s">
        <v>3374</v>
      </c>
    </row>
    <row r="1040" spans="1:5">
      <c r="A1040" s="198">
        <v>483258633</v>
      </c>
      <c r="B1040" s="198">
        <v>674224715.99653399</v>
      </c>
      <c r="D1040" s="198" t="s">
        <v>3375</v>
      </c>
      <c r="E1040" s="198" t="s">
        <v>3376</v>
      </c>
    </row>
    <row r="1041" spans="1:5">
      <c r="A1041" s="198">
        <v>483402648</v>
      </c>
      <c r="B1041" s="198">
        <v>674368730.99815702</v>
      </c>
      <c r="D1041" s="198" t="s">
        <v>3377</v>
      </c>
      <c r="E1041" s="198" t="s">
        <v>3378</v>
      </c>
    </row>
    <row r="1042" spans="1:5">
      <c r="A1042" s="198">
        <v>483489052</v>
      </c>
      <c r="B1042" s="198">
        <v>674455134.999143</v>
      </c>
      <c r="D1042" s="198" t="s">
        <v>3379</v>
      </c>
      <c r="E1042" s="198" t="s">
        <v>3380</v>
      </c>
    </row>
    <row r="1043" spans="1:5">
      <c r="A1043" s="198">
        <v>483568221</v>
      </c>
      <c r="B1043" s="198">
        <v>674534304.00004399</v>
      </c>
      <c r="D1043" s="198" t="s">
        <v>3381</v>
      </c>
      <c r="E1043" s="198" t="s">
        <v>3382</v>
      </c>
    </row>
    <row r="1044" spans="1:5">
      <c r="A1044" s="198">
        <v>483647420</v>
      </c>
      <c r="B1044" s="198">
        <v>674613503.00093305</v>
      </c>
      <c r="D1044" s="198" t="s">
        <v>3383</v>
      </c>
      <c r="E1044" s="198" t="s">
        <v>3384</v>
      </c>
    </row>
    <row r="1045" spans="1:5">
      <c r="A1045" s="198">
        <v>483748261</v>
      </c>
      <c r="B1045" s="198">
        <v>674714344.00207102</v>
      </c>
      <c r="D1045" s="198" t="s">
        <v>3385</v>
      </c>
      <c r="E1045" s="198" t="s">
        <v>3386</v>
      </c>
    </row>
    <row r="1046" spans="1:5">
      <c r="A1046" s="198">
        <v>483802249</v>
      </c>
      <c r="B1046" s="198">
        <v>674768332.00268805</v>
      </c>
      <c r="D1046" s="198" t="s">
        <v>3387</v>
      </c>
      <c r="E1046" s="198" t="s">
        <v>3388</v>
      </c>
    </row>
    <row r="1047" spans="1:5">
      <c r="A1047" s="198">
        <v>483913833</v>
      </c>
      <c r="B1047" s="198">
        <v>674879916.00396299</v>
      </c>
      <c r="D1047" s="198" t="s">
        <v>3389</v>
      </c>
      <c r="E1047" s="198" t="s">
        <v>3390</v>
      </c>
    </row>
    <row r="1048" spans="1:5">
      <c r="A1048" s="198">
        <v>484003848</v>
      </c>
      <c r="B1048" s="198">
        <v>674969931.00498903</v>
      </c>
      <c r="D1048" s="198" t="s">
        <v>3391</v>
      </c>
      <c r="E1048" s="198" t="s">
        <v>3392</v>
      </c>
    </row>
    <row r="1049" spans="1:5">
      <c r="A1049" s="198">
        <v>484090285</v>
      </c>
      <c r="B1049" s="198">
        <v>675056368.00596499</v>
      </c>
      <c r="D1049" s="198" t="s">
        <v>3393</v>
      </c>
      <c r="E1049" s="198" t="s">
        <v>3394</v>
      </c>
    </row>
    <row r="1050" spans="1:5">
      <c r="A1050" s="198">
        <v>484147857</v>
      </c>
      <c r="B1050" s="198">
        <v>675113940.00661695</v>
      </c>
      <c r="D1050" s="198" t="s">
        <v>3395</v>
      </c>
      <c r="E1050" s="198" t="s">
        <v>3396</v>
      </c>
    </row>
    <row r="1051" spans="1:5">
      <c r="A1051" s="198">
        <v>484267331</v>
      </c>
      <c r="B1051" s="198">
        <v>675233414.00795197</v>
      </c>
      <c r="D1051" s="198" t="s">
        <v>3397</v>
      </c>
      <c r="E1051" s="198" t="s">
        <v>3398</v>
      </c>
    </row>
    <row r="1052" spans="1:5">
      <c r="A1052" s="198">
        <v>484345846</v>
      </c>
      <c r="B1052" s="198">
        <v>675311929.00887001</v>
      </c>
      <c r="D1052" s="198" t="s">
        <v>3399</v>
      </c>
      <c r="E1052" s="198" t="s">
        <v>3400</v>
      </c>
    </row>
    <row r="1053" spans="1:5">
      <c r="A1053" s="198">
        <v>484407073</v>
      </c>
      <c r="B1053" s="198">
        <v>675373156.00956798</v>
      </c>
      <c r="D1053" s="198" t="s">
        <v>3401</v>
      </c>
      <c r="E1053" s="198" t="s">
        <v>3402</v>
      </c>
    </row>
    <row r="1054" spans="1:5">
      <c r="A1054" s="198">
        <v>484515045</v>
      </c>
      <c r="B1054" s="198">
        <v>675481128.01079905</v>
      </c>
      <c r="D1054" s="198" t="s">
        <v>3403</v>
      </c>
      <c r="E1054" s="198" t="s">
        <v>3404</v>
      </c>
    </row>
    <row r="1055" spans="1:5">
      <c r="A1055" s="198">
        <v>484612312</v>
      </c>
      <c r="B1055" s="198">
        <v>675578395.01188302</v>
      </c>
      <c r="D1055" s="198" t="s">
        <v>3405</v>
      </c>
      <c r="E1055" s="198" t="s">
        <v>3406</v>
      </c>
    </row>
    <row r="1056" spans="1:5">
      <c r="A1056" s="198">
        <v>484695075</v>
      </c>
      <c r="B1056" s="198">
        <v>675661158.01284599</v>
      </c>
      <c r="D1056" s="198" t="s">
        <v>3407</v>
      </c>
      <c r="E1056" s="198" t="s">
        <v>3408</v>
      </c>
    </row>
    <row r="1057" spans="1:5">
      <c r="A1057" s="198">
        <v>484767044</v>
      </c>
      <c r="B1057" s="198">
        <v>675733127.013641</v>
      </c>
      <c r="D1057" s="198" t="s">
        <v>3409</v>
      </c>
      <c r="E1057" s="198" t="s">
        <v>3410</v>
      </c>
    </row>
    <row r="1058" spans="1:5">
      <c r="A1058" s="198">
        <v>484831848</v>
      </c>
      <c r="B1058" s="198">
        <v>675797931.01439297</v>
      </c>
      <c r="D1058" s="198" t="s">
        <v>3411</v>
      </c>
      <c r="E1058" s="198" t="s">
        <v>3412</v>
      </c>
    </row>
    <row r="1059" spans="1:5">
      <c r="A1059" s="198">
        <v>484918252</v>
      </c>
      <c r="B1059" s="198">
        <v>675884335.01537704</v>
      </c>
      <c r="D1059" s="198" t="s">
        <v>3413</v>
      </c>
      <c r="E1059" s="198" t="s">
        <v>3414</v>
      </c>
    </row>
    <row r="1060" spans="1:5">
      <c r="A1060" s="198">
        <v>485033455</v>
      </c>
      <c r="B1060" s="198">
        <v>675999538.01669002</v>
      </c>
      <c r="D1060" s="198" t="s">
        <v>3415</v>
      </c>
      <c r="E1060" s="198" t="s">
        <v>3416</v>
      </c>
    </row>
    <row r="1061" spans="1:5">
      <c r="A1061" s="198">
        <v>485130720</v>
      </c>
      <c r="B1061" s="198">
        <v>676096803.01775396</v>
      </c>
      <c r="D1061" s="198" t="s">
        <v>3417</v>
      </c>
      <c r="E1061" s="198" t="s">
        <v>3418</v>
      </c>
    </row>
    <row r="1062" spans="1:5">
      <c r="A1062" s="198">
        <v>485209863</v>
      </c>
      <c r="B1062" s="198">
        <v>676175946.01870799</v>
      </c>
      <c r="D1062" s="198" t="s">
        <v>3419</v>
      </c>
      <c r="E1062" s="198" t="s">
        <v>3420</v>
      </c>
    </row>
    <row r="1063" spans="1:5">
      <c r="A1063" s="198">
        <v>485289053</v>
      </c>
      <c r="B1063" s="198">
        <v>676255136.019593</v>
      </c>
      <c r="D1063" s="198" t="s">
        <v>3421</v>
      </c>
      <c r="E1063" s="198" t="s">
        <v>3422</v>
      </c>
    </row>
    <row r="1064" spans="1:5">
      <c r="A1064" s="198">
        <v>485555471</v>
      </c>
      <c r="B1064" s="198">
        <v>676521554.02264595</v>
      </c>
      <c r="D1064" s="198" t="s">
        <v>3423</v>
      </c>
      <c r="E1064" s="198" t="s">
        <v>3424</v>
      </c>
    </row>
    <row r="1065" spans="1:5">
      <c r="A1065" s="198">
        <v>485641873</v>
      </c>
      <c r="B1065" s="198">
        <v>676607956.02364004</v>
      </c>
      <c r="D1065" s="198" t="s">
        <v>3425</v>
      </c>
      <c r="E1065" s="198" t="s">
        <v>3426</v>
      </c>
    </row>
    <row r="1066" spans="1:5">
      <c r="A1066" s="198">
        <v>485724662</v>
      </c>
      <c r="B1066" s="198">
        <v>676690745.02457297</v>
      </c>
      <c r="D1066" s="198" t="s">
        <v>3427</v>
      </c>
      <c r="E1066" s="198" t="s">
        <v>3428</v>
      </c>
    </row>
    <row r="1067" spans="1:5">
      <c r="A1067" s="198">
        <v>485814687</v>
      </c>
      <c r="B1067" s="198">
        <v>676780770.02560902</v>
      </c>
      <c r="D1067" s="198" t="s">
        <v>3429</v>
      </c>
      <c r="E1067" s="198" t="s">
        <v>3430</v>
      </c>
    </row>
    <row r="1068" spans="1:5">
      <c r="A1068" s="198">
        <v>485890251</v>
      </c>
      <c r="B1068" s="198">
        <v>676856334.02646601</v>
      </c>
      <c r="D1068" s="198" t="s">
        <v>3431</v>
      </c>
      <c r="E1068" s="198" t="s">
        <v>3432</v>
      </c>
    </row>
    <row r="1069" spans="1:5">
      <c r="A1069" s="198">
        <v>485987485</v>
      </c>
      <c r="B1069" s="198">
        <v>676953568.02758002</v>
      </c>
      <c r="D1069" s="198" t="s">
        <v>3433</v>
      </c>
      <c r="E1069" s="198" t="s">
        <v>3434</v>
      </c>
    </row>
    <row r="1070" spans="1:5">
      <c r="A1070" s="198">
        <v>486034246</v>
      </c>
      <c r="B1070" s="198">
        <v>677000329.02808404</v>
      </c>
      <c r="D1070" s="198" t="s">
        <v>3435</v>
      </c>
      <c r="E1070" s="198" t="s">
        <v>3436</v>
      </c>
    </row>
    <row r="1071" spans="1:5">
      <c r="A1071" s="198">
        <v>486135046</v>
      </c>
      <c r="B1071" s="198">
        <v>677101129.02923095</v>
      </c>
      <c r="D1071" s="198" t="s">
        <v>3437</v>
      </c>
      <c r="E1071" s="198" t="s">
        <v>3438</v>
      </c>
    </row>
    <row r="1072" spans="1:5">
      <c r="A1072" s="198">
        <v>486221445</v>
      </c>
      <c r="B1072" s="198">
        <v>677187528.03022003</v>
      </c>
      <c r="D1072" s="198" t="s">
        <v>3439</v>
      </c>
      <c r="E1072" s="198" t="s">
        <v>3440</v>
      </c>
    </row>
    <row r="1073" spans="1:5">
      <c r="A1073" s="198">
        <v>486340919</v>
      </c>
      <c r="B1073" s="198">
        <v>677307002.03159499</v>
      </c>
      <c r="D1073" s="198" t="s">
        <v>3441</v>
      </c>
      <c r="E1073" s="198" t="s">
        <v>3442</v>
      </c>
    </row>
    <row r="1074" spans="1:5">
      <c r="A1074" s="198">
        <v>486415861</v>
      </c>
      <c r="B1074" s="198">
        <v>677381944.03246605</v>
      </c>
      <c r="D1074" s="198" t="s">
        <v>3443</v>
      </c>
      <c r="E1074" s="198" t="s">
        <v>3444</v>
      </c>
    </row>
    <row r="1075" spans="1:5">
      <c r="A1075" s="198">
        <v>486491443</v>
      </c>
      <c r="B1075" s="198">
        <v>677457526.03332698</v>
      </c>
      <c r="D1075" s="198" t="s">
        <v>3445</v>
      </c>
      <c r="E1075" s="198" t="s">
        <v>3446</v>
      </c>
    </row>
    <row r="1076" spans="1:5">
      <c r="A1076" s="198">
        <v>486574242</v>
      </c>
      <c r="B1076" s="198">
        <v>677540325.034271</v>
      </c>
      <c r="D1076" s="198" t="s">
        <v>3447</v>
      </c>
      <c r="E1076" s="198" t="s">
        <v>3448</v>
      </c>
    </row>
    <row r="1077" spans="1:5">
      <c r="A1077" s="198">
        <v>486671444</v>
      </c>
      <c r="B1077" s="198">
        <v>677637527.03538299</v>
      </c>
      <c r="D1077" s="198" t="s">
        <v>3449</v>
      </c>
      <c r="E1077" s="198" t="s">
        <v>3450</v>
      </c>
    </row>
    <row r="1078" spans="1:5">
      <c r="A1078" s="198">
        <v>486732665</v>
      </c>
      <c r="B1078" s="198">
        <v>677698748.03607297</v>
      </c>
      <c r="D1078" s="198" t="s">
        <v>3451</v>
      </c>
      <c r="E1078" s="198" t="s">
        <v>3452</v>
      </c>
    </row>
    <row r="1079" spans="1:5">
      <c r="A1079" s="198">
        <v>486847878</v>
      </c>
      <c r="B1079" s="198">
        <v>677813961.03740001</v>
      </c>
      <c r="D1079" s="198" t="s">
        <v>3453</v>
      </c>
      <c r="E1079" s="198" t="s">
        <v>3454</v>
      </c>
    </row>
    <row r="1080" spans="1:5">
      <c r="A1080" s="198">
        <v>486945111</v>
      </c>
      <c r="B1080" s="198">
        <v>677911194.03848004</v>
      </c>
      <c r="D1080" s="198" t="s">
        <v>3455</v>
      </c>
      <c r="E1080" s="198" t="s">
        <v>3456</v>
      </c>
    </row>
    <row r="1081" spans="1:5">
      <c r="A1081" s="198">
        <v>487032695</v>
      </c>
      <c r="B1081" s="198">
        <v>677998778.03949106</v>
      </c>
      <c r="D1081" s="198" t="s">
        <v>3457</v>
      </c>
      <c r="E1081" s="198" t="s">
        <v>3458</v>
      </c>
    </row>
    <row r="1082" spans="1:5">
      <c r="A1082" s="198">
        <v>487103445</v>
      </c>
      <c r="B1082" s="198">
        <v>678069528.04033005</v>
      </c>
      <c r="D1082" s="198" t="s">
        <v>3459</v>
      </c>
      <c r="E1082" s="198" t="s">
        <v>3460</v>
      </c>
    </row>
    <row r="1083" spans="1:5">
      <c r="A1083" s="198">
        <v>487164655</v>
      </c>
      <c r="B1083" s="198">
        <v>678130738.04102898</v>
      </c>
      <c r="D1083" s="198" t="s">
        <v>3461</v>
      </c>
      <c r="E1083" s="198" t="s">
        <v>3462</v>
      </c>
    </row>
    <row r="1084" spans="1:5">
      <c r="A1084" s="198">
        <v>487247452</v>
      </c>
      <c r="B1084" s="198">
        <v>678213535.04196596</v>
      </c>
      <c r="D1084" s="198" t="s">
        <v>3463</v>
      </c>
      <c r="E1084" s="198" t="s">
        <v>3464</v>
      </c>
    </row>
    <row r="1085" spans="1:5">
      <c r="A1085" s="198">
        <v>487333848</v>
      </c>
      <c r="B1085" s="198">
        <v>678299931.04295897</v>
      </c>
      <c r="D1085" s="198" t="s">
        <v>3465</v>
      </c>
      <c r="E1085" s="198" t="s">
        <v>3466</v>
      </c>
    </row>
    <row r="1086" spans="1:5">
      <c r="A1086" s="198">
        <v>487463511</v>
      </c>
      <c r="B1086" s="198">
        <v>678429594.04441702</v>
      </c>
      <c r="D1086" s="198" t="s">
        <v>3467</v>
      </c>
      <c r="E1086" s="198" t="s">
        <v>3468</v>
      </c>
    </row>
    <row r="1087" spans="1:5">
      <c r="A1087" s="198">
        <v>487531825</v>
      </c>
      <c r="B1087" s="198">
        <v>678497908.04521298</v>
      </c>
      <c r="D1087" s="198" t="s">
        <v>3469</v>
      </c>
      <c r="E1087" s="198" t="s">
        <v>3470</v>
      </c>
    </row>
    <row r="1088" spans="1:5">
      <c r="A1088" s="198">
        <v>487596612</v>
      </c>
      <c r="B1088" s="198">
        <v>678562695.04592705</v>
      </c>
      <c r="D1088" s="198" t="s">
        <v>3471</v>
      </c>
      <c r="E1088" s="198" t="s">
        <v>3472</v>
      </c>
    </row>
    <row r="1089" spans="1:5">
      <c r="A1089" s="198">
        <v>487704617</v>
      </c>
      <c r="B1089" s="198">
        <v>678670700.04718804</v>
      </c>
      <c r="D1089" s="198" t="s">
        <v>3473</v>
      </c>
      <c r="E1089" s="198" t="s">
        <v>3474</v>
      </c>
    </row>
    <row r="1090" spans="1:5">
      <c r="A1090" s="198">
        <v>487809112</v>
      </c>
      <c r="B1090" s="198">
        <v>678775195.04836297</v>
      </c>
      <c r="D1090" s="198" t="s">
        <v>3475</v>
      </c>
      <c r="E1090" s="198" t="s">
        <v>3476</v>
      </c>
    </row>
    <row r="1091" spans="1:5">
      <c r="A1091" s="198">
        <v>487881018</v>
      </c>
      <c r="B1091" s="198">
        <v>678847101.04920995</v>
      </c>
      <c r="D1091" s="198" t="s">
        <v>3477</v>
      </c>
      <c r="E1091" s="198" t="s">
        <v>3478</v>
      </c>
    </row>
    <row r="1092" spans="1:5">
      <c r="A1092" s="198">
        <v>487938632</v>
      </c>
      <c r="B1092" s="198">
        <v>678904715.04986095</v>
      </c>
      <c r="D1092" s="198" t="s">
        <v>3479</v>
      </c>
      <c r="E1092" s="198" t="s">
        <v>3480</v>
      </c>
    </row>
    <row r="1093" spans="1:5">
      <c r="A1093" s="198">
        <v>488042994</v>
      </c>
      <c r="B1093" s="198">
        <v>679009077.05104601</v>
      </c>
      <c r="D1093" s="198" t="s">
        <v>3481</v>
      </c>
      <c r="E1093" s="198" t="s">
        <v>3482</v>
      </c>
    </row>
    <row r="1094" spans="1:5">
      <c r="A1094" s="198">
        <v>488140230</v>
      </c>
      <c r="B1094" s="198">
        <v>679106313.05217803</v>
      </c>
      <c r="D1094" s="198" t="s">
        <v>3483</v>
      </c>
      <c r="E1094" s="198" t="s">
        <v>3484</v>
      </c>
    </row>
    <row r="1095" spans="1:5">
      <c r="A1095" s="198">
        <v>488241082</v>
      </c>
      <c r="B1095" s="198">
        <v>679207165.05330598</v>
      </c>
      <c r="D1095" s="198" t="s">
        <v>3485</v>
      </c>
      <c r="E1095" s="198" t="s">
        <v>3486</v>
      </c>
    </row>
    <row r="1096" spans="1:5">
      <c r="A1096" s="198">
        <v>488309391</v>
      </c>
      <c r="B1096" s="198">
        <v>679275474.05410004</v>
      </c>
      <c r="D1096" s="198" t="s">
        <v>3487</v>
      </c>
      <c r="E1096" s="198" t="s">
        <v>3488</v>
      </c>
    </row>
    <row r="1097" spans="1:5">
      <c r="A1097" s="198">
        <v>488399414</v>
      </c>
      <c r="B1097" s="198">
        <v>679365497.05513597</v>
      </c>
      <c r="D1097" s="198" t="s">
        <v>3489</v>
      </c>
      <c r="E1097" s="198" t="s">
        <v>3490</v>
      </c>
    </row>
    <row r="1098" spans="1:5">
      <c r="A1098" s="198">
        <v>488471373</v>
      </c>
      <c r="B1098" s="198">
        <v>679437456.05594504</v>
      </c>
      <c r="D1098" s="198" t="s">
        <v>3491</v>
      </c>
      <c r="E1098" s="198" t="s">
        <v>3492</v>
      </c>
    </row>
    <row r="1099" spans="1:5">
      <c r="A1099" s="198">
        <v>488572203</v>
      </c>
      <c r="B1099" s="198">
        <v>679538286.05711401</v>
      </c>
      <c r="D1099" s="198" t="s">
        <v>3493</v>
      </c>
      <c r="E1099" s="198" t="s">
        <v>3494</v>
      </c>
    </row>
    <row r="1100" spans="1:5">
      <c r="A1100" s="198">
        <v>488636963</v>
      </c>
      <c r="B1100" s="198">
        <v>679603046.05782998</v>
      </c>
      <c r="D1100" s="198" t="s">
        <v>3495</v>
      </c>
      <c r="E1100" s="198" t="s">
        <v>3496</v>
      </c>
    </row>
    <row r="1101" spans="1:5">
      <c r="A1101" s="198">
        <v>488759376</v>
      </c>
      <c r="B1101" s="198">
        <v>679725459.05923104</v>
      </c>
      <c r="D1101" s="198" t="s">
        <v>3497</v>
      </c>
      <c r="E1101" s="198" t="s">
        <v>3498</v>
      </c>
    </row>
    <row r="1102" spans="1:5">
      <c r="A1102" s="198">
        <v>488831396</v>
      </c>
      <c r="B1102" s="198">
        <v>679797479.06006396</v>
      </c>
      <c r="D1102" s="198" t="s">
        <v>3499</v>
      </c>
      <c r="E1102" s="198" t="s">
        <v>3500</v>
      </c>
    </row>
    <row r="1103" spans="1:5">
      <c r="A1103" s="198">
        <v>488910558</v>
      </c>
      <c r="B1103" s="198">
        <v>679876641.06096399</v>
      </c>
      <c r="D1103" s="198" t="s">
        <v>3501</v>
      </c>
      <c r="E1103" s="198" t="s">
        <v>3502</v>
      </c>
    </row>
    <row r="1104" spans="1:5">
      <c r="A1104" s="198">
        <v>489000557</v>
      </c>
      <c r="B1104" s="198">
        <v>679966640.06200302</v>
      </c>
      <c r="D1104" s="198" t="s">
        <v>3503</v>
      </c>
      <c r="E1104" s="198" t="s">
        <v>3504</v>
      </c>
    </row>
    <row r="1105" spans="1:5">
      <c r="A1105" s="198">
        <v>489104949</v>
      </c>
      <c r="B1105" s="198">
        <v>680071032.06317306</v>
      </c>
      <c r="D1105" s="198" t="s">
        <v>3505</v>
      </c>
      <c r="E1105" s="198" t="s">
        <v>3506</v>
      </c>
    </row>
    <row r="1106" spans="1:5">
      <c r="A1106" s="198">
        <v>489191342</v>
      </c>
      <c r="B1106" s="198">
        <v>680157425.064165</v>
      </c>
      <c r="D1106" s="198" t="s">
        <v>3507</v>
      </c>
      <c r="E1106" s="198" t="s">
        <v>3508</v>
      </c>
    </row>
    <row r="1107" spans="1:5">
      <c r="A1107" s="198">
        <v>489277740</v>
      </c>
      <c r="B1107" s="198">
        <v>680243823.06515002</v>
      </c>
      <c r="D1107" s="198" t="s">
        <v>3509</v>
      </c>
      <c r="E1107" s="198" t="s">
        <v>3510</v>
      </c>
    </row>
    <row r="1108" spans="1:5">
      <c r="A1108" s="198">
        <v>489338922</v>
      </c>
      <c r="B1108" s="198">
        <v>680305005.06586802</v>
      </c>
      <c r="D1108" s="198" t="s">
        <v>3511</v>
      </c>
      <c r="E1108" s="198" t="s">
        <v>3512</v>
      </c>
    </row>
    <row r="1109" spans="1:5">
      <c r="A1109" s="198">
        <v>489450530</v>
      </c>
      <c r="B1109" s="198">
        <v>680416613.067114</v>
      </c>
      <c r="D1109" s="198" t="s">
        <v>3513</v>
      </c>
      <c r="E1109" s="198" t="s">
        <v>3514</v>
      </c>
    </row>
    <row r="1110" spans="1:5">
      <c r="A1110" s="198">
        <v>489536920</v>
      </c>
      <c r="B1110" s="198">
        <v>680503003.06809902</v>
      </c>
      <c r="D1110" s="198" t="s">
        <v>3515</v>
      </c>
      <c r="E1110" s="198" t="s">
        <v>3516</v>
      </c>
    </row>
    <row r="1111" spans="1:5">
      <c r="A1111" s="198">
        <v>489605337</v>
      </c>
      <c r="B1111" s="198">
        <v>680571420.06889498</v>
      </c>
      <c r="D1111" s="198" t="s">
        <v>3517</v>
      </c>
      <c r="E1111" s="198" t="s">
        <v>3518</v>
      </c>
    </row>
    <row r="1112" spans="1:5">
      <c r="A1112" s="198">
        <v>489691735</v>
      </c>
      <c r="B1112" s="198">
        <v>680657818.06988704</v>
      </c>
      <c r="D1112" s="198" t="s">
        <v>3519</v>
      </c>
      <c r="E1112" s="198" t="s">
        <v>3520</v>
      </c>
    </row>
    <row r="1113" spans="1:5">
      <c r="A1113" s="198">
        <v>489778177</v>
      </c>
      <c r="B1113" s="198">
        <v>680744260.07086301</v>
      </c>
      <c r="D1113" s="198" t="s">
        <v>3521</v>
      </c>
      <c r="E1113" s="198" t="s">
        <v>3522</v>
      </c>
    </row>
    <row r="1114" spans="1:5">
      <c r="A1114" s="198">
        <v>489853744</v>
      </c>
      <c r="B1114" s="198">
        <v>680819827.07172894</v>
      </c>
      <c r="D1114" s="198" t="s">
        <v>3523</v>
      </c>
      <c r="E1114" s="198" t="s">
        <v>3524</v>
      </c>
    </row>
    <row r="1115" spans="1:5">
      <c r="A1115" s="198">
        <v>489940146</v>
      </c>
      <c r="B1115" s="198">
        <v>680906229.07271194</v>
      </c>
      <c r="D1115" s="198" t="s">
        <v>3525</v>
      </c>
      <c r="E1115" s="198" t="s">
        <v>3526</v>
      </c>
    </row>
    <row r="1116" spans="1:5">
      <c r="A1116" s="198">
        <v>490037300</v>
      </c>
      <c r="B1116" s="198">
        <v>681003383.07382095</v>
      </c>
      <c r="D1116" s="198" t="s">
        <v>3527</v>
      </c>
      <c r="E1116" s="198" t="s">
        <v>3528</v>
      </c>
    </row>
    <row r="1117" spans="1:5">
      <c r="A1117" s="198">
        <v>490141672</v>
      </c>
      <c r="B1117" s="198">
        <v>681107755.07499301</v>
      </c>
      <c r="D1117" s="198" t="s">
        <v>3529</v>
      </c>
      <c r="E1117" s="198" t="s">
        <v>3530</v>
      </c>
    </row>
    <row r="1118" spans="1:5">
      <c r="A1118" s="198">
        <v>490228068</v>
      </c>
      <c r="B1118" s="198">
        <v>681194151.07599199</v>
      </c>
      <c r="D1118" s="198" t="s">
        <v>3531</v>
      </c>
      <c r="E1118" s="198" t="s">
        <v>3532</v>
      </c>
    </row>
    <row r="1119" spans="1:5">
      <c r="A1119" s="198">
        <v>490314463</v>
      </c>
      <c r="B1119" s="198">
        <v>681280546.07696795</v>
      </c>
      <c r="D1119" s="198" t="s">
        <v>3533</v>
      </c>
      <c r="E1119" s="198" t="s">
        <v>3534</v>
      </c>
    </row>
    <row r="1120" spans="1:5">
      <c r="A1120" s="198">
        <v>490400851</v>
      </c>
      <c r="B1120" s="198">
        <v>681366934.07795501</v>
      </c>
      <c r="D1120" s="198" t="s">
        <v>3535</v>
      </c>
      <c r="E1120" s="198" t="s">
        <v>3536</v>
      </c>
    </row>
    <row r="1121" spans="1:5">
      <c r="A1121" s="198">
        <v>490487248</v>
      </c>
      <c r="B1121" s="198">
        <v>681453331.07894003</v>
      </c>
      <c r="D1121" s="198" t="s">
        <v>3537</v>
      </c>
      <c r="E1121" s="198" t="s">
        <v>3538</v>
      </c>
    </row>
    <row r="1122" spans="1:5">
      <c r="A1122" s="198">
        <v>490552088</v>
      </c>
      <c r="B1122" s="198">
        <v>681518171.07968295</v>
      </c>
      <c r="D1122" s="198" t="s">
        <v>3539</v>
      </c>
      <c r="E1122" s="198" t="s">
        <v>3540</v>
      </c>
    </row>
    <row r="1123" spans="1:5">
      <c r="A1123" s="198">
        <v>490660033</v>
      </c>
      <c r="B1123" s="198">
        <v>681626116.08089197</v>
      </c>
      <c r="D1123" s="198" t="s">
        <v>3541</v>
      </c>
      <c r="E1123" s="198" t="s">
        <v>3542</v>
      </c>
    </row>
    <row r="1124" spans="1:5">
      <c r="A1124" s="198">
        <v>490696039</v>
      </c>
      <c r="B1124" s="198">
        <v>681662122.08131003</v>
      </c>
      <c r="D1124" s="198" t="s">
        <v>3543</v>
      </c>
      <c r="E1124" s="198" t="s">
        <v>3544</v>
      </c>
    </row>
    <row r="1125" spans="1:5">
      <c r="A1125" s="198">
        <v>490832816</v>
      </c>
      <c r="B1125" s="198">
        <v>681798899.08286405</v>
      </c>
      <c r="D1125" s="198" t="s">
        <v>3545</v>
      </c>
      <c r="E1125" s="198" t="s">
        <v>3546</v>
      </c>
    </row>
    <row r="1126" spans="1:5">
      <c r="A1126" s="198">
        <v>490919322</v>
      </c>
      <c r="B1126" s="198">
        <v>681885405.08384097</v>
      </c>
      <c r="D1126" s="198" t="s">
        <v>3547</v>
      </c>
      <c r="E1126" s="198" t="s">
        <v>3548</v>
      </c>
    </row>
    <row r="1127" spans="1:5">
      <c r="A1127" s="198">
        <v>491005598</v>
      </c>
      <c r="B1127" s="198">
        <v>681971681.08483195</v>
      </c>
      <c r="D1127" s="198" t="s">
        <v>3549</v>
      </c>
      <c r="E1127" s="198" t="s">
        <v>3550</v>
      </c>
    </row>
    <row r="1128" spans="1:5">
      <c r="A1128" s="198">
        <v>491091990</v>
      </c>
      <c r="B1128" s="198">
        <v>682058073.08580399</v>
      </c>
      <c r="D1128" s="198" t="s">
        <v>3551</v>
      </c>
      <c r="E1128" s="198" t="s">
        <v>3552</v>
      </c>
    </row>
    <row r="1129" spans="1:5">
      <c r="A1129" s="198">
        <v>491153174</v>
      </c>
      <c r="B1129" s="198">
        <v>682119257.08651197</v>
      </c>
      <c r="D1129" s="198" t="s">
        <v>3553</v>
      </c>
      <c r="E1129" s="198" t="s">
        <v>3554</v>
      </c>
    </row>
    <row r="1130" spans="1:5">
      <c r="A1130" s="198">
        <v>491264857</v>
      </c>
      <c r="B1130" s="198">
        <v>682230940.08777797</v>
      </c>
      <c r="D1130" s="198" t="s">
        <v>3555</v>
      </c>
      <c r="E1130" s="198" t="s">
        <v>3556</v>
      </c>
    </row>
    <row r="1131" spans="1:5">
      <c r="A1131" s="198">
        <v>491351169</v>
      </c>
      <c r="B1131" s="198">
        <v>682317252.08875597</v>
      </c>
      <c r="D1131" s="198" t="s">
        <v>3557</v>
      </c>
      <c r="E1131" s="198" t="s">
        <v>3558</v>
      </c>
    </row>
    <row r="1132" spans="1:5">
      <c r="A1132" s="198">
        <v>491383576</v>
      </c>
      <c r="B1132" s="198">
        <v>682349659.08912599</v>
      </c>
      <c r="D1132" s="198" t="s">
        <v>3559</v>
      </c>
      <c r="E1132" s="198" t="s">
        <v>3560</v>
      </c>
    </row>
    <row r="1133" spans="1:5">
      <c r="A1133" s="198">
        <v>491469967</v>
      </c>
      <c r="B1133" s="198">
        <v>682436050.09010303</v>
      </c>
      <c r="D1133" s="198" t="s">
        <v>3561</v>
      </c>
      <c r="E1133" s="198" t="s">
        <v>3562</v>
      </c>
    </row>
    <row r="1134" spans="1:5">
      <c r="A1134" s="198">
        <v>491610339</v>
      </c>
      <c r="B1134" s="198">
        <v>682576422.091681</v>
      </c>
      <c r="D1134" s="198" t="s">
        <v>3563</v>
      </c>
      <c r="E1134" s="198" t="s">
        <v>3564</v>
      </c>
    </row>
    <row r="1135" spans="1:5">
      <c r="A1135" s="198">
        <v>491696735</v>
      </c>
      <c r="B1135" s="198">
        <v>682662818.09267199</v>
      </c>
      <c r="D1135" s="198" t="s">
        <v>3565</v>
      </c>
      <c r="E1135" s="198" t="s">
        <v>3566</v>
      </c>
    </row>
    <row r="1136" spans="1:5">
      <c r="A1136" s="198">
        <v>491772315</v>
      </c>
      <c r="B1136" s="198">
        <v>682738398.09350395</v>
      </c>
      <c r="D1136" s="198" t="s">
        <v>3567</v>
      </c>
      <c r="E1136" s="198" t="s">
        <v>3568</v>
      </c>
    </row>
    <row r="1137" spans="1:5">
      <c r="A1137" s="198">
        <v>491840696</v>
      </c>
      <c r="B1137" s="198">
        <v>682806779.09431303</v>
      </c>
      <c r="D1137" s="198" t="s">
        <v>3569</v>
      </c>
      <c r="E1137" s="198" t="s">
        <v>3570</v>
      </c>
    </row>
    <row r="1138" spans="1:5">
      <c r="A1138" s="198">
        <v>491955905</v>
      </c>
      <c r="B1138" s="198">
        <v>682921988.09560299</v>
      </c>
      <c r="D1138" s="198" t="s">
        <v>3571</v>
      </c>
      <c r="E1138" s="198" t="s">
        <v>3572</v>
      </c>
    </row>
    <row r="1139" spans="1:5">
      <c r="A1139" s="198">
        <v>491988300</v>
      </c>
      <c r="B1139" s="198">
        <v>682954383.09596598</v>
      </c>
      <c r="D1139" s="198" t="s">
        <v>3573</v>
      </c>
      <c r="E1139" s="198" t="s">
        <v>3574</v>
      </c>
    </row>
    <row r="1140" spans="1:5">
      <c r="A1140" s="198">
        <v>492128687</v>
      </c>
      <c r="B1140" s="198">
        <v>683094770.09756005</v>
      </c>
      <c r="D1140" s="198" t="s">
        <v>3575</v>
      </c>
      <c r="E1140" s="198" t="s">
        <v>3576</v>
      </c>
    </row>
    <row r="1141" spans="1:5">
      <c r="A1141" s="198">
        <v>492175452</v>
      </c>
      <c r="B1141" s="198">
        <v>683141535.09808099</v>
      </c>
      <c r="D1141" s="198" t="s">
        <v>3577</v>
      </c>
      <c r="E1141" s="198" t="s">
        <v>3578</v>
      </c>
    </row>
    <row r="1142" spans="1:5">
      <c r="A1142" s="198">
        <v>492387857</v>
      </c>
      <c r="B1142" s="198">
        <v>683353940.10048497</v>
      </c>
      <c r="D1142" s="198" t="s">
        <v>3579</v>
      </c>
      <c r="E1142" s="198" t="s">
        <v>3580</v>
      </c>
    </row>
    <row r="1143" spans="1:5">
      <c r="A1143" s="198">
        <v>492474243</v>
      </c>
      <c r="B1143" s="198">
        <v>683440326.10415697</v>
      </c>
      <c r="D1143" s="198" t="s">
        <v>3581</v>
      </c>
      <c r="E1143" s="198" t="s">
        <v>3582</v>
      </c>
    </row>
    <row r="1144" spans="1:5">
      <c r="A1144" s="198">
        <v>492524607</v>
      </c>
      <c r="B1144" s="198">
        <v>683490690.10474396</v>
      </c>
      <c r="D1144" s="198" t="s">
        <v>3583</v>
      </c>
      <c r="E1144" s="198" t="s">
        <v>3584</v>
      </c>
    </row>
    <row r="1145" spans="1:5">
      <c r="A1145" s="198">
        <v>492618212</v>
      </c>
      <c r="B1145" s="198">
        <v>683584295.10582101</v>
      </c>
      <c r="D1145" s="198" t="s">
        <v>3585</v>
      </c>
      <c r="E1145" s="198" t="s">
        <v>3586</v>
      </c>
    </row>
    <row r="1146" spans="1:5">
      <c r="A1146" s="198">
        <v>492675818</v>
      </c>
      <c r="B1146" s="198">
        <v>683641901.10646701</v>
      </c>
      <c r="D1146" s="198" t="s">
        <v>3587</v>
      </c>
      <c r="E1146" s="198" t="s">
        <v>3588</v>
      </c>
    </row>
    <row r="1147" spans="1:5">
      <c r="A1147" s="198">
        <v>492819800</v>
      </c>
      <c r="B1147" s="198">
        <v>683785883.10809803</v>
      </c>
      <c r="D1147" s="198" t="s">
        <v>3589</v>
      </c>
      <c r="E1147" s="198" t="s">
        <v>3590</v>
      </c>
    </row>
    <row r="1148" spans="1:5">
      <c r="A1148" s="198">
        <v>492877390</v>
      </c>
      <c r="B1148" s="198">
        <v>683843473.10878098</v>
      </c>
      <c r="D1148" s="198" t="s">
        <v>3591</v>
      </c>
      <c r="E1148" s="198" t="s">
        <v>3592</v>
      </c>
    </row>
    <row r="1149" spans="1:5">
      <c r="A1149" s="198">
        <v>492992591</v>
      </c>
      <c r="B1149" s="198">
        <v>683958674.11006904</v>
      </c>
      <c r="D1149" s="198" t="s">
        <v>3593</v>
      </c>
      <c r="E1149" s="198" t="s">
        <v>3594</v>
      </c>
    </row>
    <row r="1150" spans="1:5">
      <c r="A1150" s="198">
        <v>493078973</v>
      </c>
      <c r="B1150" s="198">
        <v>684045056.111063</v>
      </c>
      <c r="D1150" s="198" t="s">
        <v>3595</v>
      </c>
      <c r="E1150" s="198" t="s">
        <v>3596</v>
      </c>
    </row>
    <row r="1151" spans="1:5">
      <c r="A1151" s="198">
        <v>493100601</v>
      </c>
      <c r="B1151" s="198">
        <v>684066684.11129797</v>
      </c>
      <c r="D1151" s="198" t="s">
        <v>3597</v>
      </c>
      <c r="E1151" s="198" t="s">
        <v>3598</v>
      </c>
    </row>
    <row r="1152" spans="1:5">
      <c r="A1152" s="198">
        <v>493251760</v>
      </c>
      <c r="B1152" s="198">
        <v>684217843.11303997</v>
      </c>
      <c r="D1152" s="198" t="s">
        <v>3599</v>
      </c>
      <c r="E1152" s="198" t="s">
        <v>3600</v>
      </c>
    </row>
    <row r="1153" spans="1:5">
      <c r="A1153" s="198">
        <v>493269709</v>
      </c>
      <c r="B1153" s="198">
        <v>684235792.11323404</v>
      </c>
      <c r="D1153" s="198" t="s">
        <v>3601</v>
      </c>
      <c r="E1153" s="198" t="s">
        <v>3602</v>
      </c>
    </row>
    <row r="1154" spans="1:5">
      <c r="A1154" s="198">
        <v>493420925</v>
      </c>
      <c r="B1154" s="198">
        <v>684387008.11495697</v>
      </c>
      <c r="D1154" s="198" t="s">
        <v>3603</v>
      </c>
      <c r="E1154" s="198" t="s">
        <v>3604</v>
      </c>
    </row>
    <row r="1155" spans="1:5">
      <c r="A1155" s="198">
        <v>493474892</v>
      </c>
      <c r="B1155" s="198">
        <v>684440975.11556697</v>
      </c>
      <c r="D1155" s="198" t="s">
        <v>3605</v>
      </c>
      <c r="E1155" s="198" t="s">
        <v>3606</v>
      </c>
    </row>
    <row r="1156" spans="1:5">
      <c r="A1156" s="198">
        <v>493593695</v>
      </c>
      <c r="B1156" s="198">
        <v>684559778.11692297</v>
      </c>
      <c r="D1156" s="198" t="s">
        <v>3607</v>
      </c>
      <c r="E1156" s="198" t="s">
        <v>3608</v>
      </c>
    </row>
    <row r="1157" spans="1:5">
      <c r="A1157" s="198">
        <v>493683700</v>
      </c>
      <c r="B1157" s="198">
        <v>684649783.11795199</v>
      </c>
      <c r="D1157" s="198" t="s">
        <v>3609</v>
      </c>
      <c r="E1157" s="198" t="s">
        <v>3610</v>
      </c>
    </row>
    <row r="1158" spans="1:5">
      <c r="A1158" s="198">
        <v>493771733</v>
      </c>
      <c r="B1158" s="198">
        <v>684737816.11890304</v>
      </c>
      <c r="D1158" s="198" t="s">
        <v>3611</v>
      </c>
      <c r="E1158" s="198" t="s">
        <v>3612</v>
      </c>
    </row>
    <row r="1159" spans="1:5">
      <c r="A1159" s="198">
        <v>493856482</v>
      </c>
      <c r="B1159" s="198">
        <v>684822565.11990201</v>
      </c>
      <c r="D1159" s="198" t="s">
        <v>3613</v>
      </c>
      <c r="E1159" s="198" t="s">
        <v>3614</v>
      </c>
    </row>
    <row r="1160" spans="1:5">
      <c r="A1160" s="198">
        <v>493939252</v>
      </c>
      <c r="B1160" s="198">
        <v>684905335.12084305</v>
      </c>
      <c r="D1160" s="198" t="s">
        <v>3615</v>
      </c>
      <c r="E1160" s="198" t="s">
        <v>3616</v>
      </c>
    </row>
    <row r="1161" spans="1:5">
      <c r="A1161" s="198">
        <v>494025656</v>
      </c>
      <c r="B1161" s="198">
        <v>684991739.121822</v>
      </c>
      <c r="D1161" s="198" t="s">
        <v>3617</v>
      </c>
      <c r="E1161" s="198" t="s">
        <v>3618</v>
      </c>
    </row>
    <row r="1162" spans="1:5">
      <c r="A1162" s="198">
        <v>494083231</v>
      </c>
      <c r="B1162" s="198">
        <v>685049314.122473</v>
      </c>
      <c r="D1162" s="198" t="s">
        <v>3619</v>
      </c>
      <c r="E1162" s="198" t="s">
        <v>3620</v>
      </c>
    </row>
    <row r="1163" spans="1:5">
      <c r="A1163" s="198">
        <v>494137199</v>
      </c>
      <c r="B1163" s="198">
        <v>685103282.12307596</v>
      </c>
      <c r="D1163" s="198" t="s">
        <v>3621</v>
      </c>
      <c r="E1163" s="198" t="s">
        <v>3622</v>
      </c>
    </row>
    <row r="1164" spans="1:5">
      <c r="A1164" s="198">
        <v>494281204</v>
      </c>
      <c r="B1164" s="198">
        <v>685247287.12471604</v>
      </c>
      <c r="D1164" s="198" t="s">
        <v>3623</v>
      </c>
      <c r="E1164" s="198" t="s">
        <v>3624</v>
      </c>
    </row>
    <row r="1165" spans="1:5">
      <c r="A1165" s="198">
        <v>494371197</v>
      </c>
      <c r="B1165" s="198">
        <v>685337280.12573504</v>
      </c>
      <c r="D1165" s="198" t="s">
        <v>3625</v>
      </c>
      <c r="E1165" s="198" t="s">
        <v>3626</v>
      </c>
    </row>
    <row r="1166" spans="1:5">
      <c r="A1166" s="198">
        <v>494457589</v>
      </c>
      <c r="B1166" s="198">
        <v>685423672.12671399</v>
      </c>
      <c r="D1166" s="198" t="s">
        <v>3627</v>
      </c>
      <c r="E1166" s="198" t="s">
        <v>3628</v>
      </c>
    </row>
    <row r="1167" spans="1:5">
      <c r="A1167" s="198">
        <v>494504347</v>
      </c>
      <c r="B1167" s="198">
        <v>685470430.127249</v>
      </c>
      <c r="D1167" s="198" t="s">
        <v>3629</v>
      </c>
      <c r="E1167" s="198" t="s">
        <v>3630</v>
      </c>
    </row>
    <row r="1168" spans="1:5">
      <c r="A1168" s="198">
        <v>494893173</v>
      </c>
      <c r="B1168" s="198">
        <v>685859256.13159895</v>
      </c>
      <c r="D1168" s="198" t="s">
        <v>3631</v>
      </c>
      <c r="E1168" s="198" t="s">
        <v>3632</v>
      </c>
    </row>
    <row r="1169" spans="1:5">
      <c r="A1169" s="198">
        <v>494914981</v>
      </c>
      <c r="B1169" s="198">
        <v>685881064.13187099</v>
      </c>
      <c r="D1169" s="198" t="s">
        <v>3633</v>
      </c>
      <c r="E1169" s="198" t="s">
        <v>3634</v>
      </c>
    </row>
    <row r="1170" spans="1:5">
      <c r="A1170" s="198">
        <v>495375433</v>
      </c>
      <c r="B1170" s="198">
        <v>686341516.13706303</v>
      </c>
      <c r="D1170" s="198" t="s">
        <v>3635</v>
      </c>
      <c r="E1170" s="198" t="s">
        <v>3636</v>
      </c>
    </row>
    <row r="1171" spans="1:5">
      <c r="A1171" s="198">
        <v>495490639</v>
      </c>
      <c r="B1171" s="198">
        <v>686456722.138345</v>
      </c>
      <c r="D1171" s="198" t="s">
        <v>3637</v>
      </c>
      <c r="E1171" s="198" t="s">
        <v>3638</v>
      </c>
    </row>
    <row r="1172" spans="1:5">
      <c r="A1172" s="198">
        <v>495584219</v>
      </c>
      <c r="B1172" s="198">
        <v>686550302.139377</v>
      </c>
      <c r="D1172" s="198" t="s">
        <v>3639</v>
      </c>
      <c r="E1172" s="198" t="s">
        <v>3640</v>
      </c>
    </row>
    <row r="1173" spans="1:5">
      <c r="A1173" s="198">
        <v>495605818</v>
      </c>
      <c r="B1173" s="198">
        <v>686571901.13962996</v>
      </c>
      <c r="D1173" s="198" t="s">
        <v>3641</v>
      </c>
      <c r="E1173" s="198" t="s">
        <v>3642</v>
      </c>
    </row>
    <row r="1174" spans="1:5">
      <c r="A1174" s="198">
        <v>495756994</v>
      </c>
      <c r="B1174" s="198">
        <v>686723077.14129806</v>
      </c>
      <c r="D1174" s="198" t="s">
        <v>3643</v>
      </c>
      <c r="E1174" s="198" t="s">
        <v>3644</v>
      </c>
    </row>
    <row r="1175" spans="1:5">
      <c r="A1175" s="198">
        <v>495836252</v>
      </c>
      <c r="B1175" s="198">
        <v>686802335.14221096</v>
      </c>
      <c r="D1175" s="198" t="s">
        <v>3645</v>
      </c>
      <c r="E1175" s="198" t="s">
        <v>3646</v>
      </c>
    </row>
    <row r="1176" spans="1:5">
      <c r="A1176" s="198">
        <v>495886547</v>
      </c>
      <c r="B1176" s="198">
        <v>686852630.14277899</v>
      </c>
      <c r="D1176" s="198" t="s">
        <v>3647</v>
      </c>
      <c r="E1176" s="198" t="s">
        <v>3648</v>
      </c>
    </row>
    <row r="1177" spans="1:5">
      <c r="A1177" s="198">
        <v>495976548</v>
      </c>
      <c r="B1177" s="198">
        <v>686942631.14378202</v>
      </c>
      <c r="D1177" s="198" t="s">
        <v>3649</v>
      </c>
      <c r="E1177" s="198" t="s">
        <v>3650</v>
      </c>
    </row>
    <row r="1178" spans="1:5">
      <c r="A1178" s="198">
        <v>496095364</v>
      </c>
      <c r="B1178" s="198">
        <v>687061447.145105</v>
      </c>
      <c r="D1178" s="198" t="s">
        <v>3651</v>
      </c>
      <c r="E1178" s="198" t="s">
        <v>3652</v>
      </c>
    </row>
    <row r="1179" spans="1:5">
      <c r="A1179" s="198">
        <v>496275313</v>
      </c>
      <c r="B1179" s="198">
        <v>687241396.14708805</v>
      </c>
      <c r="D1179" s="198" t="s">
        <v>3653</v>
      </c>
      <c r="E1179" s="198" t="s">
        <v>3654</v>
      </c>
    </row>
    <row r="1180" spans="1:5">
      <c r="A1180" s="198">
        <v>496350906</v>
      </c>
      <c r="B1180" s="198">
        <v>687316989.14795494</v>
      </c>
      <c r="D1180" s="198" t="s">
        <v>3655</v>
      </c>
      <c r="E1180" s="198" t="s">
        <v>3656</v>
      </c>
    </row>
    <row r="1181" spans="1:5">
      <c r="A1181" s="198">
        <v>496440909</v>
      </c>
      <c r="B1181" s="198">
        <v>687406992.14895904</v>
      </c>
      <c r="D1181" s="198" t="s">
        <v>3657</v>
      </c>
      <c r="E1181" s="198" t="s">
        <v>3658</v>
      </c>
    </row>
    <row r="1182" spans="1:5">
      <c r="A1182" s="198">
        <v>496498501</v>
      </c>
      <c r="B1182" s="198">
        <v>687464584.14960802</v>
      </c>
      <c r="D1182" s="198" t="s">
        <v>3659</v>
      </c>
      <c r="E1182" s="198" t="s">
        <v>3660</v>
      </c>
    </row>
    <row r="1183" spans="1:5">
      <c r="A1183" s="198">
        <v>496620865</v>
      </c>
      <c r="B1183" s="198">
        <v>687586948.15093303</v>
      </c>
      <c r="D1183" s="198" t="s">
        <v>3661</v>
      </c>
      <c r="E1183" s="198" t="s">
        <v>3662</v>
      </c>
    </row>
    <row r="1184" spans="1:5">
      <c r="A1184" s="198">
        <v>496635248</v>
      </c>
      <c r="B1184" s="198">
        <v>687601331.15110898</v>
      </c>
      <c r="D1184" s="198" t="s">
        <v>3663</v>
      </c>
      <c r="E1184" s="198" t="s">
        <v>3664</v>
      </c>
    </row>
    <row r="1185" spans="1:5">
      <c r="A1185" s="198">
        <v>496793635</v>
      </c>
      <c r="B1185" s="198">
        <v>687759718.15285099</v>
      </c>
      <c r="D1185" s="198" t="s">
        <v>3665</v>
      </c>
      <c r="E1185" s="198" t="s">
        <v>3666</v>
      </c>
    </row>
    <row r="1186" spans="1:5">
      <c r="A1186" s="198">
        <v>496811641</v>
      </c>
      <c r="B1186" s="198">
        <v>687777724.15307403</v>
      </c>
      <c r="D1186" s="198" t="s">
        <v>3667</v>
      </c>
      <c r="E1186" s="198" t="s">
        <v>3668</v>
      </c>
    </row>
    <row r="1187" spans="1:5">
      <c r="A1187" s="198">
        <v>496952014</v>
      </c>
      <c r="B1187" s="198">
        <v>687918097.15463102</v>
      </c>
      <c r="D1187" s="198" t="s">
        <v>3669</v>
      </c>
      <c r="E1187" s="198" t="s">
        <v>3670</v>
      </c>
    </row>
    <row r="1188" spans="1:5">
      <c r="A1188" s="198">
        <v>497013203</v>
      </c>
      <c r="B1188" s="198">
        <v>687979286.15531397</v>
      </c>
      <c r="D1188" s="198" t="s">
        <v>3671</v>
      </c>
      <c r="E1188" s="198" t="s">
        <v>3672</v>
      </c>
    </row>
    <row r="1189" spans="1:5">
      <c r="A1189" s="198">
        <v>497099598</v>
      </c>
      <c r="B1189" s="198">
        <v>688065681.15628004</v>
      </c>
      <c r="D1189" s="198" t="s">
        <v>3673</v>
      </c>
      <c r="E1189" s="198" t="s">
        <v>3674</v>
      </c>
    </row>
    <row r="1190" spans="1:5">
      <c r="A1190" s="198">
        <v>497225572</v>
      </c>
      <c r="B1190" s="198">
        <v>688191655.15763998</v>
      </c>
      <c r="D1190" s="198" t="s">
        <v>3675</v>
      </c>
      <c r="E1190" s="198" t="s">
        <v>3676</v>
      </c>
    </row>
    <row r="1191" spans="1:5">
      <c r="A1191" s="198">
        <v>497301183</v>
      </c>
      <c r="B1191" s="198">
        <v>688267266.15850401</v>
      </c>
      <c r="D1191" s="198" t="s">
        <v>3677</v>
      </c>
      <c r="E1191" s="198" t="s">
        <v>3678</v>
      </c>
    </row>
    <row r="1192" spans="1:5">
      <c r="A1192" s="198">
        <v>497398347</v>
      </c>
      <c r="B1192" s="198">
        <v>688364430.159567</v>
      </c>
      <c r="D1192" s="198" t="s">
        <v>3679</v>
      </c>
      <c r="E1192" s="198" t="s">
        <v>3680</v>
      </c>
    </row>
    <row r="1193" spans="1:5">
      <c r="A1193" s="198">
        <v>497484735</v>
      </c>
      <c r="B1193" s="198">
        <v>688450818.16052902</v>
      </c>
      <c r="D1193" s="198" t="s">
        <v>3681</v>
      </c>
      <c r="E1193" s="198" t="s">
        <v>3682</v>
      </c>
    </row>
    <row r="1194" spans="1:5">
      <c r="A1194" s="198">
        <v>497560350</v>
      </c>
      <c r="B1194" s="198">
        <v>688526433.16138196</v>
      </c>
      <c r="D1194" s="198" t="s">
        <v>3683</v>
      </c>
      <c r="E1194" s="198" t="s">
        <v>3684</v>
      </c>
    </row>
    <row r="1195" spans="1:5">
      <c r="A1195" s="198">
        <v>497657512</v>
      </c>
      <c r="B1195" s="198">
        <v>688623595.16243398</v>
      </c>
      <c r="D1195" s="198" t="s">
        <v>3685</v>
      </c>
      <c r="E1195" s="198" t="s">
        <v>3686</v>
      </c>
    </row>
    <row r="1196" spans="1:5">
      <c r="A1196" s="198">
        <v>497725994</v>
      </c>
      <c r="B1196" s="198">
        <v>688692077.16323102</v>
      </c>
      <c r="D1196" s="198" t="s">
        <v>3687</v>
      </c>
      <c r="E1196" s="198" t="s">
        <v>3688</v>
      </c>
    </row>
    <row r="1197" spans="1:5">
      <c r="A1197" s="198">
        <v>497787083</v>
      </c>
      <c r="B1197" s="198">
        <v>688753166.16389501</v>
      </c>
      <c r="D1197" s="198" t="s">
        <v>3689</v>
      </c>
      <c r="E1197" s="198" t="s">
        <v>3690</v>
      </c>
    </row>
    <row r="1198" spans="1:5">
      <c r="A1198" s="198">
        <v>497916677</v>
      </c>
      <c r="B1198" s="198">
        <v>688882760.16530299</v>
      </c>
      <c r="D1198" s="198" t="s">
        <v>3691</v>
      </c>
      <c r="E1198" s="198" t="s">
        <v>3692</v>
      </c>
    </row>
    <row r="1199" spans="1:5">
      <c r="A1199" s="198">
        <v>497931080</v>
      </c>
      <c r="B1199" s="198">
        <v>688897163.165465</v>
      </c>
      <c r="D1199" s="198" t="s">
        <v>3693</v>
      </c>
      <c r="E1199" s="198" t="s">
        <v>3694</v>
      </c>
    </row>
    <row r="1200" spans="1:5">
      <c r="A1200" s="198">
        <v>498075065</v>
      </c>
      <c r="B1200" s="198">
        <v>689041148.16705501</v>
      </c>
      <c r="D1200" s="198" t="s">
        <v>3695</v>
      </c>
      <c r="E1200" s="198" t="s">
        <v>3696</v>
      </c>
    </row>
    <row r="1201" spans="1:5">
      <c r="A1201" s="198">
        <v>498175840</v>
      </c>
      <c r="B1201" s="198">
        <v>689141923.16814697</v>
      </c>
      <c r="D1201" s="198" t="s">
        <v>3697</v>
      </c>
      <c r="E1201" s="198" t="s">
        <v>3698</v>
      </c>
    </row>
    <row r="1202" spans="1:5">
      <c r="A1202" s="198">
        <v>498190253</v>
      </c>
      <c r="B1202" s="198">
        <v>689156336.16833699</v>
      </c>
      <c r="D1202" s="198" t="s">
        <v>3699</v>
      </c>
      <c r="E1202" s="198" t="s">
        <v>3700</v>
      </c>
    </row>
    <row r="1203" spans="1:5">
      <c r="A1203" s="198">
        <v>498280198</v>
      </c>
      <c r="B1203" s="198">
        <v>689246281.169294</v>
      </c>
      <c r="D1203" s="198" t="s">
        <v>3701</v>
      </c>
      <c r="E1203" s="198" t="s">
        <v>3702</v>
      </c>
    </row>
    <row r="1204" spans="1:5">
      <c r="A1204" s="198">
        <v>498420621</v>
      </c>
      <c r="B1204" s="198">
        <v>689386704.17085302</v>
      </c>
      <c r="D1204" s="198" t="s">
        <v>3703</v>
      </c>
      <c r="E1204" s="198" t="s">
        <v>3704</v>
      </c>
    </row>
    <row r="1205" spans="1:5">
      <c r="A1205" s="198">
        <v>498607782</v>
      </c>
      <c r="B1205" s="198">
        <v>689573865.172894</v>
      </c>
      <c r="D1205" s="198" t="s">
        <v>3705</v>
      </c>
      <c r="E1205" s="198" t="s">
        <v>3706</v>
      </c>
    </row>
    <row r="1206" spans="1:5">
      <c r="A1206" s="198">
        <v>498694171</v>
      </c>
      <c r="B1206" s="198">
        <v>689660254.17385805</v>
      </c>
      <c r="D1206" s="198" t="s">
        <v>3707</v>
      </c>
      <c r="E1206" s="198" t="s">
        <v>3708</v>
      </c>
    </row>
    <row r="1207" spans="1:5">
      <c r="A1207" s="198">
        <v>498762574</v>
      </c>
      <c r="B1207" s="198">
        <v>689728657.17461801</v>
      </c>
      <c r="D1207" s="198" t="s">
        <v>3709</v>
      </c>
      <c r="E1207" s="198" t="s">
        <v>3710</v>
      </c>
    </row>
    <row r="1208" spans="1:5">
      <c r="A1208" s="198">
        <v>498820142</v>
      </c>
      <c r="B1208" s="198">
        <v>689786225.17525303</v>
      </c>
      <c r="D1208" s="198" t="s">
        <v>3711</v>
      </c>
      <c r="E1208" s="198" t="s">
        <v>3712</v>
      </c>
    </row>
    <row r="1209" spans="1:5">
      <c r="A1209" s="198">
        <v>498895724</v>
      </c>
      <c r="B1209" s="198">
        <v>689861807.17608094</v>
      </c>
      <c r="D1209" s="198" t="s">
        <v>3713</v>
      </c>
      <c r="E1209" s="198" t="s">
        <v>3714</v>
      </c>
    </row>
    <row r="1210" spans="1:5">
      <c r="A1210" s="198">
        <v>499126748</v>
      </c>
      <c r="B1210" s="198">
        <v>690092831.17856801</v>
      </c>
      <c r="D1210" s="198" t="s">
        <v>3715</v>
      </c>
      <c r="E1210" s="198" t="s">
        <v>3716</v>
      </c>
    </row>
    <row r="1211" spans="1:5">
      <c r="A1211" s="198">
        <v>499212505</v>
      </c>
      <c r="B1211" s="198">
        <v>690178588.17954195</v>
      </c>
      <c r="D1211" s="198" t="s">
        <v>3717</v>
      </c>
      <c r="E1211" s="198" t="s">
        <v>3718</v>
      </c>
    </row>
    <row r="1212" spans="1:5">
      <c r="A1212" s="198">
        <v>499223319</v>
      </c>
      <c r="B1212" s="198">
        <v>690189402.17967296</v>
      </c>
      <c r="D1212" s="198" t="s">
        <v>3719</v>
      </c>
      <c r="E1212" s="198" t="s">
        <v>3720</v>
      </c>
    </row>
    <row r="1213" spans="1:5">
      <c r="A1213" s="198">
        <v>499367315</v>
      </c>
      <c r="B1213" s="198">
        <v>690333398.18124604</v>
      </c>
      <c r="D1213" s="198" t="s">
        <v>3721</v>
      </c>
      <c r="E1213" s="198" t="s">
        <v>3722</v>
      </c>
    </row>
    <row r="1214" spans="1:5">
      <c r="A1214" s="198">
        <v>499471669</v>
      </c>
      <c r="B1214" s="198">
        <v>690437752.18236601</v>
      </c>
      <c r="D1214" s="198" t="s">
        <v>3723</v>
      </c>
      <c r="E1214" s="198" t="s">
        <v>3724</v>
      </c>
    </row>
    <row r="1215" spans="1:5">
      <c r="A1215" s="198">
        <v>499496849</v>
      </c>
      <c r="B1215" s="198">
        <v>690462932.18265295</v>
      </c>
      <c r="D1215" s="198" t="s">
        <v>3725</v>
      </c>
      <c r="E1215" s="198" t="s">
        <v>3726</v>
      </c>
    </row>
    <row r="1216" spans="1:5">
      <c r="A1216" s="198">
        <v>499730840</v>
      </c>
      <c r="B1216" s="198">
        <v>690696923.18520701</v>
      </c>
      <c r="D1216" s="198" t="s">
        <v>3727</v>
      </c>
      <c r="E1216" s="198" t="s">
        <v>3728</v>
      </c>
    </row>
    <row r="1217" spans="1:5">
      <c r="A1217" s="198">
        <v>499795641</v>
      </c>
      <c r="B1217" s="198">
        <v>690761724.18591702</v>
      </c>
      <c r="D1217" s="198" t="s">
        <v>3729</v>
      </c>
      <c r="E1217" s="198" t="s">
        <v>3730</v>
      </c>
    </row>
    <row r="1218" spans="1:5">
      <c r="A1218" s="198">
        <v>499903619</v>
      </c>
      <c r="B1218" s="198">
        <v>690869702.18710101</v>
      </c>
      <c r="D1218" s="198" t="s">
        <v>3731</v>
      </c>
      <c r="E1218" s="198" t="s">
        <v>3732</v>
      </c>
    </row>
    <row r="1219" spans="1:5">
      <c r="A1219" s="198">
        <v>499964804</v>
      </c>
      <c r="B1219" s="198">
        <v>690930887.18777394</v>
      </c>
      <c r="D1219" s="198" t="s">
        <v>3733</v>
      </c>
      <c r="E1219" s="198" t="s">
        <v>3734</v>
      </c>
    </row>
    <row r="1220" spans="1:5">
      <c r="A1220" s="198">
        <v>500026007</v>
      </c>
      <c r="B1220" s="198">
        <v>690992090.18845105</v>
      </c>
      <c r="D1220" s="198" t="s">
        <v>3735</v>
      </c>
      <c r="E1220" s="198" t="s">
        <v>3736</v>
      </c>
    </row>
    <row r="1221" spans="1:5">
      <c r="A1221" s="198">
        <v>500162787</v>
      </c>
      <c r="B1221" s="198">
        <v>691128870.18991899</v>
      </c>
      <c r="D1221" s="198" t="s">
        <v>3737</v>
      </c>
      <c r="E1221" s="198" t="s">
        <v>3738</v>
      </c>
    </row>
    <row r="1222" spans="1:5">
      <c r="A1222" s="198">
        <v>500173597</v>
      </c>
      <c r="B1222" s="198">
        <v>691139680.19004798</v>
      </c>
      <c r="D1222" s="198" t="s">
        <v>3739</v>
      </c>
      <c r="E1222" s="198" t="s">
        <v>3740</v>
      </c>
    </row>
    <row r="1223" spans="1:5">
      <c r="A1223" s="198">
        <v>500403986</v>
      </c>
      <c r="B1223" s="198">
        <v>691370069.19256699</v>
      </c>
      <c r="D1223" s="198" t="s">
        <v>3741</v>
      </c>
      <c r="E1223" s="198" t="s">
        <v>3742</v>
      </c>
    </row>
    <row r="1224" spans="1:5">
      <c r="A1224" s="198">
        <v>500573158</v>
      </c>
      <c r="B1224" s="198">
        <v>691539241.19440198</v>
      </c>
      <c r="D1224" s="198" t="s">
        <v>3743</v>
      </c>
      <c r="E1224" s="198" t="s">
        <v>3744</v>
      </c>
    </row>
    <row r="1225" spans="1:5">
      <c r="A1225" s="198">
        <v>500767527</v>
      </c>
      <c r="B1225" s="198">
        <v>691733610.19651794</v>
      </c>
      <c r="D1225" s="198" t="s">
        <v>3745</v>
      </c>
      <c r="E1225" s="198" t="s">
        <v>3746</v>
      </c>
    </row>
    <row r="1226" spans="1:5">
      <c r="A1226" s="198">
        <v>500853916</v>
      </c>
      <c r="B1226" s="198">
        <v>691819999.19745505</v>
      </c>
      <c r="D1226" s="198" t="s">
        <v>3747</v>
      </c>
      <c r="E1226" s="198" t="s">
        <v>3748</v>
      </c>
    </row>
    <row r="1227" spans="1:5">
      <c r="A1227" s="198">
        <v>500915119</v>
      </c>
      <c r="B1227" s="198">
        <v>691881202.19811296</v>
      </c>
      <c r="D1227" s="198" t="s">
        <v>3749</v>
      </c>
      <c r="E1227" s="198" t="s">
        <v>3750</v>
      </c>
    </row>
    <row r="1228" spans="1:5">
      <c r="A1228" s="198">
        <v>501005110</v>
      </c>
      <c r="B1228" s="198">
        <v>691971193.19910598</v>
      </c>
      <c r="D1228" s="198" t="s">
        <v>3751</v>
      </c>
      <c r="E1228" s="198" t="s">
        <v>3752</v>
      </c>
    </row>
    <row r="1229" spans="1:5">
      <c r="A1229" s="198">
        <v>501087897</v>
      </c>
      <c r="B1229" s="198">
        <v>692053980.20000196</v>
      </c>
      <c r="D1229" s="198" t="s">
        <v>3753</v>
      </c>
      <c r="E1229" s="198" t="s">
        <v>3754</v>
      </c>
    </row>
    <row r="1230" spans="1:5">
      <c r="A1230" s="198">
        <v>501285879</v>
      </c>
      <c r="B1230" s="198">
        <v>692251962.20215094</v>
      </c>
      <c r="D1230" s="198" t="s">
        <v>3755</v>
      </c>
      <c r="E1230" s="198" t="s">
        <v>3756</v>
      </c>
    </row>
    <row r="1231" spans="1:5">
      <c r="A1231" s="198">
        <v>501293086</v>
      </c>
      <c r="B1231" s="198">
        <v>692259169.20223796</v>
      </c>
      <c r="D1231" s="198" t="s">
        <v>3757</v>
      </c>
      <c r="E1231" s="198" t="s">
        <v>3758</v>
      </c>
    </row>
    <row r="1232" spans="1:5">
      <c r="A1232" s="198">
        <v>501437079</v>
      </c>
      <c r="B1232" s="198">
        <v>692403162.20378494</v>
      </c>
      <c r="D1232" s="198" t="s">
        <v>3759</v>
      </c>
      <c r="E1232" s="198" t="s">
        <v>3760</v>
      </c>
    </row>
    <row r="1233" spans="1:5">
      <c r="A1233" s="198">
        <v>501545054</v>
      </c>
      <c r="B1233" s="198">
        <v>692511137.20495296</v>
      </c>
      <c r="D1233" s="198" t="s">
        <v>3761</v>
      </c>
      <c r="E1233" s="198" t="s">
        <v>3762</v>
      </c>
    </row>
    <row r="1234" spans="1:5">
      <c r="A1234" s="198">
        <v>501631450</v>
      </c>
      <c r="B1234" s="198">
        <v>692597533.20589697</v>
      </c>
      <c r="D1234" s="198" t="s">
        <v>3763</v>
      </c>
      <c r="E1234" s="198" t="s">
        <v>3764</v>
      </c>
    </row>
    <row r="1235" spans="1:5">
      <c r="A1235" s="198">
        <v>501635052</v>
      </c>
      <c r="B1235" s="198">
        <v>692601135.20594203</v>
      </c>
      <c r="D1235" s="198" t="s">
        <v>3765</v>
      </c>
      <c r="E1235" s="198" t="s">
        <v>3766</v>
      </c>
    </row>
    <row r="1236" spans="1:5">
      <c r="A1236" s="198">
        <v>501782652</v>
      </c>
      <c r="B1236" s="198">
        <v>692748735.20753801</v>
      </c>
      <c r="D1236" s="198" t="s">
        <v>3767</v>
      </c>
      <c r="E1236" s="198" t="s">
        <v>3768</v>
      </c>
    </row>
    <row r="1237" spans="1:5">
      <c r="A1237" s="198">
        <v>502038233</v>
      </c>
      <c r="B1237" s="198">
        <v>693004316.21031106</v>
      </c>
      <c r="D1237" s="198" t="s">
        <v>3769</v>
      </c>
      <c r="E1237" s="198" t="s">
        <v>3770</v>
      </c>
    </row>
    <row r="1238" spans="1:5">
      <c r="A1238" s="198">
        <v>502095806</v>
      </c>
      <c r="B1238" s="198">
        <v>693061889.210953</v>
      </c>
      <c r="D1238" s="198" t="s">
        <v>3771</v>
      </c>
      <c r="E1238" s="198" t="s">
        <v>3772</v>
      </c>
    </row>
    <row r="1239" spans="1:5">
      <c r="A1239" s="198">
        <v>502211013</v>
      </c>
      <c r="B1239" s="198">
        <v>693177096.21217895</v>
      </c>
      <c r="D1239" s="198" t="s">
        <v>3773</v>
      </c>
      <c r="E1239" s="198" t="s">
        <v>3774</v>
      </c>
    </row>
    <row r="1240" spans="1:5">
      <c r="A1240" s="198">
        <v>502383809</v>
      </c>
      <c r="B1240" s="198">
        <v>693349892.21406996</v>
      </c>
      <c r="D1240" s="198" t="s">
        <v>3775</v>
      </c>
      <c r="E1240" s="198" t="s">
        <v>3776</v>
      </c>
    </row>
    <row r="1241" spans="1:5">
      <c r="A1241" s="198">
        <v>502495376</v>
      </c>
      <c r="B1241" s="198">
        <v>693461459.21527398</v>
      </c>
      <c r="D1241" s="198" t="s">
        <v>3777</v>
      </c>
      <c r="E1241" s="198" t="s">
        <v>3778</v>
      </c>
    </row>
    <row r="1242" spans="1:5">
      <c r="A1242" s="198">
        <v>502498981</v>
      </c>
      <c r="B1242" s="198">
        <v>693465064.215307</v>
      </c>
      <c r="D1242" s="198" t="s">
        <v>3779</v>
      </c>
      <c r="E1242" s="198" t="s">
        <v>3780</v>
      </c>
    </row>
    <row r="1243" spans="1:5">
      <c r="A1243" s="198">
        <v>502754553</v>
      </c>
      <c r="B1243" s="198">
        <v>693720636.21804297</v>
      </c>
      <c r="D1243" s="198" t="s">
        <v>3781</v>
      </c>
      <c r="E1243" s="198" t="s">
        <v>3782</v>
      </c>
    </row>
    <row r="1244" spans="1:5">
      <c r="A1244" s="198">
        <v>502776125</v>
      </c>
      <c r="B1244" s="198">
        <v>693742208.21830499</v>
      </c>
      <c r="D1244" s="198" t="s">
        <v>3783</v>
      </c>
      <c r="E1244" s="198" t="s">
        <v>3784</v>
      </c>
    </row>
    <row r="1245" spans="1:5">
      <c r="A1245" s="198">
        <v>502927482</v>
      </c>
      <c r="B1245" s="198">
        <v>693893565.21995294</v>
      </c>
      <c r="D1245" s="198" t="s">
        <v>3785</v>
      </c>
      <c r="E1245" s="198" t="s">
        <v>3786</v>
      </c>
    </row>
    <row r="1246" spans="1:5">
      <c r="A1246" s="198">
        <v>502988564</v>
      </c>
      <c r="B1246" s="198">
        <v>693954647.22062099</v>
      </c>
      <c r="D1246" s="198" t="s">
        <v>3787</v>
      </c>
      <c r="E1246" s="198" t="s">
        <v>3788</v>
      </c>
    </row>
    <row r="1247" spans="1:5">
      <c r="A1247" s="198">
        <v>503074957</v>
      </c>
      <c r="B1247" s="198">
        <v>694041040.22155905</v>
      </c>
      <c r="D1247" s="198" t="s">
        <v>3789</v>
      </c>
      <c r="E1247" s="198" t="s">
        <v>3790</v>
      </c>
    </row>
    <row r="1248" spans="1:5">
      <c r="A1248" s="198">
        <v>503330522</v>
      </c>
      <c r="B1248" s="198">
        <v>694296605.22431302</v>
      </c>
      <c r="D1248" s="198" t="s">
        <v>3791</v>
      </c>
      <c r="E1248" s="198" t="s">
        <v>3792</v>
      </c>
    </row>
    <row r="1249" spans="1:5">
      <c r="A1249" s="198">
        <v>503445701</v>
      </c>
      <c r="B1249" s="198">
        <v>694411784.22553396</v>
      </c>
      <c r="D1249" s="198" t="s">
        <v>3793</v>
      </c>
      <c r="E1249" s="198" t="s">
        <v>3794</v>
      </c>
    </row>
    <row r="1250" spans="1:5">
      <c r="A1250" s="198">
        <v>503503312</v>
      </c>
      <c r="B1250" s="198">
        <v>694469395.22618997</v>
      </c>
      <c r="D1250" s="198" t="s">
        <v>3795</v>
      </c>
      <c r="E1250" s="198" t="s">
        <v>3796</v>
      </c>
    </row>
    <row r="1251" spans="1:5">
      <c r="A1251" s="198">
        <v>503647303</v>
      </c>
      <c r="B1251" s="198">
        <v>694613386.22776198</v>
      </c>
      <c r="D1251" s="198" t="s">
        <v>3797</v>
      </c>
      <c r="E1251" s="198" t="s">
        <v>3798</v>
      </c>
    </row>
    <row r="1252" spans="1:5">
      <c r="A1252" s="198">
        <v>503791288</v>
      </c>
      <c r="B1252" s="198">
        <v>694757371.22928703</v>
      </c>
      <c r="D1252" s="198" t="s">
        <v>3799</v>
      </c>
      <c r="E1252" s="198" t="s">
        <v>3800</v>
      </c>
    </row>
    <row r="1253" spans="1:5">
      <c r="A1253" s="198">
        <v>503935313</v>
      </c>
      <c r="B1253" s="198">
        <v>694901396.23088002</v>
      </c>
      <c r="D1253" s="198" t="s">
        <v>3801</v>
      </c>
      <c r="E1253" s="198" t="s">
        <v>3802</v>
      </c>
    </row>
    <row r="1254" spans="1:5">
      <c r="A1254" s="198">
        <v>504021706</v>
      </c>
      <c r="B1254" s="198">
        <v>694987789.23179901</v>
      </c>
      <c r="D1254" s="198" t="s">
        <v>3803</v>
      </c>
      <c r="E1254" s="198" t="s">
        <v>3804</v>
      </c>
    </row>
    <row r="1255" spans="1:5">
      <c r="A1255" s="198">
        <v>504072062</v>
      </c>
      <c r="B1255" s="198">
        <v>695038145.23233402</v>
      </c>
      <c r="D1255" s="198" t="s">
        <v>3805</v>
      </c>
      <c r="E1255" s="198" t="s">
        <v>3806</v>
      </c>
    </row>
    <row r="1256" spans="1:5">
      <c r="A1256" s="198">
        <v>504306067</v>
      </c>
      <c r="B1256" s="198">
        <v>695272150.234815</v>
      </c>
      <c r="D1256" s="198" t="s">
        <v>3807</v>
      </c>
      <c r="E1256" s="198" t="s">
        <v>3808</v>
      </c>
    </row>
    <row r="1257" spans="1:5">
      <c r="A1257" s="198">
        <v>504482458</v>
      </c>
      <c r="B1257" s="198">
        <v>695448541.23672605</v>
      </c>
      <c r="D1257" s="198" t="s">
        <v>3809</v>
      </c>
      <c r="E1257" s="198" t="s">
        <v>3810</v>
      </c>
    </row>
    <row r="1258" spans="1:5">
      <c r="A1258" s="198">
        <v>504568854</v>
      </c>
      <c r="B1258" s="198">
        <v>695534937.23765194</v>
      </c>
      <c r="D1258" s="198" t="s">
        <v>3811</v>
      </c>
      <c r="E1258" s="198" t="s">
        <v>3812</v>
      </c>
    </row>
    <row r="1259" spans="1:5">
      <c r="A1259" s="198">
        <v>504655251</v>
      </c>
      <c r="B1259" s="198">
        <v>695621334.238585</v>
      </c>
      <c r="D1259" s="198" t="s">
        <v>3813</v>
      </c>
      <c r="E1259" s="198" t="s">
        <v>3814</v>
      </c>
    </row>
    <row r="1260" spans="1:5">
      <c r="A1260" s="198">
        <v>504676852</v>
      </c>
      <c r="B1260" s="198">
        <v>695642935.23886597</v>
      </c>
      <c r="D1260" s="198" t="s">
        <v>3815</v>
      </c>
      <c r="E1260" s="198" t="s">
        <v>3816</v>
      </c>
    </row>
    <row r="1261" spans="1:5">
      <c r="A1261" s="198">
        <v>505083643</v>
      </c>
      <c r="B1261" s="198">
        <v>696049726.24320996</v>
      </c>
      <c r="D1261" s="198" t="s">
        <v>3817</v>
      </c>
      <c r="E1261" s="198" t="s">
        <v>3818</v>
      </c>
    </row>
    <row r="1262" spans="1:5">
      <c r="A1262" s="198">
        <v>505173638</v>
      </c>
      <c r="B1262" s="198">
        <v>696139721.24417806</v>
      </c>
      <c r="D1262" s="198" t="s">
        <v>3819</v>
      </c>
      <c r="E1262" s="198" t="s">
        <v>3820</v>
      </c>
    </row>
    <row r="1263" spans="1:5">
      <c r="A1263" s="198">
        <v>505198861</v>
      </c>
      <c r="B1263" s="198">
        <v>696164944.24448705</v>
      </c>
      <c r="D1263" s="198" t="s">
        <v>3821</v>
      </c>
      <c r="E1263" s="198" t="s">
        <v>3822</v>
      </c>
    </row>
    <row r="1264" spans="1:5">
      <c r="A1264" s="198">
        <v>505281626</v>
      </c>
      <c r="B1264" s="198">
        <v>696247709.24538398</v>
      </c>
      <c r="D1264" s="198" t="s">
        <v>3823</v>
      </c>
      <c r="E1264" s="198" t="s">
        <v>3824</v>
      </c>
    </row>
    <row r="1265" spans="1:5">
      <c r="A1265" s="198">
        <v>505396837</v>
      </c>
      <c r="B1265" s="198">
        <v>696362920.24662304</v>
      </c>
      <c r="D1265" s="198" t="s">
        <v>3825</v>
      </c>
      <c r="E1265" s="198" t="s">
        <v>3826</v>
      </c>
    </row>
    <row r="1266" spans="1:5">
      <c r="A1266" s="198">
        <v>505476028</v>
      </c>
      <c r="B1266" s="198">
        <v>696442111.24745905</v>
      </c>
      <c r="D1266" s="198" t="s">
        <v>3827</v>
      </c>
      <c r="E1266" s="198" t="s">
        <v>3828</v>
      </c>
    </row>
    <row r="1267" spans="1:5">
      <c r="A1267" s="198">
        <v>505627231</v>
      </c>
      <c r="B1267" s="198">
        <v>696593314.24911201</v>
      </c>
      <c r="D1267" s="198" t="s">
        <v>3829</v>
      </c>
      <c r="E1267" s="198" t="s">
        <v>3830</v>
      </c>
    </row>
    <row r="1268" spans="1:5">
      <c r="A1268" s="198">
        <v>505746066</v>
      </c>
      <c r="B1268" s="198">
        <v>696712149.25040305</v>
      </c>
      <c r="D1268" s="198" t="s">
        <v>3831</v>
      </c>
      <c r="E1268" s="198" t="s">
        <v>3832</v>
      </c>
    </row>
    <row r="1269" spans="1:5">
      <c r="A1269" s="198">
        <v>505828847</v>
      </c>
      <c r="B1269" s="198">
        <v>696794930.251284</v>
      </c>
      <c r="D1269" s="198" t="s">
        <v>3833</v>
      </c>
      <c r="E1269" s="198" t="s">
        <v>3834</v>
      </c>
    </row>
    <row r="1270" spans="1:5">
      <c r="A1270" s="198">
        <v>505915261</v>
      </c>
      <c r="B1270" s="198">
        <v>696881344.25221598</v>
      </c>
      <c r="D1270" s="198" t="s">
        <v>3835</v>
      </c>
      <c r="E1270" s="198" t="s">
        <v>3836</v>
      </c>
    </row>
    <row r="1271" spans="1:5">
      <c r="A1271" s="198">
        <v>506037627</v>
      </c>
      <c r="B1271" s="198">
        <v>697003710.25352502</v>
      </c>
      <c r="D1271" s="198" t="s">
        <v>3837</v>
      </c>
      <c r="E1271" s="198" t="s">
        <v>3838</v>
      </c>
    </row>
    <row r="1272" spans="1:5">
      <c r="A1272" s="198">
        <v>506048411</v>
      </c>
      <c r="B1272" s="198">
        <v>697014494.25366199</v>
      </c>
      <c r="D1272" s="198" t="s">
        <v>3839</v>
      </c>
      <c r="E1272" s="198" t="s">
        <v>3840</v>
      </c>
    </row>
    <row r="1273" spans="1:5">
      <c r="A1273" s="198">
        <v>506296832</v>
      </c>
      <c r="B1273" s="198">
        <v>697262915.25633502</v>
      </c>
      <c r="D1273" s="198" t="s">
        <v>3841</v>
      </c>
      <c r="E1273" s="198" t="s">
        <v>3842</v>
      </c>
    </row>
    <row r="1274" spans="1:5">
      <c r="A1274" s="198">
        <v>506376050</v>
      </c>
      <c r="B1274" s="198">
        <v>697342133.257218</v>
      </c>
      <c r="D1274" s="198" t="s">
        <v>3843</v>
      </c>
      <c r="E1274" s="198" t="s">
        <v>3844</v>
      </c>
    </row>
    <row r="1275" spans="1:5">
      <c r="A1275" s="198">
        <v>506469631</v>
      </c>
      <c r="B1275" s="198">
        <v>697435714.25819898</v>
      </c>
      <c r="D1275" s="198" t="s">
        <v>3845</v>
      </c>
      <c r="E1275" s="198" t="s">
        <v>3846</v>
      </c>
    </row>
    <row r="1276" spans="1:5">
      <c r="A1276" s="198">
        <v>506545236</v>
      </c>
      <c r="B1276" s="198">
        <v>697511319.25901198</v>
      </c>
      <c r="D1276" s="198" t="s">
        <v>3847</v>
      </c>
      <c r="E1276" s="198" t="s">
        <v>3848</v>
      </c>
    </row>
    <row r="1277" spans="1:5">
      <c r="A1277" s="198">
        <v>506635263</v>
      </c>
      <c r="B1277" s="198">
        <v>697601346.26002002</v>
      </c>
      <c r="D1277" s="198" t="s">
        <v>3849</v>
      </c>
      <c r="E1277" s="198" t="s">
        <v>3850</v>
      </c>
    </row>
    <row r="1278" spans="1:5">
      <c r="A1278" s="198">
        <v>506730029</v>
      </c>
      <c r="B1278" s="198">
        <v>697696112.26103306</v>
      </c>
      <c r="D1278" s="198" t="s">
        <v>3851</v>
      </c>
      <c r="E1278" s="198" t="s">
        <v>3852</v>
      </c>
    </row>
    <row r="1279" spans="1:5">
      <c r="A1279" s="198">
        <v>506739612</v>
      </c>
      <c r="B1279" s="198">
        <v>697705695.26114297</v>
      </c>
      <c r="D1279" s="198" t="s">
        <v>3853</v>
      </c>
      <c r="E1279" s="198" t="s">
        <v>3854</v>
      </c>
    </row>
    <row r="1280" spans="1:5">
      <c r="A1280" s="198">
        <v>506826048</v>
      </c>
      <c r="B1280" s="198">
        <v>697792131.26207995</v>
      </c>
      <c r="D1280" s="198" t="s">
        <v>3855</v>
      </c>
      <c r="E1280" s="198" t="s">
        <v>3856</v>
      </c>
    </row>
    <row r="1281" spans="1:5">
      <c r="A1281" s="198">
        <v>506988064</v>
      </c>
      <c r="B1281" s="198">
        <v>697954147.26383305</v>
      </c>
      <c r="D1281" s="198" t="s">
        <v>3857</v>
      </c>
      <c r="E1281" s="198" t="s">
        <v>3858</v>
      </c>
    </row>
    <row r="1282" spans="1:5">
      <c r="A1282" s="198">
        <v>507074433</v>
      </c>
      <c r="B1282" s="198">
        <v>698040516.26476097</v>
      </c>
      <c r="D1282" s="198" t="s">
        <v>3859</v>
      </c>
      <c r="E1282" s="198" t="s">
        <v>3860</v>
      </c>
    </row>
    <row r="1283" spans="1:5">
      <c r="A1283" s="198">
        <v>507135635</v>
      </c>
      <c r="B1283" s="198">
        <v>698101718.26542795</v>
      </c>
      <c r="D1283" s="198" t="s">
        <v>3861</v>
      </c>
      <c r="E1283" s="198" t="s">
        <v>3862</v>
      </c>
    </row>
    <row r="1284" spans="1:5">
      <c r="A1284" s="198">
        <v>507283234</v>
      </c>
      <c r="B1284" s="198">
        <v>698249317.26753998</v>
      </c>
      <c r="D1284" s="198" t="s">
        <v>3863</v>
      </c>
      <c r="E1284" s="198" t="s">
        <v>3864</v>
      </c>
    </row>
    <row r="1285" spans="1:5">
      <c r="A1285" s="198">
        <v>507420039</v>
      </c>
      <c r="B1285" s="198">
        <v>698386122.26902997</v>
      </c>
      <c r="D1285" s="198" t="s">
        <v>3865</v>
      </c>
      <c r="E1285" s="198" t="s">
        <v>3866</v>
      </c>
    </row>
    <row r="1286" spans="1:5">
      <c r="A1286" s="198">
        <v>507502842</v>
      </c>
      <c r="B1286" s="198">
        <v>698468925.26992202</v>
      </c>
      <c r="D1286" s="198" t="s">
        <v>3867</v>
      </c>
      <c r="E1286" s="198" t="s">
        <v>3868</v>
      </c>
    </row>
    <row r="1287" spans="1:5">
      <c r="A1287" s="198">
        <v>507592841</v>
      </c>
      <c r="B1287" s="198">
        <v>698558924.27091396</v>
      </c>
      <c r="D1287" s="198" t="s">
        <v>3869</v>
      </c>
      <c r="E1287" s="198" t="s">
        <v>3870</v>
      </c>
    </row>
    <row r="1288" spans="1:5">
      <c r="A1288" s="198">
        <v>507679246</v>
      </c>
      <c r="B1288" s="198">
        <v>698645329.27186704</v>
      </c>
      <c r="D1288" s="198" t="s">
        <v>3871</v>
      </c>
      <c r="E1288" s="198" t="s">
        <v>3872</v>
      </c>
    </row>
    <row r="1289" spans="1:5">
      <c r="A1289" s="198">
        <v>507722457</v>
      </c>
      <c r="B1289" s="198">
        <v>698688540.27233803</v>
      </c>
      <c r="D1289" s="198" t="s">
        <v>3873</v>
      </c>
      <c r="E1289" s="198" t="s">
        <v>3874</v>
      </c>
    </row>
    <row r="1290" spans="1:5">
      <c r="A1290" s="198">
        <v>507826843</v>
      </c>
      <c r="B1290" s="198">
        <v>698792926.27346694</v>
      </c>
      <c r="D1290" s="198" t="s">
        <v>3875</v>
      </c>
      <c r="E1290" s="198" t="s">
        <v>3876</v>
      </c>
    </row>
    <row r="1291" spans="1:5">
      <c r="A1291" s="198">
        <v>507895251</v>
      </c>
      <c r="B1291" s="198">
        <v>698861334.27423</v>
      </c>
      <c r="D1291" s="198" t="s">
        <v>3877</v>
      </c>
      <c r="E1291" s="198" t="s">
        <v>3878</v>
      </c>
    </row>
    <row r="1292" spans="1:5">
      <c r="A1292" s="198">
        <v>507956478</v>
      </c>
      <c r="B1292" s="198">
        <v>698922561.27491605</v>
      </c>
      <c r="D1292" s="198" t="s">
        <v>3879</v>
      </c>
      <c r="E1292" s="198" t="s">
        <v>3880</v>
      </c>
    </row>
    <row r="1293" spans="1:5">
      <c r="A1293" s="198">
        <v>508197656</v>
      </c>
      <c r="B1293" s="198">
        <v>699163739.27752995</v>
      </c>
      <c r="D1293" s="198" t="s">
        <v>3881</v>
      </c>
      <c r="E1293" s="198" t="s">
        <v>3882</v>
      </c>
    </row>
    <row r="1294" spans="1:5">
      <c r="A1294" s="198">
        <v>508266074</v>
      </c>
      <c r="B1294" s="198">
        <v>699232157.27829504</v>
      </c>
      <c r="D1294" s="198" t="s">
        <v>3883</v>
      </c>
      <c r="E1294" s="198" t="s">
        <v>3884</v>
      </c>
    </row>
    <row r="1295" spans="1:5">
      <c r="A1295" s="198">
        <v>508320056</v>
      </c>
      <c r="B1295" s="198">
        <v>699286139.27887106</v>
      </c>
      <c r="D1295" s="198" t="s">
        <v>3885</v>
      </c>
      <c r="E1295" s="198" t="s">
        <v>3886</v>
      </c>
    </row>
    <row r="1296" spans="1:5">
      <c r="A1296" s="198">
        <v>508413679</v>
      </c>
      <c r="B1296" s="198">
        <v>699379762.27991104</v>
      </c>
      <c r="D1296" s="198" t="s">
        <v>3887</v>
      </c>
      <c r="E1296" s="198" t="s">
        <v>3888</v>
      </c>
    </row>
    <row r="1297" spans="1:5">
      <c r="A1297" s="198">
        <v>508503694</v>
      </c>
      <c r="B1297" s="198">
        <v>699469777.2809</v>
      </c>
      <c r="D1297" s="198" t="s">
        <v>3889</v>
      </c>
      <c r="E1297" s="198" t="s">
        <v>3890</v>
      </c>
    </row>
    <row r="1298" spans="1:5">
      <c r="A1298" s="198">
        <v>508701694</v>
      </c>
      <c r="B1298" s="198">
        <v>699667777.28307498</v>
      </c>
      <c r="D1298" s="198" t="s">
        <v>3891</v>
      </c>
      <c r="E1298" s="198" t="s">
        <v>3892</v>
      </c>
    </row>
    <row r="1299" spans="1:5">
      <c r="A1299" s="198">
        <v>508802480</v>
      </c>
      <c r="B1299" s="198">
        <v>699768563.28417397</v>
      </c>
      <c r="D1299" s="198" t="s">
        <v>3893</v>
      </c>
      <c r="E1299" s="198" t="s">
        <v>3894</v>
      </c>
    </row>
    <row r="1300" spans="1:5">
      <c r="A1300" s="198">
        <v>508863680</v>
      </c>
      <c r="B1300" s="198">
        <v>699829763.284832</v>
      </c>
      <c r="D1300" s="198" t="s">
        <v>3895</v>
      </c>
      <c r="E1300" s="198" t="s">
        <v>3896</v>
      </c>
    </row>
    <row r="1301" spans="1:5">
      <c r="A1301" s="198">
        <v>508960899</v>
      </c>
      <c r="B1301" s="198">
        <v>699926982.28591597</v>
      </c>
      <c r="D1301" s="198" t="s">
        <v>3897</v>
      </c>
      <c r="E1301" s="198" t="s">
        <v>3898</v>
      </c>
    </row>
    <row r="1302" spans="1:5">
      <c r="A1302" s="198">
        <v>509047438</v>
      </c>
      <c r="B1302" s="198">
        <v>700013521.28687704</v>
      </c>
      <c r="D1302" s="198" t="s">
        <v>3899</v>
      </c>
      <c r="E1302" s="198" t="s">
        <v>3900</v>
      </c>
    </row>
    <row r="1303" spans="1:5">
      <c r="A1303" s="198">
        <v>509101291</v>
      </c>
      <c r="B1303" s="198">
        <v>700067374.28746402</v>
      </c>
      <c r="D1303" s="198" t="s">
        <v>3901</v>
      </c>
      <c r="E1303" s="198" t="s">
        <v>3902</v>
      </c>
    </row>
    <row r="1304" spans="1:5">
      <c r="A1304" s="198">
        <v>509320900</v>
      </c>
      <c r="B1304" s="198">
        <v>700286983.28986394</v>
      </c>
      <c r="D1304" s="198" t="s">
        <v>3903</v>
      </c>
      <c r="E1304" s="198" t="s">
        <v>3904</v>
      </c>
    </row>
    <row r="1305" spans="1:5">
      <c r="A1305" s="198">
        <v>509331690</v>
      </c>
      <c r="B1305" s="198">
        <v>700297773.290012</v>
      </c>
      <c r="D1305" s="198" t="s">
        <v>3905</v>
      </c>
      <c r="E1305" s="198" t="s">
        <v>3906</v>
      </c>
    </row>
    <row r="1306" spans="1:5">
      <c r="A1306" s="198">
        <v>509565704</v>
      </c>
      <c r="B1306" s="198">
        <v>700531787.29254794</v>
      </c>
      <c r="D1306" s="198" t="s">
        <v>3907</v>
      </c>
      <c r="E1306" s="198" t="s">
        <v>3908</v>
      </c>
    </row>
    <row r="1307" spans="1:5">
      <c r="A1307" s="198">
        <v>509641313</v>
      </c>
      <c r="B1307" s="198">
        <v>700607396.29339802</v>
      </c>
      <c r="D1307" s="198" t="s">
        <v>3909</v>
      </c>
      <c r="E1307" s="198" t="s">
        <v>3910</v>
      </c>
    </row>
    <row r="1308" spans="1:5">
      <c r="A1308" s="198">
        <v>509706122</v>
      </c>
      <c r="B1308" s="198">
        <v>700672205.29413402</v>
      </c>
      <c r="D1308" s="198" t="s">
        <v>3911</v>
      </c>
      <c r="E1308" s="198" t="s">
        <v>3912</v>
      </c>
    </row>
    <row r="1309" spans="1:5">
      <c r="A1309" s="198">
        <v>509806914</v>
      </c>
      <c r="B1309" s="198">
        <v>700772997.29523098</v>
      </c>
      <c r="D1309" s="198" t="s">
        <v>3913</v>
      </c>
      <c r="E1309" s="198" t="s">
        <v>3914</v>
      </c>
    </row>
    <row r="1310" spans="1:5">
      <c r="A1310" s="198">
        <v>509911325</v>
      </c>
      <c r="B1310" s="198">
        <v>700877408.29637802</v>
      </c>
      <c r="D1310" s="198" t="s">
        <v>3915</v>
      </c>
      <c r="E1310" s="198" t="s">
        <v>3916</v>
      </c>
    </row>
    <row r="1311" spans="1:5">
      <c r="A1311" s="198">
        <v>510012131</v>
      </c>
      <c r="B1311" s="198">
        <v>700978214.29751301</v>
      </c>
      <c r="D1311" s="198" t="s">
        <v>3917</v>
      </c>
      <c r="E1311" s="198" t="s">
        <v>3918</v>
      </c>
    </row>
    <row r="1312" spans="1:5">
      <c r="A1312" s="198">
        <v>510080563</v>
      </c>
      <c r="B1312" s="198">
        <v>701046646.29826796</v>
      </c>
      <c r="D1312" s="198" t="s">
        <v>3919</v>
      </c>
      <c r="E1312" s="198" t="s">
        <v>3920</v>
      </c>
    </row>
    <row r="1313" spans="1:5">
      <c r="A1313" s="198">
        <v>510134541</v>
      </c>
      <c r="B1313" s="198">
        <v>701100624.29885697</v>
      </c>
      <c r="D1313" s="198" t="s">
        <v>3921</v>
      </c>
      <c r="E1313" s="198" t="s">
        <v>3922</v>
      </c>
    </row>
    <row r="1314" spans="1:5">
      <c r="A1314" s="198">
        <v>510264143</v>
      </c>
      <c r="B1314" s="198">
        <v>701230226.30028701</v>
      </c>
      <c r="D1314" s="198" t="s">
        <v>3923</v>
      </c>
      <c r="E1314" s="198" t="s">
        <v>3924</v>
      </c>
    </row>
    <row r="1315" spans="1:5">
      <c r="A1315" s="198">
        <v>510307346</v>
      </c>
      <c r="B1315" s="198">
        <v>701273429.30076396</v>
      </c>
      <c r="D1315" s="198" t="s">
        <v>3925</v>
      </c>
      <c r="E1315" s="198" t="s">
        <v>3926</v>
      </c>
    </row>
    <row r="1316" spans="1:5">
      <c r="A1316" s="198">
        <v>510382939</v>
      </c>
      <c r="B1316" s="198">
        <v>701349022.30158305</v>
      </c>
      <c r="D1316" s="198" t="s">
        <v>3927</v>
      </c>
      <c r="E1316" s="198" t="s">
        <v>3928</v>
      </c>
    </row>
    <row r="1317" spans="1:5">
      <c r="A1317" s="198">
        <v>510595378</v>
      </c>
      <c r="B1317" s="198">
        <v>701561461.30397797</v>
      </c>
      <c r="D1317" s="198" t="s">
        <v>3929</v>
      </c>
      <c r="E1317" s="198" t="s">
        <v>3930</v>
      </c>
    </row>
    <row r="1318" spans="1:5">
      <c r="A1318" s="198">
        <v>510703365</v>
      </c>
      <c r="B1318" s="198">
        <v>701669448.30517304</v>
      </c>
      <c r="D1318" s="198" t="s">
        <v>3931</v>
      </c>
      <c r="E1318" s="198" t="s">
        <v>3932</v>
      </c>
    </row>
    <row r="1319" spans="1:5">
      <c r="A1319" s="198">
        <v>510764573</v>
      </c>
      <c r="B1319" s="198">
        <v>701730656.30583704</v>
      </c>
      <c r="D1319" s="198" t="s">
        <v>3933</v>
      </c>
      <c r="E1319" s="198" t="s">
        <v>3934</v>
      </c>
    </row>
    <row r="1320" spans="1:5">
      <c r="A1320" s="198">
        <v>510814966</v>
      </c>
      <c r="B1320" s="198">
        <v>701781049.30638504</v>
      </c>
      <c r="D1320" s="198" t="s">
        <v>3935</v>
      </c>
      <c r="E1320" s="198" t="s">
        <v>3936</v>
      </c>
    </row>
    <row r="1321" spans="1:5">
      <c r="A1321" s="198">
        <v>510955377</v>
      </c>
      <c r="B1321" s="198">
        <v>701921460.30795705</v>
      </c>
      <c r="D1321" s="198" t="s">
        <v>3937</v>
      </c>
      <c r="E1321" s="198" t="s">
        <v>3938</v>
      </c>
    </row>
    <row r="1322" spans="1:5">
      <c r="A1322" s="198">
        <v>510984170</v>
      </c>
      <c r="B1322" s="198">
        <v>701950253.30825603</v>
      </c>
      <c r="D1322" s="198" t="s">
        <v>3939</v>
      </c>
      <c r="E1322" s="198" t="s">
        <v>3940</v>
      </c>
    </row>
    <row r="1323" spans="1:5">
      <c r="A1323" s="198">
        <v>511117383</v>
      </c>
      <c r="B1323" s="198">
        <v>702083466.309726</v>
      </c>
      <c r="D1323" s="198" t="s">
        <v>3941</v>
      </c>
      <c r="E1323" s="198" t="s">
        <v>3942</v>
      </c>
    </row>
    <row r="1324" spans="1:5">
      <c r="A1324" s="198">
        <v>511221795</v>
      </c>
      <c r="B1324" s="198">
        <v>702187878.31092095</v>
      </c>
      <c r="D1324" s="198" t="s">
        <v>3943</v>
      </c>
      <c r="E1324" s="198" t="s">
        <v>3944</v>
      </c>
    </row>
    <row r="1325" spans="1:5">
      <c r="A1325" s="198">
        <v>511286608</v>
      </c>
      <c r="B1325" s="198">
        <v>702252691.31164098</v>
      </c>
      <c r="D1325" s="198" t="s">
        <v>3945</v>
      </c>
      <c r="E1325" s="198" t="s">
        <v>3946</v>
      </c>
    </row>
    <row r="1326" spans="1:5">
      <c r="A1326" s="198">
        <v>511387400</v>
      </c>
      <c r="B1326" s="198">
        <v>702353483.312765</v>
      </c>
      <c r="D1326" s="198" t="s">
        <v>3947</v>
      </c>
      <c r="E1326" s="198" t="s">
        <v>3948</v>
      </c>
    </row>
    <row r="1327" spans="1:5">
      <c r="A1327" s="198">
        <v>511423401</v>
      </c>
      <c r="B1327" s="198">
        <v>702389484.31315303</v>
      </c>
      <c r="D1327" s="198" t="s">
        <v>3949</v>
      </c>
      <c r="E1327" s="198" t="s">
        <v>3950</v>
      </c>
    </row>
    <row r="1328" spans="1:5">
      <c r="A1328" s="198">
        <v>511621415</v>
      </c>
      <c r="B1328" s="198">
        <v>702587498.31536305</v>
      </c>
      <c r="D1328" s="198" t="s">
        <v>3951</v>
      </c>
      <c r="E1328" s="198" t="s">
        <v>3952</v>
      </c>
    </row>
    <row r="1329" spans="1:5">
      <c r="A1329" s="198">
        <v>511707820</v>
      </c>
      <c r="B1329" s="198">
        <v>702673903.31631804</v>
      </c>
      <c r="D1329" s="198" t="s">
        <v>3953</v>
      </c>
      <c r="E1329" s="198" t="s">
        <v>3954</v>
      </c>
    </row>
    <row r="1330" spans="1:5">
      <c r="A1330" s="198">
        <v>511819422</v>
      </c>
      <c r="B1330" s="198">
        <v>702785505.31758106</v>
      </c>
      <c r="D1330" s="198" t="s">
        <v>3955</v>
      </c>
      <c r="E1330" s="198" t="s">
        <v>3956</v>
      </c>
    </row>
    <row r="1331" spans="1:5">
      <c r="A1331" s="198">
        <v>511877022</v>
      </c>
      <c r="B1331" s="198">
        <v>702843105.31821799</v>
      </c>
      <c r="D1331" s="198" t="s">
        <v>3957</v>
      </c>
      <c r="E1331" s="198" t="s">
        <v>3958</v>
      </c>
    </row>
    <row r="1332" spans="1:5">
      <c r="A1332" s="198">
        <v>511992232</v>
      </c>
      <c r="B1332" s="198">
        <v>702958315.31950402</v>
      </c>
      <c r="D1332" s="198" t="s">
        <v>3959</v>
      </c>
      <c r="E1332" s="198" t="s">
        <v>3960</v>
      </c>
    </row>
    <row r="1333" spans="1:5">
      <c r="A1333" s="198">
        <v>512085846</v>
      </c>
      <c r="B1333" s="198">
        <v>703051929.32057095</v>
      </c>
      <c r="D1333" s="198" t="s">
        <v>3961</v>
      </c>
      <c r="E1333" s="198" t="s">
        <v>3962</v>
      </c>
    </row>
    <row r="1334" spans="1:5">
      <c r="A1334" s="198">
        <v>512165042</v>
      </c>
      <c r="B1334" s="198">
        <v>703131125.32145095</v>
      </c>
      <c r="D1334" s="198" t="s">
        <v>3963</v>
      </c>
      <c r="E1334" s="198" t="s">
        <v>3964</v>
      </c>
    </row>
    <row r="1335" spans="1:5">
      <c r="A1335" s="198">
        <v>512193835</v>
      </c>
      <c r="B1335" s="198">
        <v>703159918.32176101</v>
      </c>
      <c r="D1335" s="198" t="s">
        <v>3965</v>
      </c>
      <c r="E1335" s="198" t="s">
        <v>3966</v>
      </c>
    </row>
    <row r="1336" spans="1:5">
      <c r="A1336" s="198">
        <v>512345061</v>
      </c>
      <c r="B1336" s="198">
        <v>703311144.32346499</v>
      </c>
      <c r="D1336" s="198" t="s">
        <v>3967</v>
      </c>
      <c r="E1336" s="198" t="s">
        <v>3968</v>
      </c>
    </row>
    <row r="1337" spans="1:5">
      <c r="A1337" s="198">
        <v>512406276</v>
      </c>
      <c r="B1337" s="198">
        <v>703372359.32414603</v>
      </c>
      <c r="D1337" s="198" t="s">
        <v>3969</v>
      </c>
      <c r="E1337" s="198" t="s">
        <v>3970</v>
      </c>
    </row>
    <row r="1338" spans="1:5">
      <c r="A1338" s="198">
        <v>512489062</v>
      </c>
      <c r="B1338" s="198">
        <v>703455145.32506895</v>
      </c>
      <c r="D1338" s="198" t="s">
        <v>3971</v>
      </c>
      <c r="E1338" s="198" t="s">
        <v>3972</v>
      </c>
    </row>
    <row r="1339" spans="1:5">
      <c r="A1339" s="198">
        <v>512597064</v>
      </c>
      <c r="B1339" s="198">
        <v>703563147.32629204</v>
      </c>
      <c r="D1339" s="198" t="s">
        <v>3973</v>
      </c>
      <c r="E1339" s="198" t="s">
        <v>3974</v>
      </c>
    </row>
    <row r="1340" spans="1:5">
      <c r="A1340" s="198">
        <v>512683468</v>
      </c>
      <c r="B1340" s="198">
        <v>703649551.32724798</v>
      </c>
      <c r="D1340" s="198" t="s">
        <v>3975</v>
      </c>
      <c r="E1340" s="198" t="s">
        <v>3976</v>
      </c>
    </row>
    <row r="1341" spans="1:5">
      <c r="A1341" s="198">
        <v>512715870</v>
      </c>
      <c r="B1341" s="198">
        <v>703681953.32761896</v>
      </c>
      <c r="D1341" s="198" t="s">
        <v>3977</v>
      </c>
      <c r="E1341" s="198" t="s">
        <v>3978</v>
      </c>
    </row>
    <row r="1342" spans="1:5">
      <c r="A1342" s="198">
        <v>512888672</v>
      </c>
      <c r="B1342" s="198">
        <v>703854755.32954895</v>
      </c>
      <c r="D1342" s="198" t="s">
        <v>3979</v>
      </c>
      <c r="E1342" s="198" t="s">
        <v>3980</v>
      </c>
    </row>
    <row r="1343" spans="1:5">
      <c r="A1343" s="198">
        <v>512982299</v>
      </c>
      <c r="B1343" s="198">
        <v>703948382.33061099</v>
      </c>
      <c r="D1343" s="198" t="s">
        <v>3981</v>
      </c>
      <c r="E1343" s="198" t="s">
        <v>3982</v>
      </c>
    </row>
    <row r="1344" spans="1:5">
      <c r="A1344" s="198">
        <v>513111890</v>
      </c>
      <c r="B1344" s="198">
        <v>704077973.33205795</v>
      </c>
      <c r="D1344" s="198" t="s">
        <v>3983</v>
      </c>
      <c r="E1344" s="198" t="s">
        <v>3984</v>
      </c>
    </row>
    <row r="1345" spans="1:5">
      <c r="A1345" s="198">
        <v>513180301</v>
      </c>
      <c r="B1345" s="198">
        <v>704146384.33283401</v>
      </c>
      <c r="D1345" s="198" t="s">
        <v>3985</v>
      </c>
      <c r="E1345" s="198" t="s">
        <v>3986</v>
      </c>
    </row>
    <row r="1346" spans="1:5">
      <c r="A1346" s="198">
        <v>513255893</v>
      </c>
      <c r="B1346" s="198">
        <v>704221976.33366597</v>
      </c>
      <c r="D1346" s="198" t="s">
        <v>3987</v>
      </c>
      <c r="E1346" s="198" t="s">
        <v>3988</v>
      </c>
    </row>
    <row r="1347" spans="1:5">
      <c r="A1347" s="198">
        <v>513374703</v>
      </c>
      <c r="B1347" s="198">
        <v>704340786.33501804</v>
      </c>
      <c r="D1347" s="198" t="s">
        <v>3989</v>
      </c>
      <c r="E1347" s="198" t="s">
        <v>3990</v>
      </c>
    </row>
    <row r="1348" spans="1:5">
      <c r="A1348" s="198">
        <v>513464710</v>
      </c>
      <c r="B1348" s="198">
        <v>704430793.33603299</v>
      </c>
      <c r="D1348" s="198" t="s">
        <v>3991</v>
      </c>
      <c r="E1348" s="198" t="s">
        <v>3992</v>
      </c>
    </row>
    <row r="1349" spans="1:5">
      <c r="A1349" s="198">
        <v>513554723</v>
      </c>
      <c r="B1349" s="198">
        <v>704520806.33706796</v>
      </c>
      <c r="D1349" s="198" t="s">
        <v>3993</v>
      </c>
      <c r="E1349" s="198" t="s">
        <v>3994</v>
      </c>
    </row>
    <row r="1350" spans="1:5">
      <c r="A1350" s="198">
        <v>513641135</v>
      </c>
      <c r="B1350" s="198">
        <v>704607218.33802903</v>
      </c>
      <c r="D1350" s="198" t="s">
        <v>3995</v>
      </c>
      <c r="E1350" s="198" t="s">
        <v>3996</v>
      </c>
    </row>
    <row r="1351" spans="1:5">
      <c r="A1351" s="198">
        <v>513716719</v>
      </c>
      <c r="B1351" s="198">
        <v>704682802.33886802</v>
      </c>
      <c r="D1351" s="198" t="s">
        <v>3997</v>
      </c>
      <c r="E1351" s="198" t="s">
        <v>3998</v>
      </c>
    </row>
    <row r="1352" spans="1:5">
      <c r="A1352" s="198">
        <v>513806745</v>
      </c>
      <c r="B1352" s="198">
        <v>704772828.33988905</v>
      </c>
      <c r="D1352" s="198" t="s">
        <v>3999</v>
      </c>
      <c r="E1352" s="198" t="s">
        <v>4000</v>
      </c>
    </row>
    <row r="1353" spans="1:5">
      <c r="A1353" s="198">
        <v>513835556</v>
      </c>
      <c r="B1353" s="198">
        <v>704801639.34021103</v>
      </c>
      <c r="D1353" s="198" t="s">
        <v>4001</v>
      </c>
      <c r="E1353" s="198" t="s">
        <v>4002</v>
      </c>
    </row>
    <row r="1354" spans="1:5">
      <c r="A1354" s="198">
        <v>513925573</v>
      </c>
      <c r="B1354" s="198">
        <v>704891656.341223</v>
      </c>
      <c r="D1354" s="198" t="s">
        <v>4003</v>
      </c>
      <c r="E1354" s="198" t="s">
        <v>4004</v>
      </c>
    </row>
    <row r="1355" spans="1:5">
      <c r="A1355" s="198">
        <v>514101996</v>
      </c>
      <c r="B1355" s="198">
        <v>705068079.34322798</v>
      </c>
      <c r="D1355" s="198" t="s">
        <v>4005</v>
      </c>
      <c r="E1355" s="198" t="s">
        <v>4006</v>
      </c>
    </row>
    <row r="1356" spans="1:5">
      <c r="A1356" s="198">
        <v>514246007</v>
      </c>
      <c r="B1356" s="198">
        <v>705212090.34486496</v>
      </c>
      <c r="D1356" s="198" t="s">
        <v>4007</v>
      </c>
      <c r="E1356" s="198" t="s">
        <v>4008</v>
      </c>
    </row>
    <row r="1357" spans="1:5">
      <c r="A1357" s="198">
        <v>514325174</v>
      </c>
      <c r="B1357" s="198">
        <v>705291257.34574795</v>
      </c>
      <c r="D1357" s="198" t="s">
        <v>4009</v>
      </c>
      <c r="E1357" s="198" t="s">
        <v>4010</v>
      </c>
    </row>
    <row r="1358" spans="1:5">
      <c r="A1358" s="198">
        <v>514357605</v>
      </c>
      <c r="B1358" s="198">
        <v>705323688.34611499</v>
      </c>
      <c r="D1358" s="198" t="s">
        <v>4011</v>
      </c>
      <c r="E1358" s="198" t="s">
        <v>4012</v>
      </c>
    </row>
    <row r="1359" spans="1:5">
      <c r="A1359" s="198">
        <v>514447635</v>
      </c>
      <c r="B1359" s="198">
        <v>705413718.34713697</v>
      </c>
      <c r="D1359" s="198" t="s">
        <v>4013</v>
      </c>
      <c r="E1359" s="198" t="s">
        <v>4014</v>
      </c>
    </row>
    <row r="1360" spans="1:5">
      <c r="A1360" s="198">
        <v>514555595</v>
      </c>
      <c r="B1360" s="198">
        <v>705521678.34834599</v>
      </c>
      <c r="D1360" s="198" t="s">
        <v>4015</v>
      </c>
      <c r="E1360" s="198" t="s">
        <v>4016</v>
      </c>
    </row>
    <row r="1361" spans="1:5">
      <c r="A1361" s="198">
        <v>514613183</v>
      </c>
      <c r="B1361" s="198">
        <v>705579266.34898996</v>
      </c>
      <c r="D1361" s="198" t="s">
        <v>4017</v>
      </c>
      <c r="E1361" s="198" t="s">
        <v>4018</v>
      </c>
    </row>
    <row r="1362" spans="1:5">
      <c r="A1362" s="198">
        <v>514735647</v>
      </c>
      <c r="B1362" s="198">
        <v>705701730.35040605</v>
      </c>
      <c r="D1362" s="198" t="s">
        <v>4019</v>
      </c>
      <c r="E1362" s="198" t="s">
        <v>4020</v>
      </c>
    </row>
    <row r="1363" spans="1:5">
      <c r="A1363" s="198">
        <v>514814804</v>
      </c>
      <c r="B1363" s="198">
        <v>705780887.35129094</v>
      </c>
      <c r="D1363" s="198" t="s">
        <v>4021</v>
      </c>
      <c r="E1363" s="198" t="s">
        <v>4022</v>
      </c>
    </row>
    <row r="1364" spans="1:5">
      <c r="A1364" s="198">
        <v>514904973</v>
      </c>
      <c r="B1364" s="198">
        <v>705871056.35231996</v>
      </c>
      <c r="D1364" s="198" t="s">
        <v>4023</v>
      </c>
      <c r="E1364" s="198" t="s">
        <v>4024</v>
      </c>
    </row>
    <row r="1365" spans="1:5">
      <c r="A1365" s="198">
        <v>514984007</v>
      </c>
      <c r="B1365" s="198">
        <v>705950090.35319602</v>
      </c>
      <c r="D1365" s="198" t="s">
        <v>4025</v>
      </c>
      <c r="E1365" s="198" t="s">
        <v>4026</v>
      </c>
    </row>
    <row r="1366" spans="1:5">
      <c r="A1366" s="198">
        <v>515041592</v>
      </c>
      <c r="B1366" s="198">
        <v>706007675.35384297</v>
      </c>
      <c r="D1366" s="198" t="s">
        <v>4027</v>
      </c>
      <c r="E1366" s="198" t="s">
        <v>4028</v>
      </c>
    </row>
    <row r="1367" spans="1:5">
      <c r="A1367" s="198">
        <v>515164041</v>
      </c>
      <c r="B1367" s="198">
        <v>706130124.35526204</v>
      </c>
      <c r="D1367" s="198" t="s">
        <v>4029</v>
      </c>
      <c r="E1367" s="198" t="s">
        <v>4030</v>
      </c>
    </row>
    <row r="1368" spans="1:5">
      <c r="A1368" s="198">
        <v>515214399</v>
      </c>
      <c r="B1368" s="198">
        <v>706180482.35581398</v>
      </c>
      <c r="D1368" s="198" t="s">
        <v>4031</v>
      </c>
      <c r="E1368" s="198" t="s">
        <v>4032</v>
      </c>
    </row>
    <row r="1369" spans="1:5">
      <c r="A1369" s="198">
        <v>515326015</v>
      </c>
      <c r="B1369" s="198">
        <v>706292098.35707796</v>
      </c>
      <c r="D1369" s="198" t="s">
        <v>4033</v>
      </c>
      <c r="E1369" s="198" t="s">
        <v>4034</v>
      </c>
    </row>
    <row r="1370" spans="1:5">
      <c r="A1370" s="198">
        <v>515445699</v>
      </c>
      <c r="B1370" s="198">
        <v>706411782.35779297</v>
      </c>
      <c r="D1370" s="198" t="s">
        <v>4035</v>
      </c>
      <c r="E1370" s="198" t="s">
        <v>4036</v>
      </c>
    </row>
    <row r="1371" spans="1:5">
      <c r="A1371" s="198">
        <v>515509684</v>
      </c>
      <c r="B1371" s="198">
        <v>706475767.35918903</v>
      </c>
      <c r="D1371" s="198" t="s">
        <v>4037</v>
      </c>
      <c r="E1371" s="198" t="s">
        <v>4038</v>
      </c>
    </row>
    <row r="1372" spans="1:5">
      <c r="A1372" s="198">
        <v>515585217</v>
      </c>
      <c r="B1372" s="198">
        <v>706551300.36002696</v>
      </c>
      <c r="D1372" s="198" t="s">
        <v>4039</v>
      </c>
      <c r="E1372" s="198" t="s">
        <v>4040</v>
      </c>
    </row>
    <row r="1373" spans="1:5">
      <c r="A1373" s="198">
        <v>515650023</v>
      </c>
      <c r="B1373" s="198">
        <v>706616106.36077404</v>
      </c>
      <c r="D1373" s="198" t="s">
        <v>4041</v>
      </c>
      <c r="E1373" s="198" t="s">
        <v>4042</v>
      </c>
    </row>
    <row r="1374" spans="1:5">
      <c r="A1374" s="198">
        <v>515736500</v>
      </c>
      <c r="B1374" s="198">
        <v>706702583.36176205</v>
      </c>
      <c r="D1374" s="198" t="s">
        <v>4043</v>
      </c>
      <c r="E1374" s="198" t="s">
        <v>4044</v>
      </c>
    </row>
    <row r="1375" spans="1:5">
      <c r="A1375" s="198">
        <v>515851707</v>
      </c>
      <c r="B1375" s="198">
        <v>706817790.36307502</v>
      </c>
      <c r="D1375" s="198" t="s">
        <v>4045</v>
      </c>
      <c r="E1375" s="198" t="s">
        <v>4046</v>
      </c>
    </row>
    <row r="1376" spans="1:5">
      <c r="A1376" s="198">
        <v>515960510</v>
      </c>
      <c r="B1376" s="198">
        <v>706926593.36372697</v>
      </c>
      <c r="D1376" s="198" t="s">
        <v>4047</v>
      </c>
      <c r="E1376" s="198" t="s">
        <v>4048</v>
      </c>
    </row>
    <row r="1377" spans="1:5">
      <c r="A1377" s="198">
        <v>516049736</v>
      </c>
      <c r="B1377" s="198">
        <v>707015819.36533201</v>
      </c>
      <c r="D1377" s="198" t="s">
        <v>4049</v>
      </c>
      <c r="E1377" s="198" t="s">
        <v>4050</v>
      </c>
    </row>
    <row r="1378" spans="1:5">
      <c r="A1378" s="198">
        <v>516110911</v>
      </c>
      <c r="B1378" s="198">
        <v>707076994.36602497</v>
      </c>
      <c r="D1378" s="198" t="s">
        <v>4051</v>
      </c>
      <c r="E1378" s="198" t="s">
        <v>4052</v>
      </c>
    </row>
    <row r="1379" spans="1:5">
      <c r="A1379" s="198">
        <v>516218929</v>
      </c>
      <c r="B1379" s="198">
        <v>707185012.36724102</v>
      </c>
      <c r="D1379" s="198" t="s">
        <v>4053</v>
      </c>
      <c r="E1379" s="198" t="s">
        <v>4054</v>
      </c>
    </row>
    <row r="1380" spans="1:5">
      <c r="A1380" s="198">
        <v>516287328</v>
      </c>
      <c r="B1380" s="198">
        <v>707253411.36800098</v>
      </c>
      <c r="D1380" s="198" t="s">
        <v>4055</v>
      </c>
      <c r="E1380" s="198" t="s">
        <v>4056</v>
      </c>
    </row>
    <row r="1381" spans="1:5">
      <c r="A1381" s="198">
        <v>516395247</v>
      </c>
      <c r="B1381" s="198">
        <v>707361330.36925697</v>
      </c>
      <c r="D1381" s="198" t="s">
        <v>4057</v>
      </c>
      <c r="E1381" s="198" t="s">
        <v>4058</v>
      </c>
    </row>
    <row r="1382" spans="1:5">
      <c r="A1382" s="198">
        <v>539991576</v>
      </c>
      <c r="B1382" s="198">
        <v>730957659.62999701</v>
      </c>
      <c r="D1382" s="198" t="s">
        <v>4059</v>
      </c>
      <c r="E1382" s="198" t="s">
        <v>4060</v>
      </c>
    </row>
    <row r="1383" spans="1:5">
      <c r="A1383" s="198">
        <v>540057121</v>
      </c>
      <c r="B1383" s="198">
        <v>731023204.63011599</v>
      </c>
      <c r="D1383" s="198" t="s">
        <v>4061</v>
      </c>
      <c r="E1383" s="198" t="s">
        <v>4062</v>
      </c>
    </row>
    <row r="1384" spans="1:5">
      <c r="A1384" s="198">
        <v>540164401</v>
      </c>
      <c r="B1384" s="198">
        <v>731130484.63191402</v>
      </c>
      <c r="D1384" s="198" t="s">
        <v>4063</v>
      </c>
      <c r="E1384" s="198" t="s">
        <v>4064</v>
      </c>
    </row>
    <row r="1385" spans="1:5">
      <c r="A1385" s="198">
        <v>540236397</v>
      </c>
      <c r="B1385" s="198">
        <v>731202480.63269103</v>
      </c>
      <c r="D1385" s="198" t="s">
        <v>4065</v>
      </c>
      <c r="E1385" s="198" t="s">
        <v>4066</v>
      </c>
    </row>
    <row r="1386" spans="1:5">
      <c r="A1386" s="198">
        <v>540322807</v>
      </c>
      <c r="B1386" s="198">
        <v>731288890.63358498</v>
      </c>
      <c r="D1386" s="198" t="s">
        <v>4067</v>
      </c>
      <c r="E1386" s="198" t="s">
        <v>4068</v>
      </c>
    </row>
    <row r="1387" spans="1:5">
      <c r="A1387" s="198">
        <v>540495478</v>
      </c>
      <c r="B1387" s="198">
        <v>731461561.63551605</v>
      </c>
      <c r="D1387" s="198" t="s">
        <v>4069</v>
      </c>
      <c r="E1387" s="198" t="s">
        <v>4070</v>
      </c>
    </row>
    <row r="1388" spans="1:5">
      <c r="A1388" s="198">
        <v>540545956</v>
      </c>
      <c r="B1388" s="198">
        <v>731512039.63606095</v>
      </c>
      <c r="D1388" s="198" t="s">
        <v>4071</v>
      </c>
      <c r="E1388" s="198" t="s">
        <v>4072</v>
      </c>
    </row>
    <row r="1389" spans="1:5">
      <c r="A1389" s="198">
        <v>540653846</v>
      </c>
      <c r="B1389" s="198">
        <v>731619929.63720405</v>
      </c>
      <c r="D1389" s="198" t="s">
        <v>4073</v>
      </c>
      <c r="E1389" s="198" t="s">
        <v>4074</v>
      </c>
    </row>
    <row r="1390" spans="1:5">
      <c r="A1390" s="198">
        <v>540754690</v>
      </c>
      <c r="B1390" s="198">
        <v>731720773.63832498</v>
      </c>
      <c r="D1390" s="198" t="s">
        <v>4075</v>
      </c>
      <c r="E1390" s="198" t="s">
        <v>4076</v>
      </c>
    </row>
    <row r="1391" spans="1:5">
      <c r="A1391" s="198">
        <v>540833862</v>
      </c>
      <c r="B1391" s="198">
        <v>731799945.63918698</v>
      </c>
      <c r="D1391" s="198" t="s">
        <v>4077</v>
      </c>
      <c r="E1391" s="198" t="s">
        <v>4078</v>
      </c>
    </row>
    <row r="1392" spans="1:5">
      <c r="A1392" s="198">
        <v>540941999</v>
      </c>
      <c r="B1392" s="198">
        <v>731908082.64033902</v>
      </c>
      <c r="D1392" s="198" t="s">
        <v>4079</v>
      </c>
      <c r="E1392" s="198" t="s">
        <v>4080</v>
      </c>
    </row>
    <row r="1393" spans="1:5">
      <c r="A1393" s="198">
        <v>541013901</v>
      </c>
      <c r="B1393" s="198">
        <v>731979984.64114106</v>
      </c>
      <c r="D1393" s="198" t="s">
        <v>4081</v>
      </c>
      <c r="E1393" s="198" t="s">
        <v>4082</v>
      </c>
    </row>
    <row r="1394" spans="1:5">
      <c r="A1394" s="198">
        <v>541089463</v>
      </c>
      <c r="B1394" s="198">
        <v>732055546.64196002</v>
      </c>
      <c r="D1394" s="198" t="s">
        <v>4083</v>
      </c>
      <c r="E1394" s="198" t="s">
        <v>4084</v>
      </c>
    </row>
    <row r="1395" spans="1:5">
      <c r="A1395" s="198">
        <v>541186707</v>
      </c>
      <c r="B1395" s="198">
        <v>732152790.64303005</v>
      </c>
      <c r="D1395" s="198" t="s">
        <v>4085</v>
      </c>
      <c r="E1395" s="198" t="s">
        <v>4086</v>
      </c>
    </row>
    <row r="1396" spans="1:5">
      <c r="A1396" s="198">
        <v>541287599</v>
      </c>
      <c r="B1396" s="198">
        <v>732253682.64411795</v>
      </c>
      <c r="D1396" s="198" t="s">
        <v>4087</v>
      </c>
      <c r="E1396" s="198" t="s">
        <v>4088</v>
      </c>
    </row>
    <row r="1397" spans="1:5">
      <c r="A1397" s="198">
        <v>541355926</v>
      </c>
      <c r="B1397" s="198">
        <v>732322009.64487505</v>
      </c>
      <c r="D1397" s="198" t="s">
        <v>4089</v>
      </c>
      <c r="E1397" s="198" t="s">
        <v>4090</v>
      </c>
    </row>
    <row r="1398" spans="1:5">
      <c r="A1398" s="198">
        <v>541402806</v>
      </c>
      <c r="B1398" s="198">
        <v>732368889.64534795</v>
      </c>
      <c r="D1398" s="198" t="s">
        <v>4091</v>
      </c>
      <c r="E1398" s="198" t="s">
        <v>4092</v>
      </c>
    </row>
    <row r="1399" spans="1:5">
      <c r="A1399" s="198">
        <v>541514286</v>
      </c>
      <c r="B1399" s="198">
        <v>732480369.64657903</v>
      </c>
      <c r="D1399" s="198" t="s">
        <v>4093</v>
      </c>
      <c r="E1399" s="198" t="s">
        <v>4094</v>
      </c>
    </row>
    <row r="1400" spans="1:5">
      <c r="A1400" s="198">
        <v>541607888</v>
      </c>
      <c r="B1400" s="198">
        <v>732573971.64760602</v>
      </c>
      <c r="D1400" s="198" t="s">
        <v>4095</v>
      </c>
      <c r="E1400" s="198" t="s">
        <v>4096</v>
      </c>
    </row>
    <row r="1401" spans="1:5">
      <c r="A1401" s="198">
        <v>541806026</v>
      </c>
      <c r="B1401" s="198">
        <v>732772109.64976799</v>
      </c>
      <c r="D1401" s="198" t="s">
        <v>4097</v>
      </c>
      <c r="E1401" s="198" t="s">
        <v>4098</v>
      </c>
    </row>
    <row r="1402" spans="1:5">
      <c r="A1402" s="198">
        <v>541874350</v>
      </c>
      <c r="B1402" s="198">
        <v>732840433.65052402</v>
      </c>
      <c r="D1402" s="198" t="s">
        <v>4099</v>
      </c>
      <c r="E1402" s="198" t="s">
        <v>4100</v>
      </c>
    </row>
    <row r="1403" spans="1:5">
      <c r="A1403" s="198">
        <v>541960744</v>
      </c>
      <c r="B1403" s="198">
        <v>732926827.651474</v>
      </c>
      <c r="D1403" s="198" t="s">
        <v>4101</v>
      </c>
      <c r="E1403" s="198" t="s">
        <v>4102</v>
      </c>
    </row>
    <row r="1404" spans="1:5">
      <c r="A1404" s="198">
        <v>542011108</v>
      </c>
      <c r="B1404" s="198">
        <v>732977191.65201294</v>
      </c>
      <c r="D1404" s="198" t="s">
        <v>4103</v>
      </c>
      <c r="E1404" s="198" t="s">
        <v>4104</v>
      </c>
    </row>
    <row r="1405" spans="1:5">
      <c r="A1405" s="198">
        <v>542122714</v>
      </c>
      <c r="B1405" s="198">
        <v>733088797.65323901</v>
      </c>
      <c r="D1405" s="198" t="s">
        <v>4105</v>
      </c>
      <c r="E1405" s="198" t="s">
        <v>4106</v>
      </c>
    </row>
    <row r="1406" spans="1:5">
      <c r="A1406" s="198">
        <v>542306368</v>
      </c>
      <c r="B1406" s="198">
        <v>733272451.65526402</v>
      </c>
      <c r="D1406" s="198" t="s">
        <v>4107</v>
      </c>
      <c r="E1406" s="198" t="s">
        <v>4108</v>
      </c>
    </row>
    <row r="1407" spans="1:5">
      <c r="A1407" s="198">
        <v>542360343</v>
      </c>
      <c r="B1407" s="198">
        <v>733326426.65584397</v>
      </c>
      <c r="D1407" s="198" t="s">
        <v>4109</v>
      </c>
      <c r="E1407" s="198" t="s">
        <v>4110</v>
      </c>
    </row>
    <row r="1408" spans="1:5">
      <c r="A1408" s="198">
        <v>542464729</v>
      </c>
      <c r="B1408" s="198">
        <v>733430812.65698195</v>
      </c>
      <c r="D1408" s="198" t="s">
        <v>4111</v>
      </c>
      <c r="E1408" s="198" t="s">
        <v>4112</v>
      </c>
    </row>
    <row r="1409" spans="1:5">
      <c r="A1409" s="198">
        <v>542583664</v>
      </c>
      <c r="B1409" s="198">
        <v>733549747.65826797</v>
      </c>
      <c r="D1409" s="198" t="s">
        <v>4113</v>
      </c>
      <c r="E1409" s="198" t="s">
        <v>4114</v>
      </c>
    </row>
    <row r="1410" spans="1:5">
      <c r="A1410" s="198">
        <v>542648385</v>
      </c>
      <c r="B1410" s="198">
        <v>733614468.65901399</v>
      </c>
      <c r="D1410" s="198" t="s">
        <v>4115</v>
      </c>
      <c r="E1410" s="198" t="s">
        <v>4116</v>
      </c>
    </row>
    <row r="1411" spans="1:5">
      <c r="A1411" s="198">
        <v>542723944</v>
      </c>
      <c r="B1411" s="198">
        <v>733690027.65981305</v>
      </c>
      <c r="D1411" s="198" t="s">
        <v>4117</v>
      </c>
      <c r="E1411" s="198" t="s">
        <v>4118</v>
      </c>
    </row>
    <row r="1412" spans="1:5">
      <c r="A1412" s="198">
        <v>542821191</v>
      </c>
      <c r="B1412" s="198">
        <v>733787274.66090798</v>
      </c>
      <c r="D1412" s="198" t="s">
        <v>4119</v>
      </c>
      <c r="E1412" s="198" t="s">
        <v>4120</v>
      </c>
    </row>
    <row r="1413" spans="1:5">
      <c r="A1413" s="198">
        <v>542893148</v>
      </c>
      <c r="B1413" s="198">
        <v>733859231.66167295</v>
      </c>
      <c r="D1413" s="198" t="s">
        <v>4121</v>
      </c>
      <c r="E1413" s="198" t="s">
        <v>4122</v>
      </c>
    </row>
    <row r="1414" spans="1:5">
      <c r="A1414" s="198">
        <v>542983160</v>
      </c>
      <c r="B1414" s="198">
        <v>733949243.66266596</v>
      </c>
      <c r="D1414" s="198" t="s">
        <v>4123</v>
      </c>
      <c r="E1414" s="198" t="s">
        <v>4124</v>
      </c>
    </row>
    <row r="1415" spans="1:5">
      <c r="A1415" s="198">
        <v>543069564</v>
      </c>
      <c r="B1415" s="198">
        <v>734035647.66363204</v>
      </c>
      <c r="D1415" s="198" t="s">
        <v>4125</v>
      </c>
      <c r="E1415" s="198" t="s">
        <v>4126</v>
      </c>
    </row>
    <row r="1416" spans="1:5">
      <c r="A1416" s="198">
        <v>543249583</v>
      </c>
      <c r="B1416" s="198">
        <v>734215666.66561496</v>
      </c>
      <c r="D1416" s="198" t="s">
        <v>4127</v>
      </c>
      <c r="E1416" s="198" t="s">
        <v>4128</v>
      </c>
    </row>
    <row r="1417" spans="1:5">
      <c r="A1417" s="198">
        <v>543357728</v>
      </c>
      <c r="B1417" s="198">
        <v>734323811.66676605</v>
      </c>
      <c r="D1417" s="198" t="s">
        <v>4129</v>
      </c>
      <c r="E1417" s="198" t="s">
        <v>4130</v>
      </c>
    </row>
    <row r="1418" spans="1:5">
      <c r="A1418" s="198">
        <v>543415184</v>
      </c>
      <c r="B1418" s="198">
        <v>734381267.66744101</v>
      </c>
      <c r="D1418" s="198" t="s">
        <v>4131</v>
      </c>
      <c r="E1418" s="198" t="s">
        <v>4132</v>
      </c>
    </row>
    <row r="1419" spans="1:5">
      <c r="A1419" s="198">
        <v>543512427</v>
      </c>
      <c r="B1419" s="198">
        <v>734478510.66851997</v>
      </c>
      <c r="D1419" s="198" t="s">
        <v>4133</v>
      </c>
      <c r="E1419" s="198" t="s">
        <v>4134</v>
      </c>
    </row>
    <row r="1420" spans="1:5">
      <c r="A1420" s="198">
        <v>543566397</v>
      </c>
      <c r="B1420" s="198">
        <v>734532480.669101</v>
      </c>
      <c r="D1420" s="198" t="s">
        <v>4135</v>
      </c>
      <c r="E1420" s="198" t="s">
        <v>4136</v>
      </c>
    </row>
    <row r="1421" spans="1:5">
      <c r="A1421" s="198">
        <v>543685230</v>
      </c>
      <c r="B1421" s="198">
        <v>734651313.67042696</v>
      </c>
      <c r="D1421" s="198" t="s">
        <v>4137</v>
      </c>
      <c r="E1421" s="198" t="s">
        <v>4138</v>
      </c>
    </row>
    <row r="1422" spans="1:5">
      <c r="A1422" s="198">
        <v>543764409</v>
      </c>
      <c r="B1422" s="198">
        <v>734730492.67130399</v>
      </c>
      <c r="D1422" s="198" t="s">
        <v>4139</v>
      </c>
      <c r="E1422" s="198" t="s">
        <v>4140</v>
      </c>
    </row>
    <row r="1423" spans="1:5">
      <c r="A1423" s="198">
        <v>543879739</v>
      </c>
      <c r="B1423" s="198">
        <v>734845822.67254698</v>
      </c>
      <c r="D1423" s="198" t="s">
        <v>4141</v>
      </c>
      <c r="E1423" s="198" t="s">
        <v>4142</v>
      </c>
    </row>
    <row r="1424" spans="1:5">
      <c r="A1424" s="198">
        <v>543937221</v>
      </c>
      <c r="B1424" s="198">
        <v>734903304.67319906</v>
      </c>
      <c r="D1424" s="198" t="s">
        <v>4143</v>
      </c>
      <c r="E1424" s="198" t="s">
        <v>4144</v>
      </c>
    </row>
    <row r="1425" spans="1:5">
      <c r="A1425" s="198">
        <v>544027256</v>
      </c>
      <c r="B1425" s="198">
        <v>734993339.67421401</v>
      </c>
      <c r="D1425" s="198" t="s">
        <v>4145</v>
      </c>
      <c r="E1425" s="198" t="s">
        <v>4146</v>
      </c>
    </row>
    <row r="1426" spans="1:5">
      <c r="A1426" s="198">
        <v>544106414</v>
      </c>
      <c r="B1426" s="198">
        <v>735072497.67506695</v>
      </c>
      <c r="D1426" s="198" t="s">
        <v>4147</v>
      </c>
      <c r="E1426" s="198" t="s">
        <v>4148</v>
      </c>
    </row>
    <row r="1427" spans="1:5">
      <c r="A1427" s="198">
        <v>544552963</v>
      </c>
      <c r="B1427" s="198">
        <v>735519046.68003297</v>
      </c>
      <c r="D1427" s="198" t="s">
        <v>4149</v>
      </c>
      <c r="E1427" s="198" t="s">
        <v>4150</v>
      </c>
    </row>
    <row r="1428" spans="1:5">
      <c r="A1428" s="198">
        <v>544646595</v>
      </c>
      <c r="B1428" s="198">
        <v>735612678.68110704</v>
      </c>
      <c r="D1428" s="198" t="s">
        <v>4151</v>
      </c>
      <c r="E1428" s="198" t="s">
        <v>4152</v>
      </c>
    </row>
    <row r="1429" spans="1:5">
      <c r="A1429" s="198">
        <v>545168616</v>
      </c>
      <c r="B1429" s="198">
        <v>736134699.68688202</v>
      </c>
      <c r="D1429" s="198" t="s">
        <v>4153</v>
      </c>
      <c r="E1429" s="198" t="s">
        <v>4154</v>
      </c>
    </row>
    <row r="1430" spans="1:5">
      <c r="A1430" s="198">
        <v>545251400</v>
      </c>
      <c r="B1430" s="198">
        <v>736217483.68776095</v>
      </c>
      <c r="D1430" s="198" t="s">
        <v>4155</v>
      </c>
      <c r="E1430" s="198" t="s">
        <v>4156</v>
      </c>
    </row>
    <row r="1431" spans="1:5">
      <c r="A1431" s="198">
        <v>545755418</v>
      </c>
      <c r="B1431" s="198">
        <v>736721501.69337702</v>
      </c>
      <c r="D1431" s="198" t="s">
        <v>4157</v>
      </c>
      <c r="E1431" s="198" t="s">
        <v>4158</v>
      </c>
    </row>
    <row r="1432" spans="1:5">
      <c r="A1432" s="198">
        <v>545856242</v>
      </c>
      <c r="B1432" s="198">
        <v>736822325.69456005</v>
      </c>
      <c r="D1432" s="198" t="s">
        <v>4159</v>
      </c>
      <c r="E1432" s="198" t="s">
        <v>4160</v>
      </c>
    </row>
    <row r="1433" spans="1:5">
      <c r="A1433" s="198">
        <v>546381862</v>
      </c>
      <c r="B1433" s="198">
        <v>737347945.70043004</v>
      </c>
      <c r="D1433" s="198" t="s">
        <v>4161</v>
      </c>
      <c r="E1433" s="198" t="s">
        <v>4162</v>
      </c>
    </row>
    <row r="1434" spans="1:5">
      <c r="A1434" s="198">
        <v>546464646</v>
      </c>
      <c r="B1434" s="198">
        <v>737430729.70135605</v>
      </c>
      <c r="D1434" s="198" t="s">
        <v>4163</v>
      </c>
      <c r="E1434" s="198" t="s">
        <v>4164</v>
      </c>
    </row>
    <row r="1435" spans="1:5">
      <c r="A1435" s="198">
        <v>546991438</v>
      </c>
      <c r="B1435" s="198">
        <v>737957521.70721495</v>
      </c>
      <c r="D1435" s="198" t="s">
        <v>4165</v>
      </c>
      <c r="E1435" s="198" t="s">
        <v>4166</v>
      </c>
    </row>
    <row r="1436" spans="1:5">
      <c r="A1436" s="198">
        <v>547069493</v>
      </c>
      <c r="B1436" s="198">
        <v>738035576.70808697</v>
      </c>
      <c r="D1436" s="198" t="s">
        <v>4167</v>
      </c>
      <c r="E1436" s="198" t="s">
        <v>4168</v>
      </c>
    </row>
    <row r="1437" spans="1:5">
      <c r="A1437" s="198">
        <v>547681405</v>
      </c>
      <c r="B1437" s="198">
        <v>738647488.71496499</v>
      </c>
      <c r="D1437" s="198" t="s">
        <v>4169</v>
      </c>
      <c r="E1437" s="198" t="s">
        <v>4170</v>
      </c>
    </row>
    <row r="1438" spans="1:5">
      <c r="A1438" s="198">
        <v>547724550</v>
      </c>
      <c r="B1438" s="198">
        <v>738690633.71547699</v>
      </c>
      <c r="D1438" s="198" t="s">
        <v>4171</v>
      </c>
      <c r="E1438" s="198" t="s">
        <v>4172</v>
      </c>
    </row>
    <row r="1439" spans="1:5">
      <c r="A1439" s="198">
        <v>547814562</v>
      </c>
      <c r="B1439" s="198">
        <v>738780645.71650505</v>
      </c>
      <c r="D1439" s="198" t="s">
        <v>4173</v>
      </c>
      <c r="E1439" s="198" t="s">
        <v>4174</v>
      </c>
    </row>
    <row r="1440" spans="1:5">
      <c r="A1440" s="198">
        <v>547875772</v>
      </c>
      <c r="B1440" s="198">
        <v>738841855.71718097</v>
      </c>
      <c r="D1440" s="198" t="s">
        <v>4175</v>
      </c>
      <c r="E1440" s="198" t="s">
        <v>4176</v>
      </c>
    </row>
    <row r="1441" spans="1:5">
      <c r="A1441" s="198">
        <v>548019779</v>
      </c>
      <c r="B1441" s="198">
        <v>738985862.71880805</v>
      </c>
      <c r="D1441" s="198" t="s">
        <v>4177</v>
      </c>
      <c r="E1441" s="198" t="s">
        <v>4178</v>
      </c>
    </row>
    <row r="1442" spans="1:5">
      <c r="A1442" s="198">
        <v>548098965</v>
      </c>
      <c r="B1442" s="198">
        <v>739065048.71970701</v>
      </c>
      <c r="D1442" s="198" t="s">
        <v>4179</v>
      </c>
      <c r="E1442" s="198" t="s">
        <v>4180</v>
      </c>
    </row>
    <row r="1443" spans="1:5">
      <c r="A1443" s="198">
        <v>548196214</v>
      </c>
      <c r="B1443" s="198">
        <v>739162297.72081101</v>
      </c>
      <c r="D1443" s="198" t="s">
        <v>4181</v>
      </c>
      <c r="E1443" s="198" t="s">
        <v>4182</v>
      </c>
    </row>
    <row r="1444" spans="1:5">
      <c r="A1444" s="198">
        <v>548271764</v>
      </c>
      <c r="B1444" s="198">
        <v>739237847.72163999</v>
      </c>
      <c r="D1444" s="198" t="s">
        <v>4183</v>
      </c>
      <c r="E1444" s="198" t="s">
        <v>4184</v>
      </c>
    </row>
    <row r="1445" spans="1:5">
      <c r="A1445" s="198">
        <v>548372596</v>
      </c>
      <c r="B1445" s="198">
        <v>739338679.72276103</v>
      </c>
      <c r="D1445" s="198" t="s">
        <v>4185</v>
      </c>
      <c r="E1445" s="198" t="s">
        <v>4186</v>
      </c>
    </row>
    <row r="1446" spans="1:5">
      <c r="A1446" s="198">
        <v>548433759</v>
      </c>
      <c r="B1446" s="198">
        <v>739399842.72346795</v>
      </c>
      <c r="D1446" s="198" t="s">
        <v>4187</v>
      </c>
      <c r="E1446" s="198" t="s">
        <v>4188</v>
      </c>
    </row>
    <row r="1447" spans="1:5">
      <c r="A1447" s="198">
        <v>548480581</v>
      </c>
      <c r="B1447" s="198">
        <v>739446664.72400498</v>
      </c>
      <c r="D1447" s="198" t="s">
        <v>4189</v>
      </c>
      <c r="E1447" s="198" t="s">
        <v>4190</v>
      </c>
    </row>
    <row r="1448" spans="1:5">
      <c r="A1448" s="198">
        <v>548632993</v>
      </c>
      <c r="B1448" s="198">
        <v>739599076.725685</v>
      </c>
      <c r="D1448" s="198" t="s">
        <v>4191</v>
      </c>
      <c r="E1448" s="198" t="s">
        <v>4192</v>
      </c>
    </row>
    <row r="1449" spans="1:5">
      <c r="A1449" s="198">
        <v>548671366</v>
      </c>
      <c r="B1449" s="198">
        <v>739637449.72615194</v>
      </c>
      <c r="D1449" s="198" t="s">
        <v>4193</v>
      </c>
      <c r="E1449" s="198" t="s">
        <v>4194</v>
      </c>
    </row>
    <row r="1450" spans="1:5">
      <c r="A1450" s="198">
        <v>548797402</v>
      </c>
      <c r="B1450" s="198">
        <v>739763485.72757995</v>
      </c>
      <c r="D1450" s="198" t="s">
        <v>4195</v>
      </c>
      <c r="E1450" s="198" t="s">
        <v>4196</v>
      </c>
    </row>
    <row r="1451" spans="1:5">
      <c r="A1451" s="198">
        <v>548891598</v>
      </c>
      <c r="B1451" s="198">
        <v>739857681.72860003</v>
      </c>
      <c r="D1451" s="198" t="s">
        <v>4197</v>
      </c>
      <c r="E1451" s="198" t="s">
        <v>4198</v>
      </c>
    </row>
    <row r="1452" spans="1:5">
      <c r="A1452" s="198">
        <v>548937774</v>
      </c>
      <c r="B1452" s="198">
        <v>739903857.72916305</v>
      </c>
      <c r="D1452" s="198" t="s">
        <v>4199</v>
      </c>
      <c r="E1452" s="198" t="s">
        <v>4200</v>
      </c>
    </row>
    <row r="1453" spans="1:5">
      <c r="A1453" s="198">
        <v>549042162</v>
      </c>
      <c r="B1453" s="198">
        <v>740008245.73033202</v>
      </c>
      <c r="D1453" s="198" t="s">
        <v>4201</v>
      </c>
      <c r="E1453" s="198" t="s">
        <v>4202</v>
      </c>
    </row>
    <row r="1454" spans="1:5">
      <c r="A1454" s="198">
        <v>549103364</v>
      </c>
      <c r="B1454" s="198">
        <v>740069447.73101199</v>
      </c>
      <c r="D1454" s="198" t="s">
        <v>4203</v>
      </c>
      <c r="E1454" s="198" t="s">
        <v>4204</v>
      </c>
    </row>
    <row r="1455" spans="1:5">
      <c r="A1455" s="198">
        <v>549236600</v>
      </c>
      <c r="B1455" s="198">
        <v>740202683.73249197</v>
      </c>
      <c r="D1455" s="198" t="s">
        <v>4205</v>
      </c>
      <c r="E1455" s="198" t="s">
        <v>4206</v>
      </c>
    </row>
    <row r="1456" spans="1:5">
      <c r="A1456" s="198">
        <v>549312183</v>
      </c>
      <c r="B1456" s="198">
        <v>740278266.733392</v>
      </c>
      <c r="D1456" s="198" t="s">
        <v>4207</v>
      </c>
      <c r="E1456" s="198" t="s">
        <v>4208</v>
      </c>
    </row>
    <row r="1457" spans="1:5">
      <c r="A1457" s="198">
        <v>549384159</v>
      </c>
      <c r="B1457" s="198">
        <v>740350242.73418105</v>
      </c>
      <c r="D1457" s="198" t="s">
        <v>4209</v>
      </c>
      <c r="E1457" s="198" t="s">
        <v>4210</v>
      </c>
    </row>
    <row r="1458" spans="1:5">
      <c r="A1458" s="198">
        <v>549488607</v>
      </c>
      <c r="B1458" s="198">
        <v>740454690.73538303</v>
      </c>
      <c r="D1458" s="198" t="s">
        <v>4211</v>
      </c>
      <c r="E1458" s="198" t="s">
        <v>4212</v>
      </c>
    </row>
    <row r="1459" spans="1:5">
      <c r="A1459" s="198">
        <v>549582180</v>
      </c>
      <c r="B1459" s="198">
        <v>740548263.73640394</v>
      </c>
      <c r="D1459" s="198" t="s">
        <v>4213</v>
      </c>
      <c r="E1459" s="198" t="s">
        <v>4214</v>
      </c>
    </row>
    <row r="1460" spans="1:5">
      <c r="A1460" s="198">
        <v>549657775</v>
      </c>
      <c r="B1460" s="198">
        <v>740623858.73727906</v>
      </c>
      <c r="D1460" s="198" t="s">
        <v>4215</v>
      </c>
      <c r="E1460" s="198" t="s">
        <v>4216</v>
      </c>
    </row>
    <row r="1461" spans="1:5">
      <c r="A1461" s="198">
        <v>549697475</v>
      </c>
      <c r="B1461" s="198">
        <v>740663558.73786402</v>
      </c>
      <c r="D1461" s="198" t="s">
        <v>4217</v>
      </c>
      <c r="E1461" s="198" t="s">
        <v>4218</v>
      </c>
    </row>
    <row r="1462" spans="1:5">
      <c r="A1462" s="198">
        <v>549830648</v>
      </c>
      <c r="B1462" s="198">
        <v>740796731.739411</v>
      </c>
      <c r="D1462" s="198" t="s">
        <v>4219</v>
      </c>
      <c r="E1462" s="198" t="s">
        <v>4220</v>
      </c>
    </row>
    <row r="1463" spans="1:5">
      <c r="A1463" s="198">
        <v>549929023</v>
      </c>
      <c r="B1463" s="198">
        <v>740895106.74049604</v>
      </c>
      <c r="D1463" s="198" t="s">
        <v>4221</v>
      </c>
      <c r="E1463" s="198" t="s">
        <v>4222</v>
      </c>
    </row>
    <row r="1464" spans="1:5">
      <c r="A1464" s="198">
        <v>549996153</v>
      </c>
      <c r="B1464" s="198">
        <v>740962236.74126303</v>
      </c>
      <c r="D1464" s="198" t="s">
        <v>4223</v>
      </c>
      <c r="E1464" s="198" t="s">
        <v>4224</v>
      </c>
    </row>
    <row r="1465" spans="1:5">
      <c r="A1465" s="198">
        <v>550082550</v>
      </c>
      <c r="B1465" s="198">
        <v>741048633.742239</v>
      </c>
      <c r="D1465" s="198" t="s">
        <v>4225</v>
      </c>
      <c r="E1465" s="198" t="s">
        <v>4226</v>
      </c>
    </row>
    <row r="1466" spans="1:5">
      <c r="A1466" s="198">
        <v>550143764</v>
      </c>
      <c r="B1466" s="198">
        <v>741109847.74294603</v>
      </c>
      <c r="D1466" s="198" t="s">
        <v>4227</v>
      </c>
      <c r="E1466" s="198" t="s">
        <v>4228</v>
      </c>
    </row>
    <row r="1467" spans="1:5">
      <c r="A1467" s="198">
        <v>550251748</v>
      </c>
      <c r="B1467" s="198">
        <v>741217831.74416399</v>
      </c>
      <c r="D1467" s="198" t="s">
        <v>4229</v>
      </c>
      <c r="E1467" s="198" t="s">
        <v>4230</v>
      </c>
    </row>
    <row r="1468" spans="1:5">
      <c r="A1468" s="198">
        <v>550359758</v>
      </c>
      <c r="B1468" s="198">
        <v>741325841.74536097</v>
      </c>
      <c r="D1468" s="198" t="s">
        <v>4231</v>
      </c>
      <c r="E1468" s="198" t="s">
        <v>4232</v>
      </c>
    </row>
    <row r="1469" spans="1:5">
      <c r="A1469" s="198">
        <v>550435382</v>
      </c>
      <c r="B1469" s="198">
        <v>741401465.74624705</v>
      </c>
      <c r="D1469" s="198" t="s">
        <v>4233</v>
      </c>
      <c r="E1469" s="198" t="s">
        <v>4234</v>
      </c>
    </row>
    <row r="1470" spans="1:5">
      <c r="A1470" s="198">
        <v>550510937</v>
      </c>
      <c r="B1470" s="198">
        <v>741477020.74709201</v>
      </c>
      <c r="D1470" s="198" t="s">
        <v>4235</v>
      </c>
      <c r="E1470" s="198" t="s">
        <v>4236</v>
      </c>
    </row>
    <row r="1471" spans="1:5">
      <c r="A1471" s="198">
        <v>550597338</v>
      </c>
      <c r="B1471" s="198">
        <v>741563421.74806094</v>
      </c>
      <c r="D1471" s="198" t="s">
        <v>4237</v>
      </c>
      <c r="E1471" s="198" t="s">
        <v>4238</v>
      </c>
    </row>
    <row r="1472" spans="1:5">
      <c r="A1472" s="198">
        <v>550705348</v>
      </c>
      <c r="B1472" s="198">
        <v>741671431.74927104</v>
      </c>
      <c r="D1472" s="198" t="s">
        <v>4239</v>
      </c>
      <c r="E1472" s="198" t="s">
        <v>4240</v>
      </c>
    </row>
    <row r="1473" spans="1:5">
      <c r="A1473" s="198">
        <v>550780967</v>
      </c>
      <c r="B1473" s="198">
        <v>741747050.75014901</v>
      </c>
      <c r="D1473" s="198" t="s">
        <v>4241</v>
      </c>
      <c r="E1473" s="198" t="s">
        <v>4242</v>
      </c>
    </row>
    <row r="1474" spans="1:5">
      <c r="A1474" s="198">
        <v>550856527</v>
      </c>
      <c r="B1474" s="198">
        <v>741822610.75098705</v>
      </c>
      <c r="D1474" s="198" t="s">
        <v>4243</v>
      </c>
      <c r="E1474" s="198" t="s">
        <v>4244</v>
      </c>
    </row>
    <row r="1475" spans="1:5">
      <c r="A1475" s="198">
        <v>551050932</v>
      </c>
      <c r="B1475" s="198">
        <v>742017015.75317204</v>
      </c>
      <c r="D1475" s="198" t="s">
        <v>4245</v>
      </c>
      <c r="E1475" s="198" t="s">
        <v>4246</v>
      </c>
    </row>
    <row r="1476" spans="1:5">
      <c r="A1476" s="198">
        <v>551137328</v>
      </c>
      <c r="B1476" s="198">
        <v>742103411.75414205</v>
      </c>
      <c r="D1476" s="198" t="s">
        <v>4247</v>
      </c>
      <c r="E1476" s="198" t="s">
        <v>4248</v>
      </c>
    </row>
    <row r="1477" spans="1:5">
      <c r="A1477" s="198">
        <v>551209342</v>
      </c>
      <c r="B1477" s="198">
        <v>742175425.75498903</v>
      </c>
      <c r="D1477" s="198" t="s">
        <v>4249</v>
      </c>
      <c r="E1477" s="198" t="s">
        <v>4250</v>
      </c>
    </row>
    <row r="1478" spans="1:5">
      <c r="A1478" s="198">
        <v>551310120</v>
      </c>
      <c r="B1478" s="198">
        <v>742276203.75609398</v>
      </c>
      <c r="D1478" s="198" t="s">
        <v>4251</v>
      </c>
      <c r="E1478" s="198" t="s">
        <v>4252</v>
      </c>
    </row>
    <row r="1479" spans="1:5">
      <c r="A1479" s="198">
        <v>551396519</v>
      </c>
      <c r="B1479" s="198">
        <v>742362602.75707603</v>
      </c>
      <c r="D1479" s="198" t="s">
        <v>4253</v>
      </c>
      <c r="E1479" s="198" t="s">
        <v>4254</v>
      </c>
    </row>
    <row r="1480" spans="1:5">
      <c r="A1480" s="198">
        <v>551482921</v>
      </c>
      <c r="B1480" s="198">
        <v>742449004.75805795</v>
      </c>
      <c r="D1480" s="198" t="s">
        <v>4255</v>
      </c>
      <c r="E1480" s="198" t="s">
        <v>4256</v>
      </c>
    </row>
    <row r="1481" spans="1:5">
      <c r="A1481" s="198">
        <v>551569314</v>
      </c>
      <c r="B1481" s="198">
        <v>742535397.75903296</v>
      </c>
      <c r="D1481" s="198" t="s">
        <v>4257</v>
      </c>
      <c r="E1481" s="198" t="s">
        <v>4258</v>
      </c>
    </row>
    <row r="1482" spans="1:5">
      <c r="A1482" s="198">
        <v>551655708</v>
      </c>
      <c r="B1482" s="198">
        <v>742621791.759992</v>
      </c>
      <c r="D1482" s="198" t="s">
        <v>4259</v>
      </c>
      <c r="E1482" s="198" t="s">
        <v>4260</v>
      </c>
    </row>
    <row r="1483" spans="1:5">
      <c r="A1483" s="198">
        <v>551742102</v>
      </c>
      <c r="B1483" s="198">
        <v>742708185.76097202</v>
      </c>
      <c r="D1483" s="198" t="s">
        <v>4261</v>
      </c>
      <c r="E1483" s="198" t="s">
        <v>4262</v>
      </c>
    </row>
    <row r="1484" spans="1:5">
      <c r="A1484" s="198">
        <v>551828502</v>
      </c>
      <c r="B1484" s="198">
        <v>742794585.76195502</v>
      </c>
      <c r="D1484" s="198" t="s">
        <v>4263</v>
      </c>
      <c r="E1484" s="198" t="s">
        <v>4264</v>
      </c>
    </row>
    <row r="1485" spans="1:5">
      <c r="A1485" s="198">
        <v>551914896</v>
      </c>
      <c r="B1485" s="198">
        <v>742880979.762923</v>
      </c>
      <c r="D1485" s="198" t="s">
        <v>4265</v>
      </c>
      <c r="E1485" s="198" t="s">
        <v>4266</v>
      </c>
    </row>
    <row r="1486" spans="1:5">
      <c r="A1486" s="198">
        <v>552001295</v>
      </c>
      <c r="B1486" s="198">
        <v>742967378.76389599</v>
      </c>
      <c r="D1486" s="198" t="s">
        <v>4267</v>
      </c>
      <c r="E1486" s="198" t="s">
        <v>4268</v>
      </c>
    </row>
    <row r="1487" spans="1:5">
      <c r="A1487" s="198">
        <v>552069695</v>
      </c>
      <c r="B1487" s="198">
        <v>743035778.76469004</v>
      </c>
      <c r="D1487" s="198" t="s">
        <v>4269</v>
      </c>
      <c r="E1487" s="198" t="s">
        <v>4270</v>
      </c>
    </row>
    <row r="1488" spans="1:5">
      <c r="A1488" s="198">
        <v>552174083</v>
      </c>
      <c r="B1488" s="198">
        <v>743140166.76584995</v>
      </c>
      <c r="D1488" s="198" t="s">
        <v>4271</v>
      </c>
      <c r="E1488" s="198" t="s">
        <v>4272</v>
      </c>
    </row>
    <row r="1489" spans="1:5">
      <c r="A1489" s="198">
        <v>552242483</v>
      </c>
      <c r="B1489" s="198">
        <v>743208566.76664305</v>
      </c>
      <c r="D1489" s="198" t="s">
        <v>4273</v>
      </c>
      <c r="E1489" s="198" t="s">
        <v>4274</v>
      </c>
    </row>
    <row r="1490" spans="1:5">
      <c r="A1490" s="198">
        <v>552346868</v>
      </c>
      <c r="B1490" s="198">
        <v>743312951.76779306</v>
      </c>
      <c r="D1490" s="198" t="s">
        <v>4275</v>
      </c>
      <c r="E1490" s="198" t="s">
        <v>4276</v>
      </c>
    </row>
    <row r="1491" spans="1:5">
      <c r="A1491" s="198">
        <v>552433263</v>
      </c>
      <c r="B1491" s="198">
        <v>743399346.76877797</v>
      </c>
      <c r="D1491" s="198" t="s">
        <v>4277</v>
      </c>
      <c r="E1491" s="198" t="s">
        <v>4278</v>
      </c>
    </row>
    <row r="1492" spans="1:5">
      <c r="A1492" s="198">
        <v>552519659</v>
      </c>
      <c r="B1492" s="198">
        <v>743485742.76973903</v>
      </c>
      <c r="D1492" s="198" t="s">
        <v>4279</v>
      </c>
      <c r="E1492" s="198" t="s">
        <v>4280</v>
      </c>
    </row>
    <row r="1493" spans="1:5">
      <c r="A1493" s="198">
        <v>552562827</v>
      </c>
      <c r="B1493" s="198">
        <v>743528910.77021694</v>
      </c>
      <c r="D1493" s="198" t="s">
        <v>4281</v>
      </c>
      <c r="E1493" s="198" t="s">
        <v>4282</v>
      </c>
    </row>
    <row r="1494" spans="1:5">
      <c r="A1494" s="198">
        <v>552692443</v>
      </c>
      <c r="B1494" s="198">
        <v>743658526.77170503</v>
      </c>
      <c r="D1494" s="198" t="s">
        <v>4283</v>
      </c>
      <c r="E1494" s="198" t="s">
        <v>4284</v>
      </c>
    </row>
    <row r="1495" spans="1:5">
      <c r="A1495" s="198">
        <v>552757243</v>
      </c>
      <c r="B1495" s="198">
        <v>743723326.77244794</v>
      </c>
      <c r="D1495" s="198" t="s">
        <v>4285</v>
      </c>
      <c r="E1495" s="198" t="s">
        <v>4286</v>
      </c>
    </row>
    <row r="1496" spans="1:5">
      <c r="A1496" s="198">
        <v>552865233</v>
      </c>
      <c r="B1496" s="198">
        <v>743831316.77363801</v>
      </c>
      <c r="D1496" s="198" t="s">
        <v>4287</v>
      </c>
      <c r="E1496" s="198" t="s">
        <v>4288</v>
      </c>
    </row>
    <row r="1497" spans="1:5">
      <c r="A1497" s="198">
        <v>552948027</v>
      </c>
      <c r="B1497" s="198">
        <v>743914110.77458</v>
      </c>
      <c r="D1497" s="198" t="s">
        <v>4289</v>
      </c>
      <c r="E1497" s="198" t="s">
        <v>4290</v>
      </c>
    </row>
    <row r="1498" spans="1:5">
      <c r="A1498" s="198">
        <v>553016407</v>
      </c>
      <c r="B1498" s="198">
        <v>743982490.77535498</v>
      </c>
      <c r="D1498" s="198" t="s">
        <v>4291</v>
      </c>
      <c r="E1498" s="198" t="s">
        <v>4292</v>
      </c>
    </row>
    <row r="1499" spans="1:5">
      <c r="A1499" s="198">
        <v>553124414</v>
      </c>
      <c r="B1499" s="198">
        <v>744090497.77657402</v>
      </c>
      <c r="D1499" s="198" t="s">
        <v>4293</v>
      </c>
      <c r="E1499" s="198" t="s">
        <v>4294</v>
      </c>
    </row>
    <row r="1500" spans="1:5">
      <c r="A1500" s="198">
        <v>553160409</v>
      </c>
      <c r="B1500" s="198">
        <v>744126492.77697694</v>
      </c>
      <c r="D1500" s="198" t="s">
        <v>4295</v>
      </c>
      <c r="E1500" s="198" t="s">
        <v>4296</v>
      </c>
    </row>
    <row r="1501" spans="1:5">
      <c r="A1501" s="198">
        <v>553221620</v>
      </c>
      <c r="B1501" s="198">
        <v>744187703.77766895</v>
      </c>
      <c r="D1501" s="198" t="s">
        <v>4297</v>
      </c>
      <c r="E1501" s="198" t="s">
        <v>4298</v>
      </c>
    </row>
    <row r="1502" spans="1:5">
      <c r="A1502" s="198">
        <v>553333197</v>
      </c>
      <c r="B1502" s="198">
        <v>744299280.778934</v>
      </c>
      <c r="D1502" s="198" t="s">
        <v>4299</v>
      </c>
      <c r="E1502" s="198" t="s">
        <v>4300</v>
      </c>
    </row>
    <row r="1503" spans="1:5">
      <c r="A1503" s="198">
        <v>553448387</v>
      </c>
      <c r="B1503" s="198">
        <v>744414470.78022397</v>
      </c>
      <c r="D1503" s="198" t="s">
        <v>4301</v>
      </c>
      <c r="E1503" s="198" t="s">
        <v>4302</v>
      </c>
    </row>
    <row r="1504" spans="1:5">
      <c r="A1504" s="198">
        <v>554074770</v>
      </c>
      <c r="B1504" s="198">
        <v>745040853.78725898</v>
      </c>
      <c r="D1504" s="198" t="s">
        <v>4303</v>
      </c>
      <c r="E1504" s="198" t="s">
        <v>4304</v>
      </c>
    </row>
    <row r="1505" spans="1:5">
      <c r="A1505" s="198">
        <v>554082001</v>
      </c>
      <c r="B1505" s="198">
        <v>745048084.78735602</v>
      </c>
      <c r="D1505" s="198" t="s">
        <v>4305</v>
      </c>
      <c r="E1505" s="198" t="s">
        <v>4306</v>
      </c>
    </row>
    <row r="1506" spans="1:5">
      <c r="A1506" s="198">
        <v>554679546</v>
      </c>
      <c r="B1506" s="198">
        <v>745645629.79404199</v>
      </c>
      <c r="D1506" s="198" t="s">
        <v>4307</v>
      </c>
      <c r="E1506" s="198" t="s">
        <v>4308</v>
      </c>
    </row>
    <row r="1507" spans="1:5">
      <c r="A1507" s="198">
        <v>554711963</v>
      </c>
      <c r="B1507" s="198">
        <v>745678046.79441905</v>
      </c>
      <c r="D1507" s="198" t="s">
        <v>4309</v>
      </c>
      <c r="E1507" s="198" t="s">
        <v>4310</v>
      </c>
    </row>
    <row r="1508" spans="1:5">
      <c r="A1508" s="198">
        <v>555197878</v>
      </c>
      <c r="B1508" s="198">
        <v>746163961.79986298</v>
      </c>
      <c r="D1508" s="198" t="s">
        <v>4311</v>
      </c>
      <c r="E1508" s="198" t="s">
        <v>4312</v>
      </c>
    </row>
    <row r="1509" spans="1:5">
      <c r="A1509" s="198">
        <v>555284257</v>
      </c>
      <c r="B1509" s="198">
        <v>746250340.80083096</v>
      </c>
      <c r="D1509" s="198" t="s">
        <v>4313</v>
      </c>
      <c r="E1509" s="198" t="s">
        <v>4314</v>
      </c>
    </row>
    <row r="1510" spans="1:5">
      <c r="A1510" s="198">
        <v>555287885</v>
      </c>
      <c r="B1510" s="198">
        <v>746253968.80088305</v>
      </c>
      <c r="D1510" s="198" t="s">
        <v>4315</v>
      </c>
      <c r="E1510" s="198" t="s">
        <v>4316</v>
      </c>
    </row>
    <row r="1511" spans="1:5">
      <c r="A1511" s="198">
        <v>555889053</v>
      </c>
      <c r="B1511" s="198">
        <v>746855136.80764902</v>
      </c>
      <c r="D1511" s="198" t="s">
        <v>4317</v>
      </c>
      <c r="E1511" s="198" t="s">
        <v>4318</v>
      </c>
    </row>
    <row r="1512" spans="1:5">
      <c r="A1512" s="198">
        <v>555917881</v>
      </c>
      <c r="B1512" s="198">
        <v>746883964.80793595</v>
      </c>
      <c r="D1512" s="198" t="s">
        <v>4319</v>
      </c>
      <c r="E1512" s="198" t="s">
        <v>4320</v>
      </c>
    </row>
    <row r="1513" spans="1:5">
      <c r="A1513" s="198">
        <v>556493758</v>
      </c>
      <c r="B1513" s="198">
        <v>747459841.81432295</v>
      </c>
      <c r="D1513" s="198" t="s">
        <v>4321</v>
      </c>
      <c r="E1513" s="198" t="s">
        <v>4322</v>
      </c>
    </row>
    <row r="1514" spans="1:5">
      <c r="A1514" s="198">
        <v>557094878</v>
      </c>
      <c r="B1514" s="198">
        <v>748060961.82103503</v>
      </c>
      <c r="D1514" s="198" t="s">
        <v>4323</v>
      </c>
      <c r="E1514" s="198" t="s">
        <v>4324</v>
      </c>
    </row>
    <row r="1515" spans="1:5">
      <c r="A1515" s="198">
        <v>557123665</v>
      </c>
      <c r="B1515" s="198">
        <v>748089748.82137299</v>
      </c>
      <c r="D1515" s="198" t="s">
        <v>4325</v>
      </c>
      <c r="E1515" s="198" t="s">
        <v>4326</v>
      </c>
    </row>
    <row r="1516" spans="1:5">
      <c r="A1516" s="198">
        <v>557357510</v>
      </c>
      <c r="B1516" s="198">
        <v>748323593.82394397</v>
      </c>
      <c r="D1516" s="198" t="s">
        <v>4327</v>
      </c>
      <c r="E1516" s="198" t="s">
        <v>4328</v>
      </c>
    </row>
    <row r="1517" spans="1:5">
      <c r="A1517" s="198">
        <v>557440431</v>
      </c>
      <c r="B1517" s="198">
        <v>748406514.82490003</v>
      </c>
      <c r="D1517" s="198" t="s">
        <v>4329</v>
      </c>
      <c r="E1517" s="198" t="s">
        <v>4330</v>
      </c>
    </row>
    <row r="1518" spans="1:5">
      <c r="A1518" s="198">
        <v>558102633</v>
      </c>
      <c r="B1518" s="198">
        <v>749068716.83224106</v>
      </c>
      <c r="D1518" s="198" t="s">
        <v>4331</v>
      </c>
      <c r="E1518" s="198" t="s">
        <v>4332</v>
      </c>
    </row>
    <row r="1519" spans="1:5">
      <c r="A1519" s="198">
        <v>558189047</v>
      </c>
      <c r="B1519" s="198">
        <v>749155130.83320999</v>
      </c>
      <c r="D1519" s="198" t="s">
        <v>4333</v>
      </c>
      <c r="E1519" s="198" t="s">
        <v>4334</v>
      </c>
    </row>
    <row r="1520" spans="1:5">
      <c r="A1520" s="198">
        <v>558307808</v>
      </c>
      <c r="B1520" s="198">
        <v>749273891.83446896</v>
      </c>
      <c r="D1520" s="198" t="s">
        <v>4335</v>
      </c>
      <c r="E1520" s="198" t="s">
        <v>4336</v>
      </c>
    </row>
    <row r="1521" spans="1:5">
      <c r="A1521" s="198">
        <v>558394194</v>
      </c>
      <c r="B1521" s="198">
        <v>749360277.83544195</v>
      </c>
      <c r="D1521" s="198" t="s">
        <v>4337</v>
      </c>
      <c r="E1521" s="198" t="s">
        <v>4338</v>
      </c>
    </row>
    <row r="1522" spans="1:5">
      <c r="A1522" s="198">
        <v>558477012</v>
      </c>
      <c r="B1522" s="198">
        <v>749443095.83637297</v>
      </c>
      <c r="D1522" s="198" t="s">
        <v>4339</v>
      </c>
      <c r="E1522" s="198" t="s">
        <v>4340</v>
      </c>
    </row>
    <row r="1523" spans="1:5">
      <c r="A1523" s="198">
        <v>558559773</v>
      </c>
      <c r="B1523" s="198">
        <v>749525856.83730304</v>
      </c>
      <c r="D1523" s="198" t="s">
        <v>4341</v>
      </c>
      <c r="E1523" s="198" t="s">
        <v>4342</v>
      </c>
    </row>
    <row r="1524" spans="1:5">
      <c r="A1524" s="198">
        <v>558646444</v>
      </c>
      <c r="B1524" s="198">
        <v>749612527.83825397</v>
      </c>
      <c r="D1524" s="198" t="s">
        <v>4343</v>
      </c>
      <c r="E1524" s="198" t="s">
        <v>4344</v>
      </c>
    </row>
    <row r="1525" spans="1:5">
      <c r="A1525" s="198">
        <v>558739744</v>
      </c>
      <c r="B1525" s="198">
        <v>749705827.839252</v>
      </c>
      <c r="D1525" s="198" t="s">
        <v>4345</v>
      </c>
      <c r="E1525" s="198" t="s">
        <v>4346</v>
      </c>
    </row>
    <row r="1526" spans="1:5">
      <c r="A1526" s="198">
        <v>558782910</v>
      </c>
      <c r="B1526" s="198">
        <v>749748993.83975804</v>
      </c>
      <c r="D1526" s="198" t="s">
        <v>4347</v>
      </c>
      <c r="E1526" s="198" t="s">
        <v>4348</v>
      </c>
    </row>
    <row r="1527" spans="1:5">
      <c r="A1527" s="198">
        <v>558905327</v>
      </c>
      <c r="B1527" s="198">
        <v>749871410.841097</v>
      </c>
      <c r="D1527" s="198" t="s">
        <v>4349</v>
      </c>
      <c r="E1527" s="198" t="s">
        <v>4350</v>
      </c>
    </row>
    <row r="1528" spans="1:5">
      <c r="A1528" s="198">
        <v>558991886</v>
      </c>
      <c r="B1528" s="198">
        <v>749957969.84205699</v>
      </c>
      <c r="D1528" s="198" t="s">
        <v>4351</v>
      </c>
      <c r="E1528" s="198" t="s">
        <v>4352</v>
      </c>
    </row>
    <row r="1529" spans="1:5">
      <c r="A1529" s="198">
        <v>559078122</v>
      </c>
      <c r="B1529" s="198">
        <v>750044205.84301102</v>
      </c>
      <c r="D1529" s="198" t="s">
        <v>4353</v>
      </c>
      <c r="E1529" s="198" t="s">
        <v>4354</v>
      </c>
    </row>
    <row r="1530" spans="1:5">
      <c r="A1530" s="198">
        <v>559171673</v>
      </c>
      <c r="B1530" s="198">
        <v>750137756.84400797</v>
      </c>
      <c r="D1530" s="198" t="s">
        <v>4355</v>
      </c>
      <c r="E1530" s="198" t="s">
        <v>4356</v>
      </c>
    </row>
    <row r="1531" spans="1:5">
      <c r="A1531" s="198">
        <v>559250898</v>
      </c>
      <c r="B1531" s="198">
        <v>750216981.84489405</v>
      </c>
      <c r="D1531" s="198" t="s">
        <v>4357</v>
      </c>
      <c r="E1531" s="198" t="s">
        <v>4358</v>
      </c>
    </row>
    <row r="1532" spans="1:5">
      <c r="A1532" s="198">
        <v>559308476</v>
      </c>
      <c r="B1532" s="198">
        <v>750274559.84554505</v>
      </c>
      <c r="D1532" s="198" t="s">
        <v>4359</v>
      </c>
      <c r="E1532" s="198" t="s">
        <v>4360</v>
      </c>
    </row>
    <row r="1533" spans="1:5">
      <c r="A1533" s="198">
        <v>559420047</v>
      </c>
      <c r="B1533" s="198">
        <v>750386130.84675598</v>
      </c>
      <c r="D1533" s="198" t="s">
        <v>4361</v>
      </c>
      <c r="E1533" s="198" t="s">
        <v>4362</v>
      </c>
    </row>
    <row r="1534" spans="1:5">
      <c r="A1534" s="198">
        <v>559510061</v>
      </c>
      <c r="B1534" s="198">
        <v>750476144.84774196</v>
      </c>
      <c r="D1534" s="198" t="s">
        <v>4363</v>
      </c>
      <c r="E1534" s="198" t="s">
        <v>4364</v>
      </c>
    </row>
    <row r="1535" spans="1:5">
      <c r="A1535" s="198">
        <v>559592852</v>
      </c>
      <c r="B1535" s="198">
        <v>750558935.84864497</v>
      </c>
      <c r="D1535" s="198" t="s">
        <v>4365</v>
      </c>
      <c r="E1535" s="198" t="s">
        <v>4366</v>
      </c>
    </row>
    <row r="1536" spans="1:5">
      <c r="A1536" s="198">
        <v>559668398</v>
      </c>
      <c r="B1536" s="198">
        <v>750634481.84945095</v>
      </c>
      <c r="D1536" s="198" t="s">
        <v>4367</v>
      </c>
      <c r="E1536" s="198" t="s">
        <v>4368</v>
      </c>
    </row>
    <row r="1537" spans="1:5">
      <c r="A1537" s="198">
        <v>559736795</v>
      </c>
      <c r="B1537" s="198">
        <v>750702878.85022795</v>
      </c>
      <c r="D1537" s="198" t="s">
        <v>4369</v>
      </c>
      <c r="E1537" s="198" t="s">
        <v>4370</v>
      </c>
    </row>
    <row r="1538" spans="1:5">
      <c r="A1538" s="198">
        <v>559823187</v>
      </c>
      <c r="B1538" s="198">
        <v>750789270.85117698</v>
      </c>
      <c r="D1538" s="198" t="s">
        <v>4371</v>
      </c>
      <c r="E1538" s="198" t="s">
        <v>4372</v>
      </c>
    </row>
    <row r="1539" spans="1:5">
      <c r="A1539" s="198">
        <v>559913194</v>
      </c>
      <c r="B1539" s="198">
        <v>750879277.85216796</v>
      </c>
      <c r="D1539" s="198" t="s">
        <v>4373</v>
      </c>
      <c r="E1539" s="198" t="s">
        <v>4374</v>
      </c>
    </row>
    <row r="1540" spans="1:5">
      <c r="A1540" s="198">
        <v>559995952</v>
      </c>
      <c r="B1540" s="198">
        <v>750962035.85305905</v>
      </c>
      <c r="D1540" s="198" t="s">
        <v>4375</v>
      </c>
      <c r="E1540" s="198" t="s">
        <v>4376</v>
      </c>
    </row>
    <row r="1541" spans="1:5">
      <c r="A1541" s="198">
        <v>560111150</v>
      </c>
      <c r="B1541" s="198">
        <v>751077233.85430706</v>
      </c>
      <c r="D1541" s="198" t="s">
        <v>4377</v>
      </c>
      <c r="E1541" s="198" t="s">
        <v>4378</v>
      </c>
    </row>
    <row r="1542" spans="1:5">
      <c r="A1542" s="198">
        <v>560197531</v>
      </c>
      <c r="B1542" s="198">
        <v>751163614.85526097</v>
      </c>
      <c r="D1542" s="198" t="s">
        <v>4379</v>
      </c>
      <c r="E1542" s="198" t="s">
        <v>4380</v>
      </c>
    </row>
    <row r="1543" spans="1:5">
      <c r="A1543" s="198">
        <v>560280329</v>
      </c>
      <c r="B1543" s="198">
        <v>751246412.856161</v>
      </c>
      <c r="D1543" s="198" t="s">
        <v>4381</v>
      </c>
      <c r="E1543" s="198" t="s">
        <v>4382</v>
      </c>
    </row>
    <row r="1544" spans="1:5">
      <c r="A1544" s="198">
        <v>560370334</v>
      </c>
      <c r="B1544" s="198">
        <v>751336417.85714197</v>
      </c>
      <c r="D1544" s="198" t="s">
        <v>4383</v>
      </c>
      <c r="E1544" s="198" t="s">
        <v>4384</v>
      </c>
    </row>
    <row r="1545" spans="1:5">
      <c r="A1545" s="198">
        <v>560420672</v>
      </c>
      <c r="B1545" s="198">
        <v>751386755.85770202</v>
      </c>
      <c r="D1545" s="198" t="s">
        <v>4385</v>
      </c>
      <c r="E1545" s="198" t="s">
        <v>4386</v>
      </c>
    </row>
    <row r="1546" spans="1:5">
      <c r="A1546" s="198">
        <v>560553871</v>
      </c>
      <c r="B1546" s="198">
        <v>751519954.85911703</v>
      </c>
      <c r="D1546" s="198" t="s">
        <v>4387</v>
      </c>
      <c r="E1546" s="198" t="s">
        <v>4388</v>
      </c>
    </row>
    <row r="1547" spans="1:5">
      <c r="A1547" s="198">
        <v>560589843</v>
      </c>
      <c r="B1547" s="198">
        <v>751555926.85954201</v>
      </c>
      <c r="D1547" s="198" t="s">
        <v>4389</v>
      </c>
      <c r="E1547" s="198" t="s">
        <v>4390</v>
      </c>
    </row>
    <row r="1548" spans="1:5">
      <c r="A1548" s="198">
        <v>560676231</v>
      </c>
      <c r="B1548" s="198">
        <v>751642314.86048305</v>
      </c>
      <c r="D1548" s="198" t="s">
        <v>4391</v>
      </c>
      <c r="E1548" s="198" t="s">
        <v>4392</v>
      </c>
    </row>
    <row r="1549" spans="1:5">
      <c r="A1549" s="198">
        <v>560802282</v>
      </c>
      <c r="B1549" s="198">
        <v>751768365.86184001</v>
      </c>
      <c r="D1549" s="198" t="s">
        <v>4393</v>
      </c>
      <c r="E1549" s="198" t="s">
        <v>4394</v>
      </c>
    </row>
    <row r="1550" spans="1:5">
      <c r="A1550" s="198">
        <v>560888655</v>
      </c>
      <c r="B1550" s="198">
        <v>751854738.862795</v>
      </c>
      <c r="D1550" s="198" t="s">
        <v>4395</v>
      </c>
      <c r="E1550" s="198" t="s">
        <v>4396</v>
      </c>
    </row>
    <row r="1551" spans="1:5">
      <c r="A1551" s="198">
        <v>560946239</v>
      </c>
      <c r="B1551" s="198">
        <v>751912322.86342597</v>
      </c>
      <c r="D1551" s="198" t="s">
        <v>4397</v>
      </c>
      <c r="E1551" s="198" t="s">
        <v>4398</v>
      </c>
    </row>
    <row r="1552" spans="1:5">
      <c r="A1552" s="198">
        <v>561072196</v>
      </c>
      <c r="B1552" s="198">
        <v>752038279.86476696</v>
      </c>
      <c r="D1552" s="198" t="s">
        <v>4399</v>
      </c>
      <c r="E1552" s="198" t="s">
        <v>4400</v>
      </c>
    </row>
    <row r="1553" spans="1:5">
      <c r="A1553" s="198">
        <v>561144211</v>
      </c>
      <c r="B1553" s="198">
        <v>752110294.86555898</v>
      </c>
      <c r="D1553" s="198" t="s">
        <v>4401</v>
      </c>
      <c r="E1553" s="198" t="s">
        <v>4402</v>
      </c>
    </row>
    <row r="1554" spans="1:5">
      <c r="A1554" s="198">
        <v>561230606</v>
      </c>
      <c r="B1554" s="198">
        <v>752196689.86650395</v>
      </c>
      <c r="D1554" s="198" t="s">
        <v>4403</v>
      </c>
      <c r="E1554" s="198" t="s">
        <v>4404</v>
      </c>
    </row>
    <row r="1555" spans="1:5">
      <c r="A1555" s="198">
        <v>561316997</v>
      </c>
      <c r="B1555" s="198">
        <v>752283080.86742997</v>
      </c>
      <c r="D1555" s="198" t="s">
        <v>4405</v>
      </c>
      <c r="E1555" s="198" t="s">
        <v>4406</v>
      </c>
    </row>
    <row r="1556" spans="1:5">
      <c r="A1556" s="198">
        <v>561403388</v>
      </c>
      <c r="B1556" s="198">
        <v>752369471.86837602</v>
      </c>
      <c r="D1556" s="198" t="s">
        <v>4407</v>
      </c>
      <c r="E1556" s="198" t="s">
        <v>4408</v>
      </c>
    </row>
    <row r="1557" spans="1:5">
      <c r="A1557" s="198">
        <v>561489779</v>
      </c>
      <c r="B1557" s="198">
        <v>752455862.86930597</v>
      </c>
      <c r="D1557" s="198" t="s">
        <v>4409</v>
      </c>
      <c r="E1557" s="198" t="s">
        <v>4410</v>
      </c>
    </row>
    <row r="1558" spans="1:5">
      <c r="A1558" s="198">
        <v>561591438</v>
      </c>
      <c r="B1558" s="198">
        <v>752557521.87039304</v>
      </c>
      <c r="D1558" s="198" t="s">
        <v>4411</v>
      </c>
      <c r="E1558" s="198" t="s">
        <v>4412</v>
      </c>
    </row>
    <row r="1559" spans="1:5">
      <c r="A1559" s="198">
        <v>561676917</v>
      </c>
      <c r="B1559" s="198">
        <v>752643000.87132096</v>
      </c>
      <c r="D1559" s="198" t="s">
        <v>4413</v>
      </c>
      <c r="E1559" s="198" t="s">
        <v>4414</v>
      </c>
    </row>
    <row r="1560" spans="1:5">
      <c r="A1560" s="198">
        <v>561720126</v>
      </c>
      <c r="B1560" s="198">
        <v>752686209.87179995</v>
      </c>
      <c r="D1560" s="198" t="s">
        <v>4415</v>
      </c>
      <c r="E1560" s="198" t="s">
        <v>4416</v>
      </c>
    </row>
    <row r="1561" spans="1:5">
      <c r="A1561" s="198">
        <v>561806510</v>
      </c>
      <c r="B1561" s="198">
        <v>752772593.87273896</v>
      </c>
      <c r="D1561" s="198" t="s">
        <v>4417</v>
      </c>
      <c r="E1561" s="198" t="s">
        <v>4418</v>
      </c>
    </row>
    <row r="1562" spans="1:5">
      <c r="A1562" s="198">
        <v>561936706</v>
      </c>
      <c r="B1562" s="198">
        <v>752902789.87413394</v>
      </c>
      <c r="D1562" s="198" t="s">
        <v>4419</v>
      </c>
      <c r="E1562" s="198" t="s">
        <v>4420</v>
      </c>
    </row>
    <row r="1563" spans="1:5">
      <c r="A1563" s="198">
        <v>562008115</v>
      </c>
      <c r="B1563" s="198">
        <v>752974198.87492299</v>
      </c>
      <c r="D1563" s="198" t="s">
        <v>4421</v>
      </c>
      <c r="E1563" s="198" t="s">
        <v>4422</v>
      </c>
    </row>
    <row r="1564" spans="1:5">
      <c r="A1564" s="198">
        <v>562108864</v>
      </c>
      <c r="B1564" s="198">
        <v>753074947.87598598</v>
      </c>
      <c r="D1564" s="198" t="s">
        <v>4423</v>
      </c>
      <c r="E1564" s="198" t="s">
        <v>4424</v>
      </c>
    </row>
    <row r="1565" spans="1:5">
      <c r="A1565" s="198">
        <v>562180883</v>
      </c>
      <c r="B1565" s="198">
        <v>753146966.876773</v>
      </c>
      <c r="D1565" s="198" t="s">
        <v>4425</v>
      </c>
      <c r="E1565" s="198" t="s">
        <v>4426</v>
      </c>
    </row>
    <row r="1566" spans="1:5">
      <c r="A1566" s="198">
        <v>562267270</v>
      </c>
      <c r="B1566" s="198">
        <v>753233353.87770796</v>
      </c>
      <c r="D1566" s="198" t="s">
        <v>4427</v>
      </c>
      <c r="E1566" s="198" t="s">
        <v>4428</v>
      </c>
    </row>
    <row r="1567" spans="1:5">
      <c r="A1567" s="198">
        <v>562350040</v>
      </c>
      <c r="B1567" s="198">
        <v>753316123.87860298</v>
      </c>
      <c r="D1567" s="198" t="s">
        <v>4429</v>
      </c>
      <c r="E1567" s="198" t="s">
        <v>4430</v>
      </c>
    </row>
    <row r="1568" spans="1:5">
      <c r="A1568" s="198">
        <v>562386004</v>
      </c>
      <c r="B1568" s="198">
        <v>753352087.87895894</v>
      </c>
      <c r="D1568" s="198" t="s">
        <v>4431</v>
      </c>
      <c r="E1568" s="198" t="s">
        <v>4432</v>
      </c>
    </row>
    <row r="1569" spans="1:5">
      <c r="A1569" s="198">
        <v>562540808</v>
      </c>
      <c r="B1569" s="198">
        <v>753506891.88063097</v>
      </c>
      <c r="D1569" s="198" t="s">
        <v>4433</v>
      </c>
      <c r="E1569" s="198" t="s">
        <v>4434</v>
      </c>
    </row>
    <row r="1570" spans="1:5">
      <c r="A1570" s="198">
        <v>562627199</v>
      </c>
      <c r="B1570" s="198">
        <v>753593282.88156199</v>
      </c>
      <c r="D1570" s="198" t="s">
        <v>4435</v>
      </c>
      <c r="E1570" s="198" t="s">
        <v>4436</v>
      </c>
    </row>
    <row r="1571" spans="1:5">
      <c r="A1571" s="198">
        <v>562695606</v>
      </c>
      <c r="B1571" s="198">
        <v>753661689.88232601</v>
      </c>
      <c r="D1571" s="198" t="s">
        <v>4437</v>
      </c>
      <c r="E1571" s="198" t="s">
        <v>4438</v>
      </c>
    </row>
    <row r="1572" spans="1:5">
      <c r="A1572" s="198">
        <v>562799976</v>
      </c>
      <c r="B1572" s="198">
        <v>753766059.88344097</v>
      </c>
      <c r="D1572" s="198" t="s">
        <v>4439</v>
      </c>
      <c r="E1572" s="198" t="s">
        <v>4440</v>
      </c>
    </row>
    <row r="1573" spans="1:5">
      <c r="A1573" s="198">
        <v>562886368</v>
      </c>
      <c r="B1573" s="198">
        <v>753852451.88436997</v>
      </c>
      <c r="D1573" s="198" t="s">
        <v>4441</v>
      </c>
      <c r="E1573" s="198" t="s">
        <v>4442</v>
      </c>
    </row>
    <row r="1574" spans="1:5">
      <c r="A1574" s="198">
        <v>562943954</v>
      </c>
      <c r="B1574" s="198">
        <v>753910037.884969</v>
      </c>
      <c r="D1574" s="198" t="s">
        <v>4443</v>
      </c>
      <c r="E1574" s="198" t="s">
        <v>4444</v>
      </c>
    </row>
    <row r="1575" spans="1:5">
      <c r="A1575" s="198">
        <v>563041185</v>
      </c>
      <c r="B1575" s="198">
        <v>754007268.88602996</v>
      </c>
      <c r="D1575" s="198" t="s">
        <v>4445</v>
      </c>
      <c r="E1575" s="198" t="s">
        <v>4446</v>
      </c>
    </row>
    <row r="1576" spans="1:5">
      <c r="A1576" s="198">
        <v>563145531</v>
      </c>
      <c r="B1576" s="198">
        <v>754111614.88714802</v>
      </c>
      <c r="D1576" s="198" t="s">
        <v>4447</v>
      </c>
      <c r="E1576" s="198" t="s">
        <v>4448</v>
      </c>
    </row>
    <row r="1577" spans="1:5">
      <c r="A1577" s="198">
        <v>563224721</v>
      </c>
      <c r="B1577" s="198">
        <v>754190804.88798797</v>
      </c>
      <c r="D1577" s="198" t="s">
        <v>4449</v>
      </c>
      <c r="E1577" s="198" t="s">
        <v>4450</v>
      </c>
    </row>
    <row r="1578" spans="1:5">
      <c r="A1578" s="198">
        <v>563318315</v>
      </c>
      <c r="B1578" s="198">
        <v>754284398.88899505</v>
      </c>
      <c r="D1578" s="198" t="s">
        <v>4451</v>
      </c>
      <c r="E1578" s="198" t="s">
        <v>4452</v>
      </c>
    </row>
    <row r="1579" spans="1:5">
      <c r="A1579" s="198">
        <v>563404699</v>
      </c>
      <c r="B1579" s="198">
        <v>754370782.88993299</v>
      </c>
      <c r="D1579" s="198" t="s">
        <v>4453</v>
      </c>
      <c r="E1579" s="198" t="s">
        <v>4454</v>
      </c>
    </row>
    <row r="1580" spans="1:5">
      <c r="A1580" s="198">
        <v>563433482</v>
      </c>
      <c r="B1580" s="198">
        <v>754399565.89024794</v>
      </c>
      <c r="D1580" s="198" t="s">
        <v>4455</v>
      </c>
      <c r="E1580" s="198" t="s">
        <v>4456</v>
      </c>
    </row>
    <row r="1581" spans="1:5">
      <c r="A1581" s="198">
        <v>563577481</v>
      </c>
      <c r="B1581" s="198">
        <v>754543564.89178896</v>
      </c>
      <c r="D1581" s="198" t="s">
        <v>4457</v>
      </c>
      <c r="E1581" s="198" t="s">
        <v>4458</v>
      </c>
    </row>
    <row r="1582" spans="1:5">
      <c r="A1582" s="198">
        <v>563645913</v>
      </c>
      <c r="B1582" s="198">
        <v>754611996.89252698</v>
      </c>
      <c r="D1582" s="198" t="s">
        <v>4459</v>
      </c>
      <c r="E1582" s="198" t="s">
        <v>4460</v>
      </c>
    </row>
    <row r="1583" spans="1:5">
      <c r="A1583" s="198">
        <v>563750268</v>
      </c>
      <c r="B1583" s="198">
        <v>754716351.89364505</v>
      </c>
      <c r="D1583" s="198" t="s">
        <v>4461</v>
      </c>
      <c r="E1583" s="198" t="s">
        <v>4462</v>
      </c>
    </row>
    <row r="1584" spans="1:5">
      <c r="A1584" s="198">
        <v>563836654</v>
      </c>
      <c r="B1584" s="198">
        <v>754802737.89457297</v>
      </c>
      <c r="D1584" s="198" t="s">
        <v>4463</v>
      </c>
      <c r="E1584" s="198" t="s">
        <v>4464</v>
      </c>
    </row>
    <row r="1585" spans="1:5">
      <c r="A1585" s="198">
        <v>563923043</v>
      </c>
      <c r="B1585" s="198">
        <v>754889126.89549994</v>
      </c>
      <c r="D1585" s="198" t="s">
        <v>4465</v>
      </c>
      <c r="E1585" s="198" t="s">
        <v>4466</v>
      </c>
    </row>
    <row r="1586" spans="1:5">
      <c r="A1586" s="198">
        <v>563987871</v>
      </c>
      <c r="B1586" s="198">
        <v>754953954.89619505</v>
      </c>
      <c r="D1586" s="198" t="s">
        <v>4467</v>
      </c>
      <c r="E1586" s="198" t="s">
        <v>4468</v>
      </c>
    </row>
    <row r="1587" spans="1:5">
      <c r="A1587" s="198">
        <v>564095833</v>
      </c>
      <c r="B1587" s="198">
        <v>755061916.89734101</v>
      </c>
      <c r="D1587" s="198" t="s">
        <v>4469</v>
      </c>
      <c r="E1587" s="198" t="s">
        <v>4470</v>
      </c>
    </row>
    <row r="1588" spans="1:5">
      <c r="A1588" s="198">
        <v>564182225</v>
      </c>
      <c r="B1588" s="198">
        <v>755148308.89826298</v>
      </c>
      <c r="D1588" s="198" t="s">
        <v>4471</v>
      </c>
      <c r="E1588" s="198" t="s">
        <v>4472</v>
      </c>
    </row>
    <row r="1589" spans="1:5">
      <c r="A1589" s="198">
        <v>564218357</v>
      </c>
      <c r="B1589" s="198">
        <v>755184440.898664</v>
      </c>
      <c r="D1589" s="198" t="s">
        <v>4473</v>
      </c>
      <c r="E1589" s="198" t="s">
        <v>4474</v>
      </c>
    </row>
    <row r="1590" spans="1:5">
      <c r="A1590" s="198">
        <v>564355008</v>
      </c>
      <c r="B1590" s="198">
        <v>755321091.90011799</v>
      </c>
      <c r="D1590" s="198" t="s">
        <v>4475</v>
      </c>
      <c r="E1590" s="198" t="s">
        <v>4476</v>
      </c>
    </row>
    <row r="1591" spans="1:5">
      <c r="A1591" s="198">
        <v>564441405</v>
      </c>
      <c r="B1591" s="198">
        <v>755407488.90103996</v>
      </c>
      <c r="D1591" s="198" t="s">
        <v>4477</v>
      </c>
      <c r="E1591" s="198" t="s">
        <v>4478</v>
      </c>
    </row>
    <row r="1592" spans="1:5">
      <c r="A1592" s="198">
        <v>564506227</v>
      </c>
      <c r="B1592" s="198">
        <v>755472310.90174103</v>
      </c>
      <c r="D1592" s="198" t="s">
        <v>4479</v>
      </c>
      <c r="E1592" s="198" t="s">
        <v>4480</v>
      </c>
    </row>
    <row r="1593" spans="1:5">
      <c r="A1593" s="198">
        <v>564606979</v>
      </c>
      <c r="B1593" s="198">
        <v>755573062.90279996</v>
      </c>
      <c r="D1593" s="198" t="s">
        <v>4481</v>
      </c>
      <c r="E1593" s="198" t="s">
        <v>4482</v>
      </c>
    </row>
    <row r="1594" spans="1:5">
      <c r="A1594" s="198">
        <v>564700576</v>
      </c>
      <c r="B1594" s="198">
        <v>755666659.90382302</v>
      </c>
      <c r="D1594" s="198" t="s">
        <v>4483</v>
      </c>
      <c r="E1594" s="198" t="s">
        <v>4484</v>
      </c>
    </row>
    <row r="1595" spans="1:5">
      <c r="A1595" s="198">
        <v>564707793</v>
      </c>
      <c r="B1595" s="198">
        <v>755673876.90390003</v>
      </c>
      <c r="D1595" s="198" t="s">
        <v>4485</v>
      </c>
      <c r="E1595" s="198" t="s">
        <v>4486</v>
      </c>
    </row>
    <row r="1596" spans="1:5">
      <c r="A1596" s="198">
        <v>564840958</v>
      </c>
      <c r="B1596" s="198">
        <v>755807041.90530598</v>
      </c>
      <c r="D1596" s="198" t="s">
        <v>4487</v>
      </c>
      <c r="E1596" s="198" t="s">
        <v>4488</v>
      </c>
    </row>
    <row r="1597" spans="1:5">
      <c r="A1597" s="198">
        <v>564938179</v>
      </c>
      <c r="B1597" s="198">
        <v>755904262.90635097</v>
      </c>
      <c r="D1597" s="198" t="s">
        <v>4489</v>
      </c>
      <c r="E1597" s="198" t="s">
        <v>4490</v>
      </c>
    </row>
    <row r="1598" spans="1:5">
      <c r="A1598" s="198">
        <v>565020984</v>
      </c>
      <c r="B1598" s="198">
        <v>755987067.90724194</v>
      </c>
      <c r="D1598" s="198" t="s">
        <v>4491</v>
      </c>
      <c r="E1598" s="198" t="s">
        <v>4492</v>
      </c>
    </row>
    <row r="1599" spans="1:5">
      <c r="A1599" s="198">
        <v>565107365</v>
      </c>
      <c r="B1599" s="198">
        <v>756073448.90815401</v>
      </c>
      <c r="D1599" s="198" t="s">
        <v>4493</v>
      </c>
      <c r="E1599" s="198" t="s">
        <v>4494</v>
      </c>
    </row>
    <row r="1600" spans="1:5">
      <c r="A1600" s="198">
        <v>565211728</v>
      </c>
      <c r="B1600" s="198">
        <v>756177811.909271</v>
      </c>
      <c r="D1600" s="198" t="s">
        <v>4495</v>
      </c>
      <c r="E1600" s="198" t="s">
        <v>4496</v>
      </c>
    </row>
    <row r="1601" spans="1:5">
      <c r="A1601" s="198">
        <v>565298115</v>
      </c>
      <c r="B1601" s="198">
        <v>756264198.91018701</v>
      </c>
      <c r="D1601" s="198" t="s">
        <v>4497</v>
      </c>
      <c r="E1601" s="198" t="s">
        <v>4498</v>
      </c>
    </row>
    <row r="1602" spans="1:5">
      <c r="A1602" s="198">
        <v>565424118</v>
      </c>
      <c r="B1602" s="198">
        <v>756390201.91154802</v>
      </c>
      <c r="D1602" s="198" t="s">
        <v>4499</v>
      </c>
      <c r="E1602" s="198" t="s">
        <v>4500</v>
      </c>
    </row>
    <row r="1603" spans="1:5">
      <c r="A1603" s="198">
        <v>565557298</v>
      </c>
      <c r="B1603" s="198">
        <v>756523381.91296399</v>
      </c>
      <c r="D1603" s="198" t="s">
        <v>4501</v>
      </c>
      <c r="E1603" s="198" t="s">
        <v>4502</v>
      </c>
    </row>
    <row r="1604" spans="1:5">
      <c r="A1604" s="198">
        <v>565625714</v>
      </c>
      <c r="B1604" s="198">
        <v>756591797.91368997</v>
      </c>
      <c r="D1604" s="198" t="s">
        <v>4503</v>
      </c>
      <c r="E1604" s="198" t="s">
        <v>4504</v>
      </c>
    </row>
    <row r="1605" spans="1:5">
      <c r="A1605" s="198">
        <v>565737292</v>
      </c>
      <c r="B1605" s="198">
        <v>756703375.91488802</v>
      </c>
      <c r="D1605" s="198" t="s">
        <v>4505</v>
      </c>
      <c r="E1605" s="198" t="s">
        <v>4506</v>
      </c>
    </row>
    <row r="1606" spans="1:5">
      <c r="A1606" s="198">
        <v>565823693</v>
      </c>
      <c r="B1606" s="198">
        <v>756789776.91581202</v>
      </c>
      <c r="D1606" s="198" t="s">
        <v>4507</v>
      </c>
      <c r="E1606" s="198" t="s">
        <v>4508</v>
      </c>
    </row>
    <row r="1607" spans="1:5">
      <c r="A1607" s="198">
        <v>565852485</v>
      </c>
      <c r="B1607" s="198">
        <v>756818568.91612601</v>
      </c>
      <c r="D1607" s="198" t="s">
        <v>4509</v>
      </c>
      <c r="E1607" s="198" t="s">
        <v>4510</v>
      </c>
    </row>
    <row r="1608" spans="1:5">
      <c r="A1608" s="198">
        <v>565971304</v>
      </c>
      <c r="B1608" s="198">
        <v>756937387.91738904</v>
      </c>
      <c r="D1608" s="198" t="s">
        <v>4511</v>
      </c>
      <c r="E1608" s="198" t="s">
        <v>4512</v>
      </c>
    </row>
    <row r="1609" spans="1:5">
      <c r="A1609" s="198">
        <v>566082873</v>
      </c>
      <c r="B1609" s="198">
        <v>757048956.918576</v>
      </c>
      <c r="D1609" s="198" t="s">
        <v>4513</v>
      </c>
      <c r="E1609" s="198" t="s">
        <v>4514</v>
      </c>
    </row>
    <row r="1610" spans="1:5">
      <c r="A1610" s="198">
        <v>566169296</v>
      </c>
      <c r="B1610" s="198">
        <v>757135379.919505</v>
      </c>
      <c r="D1610" s="198" t="s">
        <v>4515</v>
      </c>
      <c r="E1610" s="198" t="s">
        <v>4516</v>
      </c>
    </row>
    <row r="1611" spans="1:5">
      <c r="A1611" s="198">
        <v>566216046</v>
      </c>
      <c r="B1611" s="198">
        <v>757182129.91997194</v>
      </c>
      <c r="D1611" s="198" t="s">
        <v>4517</v>
      </c>
      <c r="E1611" s="198" t="s">
        <v>4518</v>
      </c>
    </row>
    <row r="1612" spans="1:5">
      <c r="A1612" s="198">
        <v>566342075</v>
      </c>
      <c r="B1612" s="198">
        <v>757308158.92135298</v>
      </c>
      <c r="D1612" s="198" t="s">
        <v>4519</v>
      </c>
      <c r="E1612" s="198" t="s">
        <v>4520</v>
      </c>
    </row>
    <row r="1613" spans="1:5">
      <c r="A1613" s="198">
        <v>566428494</v>
      </c>
      <c r="B1613" s="198">
        <v>757394577.92227602</v>
      </c>
      <c r="D1613" s="198" t="s">
        <v>4521</v>
      </c>
      <c r="E1613" s="198" t="s">
        <v>4522</v>
      </c>
    </row>
    <row r="1614" spans="1:5">
      <c r="A1614" s="198">
        <v>566514890</v>
      </c>
      <c r="B1614" s="198">
        <v>757480973.92318904</v>
      </c>
      <c r="D1614" s="198" t="s">
        <v>4523</v>
      </c>
      <c r="E1614" s="198" t="s">
        <v>4524</v>
      </c>
    </row>
    <row r="1615" spans="1:5">
      <c r="A1615" s="198">
        <v>566601226</v>
      </c>
      <c r="B1615" s="198">
        <v>757567309.92408395</v>
      </c>
      <c r="D1615" s="198" t="s">
        <v>4525</v>
      </c>
      <c r="E1615" s="198" t="s">
        <v>4526</v>
      </c>
    </row>
    <row r="1616" spans="1:5">
      <c r="A1616" s="198">
        <v>566622809</v>
      </c>
      <c r="B1616" s="198">
        <v>757588892.92434502</v>
      </c>
      <c r="D1616" s="198" t="s">
        <v>4527</v>
      </c>
      <c r="E1616" s="198" t="s">
        <v>4528</v>
      </c>
    </row>
    <row r="1617" spans="1:5">
      <c r="A1617" s="198">
        <v>566774015</v>
      </c>
      <c r="B1617" s="198">
        <v>757740098.92592502</v>
      </c>
      <c r="D1617" s="198" t="s">
        <v>4529</v>
      </c>
      <c r="E1617" s="198" t="s">
        <v>4530</v>
      </c>
    </row>
    <row r="1618" spans="1:5">
      <c r="A1618" s="198">
        <v>566817213</v>
      </c>
      <c r="B1618" s="198">
        <v>757783296.92639899</v>
      </c>
      <c r="D1618" s="198" t="s">
        <v>4531</v>
      </c>
      <c r="E1618" s="198" t="s">
        <v>4532</v>
      </c>
    </row>
    <row r="1619" spans="1:5">
      <c r="A1619" s="198">
        <v>566946858</v>
      </c>
      <c r="B1619" s="198">
        <v>757912941.92780805</v>
      </c>
      <c r="D1619" s="198" t="s">
        <v>4533</v>
      </c>
      <c r="E1619" s="198" t="s">
        <v>4534</v>
      </c>
    </row>
    <row r="1620" spans="1:5">
      <c r="A1620" s="198">
        <v>567033260</v>
      </c>
      <c r="B1620" s="198">
        <v>757999343.92873597</v>
      </c>
      <c r="D1620" s="198" t="s">
        <v>4535</v>
      </c>
      <c r="E1620" s="198" t="s">
        <v>4536</v>
      </c>
    </row>
    <row r="1621" spans="1:5">
      <c r="A1621" s="198">
        <v>567148408</v>
      </c>
      <c r="B1621" s="198">
        <v>758114491.92996299</v>
      </c>
      <c r="D1621" s="198" t="s">
        <v>4537</v>
      </c>
      <c r="E1621" s="198" t="s">
        <v>4538</v>
      </c>
    </row>
    <row r="1622" spans="1:5">
      <c r="A1622" s="198">
        <v>567350040</v>
      </c>
      <c r="B1622" s="198">
        <v>758316123.93210101</v>
      </c>
      <c r="D1622" s="198" t="s">
        <v>4539</v>
      </c>
      <c r="E1622" s="198" t="s">
        <v>4540</v>
      </c>
    </row>
    <row r="1623" spans="1:5">
      <c r="A1623" s="198">
        <v>567436439</v>
      </c>
      <c r="B1623" s="198">
        <v>758402522.93301201</v>
      </c>
      <c r="D1623" s="198" t="s">
        <v>4541</v>
      </c>
      <c r="E1623" s="198" t="s">
        <v>4542</v>
      </c>
    </row>
    <row r="1624" spans="1:5">
      <c r="A1624" s="198">
        <v>567522837</v>
      </c>
      <c r="B1624" s="198">
        <v>758488920.93391597</v>
      </c>
      <c r="D1624" s="198" t="s">
        <v>4543</v>
      </c>
      <c r="E1624" s="198" t="s">
        <v>4544</v>
      </c>
    </row>
    <row r="1625" spans="1:5">
      <c r="A1625" s="198">
        <v>567594779</v>
      </c>
      <c r="B1625" s="198">
        <v>758560862.93466794</v>
      </c>
      <c r="D1625" s="198" t="s">
        <v>4545</v>
      </c>
      <c r="E1625" s="198" t="s">
        <v>4546</v>
      </c>
    </row>
    <row r="1626" spans="1:5">
      <c r="A1626" s="198">
        <v>567717186</v>
      </c>
      <c r="B1626" s="198">
        <v>758683269.93598497</v>
      </c>
      <c r="D1626" s="198" t="s">
        <v>4547</v>
      </c>
      <c r="E1626" s="198" t="s">
        <v>4548</v>
      </c>
    </row>
    <row r="1627" spans="1:5">
      <c r="A1627" s="198">
        <v>567778406</v>
      </c>
      <c r="B1627" s="198">
        <v>758744489.93662596</v>
      </c>
      <c r="D1627" s="198" t="s">
        <v>4549</v>
      </c>
      <c r="E1627" s="198" t="s">
        <v>4550</v>
      </c>
    </row>
    <row r="1628" spans="1:5">
      <c r="A1628" s="198">
        <v>567835984</v>
      </c>
      <c r="B1628" s="198">
        <v>758802067.93725598</v>
      </c>
      <c r="D1628" s="198" t="s">
        <v>4551</v>
      </c>
      <c r="E1628" s="198" t="s">
        <v>4552</v>
      </c>
    </row>
    <row r="1629" spans="1:5">
      <c r="A1629" s="198">
        <v>567951194</v>
      </c>
      <c r="B1629" s="198">
        <v>758917277.93847597</v>
      </c>
      <c r="D1629" s="198" t="s">
        <v>4553</v>
      </c>
      <c r="E1629" s="198" t="s">
        <v>4554</v>
      </c>
    </row>
    <row r="1630" spans="1:5">
      <c r="A1630" s="198">
        <v>568033979</v>
      </c>
      <c r="B1630" s="198">
        <v>759000062.93935704</v>
      </c>
      <c r="D1630" s="198" t="s">
        <v>4555</v>
      </c>
      <c r="E1630" s="198" t="s">
        <v>4556</v>
      </c>
    </row>
    <row r="1631" spans="1:5">
      <c r="A1631" s="198">
        <v>568134845</v>
      </c>
      <c r="B1631" s="198">
        <v>759100928.94039404</v>
      </c>
      <c r="D1631" s="198" t="s">
        <v>4557</v>
      </c>
      <c r="E1631" s="198" t="s">
        <v>4558</v>
      </c>
    </row>
    <row r="1632" spans="1:5">
      <c r="A1632" s="198">
        <v>568239210</v>
      </c>
      <c r="B1632" s="198">
        <v>759205293.94154596</v>
      </c>
      <c r="D1632" s="198" t="s">
        <v>4559</v>
      </c>
      <c r="E1632" s="198" t="s">
        <v>4560</v>
      </c>
    </row>
    <row r="1633" spans="1:5">
      <c r="A1633" s="198">
        <v>568325560</v>
      </c>
      <c r="B1633" s="198">
        <v>759291643.94242799</v>
      </c>
      <c r="D1633" s="198" t="s">
        <v>4561</v>
      </c>
      <c r="E1633" s="198" t="s">
        <v>4562</v>
      </c>
    </row>
    <row r="1634" spans="1:5">
      <c r="A1634" s="198">
        <v>568415558</v>
      </c>
      <c r="B1634" s="198">
        <v>759381641.94339097</v>
      </c>
      <c r="D1634" s="198" t="s">
        <v>4563</v>
      </c>
      <c r="E1634" s="198" t="s">
        <v>4564</v>
      </c>
    </row>
    <row r="1635" spans="1:5">
      <c r="A1635" s="198">
        <v>568426337</v>
      </c>
      <c r="B1635" s="198">
        <v>759392420.94352305</v>
      </c>
      <c r="D1635" s="198" t="s">
        <v>4565</v>
      </c>
      <c r="E1635" s="198" t="s">
        <v>4566</v>
      </c>
    </row>
    <row r="1636" spans="1:5">
      <c r="A1636" s="198">
        <v>568588355</v>
      </c>
      <c r="B1636" s="198">
        <v>759554438.94522703</v>
      </c>
      <c r="D1636" s="198" t="s">
        <v>4567</v>
      </c>
      <c r="E1636" s="198" t="s">
        <v>4568</v>
      </c>
    </row>
    <row r="1637" spans="1:5">
      <c r="A1637" s="198">
        <v>568671212</v>
      </c>
      <c r="B1637" s="198">
        <v>759637295.94615102</v>
      </c>
      <c r="D1637" s="198" t="s">
        <v>4569</v>
      </c>
      <c r="E1637" s="198" t="s">
        <v>4570</v>
      </c>
    </row>
    <row r="1638" spans="1:5">
      <c r="A1638" s="198">
        <v>568728804</v>
      </c>
      <c r="B1638" s="198">
        <v>759694887.94675505</v>
      </c>
      <c r="D1638" s="198" t="s">
        <v>4571</v>
      </c>
      <c r="E1638" s="198" t="s">
        <v>4572</v>
      </c>
    </row>
    <row r="1639" spans="1:5">
      <c r="A1639" s="198">
        <v>568840389</v>
      </c>
      <c r="B1639" s="198">
        <v>759806472.94795096</v>
      </c>
      <c r="D1639" s="198" t="s">
        <v>4573</v>
      </c>
      <c r="E1639" s="198" t="s">
        <v>4574</v>
      </c>
    </row>
    <row r="1640" spans="1:5">
      <c r="A1640" s="198">
        <v>568926785</v>
      </c>
      <c r="B1640" s="198">
        <v>759892868.94887304</v>
      </c>
      <c r="D1640" s="198" t="s">
        <v>4575</v>
      </c>
      <c r="E1640" s="198" t="s">
        <v>4576</v>
      </c>
    </row>
    <row r="1641" spans="1:5">
      <c r="A1641" s="198">
        <v>568955546</v>
      </c>
      <c r="B1641" s="198">
        <v>759921629.94916999</v>
      </c>
      <c r="D1641" s="198" t="s">
        <v>4577</v>
      </c>
      <c r="E1641" s="198" t="s">
        <v>4578</v>
      </c>
    </row>
    <row r="1642" spans="1:5">
      <c r="A1642" s="198">
        <v>569034731</v>
      </c>
      <c r="B1642" s="198">
        <v>760000814.950019</v>
      </c>
      <c r="D1642" s="198" t="s">
        <v>4579</v>
      </c>
      <c r="E1642" s="198" t="s">
        <v>4580</v>
      </c>
    </row>
    <row r="1643" spans="1:5">
      <c r="A1643" s="198">
        <v>569232747</v>
      </c>
      <c r="B1643" s="198">
        <v>760198830.95211196</v>
      </c>
      <c r="D1643" s="198" t="s">
        <v>4581</v>
      </c>
      <c r="E1643" s="198" t="s">
        <v>4582</v>
      </c>
    </row>
    <row r="1644" spans="1:5">
      <c r="A1644" s="198">
        <v>569365953</v>
      </c>
      <c r="B1644" s="198">
        <v>760332036.95353496</v>
      </c>
      <c r="D1644" s="198" t="s">
        <v>4583</v>
      </c>
      <c r="E1644" s="198" t="s">
        <v>4584</v>
      </c>
    </row>
    <row r="1645" spans="1:5">
      <c r="A1645" s="198">
        <v>569416399</v>
      </c>
      <c r="B1645" s="198">
        <v>760382482.95409501</v>
      </c>
      <c r="D1645" s="198" t="s">
        <v>4585</v>
      </c>
      <c r="E1645" s="198" t="s">
        <v>4586</v>
      </c>
    </row>
    <row r="1646" spans="1:5">
      <c r="A1646" s="198">
        <v>569531608</v>
      </c>
      <c r="B1646" s="198">
        <v>760497691.95531595</v>
      </c>
      <c r="D1646" s="198" t="s">
        <v>4587</v>
      </c>
      <c r="E1646" s="198" t="s">
        <v>4588</v>
      </c>
    </row>
    <row r="1647" spans="1:5">
      <c r="A1647" s="198">
        <v>569560369</v>
      </c>
      <c r="B1647" s="198">
        <v>760526452.95562601</v>
      </c>
      <c r="D1647" s="198" t="s">
        <v>4589</v>
      </c>
      <c r="E1647" s="198" t="s">
        <v>4590</v>
      </c>
    </row>
    <row r="1648" spans="1:5">
      <c r="A1648" s="198">
        <v>569797956</v>
      </c>
      <c r="B1648" s="198">
        <v>760764039.95813704</v>
      </c>
      <c r="D1648" s="198" t="s">
        <v>4591</v>
      </c>
      <c r="E1648" s="198" t="s">
        <v>4592</v>
      </c>
    </row>
    <row r="1649" spans="1:5">
      <c r="A1649" s="198">
        <v>569884358</v>
      </c>
      <c r="B1649" s="198">
        <v>760850441.95907295</v>
      </c>
      <c r="D1649" s="198" t="s">
        <v>4593</v>
      </c>
      <c r="E1649" s="198" t="s">
        <v>4594</v>
      </c>
    </row>
    <row r="1650" spans="1:5">
      <c r="A1650" s="198">
        <v>569963598</v>
      </c>
      <c r="B1650" s="198">
        <v>760929681.95993805</v>
      </c>
      <c r="D1650" s="198" t="s">
        <v>4595</v>
      </c>
      <c r="E1650" s="198" t="s">
        <v>4596</v>
      </c>
    </row>
    <row r="1651" spans="1:5">
      <c r="A1651" s="198">
        <v>569988749</v>
      </c>
      <c r="B1651" s="198">
        <v>760954832.96021795</v>
      </c>
      <c r="D1651" s="198" t="s">
        <v>4597</v>
      </c>
      <c r="E1651" s="198" t="s">
        <v>4598</v>
      </c>
    </row>
    <row r="1652" spans="1:5">
      <c r="A1652" s="198">
        <v>570107605</v>
      </c>
      <c r="B1652" s="198">
        <v>761073688.96148098</v>
      </c>
      <c r="D1652" s="198" t="s">
        <v>4599</v>
      </c>
      <c r="E1652" s="198" t="s">
        <v>4600</v>
      </c>
    </row>
    <row r="1653" spans="1:5">
      <c r="A1653" s="198">
        <v>570194006</v>
      </c>
      <c r="B1653" s="198">
        <v>761160089.96240199</v>
      </c>
      <c r="D1653" s="198" t="s">
        <v>4601</v>
      </c>
      <c r="E1653" s="198" t="s">
        <v>4602</v>
      </c>
    </row>
    <row r="1654" spans="1:5">
      <c r="A1654" s="198">
        <v>570247960</v>
      </c>
      <c r="B1654" s="198">
        <v>761214043.96298695</v>
      </c>
      <c r="D1654" s="198" t="s">
        <v>4603</v>
      </c>
      <c r="E1654" s="198" t="s">
        <v>4604</v>
      </c>
    </row>
    <row r="1655" spans="1:5">
      <c r="A1655" s="198">
        <v>570359644</v>
      </c>
      <c r="B1655" s="198">
        <v>761325727.96417606</v>
      </c>
      <c r="D1655" s="198" t="s">
        <v>4605</v>
      </c>
      <c r="E1655" s="198" t="s">
        <v>4606</v>
      </c>
    </row>
    <row r="1656" spans="1:5">
      <c r="A1656" s="198">
        <v>570489162</v>
      </c>
      <c r="B1656" s="198">
        <v>761455245.965554</v>
      </c>
      <c r="D1656" s="198" t="s">
        <v>4607</v>
      </c>
      <c r="E1656" s="198" t="s">
        <v>4608</v>
      </c>
    </row>
    <row r="1657" spans="1:5">
      <c r="A1657" s="198">
        <v>570575561</v>
      </c>
      <c r="B1657" s="198">
        <v>761541644.966465</v>
      </c>
      <c r="D1657" s="198" t="s">
        <v>4609</v>
      </c>
      <c r="E1657" s="198" t="s">
        <v>4610</v>
      </c>
    </row>
    <row r="1658" spans="1:5">
      <c r="A1658" s="198">
        <v>570651163</v>
      </c>
      <c r="B1658" s="198">
        <v>761617246.96725798</v>
      </c>
      <c r="D1658" s="198" t="s">
        <v>4611</v>
      </c>
      <c r="E1658" s="198" t="s">
        <v>4612</v>
      </c>
    </row>
    <row r="1659" spans="1:5">
      <c r="A1659" s="198">
        <v>570823968</v>
      </c>
      <c r="B1659" s="198">
        <v>761790051.96912003</v>
      </c>
      <c r="D1659" s="198" t="s">
        <v>4613</v>
      </c>
      <c r="E1659" s="198" t="s">
        <v>4614</v>
      </c>
    </row>
    <row r="1660" spans="1:5">
      <c r="A1660" s="198">
        <v>570921181</v>
      </c>
      <c r="B1660" s="198">
        <v>761887264.97018099</v>
      </c>
      <c r="D1660" s="198" t="s">
        <v>4615</v>
      </c>
      <c r="E1660" s="198" t="s">
        <v>4616</v>
      </c>
    </row>
    <row r="1661" spans="1:5">
      <c r="A1661" s="198">
        <v>571007576</v>
      </c>
      <c r="B1661" s="198">
        <v>761973659.97111595</v>
      </c>
      <c r="D1661" s="198" t="s">
        <v>4617</v>
      </c>
      <c r="E1661" s="198" t="s">
        <v>4618</v>
      </c>
    </row>
    <row r="1662" spans="1:5">
      <c r="A1662" s="198">
        <v>571079708</v>
      </c>
      <c r="B1662" s="198">
        <v>762045791.97184396</v>
      </c>
      <c r="D1662" s="198" t="s">
        <v>4619</v>
      </c>
      <c r="E1662" s="198" t="s">
        <v>4620</v>
      </c>
    </row>
    <row r="1663" spans="1:5">
      <c r="A1663" s="198">
        <v>571140824</v>
      </c>
      <c r="B1663" s="198">
        <v>762106907.97255898</v>
      </c>
      <c r="D1663" s="198" t="s">
        <v>4621</v>
      </c>
      <c r="E1663" s="198" t="s">
        <v>4622</v>
      </c>
    </row>
    <row r="1664" spans="1:5">
      <c r="A1664" s="198">
        <v>571266777</v>
      </c>
      <c r="B1664" s="198">
        <v>762232860.97388697</v>
      </c>
      <c r="D1664" s="198" t="s">
        <v>4623</v>
      </c>
      <c r="E1664" s="198" t="s">
        <v>4624</v>
      </c>
    </row>
    <row r="1665" spans="1:5">
      <c r="A1665" s="198">
        <v>571309995</v>
      </c>
      <c r="B1665" s="198">
        <v>762276078.974383</v>
      </c>
      <c r="D1665" s="198" t="s">
        <v>4625</v>
      </c>
      <c r="E1665" s="198" t="s">
        <v>4626</v>
      </c>
    </row>
    <row r="1666" spans="1:5">
      <c r="A1666" s="198">
        <v>571439584</v>
      </c>
      <c r="B1666" s="198">
        <v>762405667.97576201</v>
      </c>
      <c r="D1666" s="198" t="s">
        <v>4627</v>
      </c>
      <c r="E1666" s="198" t="s">
        <v>4628</v>
      </c>
    </row>
    <row r="1667" spans="1:5">
      <c r="A1667" s="198">
        <v>571522387</v>
      </c>
      <c r="B1667" s="198">
        <v>762488470.97663403</v>
      </c>
      <c r="D1667" s="198" t="s">
        <v>4629</v>
      </c>
      <c r="E1667" s="198" t="s">
        <v>4630</v>
      </c>
    </row>
    <row r="1668" spans="1:5">
      <c r="A1668" s="198">
        <v>571572827</v>
      </c>
      <c r="B1668" s="198">
        <v>762538910.97721195</v>
      </c>
      <c r="D1668" s="198" t="s">
        <v>4631</v>
      </c>
      <c r="E1668" s="198" t="s">
        <v>4632</v>
      </c>
    </row>
    <row r="1669" spans="1:5">
      <c r="A1669" s="198">
        <v>571698793</v>
      </c>
      <c r="B1669" s="198">
        <v>762664876.97855306</v>
      </c>
      <c r="D1669" s="198" t="s">
        <v>4633</v>
      </c>
      <c r="E1669" s="198" t="s">
        <v>4634</v>
      </c>
    </row>
    <row r="1670" spans="1:5">
      <c r="A1670" s="198">
        <v>571785197</v>
      </c>
      <c r="B1670" s="198">
        <v>762751280.97947395</v>
      </c>
      <c r="D1670" s="198" t="s">
        <v>4635</v>
      </c>
      <c r="E1670" s="198" t="s">
        <v>4636</v>
      </c>
    </row>
    <row r="1671" spans="1:5">
      <c r="A1671" s="198">
        <v>571860801</v>
      </c>
      <c r="B1671" s="198">
        <v>762826884.98028696</v>
      </c>
      <c r="D1671" s="198" t="s">
        <v>4637</v>
      </c>
      <c r="E1671" s="198" t="s">
        <v>4638</v>
      </c>
    </row>
    <row r="1672" spans="1:5">
      <c r="A1672" s="198">
        <v>571943601</v>
      </c>
      <c r="B1672" s="198">
        <v>762909684.98116803</v>
      </c>
      <c r="D1672" s="198" t="s">
        <v>4639</v>
      </c>
      <c r="E1672" s="198" t="s">
        <v>4640</v>
      </c>
    </row>
    <row r="1673" spans="1:5">
      <c r="A1673" s="198">
        <v>572044410</v>
      </c>
      <c r="B1673" s="198">
        <v>763010493.98228705</v>
      </c>
      <c r="D1673" s="198" t="s">
        <v>4641</v>
      </c>
      <c r="E1673" s="198" t="s">
        <v>4642</v>
      </c>
    </row>
    <row r="1674" spans="1:5">
      <c r="A1674" s="198">
        <v>572130811</v>
      </c>
      <c r="B1674" s="198">
        <v>763096894.98321497</v>
      </c>
      <c r="D1674" s="198" t="s">
        <v>4643</v>
      </c>
      <c r="E1674" s="198" t="s">
        <v>4644</v>
      </c>
    </row>
    <row r="1675" spans="1:5">
      <c r="A1675" s="198">
        <v>572217824</v>
      </c>
      <c r="B1675" s="198">
        <v>763183907.98414397</v>
      </c>
      <c r="D1675" s="198" t="s">
        <v>4645</v>
      </c>
      <c r="E1675" s="198" t="s">
        <v>4646</v>
      </c>
    </row>
    <row r="1676" spans="1:5">
      <c r="A1676" s="198">
        <v>572303613</v>
      </c>
      <c r="B1676" s="198">
        <v>763269696.98506999</v>
      </c>
      <c r="D1676" s="198" t="s">
        <v>4647</v>
      </c>
      <c r="E1676" s="198" t="s">
        <v>4648</v>
      </c>
    </row>
    <row r="1677" spans="1:5">
      <c r="A1677" s="198">
        <v>572391249</v>
      </c>
      <c r="B1677" s="198">
        <v>763357332.98603296</v>
      </c>
      <c r="D1677" s="198" t="s">
        <v>4649</v>
      </c>
      <c r="E1677" s="198" t="s">
        <v>4650</v>
      </c>
    </row>
    <row r="1678" spans="1:5">
      <c r="A1678" s="198">
        <v>572447617</v>
      </c>
      <c r="B1678" s="198">
        <v>763413700.986619</v>
      </c>
      <c r="D1678" s="198" t="s">
        <v>4651</v>
      </c>
      <c r="E1678" s="198" t="s">
        <v>4652</v>
      </c>
    </row>
    <row r="1679" spans="1:5">
      <c r="A1679" s="198">
        <v>572508825</v>
      </c>
      <c r="B1679" s="198">
        <v>763474908.98729503</v>
      </c>
      <c r="D1679" s="198" t="s">
        <v>4653</v>
      </c>
      <c r="E1679" s="198" t="s">
        <v>4654</v>
      </c>
    </row>
    <row r="1680" spans="1:5">
      <c r="A1680" s="198">
        <v>572616827</v>
      </c>
      <c r="B1680" s="198">
        <v>763582910.98845506</v>
      </c>
      <c r="D1680" s="198" t="s">
        <v>4655</v>
      </c>
      <c r="E1680" s="198" t="s">
        <v>4656</v>
      </c>
    </row>
    <row r="1681" spans="1:5">
      <c r="A1681" s="198">
        <v>572674427</v>
      </c>
      <c r="B1681" s="198">
        <v>763640510.98908401</v>
      </c>
      <c r="D1681" s="198" t="s">
        <v>4657</v>
      </c>
      <c r="E1681" s="198" t="s">
        <v>4658</v>
      </c>
    </row>
    <row r="1682" spans="1:5">
      <c r="A1682" s="198">
        <v>572908443</v>
      </c>
      <c r="B1682" s="198">
        <v>763874526.99162602</v>
      </c>
      <c r="D1682" s="198" t="s">
        <v>4659</v>
      </c>
      <c r="E1682" s="198" t="s">
        <v>4660</v>
      </c>
    </row>
    <row r="1683" spans="1:5">
      <c r="A1683" s="198">
        <v>572987649</v>
      </c>
      <c r="B1683" s="198">
        <v>763953732.99248695</v>
      </c>
      <c r="D1683" s="198" t="s">
        <v>4661</v>
      </c>
      <c r="E1683" s="198" t="s">
        <v>4662</v>
      </c>
    </row>
    <row r="1684" spans="1:5">
      <c r="A1684" s="198">
        <v>573045254</v>
      </c>
      <c r="B1684" s="198">
        <v>764011337.99309301</v>
      </c>
      <c r="D1684" s="198" t="s">
        <v>4663</v>
      </c>
      <c r="E1684" s="198" t="s">
        <v>4664</v>
      </c>
    </row>
    <row r="1685" spans="1:5">
      <c r="A1685" s="198">
        <v>573160457</v>
      </c>
      <c r="B1685" s="198">
        <v>764126540.99436104</v>
      </c>
      <c r="D1685" s="198" t="s">
        <v>4665</v>
      </c>
      <c r="E1685" s="198" t="s">
        <v>4666</v>
      </c>
    </row>
    <row r="1686" spans="1:5">
      <c r="A1686" s="198">
        <v>573250457</v>
      </c>
      <c r="B1686" s="198">
        <v>764216540.99533498</v>
      </c>
      <c r="D1686" s="198" t="s">
        <v>4667</v>
      </c>
      <c r="E1686" s="198" t="s">
        <v>4668</v>
      </c>
    </row>
    <row r="1687" spans="1:5">
      <c r="A1687" s="198">
        <v>573426869</v>
      </c>
      <c r="B1687" s="198">
        <v>764392952.99726403</v>
      </c>
      <c r="D1687" s="198" t="s">
        <v>4669</v>
      </c>
      <c r="E1687" s="198" t="s">
        <v>4670</v>
      </c>
    </row>
    <row r="1688" spans="1:5">
      <c r="A1688" s="198">
        <v>573513273</v>
      </c>
      <c r="B1688" s="198">
        <v>764479356.99819803</v>
      </c>
      <c r="D1688" s="198" t="s">
        <v>4671</v>
      </c>
      <c r="E1688" s="198" t="s">
        <v>4672</v>
      </c>
    </row>
    <row r="1689" spans="1:5">
      <c r="A1689" s="198">
        <v>573599676</v>
      </c>
      <c r="B1689" s="198">
        <v>764565759.99915504</v>
      </c>
      <c r="D1689" s="198" t="s">
        <v>4673</v>
      </c>
      <c r="E1689" s="198" t="s">
        <v>4674</v>
      </c>
    </row>
    <row r="1690" spans="1:5">
      <c r="A1690" s="198">
        <v>573650077</v>
      </c>
      <c r="B1690" s="198">
        <v>764616160.99967897</v>
      </c>
      <c r="D1690" s="198" t="s">
        <v>4675</v>
      </c>
      <c r="E1690" s="198" t="s">
        <v>4676</v>
      </c>
    </row>
    <row r="1691" spans="1:5">
      <c r="A1691" s="198">
        <v>573772487</v>
      </c>
      <c r="B1691" s="198">
        <v>764738571.00103498</v>
      </c>
      <c r="D1691" s="198" t="s">
        <v>4677</v>
      </c>
      <c r="E1691" s="198" t="s">
        <v>4678</v>
      </c>
    </row>
    <row r="1692" spans="1:5">
      <c r="A1692" s="198">
        <v>573858889</v>
      </c>
      <c r="B1692" s="198">
        <v>764824973.00197995</v>
      </c>
      <c r="D1692" s="198" t="s">
        <v>4679</v>
      </c>
      <c r="E1692" s="198" t="s">
        <v>4680</v>
      </c>
    </row>
    <row r="1693" spans="1:5">
      <c r="A1693" s="198">
        <v>573912887</v>
      </c>
      <c r="B1693" s="198">
        <v>764878971.00254202</v>
      </c>
      <c r="D1693" s="198" t="s">
        <v>4681</v>
      </c>
      <c r="E1693" s="198" t="s">
        <v>4682</v>
      </c>
    </row>
    <row r="1694" spans="1:5">
      <c r="A1694" s="198">
        <v>574031703</v>
      </c>
      <c r="B1694" s="198">
        <v>764997787.00386596</v>
      </c>
      <c r="D1694" s="198" t="s">
        <v>4683</v>
      </c>
      <c r="E1694" s="198" t="s">
        <v>4684</v>
      </c>
    </row>
    <row r="1695" spans="1:5">
      <c r="A1695" s="198">
        <v>574118108</v>
      </c>
      <c r="B1695" s="198">
        <v>765084192.004807</v>
      </c>
      <c r="D1695" s="198" t="s">
        <v>4685</v>
      </c>
      <c r="E1695" s="198" t="s">
        <v>4686</v>
      </c>
    </row>
    <row r="1696" spans="1:5">
      <c r="A1696" s="198">
        <v>574182901</v>
      </c>
      <c r="B1696" s="198">
        <v>765148985.00547099</v>
      </c>
      <c r="D1696" s="198" t="s">
        <v>4687</v>
      </c>
      <c r="E1696" s="198" t="s">
        <v>4688</v>
      </c>
    </row>
    <row r="1697" spans="1:5">
      <c r="A1697" s="198">
        <v>574280107</v>
      </c>
      <c r="B1697" s="198">
        <v>765246191.00655997</v>
      </c>
      <c r="D1697" s="198" t="s">
        <v>4689</v>
      </c>
      <c r="E1697" s="198" t="s">
        <v>4690</v>
      </c>
    </row>
    <row r="1698" spans="1:5">
      <c r="A1698" s="198">
        <v>574344916</v>
      </c>
      <c r="B1698" s="198">
        <v>765311000.00726104</v>
      </c>
      <c r="D1698" s="198" t="s">
        <v>4691</v>
      </c>
      <c r="E1698" s="198" t="s">
        <v>4692</v>
      </c>
    </row>
    <row r="1699" spans="1:5">
      <c r="A1699" s="198">
        <v>574431321</v>
      </c>
      <c r="B1699" s="198">
        <v>765397405.00822496</v>
      </c>
      <c r="D1699" s="198" t="s">
        <v>4693</v>
      </c>
      <c r="E1699" s="198" t="s">
        <v>4694</v>
      </c>
    </row>
    <row r="1700" spans="1:5">
      <c r="A1700" s="198">
        <v>574535719</v>
      </c>
      <c r="B1700" s="198">
        <v>765501803.00935602</v>
      </c>
      <c r="D1700" s="198" t="s">
        <v>4695</v>
      </c>
      <c r="E1700" s="198" t="s">
        <v>4696</v>
      </c>
    </row>
    <row r="1701" spans="1:5">
      <c r="A1701" s="198">
        <v>574596940</v>
      </c>
      <c r="B1701" s="198">
        <v>765563024.01002097</v>
      </c>
      <c r="D1701" s="198" t="s">
        <v>4697</v>
      </c>
      <c r="E1701" s="198" t="s">
        <v>4698</v>
      </c>
    </row>
    <row r="1702" spans="1:5">
      <c r="A1702" s="198">
        <v>574701381</v>
      </c>
      <c r="B1702" s="198">
        <v>765667465.011199</v>
      </c>
      <c r="D1702" s="198" t="s">
        <v>4699</v>
      </c>
      <c r="E1702" s="198" t="s">
        <v>4700</v>
      </c>
    </row>
    <row r="1703" spans="1:5">
      <c r="A1703" s="198">
        <v>574794933</v>
      </c>
      <c r="B1703" s="198">
        <v>765761017.0122</v>
      </c>
      <c r="D1703" s="198" t="s">
        <v>4701</v>
      </c>
      <c r="E1703" s="198" t="s">
        <v>4702</v>
      </c>
    </row>
    <row r="1704" spans="1:5">
      <c r="A1704" s="198">
        <v>574892140</v>
      </c>
      <c r="B1704" s="198">
        <v>765858224.01327705</v>
      </c>
      <c r="D1704" s="198" t="s">
        <v>4703</v>
      </c>
      <c r="E1704" s="198" t="s">
        <v>4704</v>
      </c>
    </row>
    <row r="1705" spans="1:5">
      <c r="A1705" s="198">
        <v>574953356</v>
      </c>
      <c r="B1705" s="198">
        <v>765919440.013937</v>
      </c>
      <c r="D1705" s="198" t="s">
        <v>4705</v>
      </c>
      <c r="E1705" s="198" t="s">
        <v>4706</v>
      </c>
    </row>
    <row r="1706" spans="1:5">
      <c r="A1706" s="198">
        <v>575003740</v>
      </c>
      <c r="B1706" s="198">
        <v>765969824.01448703</v>
      </c>
      <c r="D1706" s="198" t="s">
        <v>4707</v>
      </c>
      <c r="E1706" s="198" t="s">
        <v>4708</v>
      </c>
    </row>
    <row r="1707" spans="1:5">
      <c r="A1707" s="198">
        <v>575090154</v>
      </c>
      <c r="B1707" s="198">
        <v>766056238.01543999</v>
      </c>
      <c r="D1707" s="198" t="s">
        <v>4709</v>
      </c>
      <c r="E1707" s="198" t="s">
        <v>4710</v>
      </c>
    </row>
    <row r="1708" spans="1:5">
      <c r="A1708" s="198">
        <v>575230564</v>
      </c>
      <c r="B1708" s="198">
        <v>766196648.01698303</v>
      </c>
      <c r="D1708" s="198" t="s">
        <v>4711</v>
      </c>
      <c r="E1708" s="198" t="s">
        <v>4712</v>
      </c>
    </row>
    <row r="1709" spans="1:5">
      <c r="A1709" s="198">
        <v>575273767</v>
      </c>
      <c r="B1709" s="198">
        <v>766239851.01745498</v>
      </c>
      <c r="D1709" s="198" t="s">
        <v>4713</v>
      </c>
      <c r="E1709" s="198" t="s">
        <v>4714</v>
      </c>
    </row>
    <row r="1710" spans="1:5">
      <c r="A1710" s="198">
        <v>575414178</v>
      </c>
      <c r="B1710" s="198">
        <v>766380262.01902103</v>
      </c>
      <c r="D1710" s="198" t="s">
        <v>4715</v>
      </c>
      <c r="E1710" s="198" t="s">
        <v>4716</v>
      </c>
    </row>
    <row r="1711" spans="1:5">
      <c r="A1711" s="198">
        <v>575493376</v>
      </c>
      <c r="B1711" s="198">
        <v>766459460.01987505</v>
      </c>
      <c r="D1711" s="198" t="s">
        <v>4717</v>
      </c>
      <c r="E1711" s="198" t="s">
        <v>4718</v>
      </c>
    </row>
    <row r="1712" spans="1:5">
      <c r="A1712" s="198">
        <v>575576182</v>
      </c>
      <c r="B1712" s="198">
        <v>766542266.02078295</v>
      </c>
      <c r="D1712" s="198" t="s">
        <v>4719</v>
      </c>
      <c r="E1712" s="198" t="s">
        <v>4720</v>
      </c>
    </row>
    <row r="1713" spans="1:5">
      <c r="A1713" s="198">
        <v>575655385</v>
      </c>
      <c r="B1713" s="198">
        <v>766621469.02165103</v>
      </c>
      <c r="D1713" s="198" t="s">
        <v>4721</v>
      </c>
      <c r="E1713" s="198" t="s">
        <v>4722</v>
      </c>
    </row>
    <row r="1714" spans="1:5">
      <c r="A1714" s="198">
        <v>575727382</v>
      </c>
      <c r="B1714" s="198">
        <v>766693466.02245498</v>
      </c>
      <c r="D1714" s="198" t="s">
        <v>4723</v>
      </c>
      <c r="E1714" s="198" t="s">
        <v>4724</v>
      </c>
    </row>
    <row r="1715" spans="1:5">
      <c r="A1715" s="198">
        <v>575846197</v>
      </c>
      <c r="B1715" s="198">
        <v>766812281.02376795</v>
      </c>
      <c r="D1715" s="198" t="s">
        <v>4725</v>
      </c>
      <c r="E1715" s="198" t="s">
        <v>4726</v>
      </c>
    </row>
    <row r="1716" spans="1:5">
      <c r="A1716" s="198">
        <v>575907439</v>
      </c>
      <c r="B1716" s="198">
        <v>766873523.02444994</v>
      </c>
      <c r="D1716" s="198" t="s">
        <v>4727</v>
      </c>
      <c r="E1716" s="198" t="s">
        <v>4728</v>
      </c>
    </row>
    <row r="1717" spans="1:5">
      <c r="A1717" s="198">
        <v>575961402</v>
      </c>
      <c r="B1717" s="198">
        <v>766927486.02504301</v>
      </c>
      <c r="D1717" s="198" t="s">
        <v>4729</v>
      </c>
      <c r="E1717" s="198" t="s">
        <v>4730</v>
      </c>
    </row>
    <row r="1718" spans="1:5">
      <c r="A1718" s="198">
        <v>576098205</v>
      </c>
      <c r="B1718" s="198">
        <v>767064289.02655399</v>
      </c>
      <c r="D1718" s="198" t="s">
        <v>4731</v>
      </c>
      <c r="E1718" s="198" t="s">
        <v>4732</v>
      </c>
    </row>
    <row r="1719" spans="1:5">
      <c r="A1719" s="198">
        <v>576177408</v>
      </c>
      <c r="B1719" s="198">
        <v>767143492.02741206</v>
      </c>
      <c r="D1719" s="198" t="s">
        <v>4733</v>
      </c>
      <c r="E1719" s="198" t="s">
        <v>4734</v>
      </c>
    </row>
    <row r="1720" spans="1:5">
      <c r="A1720" s="198">
        <v>576332225</v>
      </c>
      <c r="B1720" s="198">
        <v>767298309.02913404</v>
      </c>
      <c r="D1720" s="198" t="s">
        <v>4735</v>
      </c>
      <c r="E1720" s="198" t="s">
        <v>4736</v>
      </c>
    </row>
    <row r="1721" spans="1:5">
      <c r="A1721" s="198">
        <v>576451041</v>
      </c>
      <c r="B1721" s="198">
        <v>767417125.03046095</v>
      </c>
      <c r="D1721" s="198" t="s">
        <v>4737</v>
      </c>
      <c r="E1721" s="198" t="s">
        <v>4738</v>
      </c>
    </row>
    <row r="1722" spans="1:5">
      <c r="A1722" s="198">
        <v>576501421</v>
      </c>
      <c r="B1722" s="198">
        <v>767467505.031003</v>
      </c>
      <c r="D1722" s="198" t="s">
        <v>4739</v>
      </c>
      <c r="E1722" s="198" t="s">
        <v>4740</v>
      </c>
    </row>
    <row r="1723" spans="1:5">
      <c r="A1723" s="198">
        <v>576616630</v>
      </c>
      <c r="B1723" s="198">
        <v>767582714.03227901</v>
      </c>
      <c r="D1723" s="198" t="s">
        <v>4741</v>
      </c>
      <c r="E1723" s="198" t="s">
        <v>4742</v>
      </c>
    </row>
    <row r="1724" spans="1:5">
      <c r="A1724" s="198">
        <v>576670627</v>
      </c>
      <c r="B1724" s="198">
        <v>767636711.03285599</v>
      </c>
      <c r="D1724" s="198" t="s">
        <v>4743</v>
      </c>
      <c r="E1724" s="198" t="s">
        <v>4744</v>
      </c>
    </row>
    <row r="1725" spans="1:5">
      <c r="A1725" s="198">
        <v>576731828</v>
      </c>
      <c r="B1725" s="198">
        <v>767697912.03353906</v>
      </c>
      <c r="D1725" s="198" t="s">
        <v>4745</v>
      </c>
      <c r="E1725" s="198" t="s">
        <v>4746</v>
      </c>
    </row>
    <row r="1726" spans="1:5">
      <c r="A1726" s="198">
        <v>576836249</v>
      </c>
      <c r="B1726" s="198">
        <v>767802333.034688</v>
      </c>
      <c r="D1726" s="198" t="s">
        <v>4747</v>
      </c>
      <c r="E1726" s="198" t="s">
        <v>4748</v>
      </c>
    </row>
    <row r="1727" spans="1:5">
      <c r="A1727" s="198">
        <v>576937052</v>
      </c>
      <c r="B1727" s="198">
        <v>767903136.03583097</v>
      </c>
      <c r="D1727" s="198" t="s">
        <v>4749</v>
      </c>
      <c r="E1727" s="198" t="s">
        <v>4750</v>
      </c>
    </row>
    <row r="1728" spans="1:5">
      <c r="A1728" s="198">
        <v>577001887</v>
      </c>
      <c r="B1728" s="198">
        <v>767967971.03655398</v>
      </c>
      <c r="D1728" s="198" t="s">
        <v>4751</v>
      </c>
      <c r="E1728" s="198" t="s">
        <v>4752</v>
      </c>
    </row>
    <row r="1729" spans="1:5">
      <c r="A1729" s="198">
        <v>577138659</v>
      </c>
      <c r="B1729" s="198">
        <v>768104743.03806496</v>
      </c>
      <c r="D1729" s="198" t="s">
        <v>4753</v>
      </c>
      <c r="E1729" s="198" t="s">
        <v>4754</v>
      </c>
    </row>
    <row r="1730" spans="1:5">
      <c r="A1730" s="198">
        <v>577210657</v>
      </c>
      <c r="B1730" s="198">
        <v>768176741.038854</v>
      </c>
      <c r="D1730" s="198" t="s">
        <v>4755</v>
      </c>
      <c r="E1730" s="198" t="s">
        <v>4756</v>
      </c>
    </row>
    <row r="1731" spans="1:5">
      <c r="A1731" s="198">
        <v>577246656</v>
      </c>
      <c r="B1731" s="198">
        <v>768212740.03926003</v>
      </c>
      <c r="D1731" s="198" t="s">
        <v>4757</v>
      </c>
      <c r="E1731" s="198" t="s">
        <v>4758</v>
      </c>
    </row>
    <row r="1732" spans="1:5">
      <c r="A1732" s="198">
        <v>577394269</v>
      </c>
      <c r="B1732" s="198">
        <v>768360353.04090297</v>
      </c>
      <c r="D1732" s="198" t="s">
        <v>4759</v>
      </c>
      <c r="E1732" s="198" t="s">
        <v>4760</v>
      </c>
    </row>
    <row r="1733" spans="1:5">
      <c r="A1733" s="198">
        <v>577480675</v>
      </c>
      <c r="B1733" s="198">
        <v>768446759.04186106</v>
      </c>
      <c r="D1733" s="198" t="s">
        <v>4761</v>
      </c>
      <c r="E1733" s="198" t="s">
        <v>4762</v>
      </c>
    </row>
    <row r="1734" spans="1:5">
      <c r="A1734" s="198">
        <v>577617472</v>
      </c>
      <c r="B1734" s="198">
        <v>768583556.04336905</v>
      </c>
      <c r="D1734" s="198" t="s">
        <v>4763</v>
      </c>
      <c r="E1734" s="198" t="s">
        <v>4764</v>
      </c>
    </row>
    <row r="1735" spans="1:5">
      <c r="A1735" s="198">
        <v>577736277</v>
      </c>
      <c r="B1735" s="198">
        <v>768702361.04470897</v>
      </c>
      <c r="D1735" s="198" t="s">
        <v>4765</v>
      </c>
      <c r="E1735" s="198" t="s">
        <v>4766</v>
      </c>
    </row>
    <row r="1736" spans="1:5">
      <c r="A1736" s="198">
        <v>577804722</v>
      </c>
      <c r="B1736" s="198">
        <v>768770806.04547405</v>
      </c>
      <c r="D1736" s="198" t="s">
        <v>4767</v>
      </c>
      <c r="E1736" s="198" t="s">
        <v>4768</v>
      </c>
    </row>
    <row r="1737" spans="1:5">
      <c r="A1737" s="198">
        <v>577901886</v>
      </c>
      <c r="B1737" s="198">
        <v>768867970.04654503</v>
      </c>
      <c r="D1737" s="198" t="s">
        <v>4769</v>
      </c>
      <c r="E1737" s="198" t="s">
        <v>4770</v>
      </c>
    </row>
    <row r="1738" spans="1:5">
      <c r="A1738" s="198">
        <v>577995487</v>
      </c>
      <c r="B1738" s="198">
        <v>768961571.047598</v>
      </c>
      <c r="D1738" s="198" t="s">
        <v>4771</v>
      </c>
      <c r="E1738" s="198" t="s">
        <v>4772</v>
      </c>
    </row>
    <row r="1739" spans="1:5">
      <c r="A1739" s="198">
        <v>578085495</v>
      </c>
      <c r="B1739" s="198">
        <v>769051579.04858994</v>
      </c>
      <c r="D1739" s="198" t="s">
        <v>4773</v>
      </c>
      <c r="E1739" s="198" t="s">
        <v>4774</v>
      </c>
    </row>
    <row r="1740" spans="1:5">
      <c r="A1740" s="198">
        <v>578132285</v>
      </c>
      <c r="B1740" s="198">
        <v>769098369.04910004</v>
      </c>
      <c r="D1740" s="198" t="s">
        <v>4775</v>
      </c>
      <c r="E1740" s="198" t="s">
        <v>4776</v>
      </c>
    </row>
    <row r="1741" spans="1:5">
      <c r="A1741" s="198">
        <v>578254699</v>
      </c>
      <c r="B1741" s="198">
        <v>769220783.05048096</v>
      </c>
      <c r="D1741" s="198" t="s">
        <v>4777</v>
      </c>
      <c r="E1741" s="198" t="s">
        <v>4778</v>
      </c>
    </row>
    <row r="1742" spans="1:5">
      <c r="A1742" s="198">
        <v>578341103</v>
      </c>
      <c r="B1742" s="198">
        <v>769307187.05145204</v>
      </c>
      <c r="D1742" s="198" t="s">
        <v>4779</v>
      </c>
      <c r="E1742" s="198" t="s">
        <v>4780</v>
      </c>
    </row>
    <row r="1743" spans="1:5">
      <c r="A1743" s="198">
        <v>578431103</v>
      </c>
      <c r="B1743" s="198">
        <v>769397187.052441</v>
      </c>
      <c r="D1743" s="198" t="s">
        <v>4781</v>
      </c>
      <c r="E1743" s="198" t="s">
        <v>4782</v>
      </c>
    </row>
    <row r="1744" spans="1:5">
      <c r="A1744" s="198">
        <v>578517515</v>
      </c>
      <c r="B1744" s="198">
        <v>769483599.053424</v>
      </c>
      <c r="D1744" s="198" t="s">
        <v>4783</v>
      </c>
      <c r="E1744" s="198" t="s">
        <v>4784</v>
      </c>
    </row>
    <row r="1745" spans="1:5">
      <c r="A1745" s="198">
        <v>578575182</v>
      </c>
      <c r="B1745" s="198">
        <v>769541266.054057</v>
      </c>
      <c r="D1745" s="198" t="s">
        <v>4785</v>
      </c>
      <c r="E1745" s="198" t="s">
        <v>4786</v>
      </c>
    </row>
    <row r="1746" spans="1:5">
      <c r="A1746" s="198">
        <v>578690313</v>
      </c>
      <c r="B1746" s="198">
        <v>769656397.05535197</v>
      </c>
      <c r="D1746" s="198" t="s">
        <v>4787</v>
      </c>
      <c r="E1746" s="198" t="s">
        <v>4788</v>
      </c>
    </row>
    <row r="1747" spans="1:5">
      <c r="A1747" s="198">
        <v>578765909</v>
      </c>
      <c r="B1747" s="198">
        <v>769731993.05616498</v>
      </c>
      <c r="D1747" s="198" t="s">
        <v>4789</v>
      </c>
      <c r="E1747" s="198" t="s">
        <v>4790</v>
      </c>
    </row>
    <row r="1748" spans="1:5">
      <c r="A1748" s="198">
        <v>578863124</v>
      </c>
      <c r="B1748" s="198">
        <v>769829208.05727303</v>
      </c>
      <c r="D1748" s="198" t="s">
        <v>4791</v>
      </c>
      <c r="E1748" s="198" t="s">
        <v>4792</v>
      </c>
    </row>
    <row r="1749" spans="1:5">
      <c r="A1749" s="198">
        <v>578949525</v>
      </c>
      <c r="B1749" s="198">
        <v>769915609.05824494</v>
      </c>
      <c r="D1749" s="198" t="s">
        <v>4793</v>
      </c>
      <c r="E1749" s="198" t="s">
        <v>4794</v>
      </c>
    </row>
    <row r="1750" spans="1:5">
      <c r="A1750" s="198">
        <v>579039544</v>
      </c>
      <c r="B1750" s="198">
        <v>770005628.05925</v>
      </c>
      <c r="D1750" s="198" t="s">
        <v>4795</v>
      </c>
      <c r="E1750" s="198" t="s">
        <v>4796</v>
      </c>
    </row>
    <row r="1751" spans="1:5">
      <c r="A1751" s="198">
        <v>579104320</v>
      </c>
      <c r="B1751" s="198">
        <v>770070404.05993903</v>
      </c>
      <c r="D1751" s="198" t="s">
        <v>4797</v>
      </c>
      <c r="E1751" s="198" t="s">
        <v>4798</v>
      </c>
    </row>
    <row r="1752" spans="1:5">
      <c r="A1752" s="198">
        <v>579183513</v>
      </c>
      <c r="B1752" s="198">
        <v>770149597.06081605</v>
      </c>
      <c r="D1752" s="198" t="s">
        <v>4799</v>
      </c>
      <c r="E1752" s="198" t="s">
        <v>4800</v>
      </c>
    </row>
    <row r="1753" spans="1:5">
      <c r="A1753" s="198">
        <v>579277122</v>
      </c>
      <c r="B1753" s="198">
        <v>770243206.06189096</v>
      </c>
      <c r="D1753" s="198" t="s">
        <v>4801</v>
      </c>
      <c r="E1753" s="198" t="s">
        <v>4802</v>
      </c>
    </row>
    <row r="1754" spans="1:5">
      <c r="A1754" s="198">
        <v>579349129</v>
      </c>
      <c r="B1754" s="198">
        <v>770315213.06270301</v>
      </c>
      <c r="D1754" s="198" t="s">
        <v>4803</v>
      </c>
      <c r="E1754" s="198" t="s">
        <v>4804</v>
      </c>
    </row>
    <row r="1755" spans="1:5">
      <c r="A1755" s="198">
        <v>579413959</v>
      </c>
      <c r="B1755" s="198">
        <v>770380043.06343699</v>
      </c>
      <c r="D1755" s="198" t="s">
        <v>4805</v>
      </c>
      <c r="E1755" s="198" t="s">
        <v>4806</v>
      </c>
    </row>
    <row r="1756" spans="1:5">
      <c r="A1756" s="198">
        <v>579550732</v>
      </c>
      <c r="B1756" s="198">
        <v>770516816.06496096</v>
      </c>
      <c r="D1756" s="198" t="s">
        <v>4807</v>
      </c>
      <c r="E1756" s="198" t="s">
        <v>4808</v>
      </c>
    </row>
    <row r="1757" spans="1:5">
      <c r="A1757" s="198">
        <v>579633527</v>
      </c>
      <c r="B1757" s="198">
        <v>770599611.06588602</v>
      </c>
      <c r="D1757" s="198" t="s">
        <v>4809</v>
      </c>
      <c r="E1757" s="198" t="s">
        <v>4810</v>
      </c>
    </row>
    <row r="1758" spans="1:5">
      <c r="A1758" s="198">
        <v>579709129</v>
      </c>
      <c r="B1758" s="198">
        <v>770675213.066728</v>
      </c>
      <c r="D1758" s="198" t="s">
        <v>4811</v>
      </c>
      <c r="E1758" s="198" t="s">
        <v>4812</v>
      </c>
    </row>
    <row r="1759" spans="1:5">
      <c r="A1759" s="198">
        <v>579795524</v>
      </c>
      <c r="B1759" s="198">
        <v>770761608.06768596</v>
      </c>
      <c r="D1759" s="198" t="s">
        <v>4813</v>
      </c>
      <c r="E1759" s="198" t="s">
        <v>4814</v>
      </c>
    </row>
    <row r="1760" spans="1:5">
      <c r="A1760" s="198">
        <v>579881928</v>
      </c>
      <c r="B1760" s="198">
        <v>770848012.06865096</v>
      </c>
      <c r="D1760" s="198" t="s">
        <v>4815</v>
      </c>
      <c r="E1760" s="198" t="s">
        <v>4816</v>
      </c>
    </row>
    <row r="1761" spans="1:5">
      <c r="A1761" s="198">
        <v>580036731</v>
      </c>
      <c r="B1761" s="198">
        <v>771002815.07038701</v>
      </c>
      <c r="D1761" s="198" t="s">
        <v>4817</v>
      </c>
      <c r="E1761" s="198" t="s">
        <v>4818</v>
      </c>
    </row>
    <row r="1762" spans="1:5">
      <c r="A1762" s="198">
        <v>580151933</v>
      </c>
      <c r="B1762" s="198">
        <v>771118017.07170403</v>
      </c>
      <c r="D1762" s="198" t="s">
        <v>4819</v>
      </c>
      <c r="E1762" s="198" t="s">
        <v>4820</v>
      </c>
    </row>
    <row r="1763" spans="1:5">
      <c r="A1763" s="198">
        <v>580253674</v>
      </c>
      <c r="B1763" s="198">
        <v>771219758.07281196</v>
      </c>
      <c r="D1763" s="198" t="s">
        <v>4821</v>
      </c>
      <c r="E1763" s="198" t="s">
        <v>4822</v>
      </c>
    </row>
    <row r="1764" spans="1:5">
      <c r="A1764" s="198">
        <v>580339781</v>
      </c>
      <c r="B1764" s="198">
        <v>771305865.07377601</v>
      </c>
      <c r="D1764" s="198" t="s">
        <v>4823</v>
      </c>
      <c r="E1764" s="198" t="s">
        <v>4824</v>
      </c>
    </row>
    <row r="1765" spans="1:5">
      <c r="A1765" s="198">
        <v>580425560</v>
      </c>
      <c r="B1765" s="198">
        <v>771391644.07473397</v>
      </c>
      <c r="D1765" s="198" t="s">
        <v>4825</v>
      </c>
      <c r="E1765" s="198" t="s">
        <v>4826</v>
      </c>
    </row>
    <row r="1766" spans="1:5">
      <c r="A1766" s="198">
        <v>580486735</v>
      </c>
      <c r="B1766" s="198">
        <v>771452819.075441</v>
      </c>
      <c r="D1766" s="198" t="s">
        <v>4827</v>
      </c>
      <c r="E1766" s="198" t="s">
        <v>4828</v>
      </c>
    </row>
    <row r="1767" spans="1:5">
      <c r="A1767" s="198">
        <v>580598368</v>
      </c>
      <c r="B1767" s="198">
        <v>771564452.07668102</v>
      </c>
      <c r="D1767" s="198" t="s">
        <v>4829</v>
      </c>
      <c r="E1767" s="198" t="s">
        <v>4830</v>
      </c>
    </row>
    <row r="1768" spans="1:5">
      <c r="A1768" s="198">
        <v>580684752</v>
      </c>
      <c r="B1768" s="198">
        <v>771650836.07764995</v>
      </c>
      <c r="D1768" s="198" t="s">
        <v>4831</v>
      </c>
      <c r="E1768" s="198" t="s">
        <v>4832</v>
      </c>
    </row>
    <row r="1769" spans="1:5">
      <c r="A1769" s="198">
        <v>580771152</v>
      </c>
      <c r="B1769" s="198">
        <v>771737236.07861304</v>
      </c>
      <c r="D1769" s="198" t="s">
        <v>4833</v>
      </c>
      <c r="E1769" s="198" t="s">
        <v>4834</v>
      </c>
    </row>
    <row r="1770" spans="1:5">
      <c r="A1770" s="198">
        <v>580846871</v>
      </c>
      <c r="B1770" s="198">
        <v>771812955.079494</v>
      </c>
      <c r="D1770" s="198" t="s">
        <v>4835</v>
      </c>
      <c r="E1770" s="198" t="s">
        <v>4836</v>
      </c>
    </row>
    <row r="1771" spans="1:5">
      <c r="A1771" s="198">
        <v>580936788</v>
      </c>
      <c r="B1771" s="198">
        <v>771902872.08050203</v>
      </c>
      <c r="D1771" s="198" t="s">
        <v>4837</v>
      </c>
      <c r="E1771" s="198" t="s">
        <v>4838</v>
      </c>
    </row>
    <row r="1772" spans="1:5">
      <c r="A1772" s="198">
        <v>580979928</v>
      </c>
      <c r="B1772" s="198">
        <v>771946012.08097398</v>
      </c>
      <c r="D1772" s="198" t="s">
        <v>4839</v>
      </c>
      <c r="E1772" s="198" t="s">
        <v>4840</v>
      </c>
    </row>
    <row r="1773" spans="1:5">
      <c r="A1773" s="198">
        <v>581098727</v>
      </c>
      <c r="B1773" s="198">
        <v>772064811.08232498</v>
      </c>
      <c r="D1773" s="198" t="s">
        <v>4841</v>
      </c>
      <c r="E1773" s="198" t="s">
        <v>4842</v>
      </c>
    </row>
    <row r="1774" spans="1:5">
      <c r="A1774" s="198">
        <v>581156326</v>
      </c>
      <c r="B1774" s="198">
        <v>772122410.08294797</v>
      </c>
      <c r="D1774" s="198" t="s">
        <v>4843</v>
      </c>
      <c r="E1774" s="198" t="s">
        <v>4844</v>
      </c>
    </row>
    <row r="1775" spans="1:5">
      <c r="A1775" s="198">
        <v>581289542</v>
      </c>
      <c r="B1775" s="198">
        <v>772255626.08443201</v>
      </c>
      <c r="D1775" s="198" t="s">
        <v>4845</v>
      </c>
      <c r="E1775" s="198" t="s">
        <v>4846</v>
      </c>
    </row>
    <row r="1776" spans="1:5">
      <c r="A1776" s="198">
        <v>581350724</v>
      </c>
      <c r="B1776" s="198">
        <v>772316808.08513904</v>
      </c>
      <c r="D1776" s="198" t="s">
        <v>4847</v>
      </c>
      <c r="E1776" s="198" t="s">
        <v>4848</v>
      </c>
    </row>
    <row r="1777" spans="1:5">
      <c r="A1777" s="198">
        <v>581437123</v>
      </c>
      <c r="B1777" s="198">
        <v>772403207.08610404</v>
      </c>
      <c r="D1777" s="198" t="s">
        <v>4849</v>
      </c>
      <c r="E1777" s="198" t="s">
        <v>4850</v>
      </c>
    </row>
    <row r="1778" spans="1:5">
      <c r="A1778" s="198">
        <v>581548737</v>
      </c>
      <c r="B1778" s="198">
        <v>772514821.08569396</v>
      </c>
      <c r="D1778" s="198" t="s">
        <v>4851</v>
      </c>
      <c r="E1778" s="198" t="s">
        <v>4852</v>
      </c>
    </row>
    <row r="1779" spans="1:5">
      <c r="A1779" s="198">
        <v>581635139</v>
      </c>
      <c r="B1779" s="198">
        <v>772601223.08665001</v>
      </c>
      <c r="D1779" s="198" t="s">
        <v>4853</v>
      </c>
      <c r="E1779" s="198" t="s">
        <v>4854</v>
      </c>
    </row>
    <row r="1780" spans="1:5">
      <c r="A1780" s="198">
        <v>581721538</v>
      </c>
      <c r="B1780" s="198">
        <v>772687622.08762705</v>
      </c>
      <c r="D1780" s="198" t="s">
        <v>4855</v>
      </c>
      <c r="E1780" s="198" t="s">
        <v>4856</v>
      </c>
    </row>
    <row r="1781" spans="1:5">
      <c r="A1781" s="198">
        <v>581735931</v>
      </c>
      <c r="B1781" s="198">
        <v>772702015.08781195</v>
      </c>
      <c r="D1781" s="198" t="s">
        <v>4857</v>
      </c>
      <c r="E1781" s="198" t="s">
        <v>4858</v>
      </c>
    </row>
    <row r="1782" spans="1:5">
      <c r="A1782" s="198">
        <v>581895231</v>
      </c>
      <c r="B1782" s="198">
        <v>772861315.08956504</v>
      </c>
      <c r="D1782" s="198" t="s">
        <v>4859</v>
      </c>
      <c r="E1782" s="198" t="s">
        <v>4860</v>
      </c>
    </row>
    <row r="1783" spans="1:5">
      <c r="A1783" s="198">
        <v>581980723</v>
      </c>
      <c r="B1783" s="198">
        <v>772946807.090518</v>
      </c>
      <c r="D1783" s="198" t="s">
        <v>4861</v>
      </c>
      <c r="E1783" s="198" t="s">
        <v>4862</v>
      </c>
    </row>
    <row r="1784" spans="1:5">
      <c r="A1784" s="198">
        <v>582045504</v>
      </c>
      <c r="B1784" s="198">
        <v>773011588.09127402</v>
      </c>
      <c r="D1784" s="198" t="s">
        <v>4863</v>
      </c>
      <c r="E1784" s="198" t="s">
        <v>4864</v>
      </c>
    </row>
    <row r="1785" spans="1:5">
      <c r="A1785" s="198">
        <v>582153519</v>
      </c>
      <c r="B1785" s="198">
        <v>773119603.092466</v>
      </c>
      <c r="D1785" s="198" t="s">
        <v>4865</v>
      </c>
      <c r="E1785" s="198" t="s">
        <v>4866</v>
      </c>
    </row>
    <row r="1786" spans="1:5">
      <c r="A1786" s="198">
        <v>582239944</v>
      </c>
      <c r="B1786" s="198">
        <v>773206028.09342504</v>
      </c>
      <c r="D1786" s="198" t="s">
        <v>4867</v>
      </c>
      <c r="E1786" s="198" t="s">
        <v>4868</v>
      </c>
    </row>
    <row r="1787" spans="1:5">
      <c r="A1787" s="198">
        <v>582326317</v>
      </c>
      <c r="B1787" s="198">
        <v>773292401.09438097</v>
      </c>
      <c r="D1787" s="198" t="s">
        <v>4869</v>
      </c>
      <c r="E1787" s="198" t="s">
        <v>4870</v>
      </c>
    </row>
    <row r="1788" spans="1:5">
      <c r="A1788" s="198">
        <v>582455926</v>
      </c>
      <c r="B1788" s="198">
        <v>773422010.09586799</v>
      </c>
      <c r="D1788" s="198" t="s">
        <v>4871</v>
      </c>
      <c r="E1788" s="198" t="s">
        <v>4872</v>
      </c>
    </row>
    <row r="1789" spans="1:5">
      <c r="A1789" s="198">
        <v>582538697</v>
      </c>
      <c r="B1789" s="198">
        <v>773504781.09677505</v>
      </c>
      <c r="D1789" s="198" t="s">
        <v>4873</v>
      </c>
      <c r="E1789" s="198" t="s">
        <v>4874</v>
      </c>
    </row>
    <row r="1790" spans="1:5">
      <c r="A1790" s="198">
        <v>582628727</v>
      </c>
      <c r="B1790" s="198">
        <v>773594811.09778404</v>
      </c>
      <c r="D1790" s="198" t="s">
        <v>4875</v>
      </c>
      <c r="E1790" s="198" t="s">
        <v>4876</v>
      </c>
    </row>
    <row r="1791" spans="1:5">
      <c r="A1791" s="198">
        <v>582711493</v>
      </c>
      <c r="B1791" s="198">
        <v>773677577.09871197</v>
      </c>
      <c r="D1791" s="198" t="s">
        <v>4877</v>
      </c>
      <c r="E1791" s="198" t="s">
        <v>4878</v>
      </c>
    </row>
    <row r="1792" spans="1:5">
      <c r="A1792" s="198">
        <v>582844698</v>
      </c>
      <c r="B1792" s="198">
        <v>773810782.10017705</v>
      </c>
      <c r="D1792" s="198" t="s">
        <v>4879</v>
      </c>
      <c r="E1792" s="198" t="s">
        <v>4880</v>
      </c>
    </row>
    <row r="1793" spans="1:5">
      <c r="A1793" s="198">
        <v>582931089</v>
      </c>
      <c r="B1793" s="198">
        <v>773897173.10114896</v>
      </c>
      <c r="D1793" s="198" t="s">
        <v>4881</v>
      </c>
      <c r="E1793" s="198" t="s">
        <v>4882</v>
      </c>
    </row>
    <row r="1794" spans="1:5">
      <c r="A1794" s="198">
        <v>583018084</v>
      </c>
      <c r="B1794" s="198">
        <v>773984168.10212398</v>
      </c>
      <c r="D1794" s="198" t="s">
        <v>4883</v>
      </c>
      <c r="E1794" s="198" t="s">
        <v>4884</v>
      </c>
    </row>
    <row r="1795" spans="1:5">
      <c r="A1795" s="198">
        <v>583103883</v>
      </c>
      <c r="B1795" s="198">
        <v>774069967.10307705</v>
      </c>
      <c r="D1795" s="198" t="s">
        <v>4885</v>
      </c>
      <c r="E1795" s="198" t="s">
        <v>4886</v>
      </c>
    </row>
    <row r="1796" spans="1:5">
      <c r="A1796" s="198">
        <v>583190278</v>
      </c>
      <c r="B1796" s="198">
        <v>774156362.10405099</v>
      </c>
      <c r="D1796" s="198" t="s">
        <v>4887</v>
      </c>
      <c r="E1796" s="198" t="s">
        <v>4888</v>
      </c>
    </row>
    <row r="1797" spans="1:5">
      <c r="A1797" s="198">
        <v>583276678</v>
      </c>
      <c r="B1797" s="198">
        <v>774242762.10500896</v>
      </c>
      <c r="D1797" s="198" t="s">
        <v>4889</v>
      </c>
      <c r="E1797" s="198" t="s">
        <v>4890</v>
      </c>
    </row>
    <row r="1798" spans="1:5">
      <c r="A1798" s="198">
        <v>583363065</v>
      </c>
      <c r="B1798" s="198">
        <v>774329149.10598099</v>
      </c>
      <c r="D1798" s="198" t="s">
        <v>4891</v>
      </c>
      <c r="E1798" s="198" t="s">
        <v>4892</v>
      </c>
    </row>
    <row r="1799" spans="1:5">
      <c r="A1799" s="198">
        <v>583449463</v>
      </c>
      <c r="B1799" s="198">
        <v>774415547.10694695</v>
      </c>
      <c r="D1799" s="198" t="s">
        <v>4893</v>
      </c>
      <c r="E1799" s="198" t="s">
        <v>4894</v>
      </c>
    </row>
    <row r="1800" spans="1:5">
      <c r="A1800" s="198">
        <v>583535858</v>
      </c>
      <c r="B1800" s="198">
        <v>774501942.107903</v>
      </c>
      <c r="D1800" s="198" t="s">
        <v>4895</v>
      </c>
      <c r="E1800" s="198" t="s">
        <v>4896</v>
      </c>
    </row>
    <row r="1801" spans="1:5">
      <c r="A1801" s="198">
        <v>583622250</v>
      </c>
      <c r="B1801" s="198">
        <v>774588334.10887599</v>
      </c>
      <c r="D1801" s="198" t="s">
        <v>4897</v>
      </c>
      <c r="E1801" s="198" t="s">
        <v>4898</v>
      </c>
    </row>
    <row r="1802" spans="1:5">
      <c r="A1802" s="198">
        <v>583708649</v>
      </c>
      <c r="B1802" s="198">
        <v>774674733.10983503</v>
      </c>
      <c r="D1802" s="198" t="s">
        <v>4899</v>
      </c>
      <c r="E1802" s="198" t="s">
        <v>4900</v>
      </c>
    </row>
    <row r="1803" spans="1:5">
      <c r="A1803" s="198">
        <v>583795041</v>
      </c>
      <c r="B1803" s="198">
        <v>774761125.11081195</v>
      </c>
      <c r="D1803" s="198" t="s">
        <v>4901</v>
      </c>
      <c r="E1803" s="198" t="s">
        <v>4902</v>
      </c>
    </row>
    <row r="1804" spans="1:5">
      <c r="A1804" s="198">
        <v>583856218</v>
      </c>
      <c r="B1804" s="198">
        <v>774822302.11149597</v>
      </c>
      <c r="D1804" s="198" t="s">
        <v>4903</v>
      </c>
      <c r="E1804" s="198" t="s">
        <v>4904</v>
      </c>
    </row>
    <row r="1805" spans="1:5">
      <c r="A1805" s="198">
        <v>583967829</v>
      </c>
      <c r="B1805" s="198">
        <v>774933913.11274397</v>
      </c>
      <c r="D1805" s="198" t="s">
        <v>4905</v>
      </c>
      <c r="E1805" s="198" t="s">
        <v>4906</v>
      </c>
    </row>
    <row r="1806" spans="1:5">
      <c r="A1806" s="198">
        <v>584003809</v>
      </c>
      <c r="B1806" s="198">
        <v>774969893.11310899</v>
      </c>
      <c r="D1806" s="198" t="s">
        <v>4907</v>
      </c>
      <c r="E1806" s="198" t="s">
        <v>4908</v>
      </c>
    </row>
    <row r="1807" spans="1:5">
      <c r="A1807" s="198">
        <v>584115407</v>
      </c>
      <c r="B1807" s="198">
        <v>775081491.11439705</v>
      </c>
      <c r="D1807" s="198" t="s">
        <v>4909</v>
      </c>
      <c r="E1807" s="198" t="s">
        <v>4910</v>
      </c>
    </row>
    <row r="1808" spans="1:5">
      <c r="A1808" s="198">
        <v>584227012</v>
      </c>
      <c r="B1808" s="198">
        <v>775193096.11563694</v>
      </c>
      <c r="D1808" s="198" t="s">
        <v>4911</v>
      </c>
      <c r="E1808" s="198" t="s">
        <v>4912</v>
      </c>
    </row>
    <row r="1809" spans="1:5">
      <c r="A1809" s="198">
        <v>584313412</v>
      </c>
      <c r="B1809" s="198">
        <v>775279496.11659098</v>
      </c>
      <c r="D1809" s="198" t="s">
        <v>4913</v>
      </c>
      <c r="E1809" s="198" t="s">
        <v>4914</v>
      </c>
    </row>
    <row r="1810" spans="1:5">
      <c r="A1810" s="198">
        <v>584399804</v>
      </c>
      <c r="B1810" s="198">
        <v>775365888.11755097</v>
      </c>
      <c r="D1810" s="198" t="s">
        <v>4915</v>
      </c>
      <c r="E1810" s="198" t="s">
        <v>4916</v>
      </c>
    </row>
    <row r="1811" spans="1:5">
      <c r="A1811" s="198">
        <v>584486197</v>
      </c>
      <c r="B1811" s="198">
        <v>775452281.11852002</v>
      </c>
      <c r="D1811" s="198" t="s">
        <v>4917</v>
      </c>
      <c r="E1811" s="198" t="s">
        <v>4918</v>
      </c>
    </row>
    <row r="1812" spans="1:5">
      <c r="A1812" s="198">
        <v>584543769</v>
      </c>
      <c r="B1812" s="198">
        <v>775509853.11917996</v>
      </c>
      <c r="D1812" s="198" t="s">
        <v>4919</v>
      </c>
      <c r="E1812" s="198" t="s">
        <v>4920</v>
      </c>
    </row>
    <row r="1813" spans="1:5">
      <c r="A1813" s="198">
        <v>584619407</v>
      </c>
      <c r="B1813" s="198">
        <v>775585491.12000096</v>
      </c>
      <c r="D1813" s="198" t="s">
        <v>4921</v>
      </c>
      <c r="E1813" s="198" t="s">
        <v>4922</v>
      </c>
    </row>
    <row r="1814" spans="1:5">
      <c r="A1814" s="198">
        <v>584712995</v>
      </c>
      <c r="B1814" s="198">
        <v>775679079.12105203</v>
      </c>
      <c r="D1814" s="198" t="s">
        <v>4923</v>
      </c>
      <c r="E1814" s="198" t="s">
        <v>4924</v>
      </c>
    </row>
    <row r="1815" spans="1:5">
      <c r="A1815" s="198">
        <v>584831771</v>
      </c>
      <c r="B1815" s="198">
        <v>775797855.12237501</v>
      </c>
      <c r="D1815" s="198" t="s">
        <v>4925</v>
      </c>
      <c r="E1815" s="198" t="s">
        <v>4926</v>
      </c>
    </row>
    <row r="1816" spans="1:5">
      <c r="A1816" s="198">
        <v>584918165</v>
      </c>
      <c r="B1816" s="198">
        <v>775884249.12334204</v>
      </c>
      <c r="D1816" s="198" t="s">
        <v>4927</v>
      </c>
      <c r="E1816" s="198" t="s">
        <v>4928</v>
      </c>
    </row>
    <row r="1817" spans="1:5">
      <c r="A1817" s="198">
        <v>585004555</v>
      </c>
      <c r="B1817" s="198">
        <v>775970639.12429702</v>
      </c>
      <c r="D1817" s="198" t="s">
        <v>4929</v>
      </c>
      <c r="E1817" s="198" t="s">
        <v>4930</v>
      </c>
    </row>
    <row r="1818" spans="1:5">
      <c r="A1818" s="198">
        <v>585090944</v>
      </c>
      <c r="B1818" s="198">
        <v>776057028.12525105</v>
      </c>
      <c r="D1818" s="198" t="s">
        <v>4931</v>
      </c>
      <c r="E1818" s="198" t="s">
        <v>4932</v>
      </c>
    </row>
    <row r="1819" spans="1:5">
      <c r="A1819" s="198">
        <v>585177343</v>
      </c>
      <c r="B1819" s="198">
        <v>776143427.12622905</v>
      </c>
      <c r="D1819" s="198" t="s">
        <v>4933</v>
      </c>
      <c r="E1819" s="198" t="s">
        <v>4934</v>
      </c>
    </row>
    <row r="1820" spans="1:5">
      <c r="A1820" s="198">
        <v>585263731</v>
      </c>
      <c r="B1820" s="198">
        <v>776229815.12717295</v>
      </c>
      <c r="D1820" s="198" t="s">
        <v>4935</v>
      </c>
      <c r="E1820" s="198" t="s">
        <v>4936</v>
      </c>
    </row>
    <row r="1821" spans="1:5">
      <c r="A1821" s="198">
        <v>585328536</v>
      </c>
      <c r="B1821" s="198">
        <v>776294620.127918</v>
      </c>
      <c r="D1821" s="198" t="s">
        <v>4937</v>
      </c>
      <c r="E1821" s="198" t="s">
        <v>4938</v>
      </c>
    </row>
    <row r="1822" spans="1:5">
      <c r="A1822" s="198">
        <v>585436514</v>
      </c>
      <c r="B1822" s="198">
        <v>776402598.12909603</v>
      </c>
      <c r="D1822" s="198" t="s">
        <v>4939</v>
      </c>
      <c r="E1822" s="198" t="s">
        <v>4940</v>
      </c>
    </row>
    <row r="1823" spans="1:5">
      <c r="A1823" s="198">
        <v>585522906</v>
      </c>
      <c r="B1823" s="198">
        <v>776488990.13005698</v>
      </c>
      <c r="D1823" s="198" t="s">
        <v>4941</v>
      </c>
      <c r="E1823" s="198" t="s">
        <v>4942</v>
      </c>
    </row>
    <row r="1824" spans="1:5">
      <c r="A1824" s="198">
        <v>585587704</v>
      </c>
      <c r="B1824" s="198">
        <v>776553788.13079202</v>
      </c>
      <c r="D1824" s="198" t="s">
        <v>4943</v>
      </c>
      <c r="E1824" s="198" t="s">
        <v>4944</v>
      </c>
    </row>
    <row r="1825" spans="1:5">
      <c r="A1825" s="198">
        <v>585663269</v>
      </c>
      <c r="B1825" s="198">
        <v>776629353.13163304</v>
      </c>
      <c r="D1825" s="198" t="s">
        <v>4945</v>
      </c>
      <c r="E1825" s="198" t="s">
        <v>4946</v>
      </c>
    </row>
    <row r="1826" spans="1:5">
      <c r="A1826" s="198">
        <v>585756880</v>
      </c>
      <c r="B1826" s="198">
        <v>776722964.13267899</v>
      </c>
      <c r="D1826" s="198" t="s">
        <v>4947</v>
      </c>
      <c r="E1826" s="198" t="s">
        <v>4948</v>
      </c>
    </row>
    <row r="1827" spans="1:5">
      <c r="A1827" s="198">
        <v>585868475</v>
      </c>
      <c r="B1827" s="198">
        <v>776834559.13390601</v>
      </c>
      <c r="D1827" s="198" t="s">
        <v>4949</v>
      </c>
      <c r="E1827" s="198" t="s">
        <v>4950</v>
      </c>
    </row>
    <row r="1828" spans="1:5">
      <c r="A1828" s="198">
        <v>585954865</v>
      </c>
      <c r="B1828" s="198">
        <v>776920949.13485503</v>
      </c>
      <c r="D1828" s="198" t="s">
        <v>4951</v>
      </c>
      <c r="E1828" s="198" t="s">
        <v>4952</v>
      </c>
    </row>
    <row r="1829" spans="1:5">
      <c r="A1829" s="198">
        <v>586041394</v>
      </c>
      <c r="B1829" s="198">
        <v>777007478.13583004</v>
      </c>
      <c r="D1829" s="198" t="s">
        <v>4953</v>
      </c>
      <c r="E1829" s="198" t="s">
        <v>4954</v>
      </c>
    </row>
    <row r="1830" spans="1:5">
      <c r="A1830" s="198">
        <v>586127650</v>
      </c>
      <c r="B1830" s="198">
        <v>777093734.13677394</v>
      </c>
      <c r="D1830" s="198" t="s">
        <v>4955</v>
      </c>
      <c r="E1830" s="198" t="s">
        <v>4956</v>
      </c>
    </row>
    <row r="1831" spans="1:5">
      <c r="A1831" s="198">
        <v>586178018</v>
      </c>
      <c r="B1831" s="198">
        <v>777144102.13733602</v>
      </c>
      <c r="D1831" s="198" t="s">
        <v>4957</v>
      </c>
      <c r="E1831" s="198" t="s">
        <v>4958</v>
      </c>
    </row>
    <row r="1832" spans="1:5">
      <c r="A1832" s="198">
        <v>586300442</v>
      </c>
      <c r="B1832" s="198">
        <v>777266526.13869703</v>
      </c>
      <c r="D1832" s="198" t="s">
        <v>4959</v>
      </c>
      <c r="E1832" s="198" t="s">
        <v>4960</v>
      </c>
    </row>
    <row r="1833" spans="1:5">
      <c r="A1833" s="198">
        <v>586361621</v>
      </c>
      <c r="B1833" s="198">
        <v>777327705.13937998</v>
      </c>
      <c r="D1833" s="198" t="s">
        <v>4961</v>
      </c>
      <c r="E1833" s="198" t="s">
        <v>4962</v>
      </c>
    </row>
    <row r="1834" spans="1:5">
      <c r="A1834" s="198">
        <v>586473220</v>
      </c>
      <c r="B1834" s="198">
        <v>777439304.14061606</v>
      </c>
      <c r="D1834" s="198" t="s">
        <v>4963</v>
      </c>
      <c r="E1834" s="198" t="s">
        <v>4964</v>
      </c>
    </row>
    <row r="1835" spans="1:5">
      <c r="A1835" s="198">
        <v>586559609</v>
      </c>
      <c r="B1835" s="198">
        <v>777525693.14157295</v>
      </c>
      <c r="D1835" s="198" t="s">
        <v>4965</v>
      </c>
      <c r="E1835" s="198" t="s">
        <v>4966</v>
      </c>
    </row>
    <row r="1836" spans="1:5">
      <c r="A1836" s="198">
        <v>586732388</v>
      </c>
      <c r="B1836" s="198">
        <v>777698472.143489</v>
      </c>
      <c r="D1836" s="198" t="s">
        <v>4967</v>
      </c>
      <c r="E1836" s="198" t="s">
        <v>4968</v>
      </c>
    </row>
    <row r="1837" spans="1:5">
      <c r="A1837" s="198">
        <v>586818777</v>
      </c>
      <c r="B1837" s="198">
        <v>777784861.14443398</v>
      </c>
      <c r="D1837" s="198" t="s">
        <v>4969</v>
      </c>
      <c r="E1837" s="198" t="s">
        <v>4970</v>
      </c>
    </row>
    <row r="1838" spans="1:5">
      <c r="A1838" s="198">
        <v>586905167</v>
      </c>
      <c r="B1838" s="198">
        <v>777871251.14539397</v>
      </c>
      <c r="D1838" s="198" t="s">
        <v>4971</v>
      </c>
      <c r="E1838" s="198" t="s">
        <v>4972</v>
      </c>
    </row>
    <row r="1839" spans="1:5">
      <c r="A1839" s="198">
        <v>586991556</v>
      </c>
      <c r="B1839" s="198">
        <v>777957640.14635599</v>
      </c>
      <c r="D1839" s="198" t="s">
        <v>4973</v>
      </c>
      <c r="E1839" s="198" t="s">
        <v>4974</v>
      </c>
    </row>
    <row r="1840" spans="1:5">
      <c r="A1840" s="198">
        <v>587077945</v>
      </c>
      <c r="B1840" s="198">
        <v>778044029.14730203</v>
      </c>
      <c r="D1840" s="198" t="s">
        <v>4975</v>
      </c>
      <c r="E1840" s="198" t="s">
        <v>4976</v>
      </c>
    </row>
    <row r="1841" spans="1:5">
      <c r="A1841" s="198">
        <v>587131912</v>
      </c>
      <c r="B1841" s="198">
        <v>778097996.14790201</v>
      </c>
      <c r="D1841" s="198" t="s">
        <v>4977</v>
      </c>
      <c r="E1841" s="198" t="s">
        <v>4978</v>
      </c>
    </row>
    <row r="1842" spans="1:5">
      <c r="A1842" s="198">
        <v>587239913</v>
      </c>
      <c r="B1842" s="198">
        <v>778205997.14908004</v>
      </c>
      <c r="D1842" s="198" t="s">
        <v>4979</v>
      </c>
      <c r="E1842" s="198" t="s">
        <v>4980</v>
      </c>
    </row>
    <row r="1843" spans="1:5">
      <c r="A1843" s="198">
        <v>587337123</v>
      </c>
      <c r="B1843" s="198">
        <v>778303207.15016997</v>
      </c>
      <c r="D1843" s="198" t="s">
        <v>4981</v>
      </c>
      <c r="E1843" s="198" t="s">
        <v>4982</v>
      </c>
    </row>
    <row r="1844" spans="1:5">
      <c r="A1844" s="198">
        <v>587423545</v>
      </c>
      <c r="B1844" s="198">
        <v>778389629.15111494</v>
      </c>
      <c r="D1844" s="198" t="s">
        <v>4983</v>
      </c>
      <c r="E1844" s="198" t="s">
        <v>4984</v>
      </c>
    </row>
    <row r="1845" spans="1:5">
      <c r="A1845" s="198">
        <v>587509906</v>
      </c>
      <c r="B1845" s="198">
        <v>778475990.15207601</v>
      </c>
      <c r="D1845" s="198" t="s">
        <v>4985</v>
      </c>
      <c r="E1845" s="198" t="s">
        <v>4986</v>
      </c>
    </row>
    <row r="1846" spans="1:5">
      <c r="A1846" s="198">
        <v>587567493</v>
      </c>
      <c r="B1846" s="198">
        <v>778533577.15271699</v>
      </c>
      <c r="D1846" s="198" t="s">
        <v>4987</v>
      </c>
      <c r="E1846" s="198" t="s">
        <v>4988</v>
      </c>
    </row>
    <row r="1847" spans="1:5">
      <c r="A1847" s="198">
        <v>587682688</v>
      </c>
      <c r="B1847" s="198">
        <v>778648772.15397704</v>
      </c>
      <c r="D1847" s="198" t="s">
        <v>4989</v>
      </c>
      <c r="E1847" s="198" t="s">
        <v>4990</v>
      </c>
    </row>
    <row r="1848" spans="1:5">
      <c r="A1848" s="198">
        <v>587765460</v>
      </c>
      <c r="B1848" s="198">
        <v>778731544.15487099</v>
      </c>
      <c r="D1848" s="198" t="s">
        <v>4991</v>
      </c>
      <c r="E1848" s="198" t="s">
        <v>4992</v>
      </c>
    </row>
    <row r="1849" spans="1:5">
      <c r="A1849" s="198">
        <v>587819429</v>
      </c>
      <c r="B1849" s="198">
        <v>778785513.15546894</v>
      </c>
      <c r="D1849" s="198" t="s">
        <v>4993</v>
      </c>
      <c r="E1849" s="198" t="s">
        <v>4994</v>
      </c>
    </row>
    <row r="1850" spans="1:5">
      <c r="A1850" s="198">
        <v>587941876</v>
      </c>
      <c r="B1850" s="198">
        <v>778907960.15681696</v>
      </c>
      <c r="D1850" s="198" t="s">
        <v>4995</v>
      </c>
      <c r="E1850" s="198" t="s">
        <v>4996</v>
      </c>
    </row>
    <row r="1851" spans="1:5">
      <c r="A1851" s="198">
        <v>587995812</v>
      </c>
      <c r="B1851" s="198">
        <v>778961896.157426</v>
      </c>
      <c r="D1851" s="198" t="s">
        <v>4997</v>
      </c>
      <c r="E1851" s="198" t="s">
        <v>4998</v>
      </c>
    </row>
    <row r="1852" spans="1:5">
      <c r="A1852" s="198">
        <v>588114642</v>
      </c>
      <c r="B1852" s="198">
        <v>779080726.15873003</v>
      </c>
      <c r="D1852" s="198" t="s">
        <v>4999</v>
      </c>
      <c r="E1852" s="198" t="s">
        <v>5000</v>
      </c>
    </row>
    <row r="1853" spans="1:5">
      <c r="A1853" s="198">
        <v>588172239</v>
      </c>
      <c r="B1853" s="198">
        <v>779138323.159361</v>
      </c>
      <c r="D1853" s="198" t="s">
        <v>5001</v>
      </c>
      <c r="E1853" s="198" t="s">
        <v>5002</v>
      </c>
    </row>
    <row r="1854" spans="1:5">
      <c r="A1854" s="198">
        <v>588218974</v>
      </c>
      <c r="B1854" s="198">
        <v>779185058.15985596</v>
      </c>
      <c r="D1854" s="198" t="s">
        <v>5003</v>
      </c>
      <c r="E1854" s="198" t="s">
        <v>5004</v>
      </c>
    </row>
    <row r="1855" spans="1:5">
      <c r="A1855" s="198">
        <v>588316162</v>
      </c>
      <c r="B1855" s="198">
        <v>779282246.16090798</v>
      </c>
      <c r="D1855" s="198" t="s">
        <v>5005</v>
      </c>
      <c r="E1855" s="198" t="s">
        <v>5006</v>
      </c>
    </row>
    <row r="1856" spans="1:5">
      <c r="A1856" s="198">
        <v>588398973</v>
      </c>
      <c r="B1856" s="198">
        <v>779365057.16183698</v>
      </c>
      <c r="D1856" s="198" t="s">
        <v>5007</v>
      </c>
      <c r="E1856" s="198" t="s">
        <v>5008</v>
      </c>
    </row>
    <row r="1857" spans="1:5">
      <c r="A1857" s="198">
        <v>588547526</v>
      </c>
      <c r="B1857" s="198">
        <v>779513610.16344404</v>
      </c>
      <c r="D1857" s="198" t="s">
        <v>5009</v>
      </c>
      <c r="E1857" s="198" t="s">
        <v>5010</v>
      </c>
    </row>
    <row r="1858" spans="1:5">
      <c r="A1858" s="198">
        <v>588632987</v>
      </c>
      <c r="B1858" s="198">
        <v>779599071.16436505</v>
      </c>
      <c r="D1858" s="198" t="s">
        <v>5011</v>
      </c>
      <c r="E1858" s="198" t="s">
        <v>5012</v>
      </c>
    </row>
    <row r="1859" spans="1:5">
      <c r="A1859" s="198">
        <v>588686932</v>
      </c>
      <c r="B1859" s="198">
        <v>779653016.165007</v>
      </c>
      <c r="D1859" s="198" t="s">
        <v>5013</v>
      </c>
      <c r="E1859" s="198" t="s">
        <v>5014</v>
      </c>
    </row>
    <row r="1860" spans="1:5">
      <c r="A1860" s="198">
        <v>588758900</v>
      </c>
      <c r="B1860" s="198">
        <v>779724984.16576898</v>
      </c>
      <c r="D1860" s="198" t="s">
        <v>5015</v>
      </c>
      <c r="E1860" s="198" t="s">
        <v>5016</v>
      </c>
    </row>
    <row r="1861" spans="1:5">
      <c r="A1861" s="198">
        <v>588845285</v>
      </c>
      <c r="B1861" s="198">
        <v>779811369.16671705</v>
      </c>
      <c r="D1861" s="198" t="s">
        <v>5017</v>
      </c>
      <c r="E1861" s="198" t="s">
        <v>5018</v>
      </c>
    </row>
    <row r="1862" spans="1:5">
      <c r="A1862" s="198">
        <v>588946090</v>
      </c>
      <c r="B1862" s="198">
        <v>779912174.16784501</v>
      </c>
      <c r="D1862" s="198" t="s">
        <v>5019</v>
      </c>
      <c r="E1862" s="198" t="s">
        <v>5020</v>
      </c>
    </row>
    <row r="1863" spans="1:5">
      <c r="A1863" s="198">
        <v>589003718</v>
      </c>
      <c r="B1863" s="198">
        <v>779969802.168468</v>
      </c>
      <c r="D1863" s="198" t="s">
        <v>5021</v>
      </c>
      <c r="E1863" s="198" t="s">
        <v>5022</v>
      </c>
    </row>
    <row r="1864" spans="1:5">
      <c r="A1864" s="198">
        <v>589144206</v>
      </c>
      <c r="B1864" s="198">
        <v>780110290.17003</v>
      </c>
      <c r="D1864" s="198" t="s">
        <v>5023</v>
      </c>
      <c r="E1864" s="198" t="s">
        <v>5024</v>
      </c>
    </row>
    <row r="1865" spans="1:5">
      <c r="A1865" s="198">
        <v>589237706</v>
      </c>
      <c r="B1865" s="198">
        <v>780203790.17098403</v>
      </c>
      <c r="D1865" s="198" t="s">
        <v>5025</v>
      </c>
      <c r="E1865" s="198" t="s">
        <v>5026</v>
      </c>
    </row>
    <row r="1866" spans="1:5">
      <c r="A1866" s="198">
        <v>589288037</v>
      </c>
      <c r="B1866" s="198">
        <v>780254121.17156398</v>
      </c>
      <c r="D1866" s="198" t="s">
        <v>5027</v>
      </c>
      <c r="E1866" s="198" t="s">
        <v>5028</v>
      </c>
    </row>
    <row r="1867" spans="1:5">
      <c r="A1867" s="198">
        <v>589410481</v>
      </c>
      <c r="B1867" s="198">
        <v>780376565.172876</v>
      </c>
      <c r="D1867" s="198" t="s">
        <v>5029</v>
      </c>
      <c r="E1867" s="198" t="s">
        <v>5030</v>
      </c>
    </row>
    <row r="1868" spans="1:5">
      <c r="A1868" s="198">
        <v>589464454</v>
      </c>
      <c r="B1868" s="198">
        <v>780430538.17349398</v>
      </c>
      <c r="D1868" s="198" t="s">
        <v>5031</v>
      </c>
      <c r="E1868" s="198" t="s">
        <v>5032</v>
      </c>
    </row>
    <row r="1869" spans="1:5">
      <c r="A1869" s="198">
        <v>589584137</v>
      </c>
      <c r="B1869" s="198">
        <v>780550221.17476499</v>
      </c>
      <c r="D1869" s="198" t="s">
        <v>5033</v>
      </c>
      <c r="E1869" s="198" t="s">
        <v>5034</v>
      </c>
    </row>
    <row r="1870" spans="1:5">
      <c r="A1870" s="198">
        <v>589622782</v>
      </c>
      <c r="B1870" s="198">
        <v>780588866.17521</v>
      </c>
      <c r="D1870" s="198" t="s">
        <v>5035</v>
      </c>
      <c r="E1870" s="198" t="s">
        <v>5036</v>
      </c>
    </row>
    <row r="1871" spans="1:5">
      <c r="A1871" s="198">
        <v>589691184</v>
      </c>
      <c r="B1871" s="198">
        <v>780657268.17595303</v>
      </c>
      <c r="D1871" s="198" t="s">
        <v>5037</v>
      </c>
      <c r="E1871" s="198" t="s">
        <v>5038</v>
      </c>
    </row>
    <row r="1872" spans="1:5">
      <c r="A1872" s="198">
        <v>589838924</v>
      </c>
      <c r="B1872" s="198">
        <v>780805008.17754304</v>
      </c>
      <c r="D1872" s="198" t="s">
        <v>5039</v>
      </c>
      <c r="E1872" s="198" t="s">
        <v>5040</v>
      </c>
    </row>
    <row r="1873" spans="1:5">
      <c r="A1873" s="198">
        <v>589896389</v>
      </c>
      <c r="B1873" s="198">
        <v>780862473.17819405</v>
      </c>
      <c r="D1873" s="198" t="s">
        <v>5041</v>
      </c>
      <c r="E1873" s="198" t="s">
        <v>5042</v>
      </c>
    </row>
    <row r="1874" spans="1:5">
      <c r="A1874" s="198">
        <v>590008091</v>
      </c>
      <c r="B1874" s="198">
        <v>780974175.17941701</v>
      </c>
      <c r="D1874" s="198" t="s">
        <v>5043</v>
      </c>
      <c r="E1874" s="198" t="s">
        <v>5044</v>
      </c>
    </row>
    <row r="1875" spans="1:5">
      <c r="A1875" s="198">
        <v>590069175</v>
      </c>
      <c r="B1875" s="198">
        <v>781035259.18006396</v>
      </c>
      <c r="D1875" s="198" t="s">
        <v>5045</v>
      </c>
      <c r="E1875" s="198" t="s">
        <v>5046</v>
      </c>
    </row>
    <row r="1876" spans="1:5">
      <c r="A1876" s="198">
        <v>590155558</v>
      </c>
      <c r="B1876" s="198">
        <v>781121642.18100095</v>
      </c>
      <c r="D1876" s="198" t="s">
        <v>5047</v>
      </c>
      <c r="E1876" s="198" t="s">
        <v>5048</v>
      </c>
    </row>
    <row r="1877" spans="1:5">
      <c r="A1877" s="198">
        <v>590227534</v>
      </c>
      <c r="B1877" s="198">
        <v>781193618.18178797</v>
      </c>
      <c r="D1877" s="198" t="s">
        <v>5049</v>
      </c>
      <c r="E1877" s="198" t="s">
        <v>5050</v>
      </c>
    </row>
    <row r="1878" spans="1:5">
      <c r="A1878" s="198">
        <v>605912033</v>
      </c>
      <c r="B1878" s="198">
        <v>796878117.34774399</v>
      </c>
      <c r="D1878" s="198" t="s">
        <v>5051</v>
      </c>
      <c r="E1878" s="198" t="s">
        <v>5052</v>
      </c>
    </row>
    <row r="1879" spans="1:5">
      <c r="A1879" s="198">
        <v>605998451</v>
      </c>
      <c r="B1879" s="198">
        <v>796964535.34869504</v>
      </c>
      <c r="D1879" s="198" t="s">
        <v>5053</v>
      </c>
      <c r="E1879" s="198" t="s">
        <v>5054</v>
      </c>
    </row>
    <row r="1880" spans="1:5">
      <c r="A1880" s="198">
        <v>606063240</v>
      </c>
      <c r="B1880" s="198">
        <v>797029324.34939694</v>
      </c>
      <c r="D1880" s="198" t="s">
        <v>5055</v>
      </c>
      <c r="E1880" s="198" t="s">
        <v>5056</v>
      </c>
    </row>
    <row r="1881" spans="1:5">
      <c r="A1881" s="198">
        <v>606142443</v>
      </c>
      <c r="B1881" s="198">
        <v>797108527.35021901</v>
      </c>
      <c r="D1881" s="198" t="s">
        <v>5057</v>
      </c>
      <c r="E1881" s="198" t="s">
        <v>5058</v>
      </c>
    </row>
    <row r="1882" spans="1:5">
      <c r="A1882" s="198">
        <v>606254041</v>
      </c>
      <c r="B1882" s="198">
        <v>797220125.35143602</v>
      </c>
      <c r="D1882" s="198" t="s">
        <v>5059</v>
      </c>
      <c r="E1882" s="198" t="s">
        <v>5060</v>
      </c>
    </row>
    <row r="1883" spans="1:5">
      <c r="A1883" s="198">
        <v>606333102</v>
      </c>
      <c r="B1883" s="198">
        <v>797299186.352283</v>
      </c>
      <c r="D1883" s="198" t="s">
        <v>5061</v>
      </c>
      <c r="E1883" s="198" t="s">
        <v>5062</v>
      </c>
    </row>
    <row r="1884" spans="1:5">
      <c r="A1884" s="198">
        <v>606423113</v>
      </c>
      <c r="B1884" s="198">
        <v>797389197.35325205</v>
      </c>
      <c r="D1884" s="198" t="s">
        <v>5063</v>
      </c>
      <c r="E1884" s="198" t="s">
        <v>5064</v>
      </c>
    </row>
    <row r="1885" spans="1:5">
      <c r="A1885" s="198">
        <v>606466350</v>
      </c>
      <c r="B1885" s="198">
        <v>797432434.35372305</v>
      </c>
      <c r="D1885" s="198" t="s">
        <v>5065</v>
      </c>
      <c r="E1885" s="198" t="s">
        <v>5066</v>
      </c>
    </row>
    <row r="1886" spans="1:5">
      <c r="A1886" s="198">
        <v>606595920</v>
      </c>
      <c r="B1886" s="198">
        <v>797562004.35511804</v>
      </c>
      <c r="D1886" s="198" t="s">
        <v>5067</v>
      </c>
      <c r="E1886" s="198" t="s">
        <v>5068</v>
      </c>
    </row>
    <row r="1887" spans="1:5">
      <c r="A1887" s="198">
        <v>606667969</v>
      </c>
      <c r="B1887" s="198">
        <v>797634053.35590994</v>
      </c>
      <c r="D1887" s="198" t="s">
        <v>5069</v>
      </c>
      <c r="E1887" s="198" t="s">
        <v>5070</v>
      </c>
    </row>
    <row r="1888" spans="1:5">
      <c r="A1888" s="198">
        <v>606721938</v>
      </c>
      <c r="B1888" s="198">
        <v>797688022.35647595</v>
      </c>
      <c r="D1888" s="198" t="s">
        <v>5071</v>
      </c>
      <c r="E1888" s="198" t="s">
        <v>5072</v>
      </c>
    </row>
    <row r="1889" spans="1:5">
      <c r="A1889" s="198">
        <v>606912735</v>
      </c>
      <c r="B1889" s="198">
        <v>797878819.35853195</v>
      </c>
      <c r="D1889" s="198" t="s">
        <v>5073</v>
      </c>
      <c r="E1889" s="198" t="s">
        <v>5074</v>
      </c>
    </row>
    <row r="1890" spans="1:5">
      <c r="A1890" s="198">
        <v>607002745</v>
      </c>
      <c r="B1890" s="198">
        <v>797968829.35950506</v>
      </c>
      <c r="D1890" s="198" t="s">
        <v>5075</v>
      </c>
      <c r="E1890" s="198" t="s">
        <v>5076</v>
      </c>
    </row>
    <row r="1891" spans="1:5">
      <c r="A1891" s="198">
        <v>607121560</v>
      </c>
      <c r="B1891" s="198">
        <v>798087644.36081398</v>
      </c>
      <c r="D1891" s="198" t="s">
        <v>5077</v>
      </c>
      <c r="E1891" s="198" t="s">
        <v>5078</v>
      </c>
    </row>
    <row r="1892" spans="1:5">
      <c r="A1892" s="198">
        <v>607179169</v>
      </c>
      <c r="B1892" s="198">
        <v>798145253.36143899</v>
      </c>
      <c r="D1892" s="198" t="s">
        <v>5079</v>
      </c>
      <c r="E1892" s="198" t="s">
        <v>5080</v>
      </c>
    </row>
    <row r="1893" spans="1:5">
      <c r="A1893" s="198">
        <v>607258354</v>
      </c>
      <c r="B1893" s="198">
        <v>798224438.36226904</v>
      </c>
      <c r="D1893" s="198" t="s">
        <v>5081</v>
      </c>
      <c r="E1893" s="198" t="s">
        <v>5082</v>
      </c>
    </row>
    <row r="1894" spans="1:5">
      <c r="A1894" s="198">
        <v>607546372</v>
      </c>
      <c r="B1894" s="198">
        <v>798512456.36541498</v>
      </c>
      <c r="D1894" s="198" t="s">
        <v>5083</v>
      </c>
      <c r="E1894" s="198" t="s">
        <v>5084</v>
      </c>
    </row>
    <row r="1895" spans="1:5">
      <c r="A1895" s="198">
        <v>607611203</v>
      </c>
      <c r="B1895" s="198">
        <v>798577287.36611903</v>
      </c>
      <c r="D1895" s="198" t="s">
        <v>5085</v>
      </c>
      <c r="E1895" s="198" t="s">
        <v>5086</v>
      </c>
    </row>
    <row r="1896" spans="1:5">
      <c r="A1896" s="198">
        <v>607726386</v>
      </c>
      <c r="B1896" s="198">
        <v>798692470.36737895</v>
      </c>
      <c r="D1896" s="198" t="s">
        <v>5087</v>
      </c>
      <c r="E1896" s="198" t="s">
        <v>5088</v>
      </c>
    </row>
    <row r="1897" spans="1:5">
      <c r="A1897" s="198">
        <v>607798385</v>
      </c>
      <c r="B1897" s="198">
        <v>798764469.36812794</v>
      </c>
      <c r="D1897" s="198" t="s">
        <v>5089</v>
      </c>
      <c r="E1897" s="198" t="s">
        <v>5090</v>
      </c>
    </row>
    <row r="1898" spans="1:5">
      <c r="A1898" s="198">
        <v>607863189</v>
      </c>
      <c r="B1898" s="198">
        <v>798829273.36884105</v>
      </c>
      <c r="D1898" s="198" t="s">
        <v>5091</v>
      </c>
      <c r="E1898" s="198" t="s">
        <v>5092</v>
      </c>
    </row>
    <row r="1899" spans="1:5">
      <c r="A1899" s="198">
        <v>608068404</v>
      </c>
      <c r="B1899" s="198">
        <v>799034488.37108696</v>
      </c>
      <c r="D1899" s="198" t="s">
        <v>5093</v>
      </c>
      <c r="E1899" s="198" t="s">
        <v>5094</v>
      </c>
    </row>
    <row r="1900" spans="1:5">
      <c r="A1900" s="198">
        <v>608133247</v>
      </c>
      <c r="B1900" s="198">
        <v>799099331.37179804</v>
      </c>
      <c r="D1900" s="198" t="s">
        <v>5095</v>
      </c>
      <c r="E1900" s="198" t="s">
        <v>5096</v>
      </c>
    </row>
    <row r="1901" spans="1:5">
      <c r="A1901" s="198">
        <v>608219656</v>
      </c>
      <c r="B1901" s="198">
        <v>799185740.37274504</v>
      </c>
      <c r="D1901" s="198" t="s">
        <v>5097</v>
      </c>
      <c r="E1901" s="198" t="s">
        <v>5098</v>
      </c>
    </row>
    <row r="1902" spans="1:5">
      <c r="A1902" s="198">
        <v>608295211</v>
      </c>
      <c r="B1902" s="198">
        <v>799261295.37353897</v>
      </c>
      <c r="D1902" s="198" t="s">
        <v>5099</v>
      </c>
      <c r="E1902" s="198" t="s">
        <v>5100</v>
      </c>
    </row>
    <row r="1903" spans="1:5">
      <c r="A1903" s="198">
        <v>608410413</v>
      </c>
      <c r="B1903" s="198">
        <v>799376497.37480497</v>
      </c>
      <c r="D1903" s="198" t="s">
        <v>5101</v>
      </c>
      <c r="E1903" s="198" t="s">
        <v>5102</v>
      </c>
    </row>
    <row r="1904" spans="1:5">
      <c r="A1904" s="198">
        <v>608504182</v>
      </c>
      <c r="B1904" s="198">
        <v>799470266.37586606</v>
      </c>
      <c r="D1904" s="198" t="s">
        <v>5103</v>
      </c>
      <c r="E1904" s="198" t="s">
        <v>5104</v>
      </c>
    </row>
    <row r="1905" spans="1:5">
      <c r="A1905" s="198">
        <v>608507749</v>
      </c>
      <c r="B1905" s="198">
        <v>799473833.37585294</v>
      </c>
      <c r="D1905" s="198" t="s">
        <v>5105</v>
      </c>
      <c r="E1905" s="198" t="s">
        <v>5106</v>
      </c>
    </row>
    <row r="1906" spans="1:5">
      <c r="A1906" s="198">
        <v>608705671</v>
      </c>
      <c r="B1906" s="198">
        <v>799671755.37803698</v>
      </c>
      <c r="D1906" s="198" t="s">
        <v>5107</v>
      </c>
      <c r="E1906" s="198" t="s">
        <v>5108</v>
      </c>
    </row>
    <row r="1907" spans="1:5">
      <c r="A1907" s="198">
        <v>608846168</v>
      </c>
      <c r="B1907" s="198">
        <v>799812252.37957501</v>
      </c>
      <c r="D1907" s="198" t="s">
        <v>5109</v>
      </c>
      <c r="E1907" s="198" t="s">
        <v>5110</v>
      </c>
    </row>
    <row r="1908" spans="1:5">
      <c r="A1908" s="198">
        <v>608907283</v>
      </c>
      <c r="B1908" s="198">
        <v>799873367.38023996</v>
      </c>
      <c r="D1908" s="198" t="s">
        <v>5111</v>
      </c>
      <c r="E1908" s="198" t="s">
        <v>5112</v>
      </c>
    </row>
    <row r="1909" spans="1:5">
      <c r="A1909" s="198">
        <v>608990056</v>
      </c>
      <c r="B1909" s="198">
        <v>799956140.38113797</v>
      </c>
      <c r="D1909" s="198" t="s">
        <v>5113</v>
      </c>
      <c r="E1909" s="198" t="s">
        <v>5114</v>
      </c>
    </row>
    <row r="1910" spans="1:5">
      <c r="A1910" s="198">
        <v>609137674</v>
      </c>
      <c r="B1910" s="198">
        <v>800103758.38275504</v>
      </c>
      <c r="D1910" s="198" t="s">
        <v>5115</v>
      </c>
      <c r="E1910" s="198" t="s">
        <v>5116</v>
      </c>
    </row>
    <row r="1911" spans="1:5">
      <c r="A1911" s="198">
        <v>609364594</v>
      </c>
      <c r="B1911" s="198">
        <v>800330678.38522696</v>
      </c>
      <c r="D1911" s="198" t="s">
        <v>5117</v>
      </c>
      <c r="E1911" s="198" t="s">
        <v>5118</v>
      </c>
    </row>
    <row r="1912" spans="1:5">
      <c r="A1912" s="198">
        <v>609411252</v>
      </c>
      <c r="B1912" s="198">
        <v>800377336.38574803</v>
      </c>
      <c r="D1912" s="198" t="s">
        <v>5119</v>
      </c>
      <c r="E1912" s="198" t="s">
        <v>5120</v>
      </c>
    </row>
    <row r="1913" spans="1:5">
      <c r="A1913" s="198">
        <v>609508489</v>
      </c>
      <c r="B1913" s="198">
        <v>800474573.38681901</v>
      </c>
      <c r="D1913" s="198" t="s">
        <v>5121</v>
      </c>
      <c r="E1913" s="198" t="s">
        <v>5122</v>
      </c>
    </row>
    <row r="1914" spans="1:5">
      <c r="A1914" s="198">
        <v>609594879</v>
      </c>
      <c r="B1914" s="198">
        <v>800560963.38776398</v>
      </c>
      <c r="D1914" s="198" t="s">
        <v>5123</v>
      </c>
      <c r="E1914" s="198" t="s">
        <v>5124</v>
      </c>
    </row>
    <row r="1915" spans="1:5">
      <c r="A1915" s="198">
        <v>609681331</v>
      </c>
      <c r="B1915" s="198">
        <v>800647415.38871598</v>
      </c>
      <c r="D1915" s="198" t="s">
        <v>5125</v>
      </c>
      <c r="E1915" s="198" t="s">
        <v>5126</v>
      </c>
    </row>
    <row r="1916" spans="1:5">
      <c r="A1916" s="198">
        <v>609915316</v>
      </c>
      <c r="B1916" s="198">
        <v>800881400.391276</v>
      </c>
      <c r="D1916" s="198" t="s">
        <v>5127</v>
      </c>
      <c r="E1916" s="198" t="s">
        <v>5128</v>
      </c>
    </row>
    <row r="1917" spans="1:5">
      <c r="A1917" s="198">
        <v>610026895</v>
      </c>
      <c r="B1917" s="198">
        <v>800992979.39250398</v>
      </c>
      <c r="D1917" s="198" t="s">
        <v>5129</v>
      </c>
      <c r="E1917" s="198" t="s">
        <v>5130</v>
      </c>
    </row>
    <row r="1918" spans="1:5">
      <c r="A1918" s="198">
        <v>610142245</v>
      </c>
      <c r="B1918" s="198">
        <v>801108329.39377403</v>
      </c>
      <c r="D1918" s="198" t="s">
        <v>5131</v>
      </c>
      <c r="E1918" s="198" t="s">
        <v>5132</v>
      </c>
    </row>
    <row r="1919" spans="1:5">
      <c r="A1919" s="198">
        <v>610199736</v>
      </c>
      <c r="B1919" s="198">
        <v>801165820.39441705</v>
      </c>
      <c r="D1919" s="198" t="s">
        <v>5133</v>
      </c>
      <c r="E1919" s="198" t="s">
        <v>5134</v>
      </c>
    </row>
    <row r="1920" spans="1:5">
      <c r="A1920" s="198">
        <v>610257320</v>
      </c>
      <c r="B1920" s="198">
        <v>801223404.39503098</v>
      </c>
      <c r="D1920" s="198" t="s">
        <v>5135</v>
      </c>
      <c r="E1920" s="198" t="s">
        <v>5136</v>
      </c>
    </row>
    <row r="1921" spans="1:5">
      <c r="A1921" s="198">
        <v>610372536</v>
      </c>
      <c r="B1921" s="198">
        <v>801338620.39588404</v>
      </c>
      <c r="D1921" s="198" t="s">
        <v>5137</v>
      </c>
      <c r="E1921" s="198" t="s">
        <v>5138</v>
      </c>
    </row>
    <row r="1922" spans="1:5">
      <c r="A1922" s="198">
        <v>610430121</v>
      </c>
      <c r="B1922" s="198">
        <v>801396205.39693701</v>
      </c>
      <c r="D1922" s="198" t="s">
        <v>5139</v>
      </c>
      <c r="E1922" s="198" t="s">
        <v>5140</v>
      </c>
    </row>
    <row r="1923" spans="1:5">
      <c r="A1923" s="198">
        <v>610570639</v>
      </c>
      <c r="B1923" s="198">
        <v>801536723.39850795</v>
      </c>
      <c r="D1923" s="198" t="s">
        <v>5141</v>
      </c>
      <c r="E1923" s="198" t="s">
        <v>5142</v>
      </c>
    </row>
    <row r="1924" spans="1:5">
      <c r="A1924" s="198">
        <v>610631744</v>
      </c>
      <c r="B1924" s="198">
        <v>801597828.39874995</v>
      </c>
      <c r="D1924" s="198" t="s">
        <v>5143</v>
      </c>
      <c r="E1924" s="198" t="s">
        <v>5144</v>
      </c>
    </row>
    <row r="1925" spans="1:5">
      <c r="A1925" s="198">
        <v>610804544</v>
      </c>
      <c r="B1925" s="198">
        <v>801770628.40104997</v>
      </c>
      <c r="D1925" s="198" t="s">
        <v>5145</v>
      </c>
      <c r="E1925" s="198" t="s">
        <v>5146</v>
      </c>
    </row>
    <row r="1926" spans="1:5">
      <c r="A1926" s="198">
        <v>610862127</v>
      </c>
      <c r="B1926" s="198">
        <v>801828211.40168297</v>
      </c>
      <c r="D1926" s="198" t="s">
        <v>5147</v>
      </c>
      <c r="E1926" s="198" t="s">
        <v>5148</v>
      </c>
    </row>
    <row r="1927" spans="1:5">
      <c r="A1927" s="198">
        <v>611146518</v>
      </c>
      <c r="B1927" s="198">
        <v>802112602.404827</v>
      </c>
      <c r="D1927" s="198" t="s">
        <v>5149</v>
      </c>
      <c r="E1927" s="198" t="s">
        <v>5150</v>
      </c>
    </row>
    <row r="1928" spans="1:5">
      <c r="A1928" s="198">
        <v>611229310</v>
      </c>
      <c r="B1928" s="198">
        <v>802195394.40573895</v>
      </c>
      <c r="D1928" s="198" t="s">
        <v>5151</v>
      </c>
      <c r="E1928" s="198" t="s">
        <v>5152</v>
      </c>
    </row>
    <row r="1929" spans="1:5">
      <c r="A1929" s="198">
        <v>611348237</v>
      </c>
      <c r="B1929" s="198">
        <v>802314321.40702903</v>
      </c>
      <c r="D1929" s="198" t="s">
        <v>5153</v>
      </c>
      <c r="E1929" s="198" t="s">
        <v>5154</v>
      </c>
    </row>
    <row r="1930" spans="1:5">
      <c r="A1930" s="198">
        <v>611463325</v>
      </c>
      <c r="B1930" s="198">
        <v>802429409.40831304</v>
      </c>
      <c r="D1930" s="198" t="s">
        <v>5155</v>
      </c>
      <c r="E1930" s="198" t="s">
        <v>5156</v>
      </c>
    </row>
    <row r="1931" spans="1:5">
      <c r="A1931" s="198">
        <v>611549724</v>
      </c>
      <c r="B1931" s="198">
        <v>802515808.40926898</v>
      </c>
      <c r="D1931" s="198" t="s">
        <v>5157</v>
      </c>
      <c r="E1931" s="198" t="s">
        <v>5158</v>
      </c>
    </row>
    <row r="1932" spans="1:5">
      <c r="A1932" s="198">
        <v>611747719</v>
      </c>
      <c r="B1932" s="198">
        <v>802713803.41144896</v>
      </c>
      <c r="D1932" s="198" t="s">
        <v>5159</v>
      </c>
      <c r="E1932" s="198" t="s">
        <v>5160</v>
      </c>
    </row>
    <row r="1933" spans="1:5">
      <c r="A1933" s="198">
        <v>611874980</v>
      </c>
      <c r="B1933" s="198">
        <v>802841064.41282797</v>
      </c>
      <c r="D1933" s="198" t="s">
        <v>5161</v>
      </c>
      <c r="E1933" s="198" t="s">
        <v>5162</v>
      </c>
    </row>
    <row r="1934" spans="1:5">
      <c r="A1934" s="198">
        <v>611924143</v>
      </c>
      <c r="B1934" s="198">
        <v>802890227.41340196</v>
      </c>
      <c r="D1934" s="198" t="s">
        <v>5163</v>
      </c>
      <c r="E1934" s="198" t="s">
        <v>5164</v>
      </c>
    </row>
    <row r="1935" spans="1:5">
      <c r="A1935" s="198">
        <v>611981748</v>
      </c>
      <c r="B1935" s="198">
        <v>802947832.41404605</v>
      </c>
      <c r="D1935" s="198" t="s">
        <v>5165</v>
      </c>
      <c r="E1935" s="198" t="s">
        <v>5166</v>
      </c>
    </row>
    <row r="1936" spans="1:5">
      <c r="A1936" s="198">
        <v>612096944</v>
      </c>
      <c r="B1936" s="198">
        <v>803063028.41532195</v>
      </c>
      <c r="D1936" s="198" t="s">
        <v>5167</v>
      </c>
      <c r="E1936" s="198" t="s">
        <v>5168</v>
      </c>
    </row>
    <row r="1937" spans="1:5">
      <c r="A1937" s="198">
        <v>612341703</v>
      </c>
      <c r="B1937" s="198">
        <v>803307787.41799498</v>
      </c>
      <c r="D1937" s="198" t="s">
        <v>5169</v>
      </c>
      <c r="E1937" s="198" t="s">
        <v>5170</v>
      </c>
    </row>
    <row r="1938" spans="1:5">
      <c r="A1938" s="198">
        <v>612406494</v>
      </c>
      <c r="B1938" s="198">
        <v>803372578.41871595</v>
      </c>
      <c r="D1938" s="198" t="s">
        <v>5171</v>
      </c>
      <c r="E1938" s="198" t="s">
        <v>5172</v>
      </c>
    </row>
    <row r="1939" spans="1:5">
      <c r="A1939" s="198">
        <v>612525355</v>
      </c>
      <c r="B1939" s="198">
        <v>803491439.42004204</v>
      </c>
      <c r="D1939" s="198" t="s">
        <v>5173</v>
      </c>
      <c r="E1939" s="198" t="s">
        <v>5174</v>
      </c>
    </row>
    <row r="1940" spans="1:5">
      <c r="A1940" s="198">
        <v>612611741</v>
      </c>
      <c r="B1940" s="198">
        <v>803577825.42100406</v>
      </c>
      <c r="D1940" s="198" t="s">
        <v>5175</v>
      </c>
      <c r="E1940" s="198" t="s">
        <v>5176</v>
      </c>
    </row>
    <row r="1941" spans="1:5">
      <c r="A1941" s="198">
        <v>612698146</v>
      </c>
      <c r="B1941" s="198">
        <v>803664230.42194796</v>
      </c>
      <c r="D1941" s="198" t="s">
        <v>5177</v>
      </c>
      <c r="E1941" s="198" t="s">
        <v>5178</v>
      </c>
    </row>
    <row r="1942" spans="1:5">
      <c r="A1942" s="198">
        <v>612957343</v>
      </c>
      <c r="B1942" s="198">
        <v>803923427.424824</v>
      </c>
      <c r="D1942" s="198" t="s">
        <v>5179</v>
      </c>
      <c r="E1942" s="198" t="s">
        <v>5180</v>
      </c>
    </row>
    <row r="1943" spans="1:5">
      <c r="A1943" s="198">
        <v>613014938</v>
      </c>
      <c r="B1943" s="198">
        <v>803981022.42546594</v>
      </c>
      <c r="D1943" s="198" t="s">
        <v>5181</v>
      </c>
      <c r="E1943" s="198" t="s">
        <v>5182</v>
      </c>
    </row>
    <row r="1944" spans="1:5">
      <c r="A1944" s="198">
        <v>613130132</v>
      </c>
      <c r="B1944" s="198">
        <v>804096216.42673004</v>
      </c>
      <c r="D1944" s="198" t="s">
        <v>5183</v>
      </c>
      <c r="E1944" s="198" t="s">
        <v>5184</v>
      </c>
    </row>
    <row r="1945" spans="1:5">
      <c r="A1945" s="198">
        <v>613245459</v>
      </c>
      <c r="B1945" s="198">
        <v>804211543.42802703</v>
      </c>
      <c r="D1945" s="198" t="s">
        <v>5185</v>
      </c>
      <c r="E1945" s="198" t="s">
        <v>5186</v>
      </c>
    </row>
    <row r="1946" spans="1:5">
      <c r="A1946" s="198">
        <v>613302941</v>
      </c>
      <c r="B1946" s="198">
        <v>804269025.42864501</v>
      </c>
      <c r="D1946" s="198" t="s">
        <v>5187</v>
      </c>
      <c r="E1946" s="198" t="s">
        <v>5188</v>
      </c>
    </row>
    <row r="1947" spans="1:5">
      <c r="A1947" s="198">
        <v>613428907</v>
      </c>
      <c r="B1947" s="198">
        <v>804394991.43001103</v>
      </c>
      <c r="D1947" s="198" t="s">
        <v>5189</v>
      </c>
      <c r="E1947" s="198" t="s">
        <v>5190</v>
      </c>
    </row>
    <row r="1948" spans="1:5">
      <c r="A1948" s="198">
        <v>613457678</v>
      </c>
      <c r="B1948" s="198">
        <v>804423762.43033004</v>
      </c>
      <c r="D1948" s="198" t="s">
        <v>5191</v>
      </c>
      <c r="E1948" s="198" t="s">
        <v>5192</v>
      </c>
    </row>
    <row r="1949" spans="1:5">
      <c r="A1949" s="198">
        <v>613562132</v>
      </c>
      <c r="B1949" s="198">
        <v>804528216.43150902</v>
      </c>
      <c r="D1949" s="198" t="s">
        <v>5193</v>
      </c>
      <c r="E1949" s="198" t="s">
        <v>5194</v>
      </c>
    </row>
    <row r="1950" spans="1:5">
      <c r="A1950" s="198">
        <v>613630475</v>
      </c>
      <c r="B1950" s="198">
        <v>804596559.43223798</v>
      </c>
      <c r="D1950" s="198" t="s">
        <v>5195</v>
      </c>
      <c r="E1950" s="198" t="s">
        <v>5196</v>
      </c>
    </row>
    <row r="1951" spans="1:5">
      <c r="A1951" s="198">
        <v>613774488</v>
      </c>
      <c r="B1951" s="198">
        <v>804740572.43383002</v>
      </c>
      <c r="D1951" s="198" t="s">
        <v>5197</v>
      </c>
      <c r="E1951" s="198" t="s">
        <v>5198</v>
      </c>
    </row>
    <row r="1952" spans="1:5">
      <c r="A1952" s="198">
        <v>613850211</v>
      </c>
      <c r="B1952" s="198">
        <v>804816295.43471599</v>
      </c>
      <c r="D1952" s="198" t="s">
        <v>5199</v>
      </c>
      <c r="E1952" s="198" t="s">
        <v>5200</v>
      </c>
    </row>
    <row r="1953" spans="1:5">
      <c r="A1953" s="198">
        <v>613904109</v>
      </c>
      <c r="B1953" s="198">
        <v>804870193.43529296</v>
      </c>
      <c r="D1953" s="198" t="s">
        <v>5201</v>
      </c>
      <c r="E1953" s="198" t="s">
        <v>5202</v>
      </c>
    </row>
    <row r="1954" spans="1:5">
      <c r="A1954" s="198">
        <v>613961700</v>
      </c>
      <c r="B1954" s="198">
        <v>804927784.43592596</v>
      </c>
      <c r="D1954" s="198" t="s">
        <v>5203</v>
      </c>
      <c r="E1954" s="198" t="s">
        <v>5204</v>
      </c>
    </row>
    <row r="1955" spans="1:5">
      <c r="A1955" s="198">
        <v>614120084</v>
      </c>
      <c r="B1955" s="198">
        <v>805086168.43765903</v>
      </c>
      <c r="D1955" s="198" t="s">
        <v>5205</v>
      </c>
      <c r="E1955" s="198" t="s">
        <v>5206</v>
      </c>
    </row>
    <row r="1956" spans="1:5">
      <c r="A1956" s="198">
        <v>614134504</v>
      </c>
      <c r="B1956" s="198">
        <v>805100588.43783104</v>
      </c>
      <c r="D1956" s="198" t="s">
        <v>5207</v>
      </c>
      <c r="E1956" s="198" t="s">
        <v>5208</v>
      </c>
    </row>
    <row r="1957" spans="1:5">
      <c r="A1957" s="198">
        <v>614292874</v>
      </c>
      <c r="B1957" s="198">
        <v>805258958.43957996</v>
      </c>
      <c r="D1957" s="198" t="s">
        <v>5209</v>
      </c>
      <c r="E1957" s="198" t="s">
        <v>5210</v>
      </c>
    </row>
    <row r="1958" spans="1:5">
      <c r="A1958" s="198">
        <v>614307289</v>
      </c>
      <c r="B1958" s="198">
        <v>805273373.43975997</v>
      </c>
      <c r="D1958" s="198" t="s">
        <v>5211</v>
      </c>
      <c r="E1958" s="198" t="s">
        <v>5212</v>
      </c>
    </row>
    <row r="1959" spans="1:5">
      <c r="A1959" s="198">
        <v>614465664</v>
      </c>
      <c r="B1959" s="198">
        <v>805431748.44149005</v>
      </c>
      <c r="D1959" s="198" t="s">
        <v>5213</v>
      </c>
      <c r="E1959" s="198" t="s">
        <v>5214</v>
      </c>
    </row>
    <row r="1960" spans="1:5">
      <c r="A1960" s="198">
        <v>614552058</v>
      </c>
      <c r="B1960" s="198">
        <v>805518142.44243002</v>
      </c>
      <c r="D1960" s="198" t="s">
        <v>5215</v>
      </c>
      <c r="E1960" s="198" t="s">
        <v>5216</v>
      </c>
    </row>
    <row r="1961" spans="1:5">
      <c r="A1961" s="198">
        <v>614638457</v>
      </c>
      <c r="B1961" s="198">
        <v>805604541.443398</v>
      </c>
      <c r="D1961" s="198" t="s">
        <v>5217</v>
      </c>
      <c r="E1961" s="198" t="s">
        <v>5218</v>
      </c>
    </row>
    <row r="1962" spans="1:5">
      <c r="A1962" s="198">
        <v>614706980</v>
      </c>
      <c r="B1962" s="198">
        <v>805673064.44414794</v>
      </c>
      <c r="D1962" s="198" t="s">
        <v>5219</v>
      </c>
      <c r="E1962" s="198" t="s">
        <v>5220</v>
      </c>
    </row>
    <row r="1963" spans="1:5">
      <c r="A1963" s="198">
        <v>614768072</v>
      </c>
      <c r="B1963" s="198">
        <v>805734156.44469595</v>
      </c>
      <c r="D1963" s="198" t="s">
        <v>5221</v>
      </c>
      <c r="E1963" s="198" t="s">
        <v>5222</v>
      </c>
    </row>
    <row r="1964" spans="1:5">
      <c r="A1964" s="198">
        <v>614850913</v>
      </c>
      <c r="B1964" s="198">
        <v>805816997.44559801</v>
      </c>
      <c r="D1964" s="198" t="s">
        <v>5223</v>
      </c>
      <c r="E1964" s="198" t="s">
        <v>5224</v>
      </c>
    </row>
    <row r="1965" spans="1:5">
      <c r="A1965" s="198">
        <v>614962568</v>
      </c>
      <c r="B1965" s="198">
        <v>805928652.44683802</v>
      </c>
      <c r="D1965" s="198" t="s">
        <v>5225</v>
      </c>
      <c r="E1965" s="198" t="s">
        <v>5226</v>
      </c>
    </row>
    <row r="1966" spans="1:5">
      <c r="A1966" s="198">
        <v>615070430</v>
      </c>
      <c r="B1966" s="198">
        <v>806036514.44801497</v>
      </c>
      <c r="D1966" s="198" t="s">
        <v>5227</v>
      </c>
      <c r="E1966" s="198" t="s">
        <v>5228</v>
      </c>
    </row>
    <row r="1967" spans="1:5">
      <c r="A1967" s="198">
        <v>615156828</v>
      </c>
      <c r="B1967" s="198">
        <v>806122912.44897401</v>
      </c>
      <c r="D1967" s="198" t="s">
        <v>5229</v>
      </c>
      <c r="E1967" s="198" t="s">
        <v>5230</v>
      </c>
    </row>
    <row r="1968" spans="1:5">
      <c r="A1968" s="198">
        <v>615243221</v>
      </c>
      <c r="B1968" s="198">
        <v>806209305.44992495</v>
      </c>
      <c r="D1968" s="198" t="s">
        <v>5231</v>
      </c>
      <c r="E1968" s="198" t="s">
        <v>5232</v>
      </c>
    </row>
    <row r="1969" spans="1:5">
      <c r="A1969" s="198">
        <v>615282841</v>
      </c>
      <c r="B1969" s="198">
        <v>806248925.45038402</v>
      </c>
      <c r="D1969" s="198" t="s">
        <v>5233</v>
      </c>
      <c r="E1969" s="198" t="s">
        <v>5234</v>
      </c>
    </row>
    <row r="1970" spans="1:5">
      <c r="A1970" s="198">
        <v>615416008</v>
      </c>
      <c r="B1970" s="198">
        <v>806382092.45183003</v>
      </c>
      <c r="D1970" s="198" t="s">
        <v>5235</v>
      </c>
      <c r="E1970" s="198" t="s">
        <v>5236</v>
      </c>
    </row>
    <row r="1971" spans="1:5">
      <c r="A1971" s="198">
        <v>615484553</v>
      </c>
      <c r="B1971" s="198">
        <v>806450637.45260799</v>
      </c>
      <c r="D1971" s="198" t="s">
        <v>5237</v>
      </c>
      <c r="E1971" s="198" t="s">
        <v>5238</v>
      </c>
    </row>
    <row r="1972" spans="1:5">
      <c r="A1972" s="198">
        <v>615588803</v>
      </c>
      <c r="B1972" s="198">
        <v>806554887.45374</v>
      </c>
      <c r="D1972" s="198" t="s">
        <v>5239</v>
      </c>
      <c r="E1972" s="198" t="s">
        <v>5240</v>
      </c>
    </row>
    <row r="1973" spans="1:5">
      <c r="A1973" s="198">
        <v>615675197</v>
      </c>
      <c r="B1973" s="198">
        <v>806641281.45468199</v>
      </c>
      <c r="D1973" s="198" t="s">
        <v>5241</v>
      </c>
      <c r="E1973" s="198" t="s">
        <v>5242</v>
      </c>
    </row>
    <row r="1974" spans="1:5">
      <c r="A1974" s="198">
        <v>615761591</v>
      </c>
      <c r="B1974" s="198">
        <v>806727675.45564497</v>
      </c>
      <c r="D1974" s="198" t="s">
        <v>5243</v>
      </c>
      <c r="E1974" s="198" t="s">
        <v>5244</v>
      </c>
    </row>
    <row r="1975" spans="1:5">
      <c r="A1975" s="198">
        <v>615849487</v>
      </c>
      <c r="B1975" s="198">
        <v>806815571.45660698</v>
      </c>
      <c r="D1975" s="198" t="s">
        <v>5245</v>
      </c>
      <c r="E1975" s="198" t="s">
        <v>5246</v>
      </c>
    </row>
    <row r="1976" spans="1:5">
      <c r="A1976" s="198">
        <v>615858806</v>
      </c>
      <c r="B1976" s="198">
        <v>806824890.45672596</v>
      </c>
      <c r="D1976" s="198" t="s">
        <v>5247</v>
      </c>
      <c r="E1976" s="198" t="s">
        <v>5248</v>
      </c>
    </row>
    <row r="1977" spans="1:5">
      <c r="A1977" s="198">
        <v>616020771</v>
      </c>
      <c r="B1977" s="198">
        <v>806986855.45850694</v>
      </c>
      <c r="D1977" s="198" t="s">
        <v>5249</v>
      </c>
      <c r="E1977" s="198" t="s">
        <v>5250</v>
      </c>
    </row>
    <row r="1978" spans="1:5">
      <c r="A1978" s="198">
        <v>616085668</v>
      </c>
      <c r="B1978" s="198">
        <v>807051752.45918906</v>
      </c>
      <c r="D1978" s="198" t="s">
        <v>5251</v>
      </c>
      <c r="E1978" s="198" t="s">
        <v>5252</v>
      </c>
    </row>
    <row r="1979" spans="1:5">
      <c r="A1979" s="198">
        <v>616193557</v>
      </c>
      <c r="B1979" s="198">
        <v>807159641.46040797</v>
      </c>
      <c r="D1979" s="198" t="s">
        <v>5253</v>
      </c>
      <c r="E1979" s="198" t="s">
        <v>5254</v>
      </c>
    </row>
    <row r="1980" spans="1:5">
      <c r="A1980" s="198">
        <v>616261991</v>
      </c>
      <c r="B1980" s="198">
        <v>807228075.46118701</v>
      </c>
      <c r="D1980" s="198" t="s">
        <v>5255</v>
      </c>
      <c r="E1980" s="198" t="s">
        <v>5256</v>
      </c>
    </row>
    <row r="1981" spans="1:5">
      <c r="A1981" s="198">
        <v>616366348</v>
      </c>
      <c r="B1981" s="198">
        <v>807332432.46231306</v>
      </c>
      <c r="D1981" s="198" t="s">
        <v>5257</v>
      </c>
      <c r="E1981" s="198" t="s">
        <v>5258</v>
      </c>
    </row>
    <row r="1982" spans="1:5">
      <c r="A1982" s="198">
        <v>616373565</v>
      </c>
      <c r="B1982" s="198">
        <v>807339649.46240902</v>
      </c>
      <c r="D1982" s="198" t="s">
        <v>5259</v>
      </c>
      <c r="E1982" s="198" t="s">
        <v>5260</v>
      </c>
    </row>
    <row r="1983" spans="1:5">
      <c r="A1983" s="198">
        <v>616625529</v>
      </c>
      <c r="B1983" s="198">
        <v>807591613.46516395</v>
      </c>
      <c r="D1983" s="198" t="s">
        <v>5261</v>
      </c>
      <c r="E1983" s="198" t="s">
        <v>5262</v>
      </c>
    </row>
    <row r="1984" spans="1:5">
      <c r="A1984" s="198">
        <v>616690428</v>
      </c>
      <c r="B1984" s="198">
        <v>807656512.46592498</v>
      </c>
      <c r="D1984" s="198" t="s">
        <v>5263</v>
      </c>
      <c r="E1984" s="198" t="s">
        <v>5264</v>
      </c>
    </row>
    <row r="1985" spans="1:5">
      <c r="A1985" s="198">
        <v>616766026</v>
      </c>
      <c r="B1985" s="198">
        <v>807732110.46671999</v>
      </c>
      <c r="D1985" s="198" t="s">
        <v>5265</v>
      </c>
      <c r="E1985" s="198" t="s">
        <v>5266</v>
      </c>
    </row>
    <row r="1986" spans="1:5">
      <c r="A1986" s="198">
        <v>616819932</v>
      </c>
      <c r="B1986" s="198">
        <v>807786016.46729195</v>
      </c>
      <c r="D1986" s="198" t="s">
        <v>5267</v>
      </c>
      <c r="E1986" s="198" t="s">
        <v>5268</v>
      </c>
    </row>
    <row r="1987" spans="1:5">
      <c r="A1987" s="198">
        <v>1247971932</v>
      </c>
      <c r="B1987" s="198" t="s">
        <v>5269</v>
      </c>
      <c r="D1987" s="198" t="s">
        <v>5270</v>
      </c>
      <c r="E1987" s="198"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6"/>
  <sheetViews>
    <sheetView topLeftCell="A129" zoomScaleNormal="100" workbookViewId="0">
      <selection activeCell="C157" sqref="C157"/>
    </sheetView>
  </sheetViews>
  <sheetFormatPr defaultRowHeight="15"/>
  <cols>
    <col min="2" max="3" width="4" customWidth="1"/>
    <col min="4" max="4" width="3" customWidth="1"/>
    <col min="11" max="18" width="10.140625" bestFit="1" customWidth="1"/>
  </cols>
  <sheetData>
    <row r="1" spans="1:3" s="201" customFormat="1">
      <c r="A1" s="200"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2:3" ht="15.75" customHeight="1">
      <c r="B129" s="6" t="s">
        <v>1267</v>
      </c>
      <c r="C129" t="s">
        <v>5840</v>
      </c>
    </row>
    <row r="130" spans="2:3" ht="15.75" customHeight="1">
      <c r="B130" s="6" t="s">
        <v>1267</v>
      </c>
      <c r="C130" t="s">
        <v>5841</v>
      </c>
    </row>
    <row r="131" spans="2:3">
      <c r="B131" s="6"/>
    </row>
    <row r="132" spans="2:3">
      <c r="B132" t="s">
        <v>5848</v>
      </c>
    </row>
    <row r="133" spans="2:3" ht="15.75" customHeight="1">
      <c r="B133" s="6" t="s">
        <v>1267</v>
      </c>
      <c r="C133" t="s">
        <v>5847</v>
      </c>
    </row>
    <row r="134" spans="2:3" ht="15.75" customHeight="1">
      <c r="B134" s="6" t="s">
        <v>1267</v>
      </c>
      <c r="C134" t="s">
        <v>5849</v>
      </c>
    </row>
    <row r="135" spans="2:3" ht="15.75" customHeight="1">
      <c r="B135" s="6" t="s">
        <v>1267</v>
      </c>
      <c r="C135" t="s">
        <v>5854</v>
      </c>
    </row>
    <row r="136" spans="2:3">
      <c r="B136" s="6" t="s">
        <v>1267</v>
      </c>
      <c r="C136" t="s">
        <v>5853</v>
      </c>
    </row>
    <row r="137" spans="2:3">
      <c r="B137" s="6"/>
    </row>
    <row r="138" spans="2:3">
      <c r="B138" t="s">
        <v>5855</v>
      </c>
    </row>
    <row r="139" spans="2:3" ht="15.75" customHeight="1">
      <c r="B139" s="6" t="s">
        <v>1267</v>
      </c>
      <c r="C139" t="s">
        <v>5856</v>
      </c>
    </row>
    <row r="140" spans="2:3" ht="15.75" customHeight="1">
      <c r="B140" s="6" t="s">
        <v>1267</v>
      </c>
      <c r="C140" t="s">
        <v>5857</v>
      </c>
    </row>
    <row r="141" spans="2:3" ht="15.75" customHeight="1">
      <c r="B141" s="6" t="s">
        <v>1267</v>
      </c>
      <c r="C141" t="s">
        <v>5858</v>
      </c>
    </row>
    <row r="142" spans="2:3" ht="15.75" customHeight="1">
      <c r="B142" s="6" t="s">
        <v>1267</v>
      </c>
      <c r="C142" t="s">
        <v>5859</v>
      </c>
    </row>
    <row r="143" spans="2:3" ht="15.75" customHeight="1">
      <c r="B143" s="6" t="s">
        <v>1267</v>
      </c>
      <c r="C143" t="s">
        <v>5860</v>
      </c>
    </row>
    <row r="144" spans="2:3" ht="15.75" customHeight="1">
      <c r="B144" s="6" t="s">
        <v>1267</v>
      </c>
      <c r="C144" t="s">
        <v>5862</v>
      </c>
    </row>
    <row r="145" spans="1:3" ht="15.75" customHeight="1">
      <c r="B145" s="6" t="s">
        <v>1267</v>
      </c>
      <c r="C145" t="s">
        <v>5861</v>
      </c>
    </row>
    <row r="146" spans="1:3">
      <c r="B146" s="6"/>
    </row>
    <row r="147" spans="1:3">
      <c r="B147" t="s">
        <v>5878</v>
      </c>
    </row>
    <row r="148" spans="1:3" ht="15.75" customHeight="1">
      <c r="B148" s="6" t="s">
        <v>1267</v>
      </c>
      <c r="C148" t="s">
        <v>5879</v>
      </c>
    </row>
    <row r="149" spans="1:3" ht="15.75" customHeight="1">
      <c r="B149" s="6" t="s">
        <v>1267</v>
      </c>
      <c r="C149" t="s">
        <v>5880</v>
      </c>
    </row>
    <row r="150" spans="1:3" ht="15.75" customHeight="1">
      <c r="B150" s="6" t="s">
        <v>1267</v>
      </c>
      <c r="C150" t="s">
        <v>5881</v>
      </c>
    </row>
    <row r="151" spans="1:3" ht="15.75" customHeight="1">
      <c r="B151" s="6" t="s">
        <v>1267</v>
      </c>
      <c r="C151" t="s">
        <v>5882</v>
      </c>
    </row>
    <row r="152" spans="1:3" ht="15.75" customHeight="1">
      <c r="B152" s="6" t="s">
        <v>1267</v>
      </c>
      <c r="C152" t="s">
        <v>5883</v>
      </c>
    </row>
    <row r="153" spans="1:3" ht="15.75" customHeight="1">
      <c r="B153" s="6" t="s">
        <v>1267</v>
      </c>
      <c r="C153" t="s">
        <v>5884</v>
      </c>
    </row>
    <row r="154" spans="1:3">
      <c r="B154" s="6"/>
    </row>
    <row r="155" spans="1:3">
      <c r="B155" t="s">
        <v>5886</v>
      </c>
    </row>
    <row r="156" spans="1:3" ht="15.75" customHeight="1">
      <c r="B156" s="6" t="s">
        <v>1267</v>
      </c>
      <c r="C156" t="s">
        <v>5887</v>
      </c>
    </row>
    <row r="157" spans="1:3" ht="15.75" customHeight="1">
      <c r="B157" s="6" t="s">
        <v>1267</v>
      </c>
      <c r="C157" t="s">
        <v>5885</v>
      </c>
    </row>
    <row r="158" spans="1:3" ht="15.75" customHeight="1">
      <c r="B158" s="6"/>
    </row>
    <row r="160" spans="1:3" s="201" customFormat="1">
      <c r="A160" s="200" t="s">
        <v>1278</v>
      </c>
    </row>
    <row r="161" spans="1:5">
      <c r="A161" s="197"/>
    </row>
    <row r="162" spans="1:5">
      <c r="B162" s="253" t="s">
        <v>5379</v>
      </c>
      <c r="C162" s="253"/>
      <c r="D162" s="253"/>
      <c r="E162" s="253"/>
    </row>
    <row r="163" spans="1:5">
      <c r="B163" s="6" t="s">
        <v>1267</v>
      </c>
      <c r="C163" t="s">
        <v>5382</v>
      </c>
    </row>
    <row r="164" spans="1:5">
      <c r="B164" s="6" t="s">
        <v>1267</v>
      </c>
      <c r="C164" s="252" t="s">
        <v>1279</v>
      </c>
    </row>
    <row r="165" spans="1:5">
      <c r="B165" s="6" t="s">
        <v>1267</v>
      </c>
      <c r="C165" s="252" t="s">
        <v>1287</v>
      </c>
    </row>
    <row r="166" spans="1:5">
      <c r="B166" s="6" t="s">
        <v>1267</v>
      </c>
      <c r="C166" s="252" t="s">
        <v>1288</v>
      </c>
    </row>
    <row r="167" spans="1:5">
      <c r="B167" s="6"/>
    </row>
    <row r="168" spans="1:5">
      <c r="B168" t="s">
        <v>5384</v>
      </c>
    </row>
    <row r="169" spans="1:5">
      <c r="B169" s="6" t="s">
        <v>1267</v>
      </c>
      <c r="C169" t="s">
        <v>5389</v>
      </c>
    </row>
    <row r="170" spans="1:5">
      <c r="B170" s="6" t="s">
        <v>1267</v>
      </c>
      <c r="C170" t="s">
        <v>5383</v>
      </c>
    </row>
    <row r="171" spans="1:5">
      <c r="B171" s="6" t="s">
        <v>1267</v>
      </c>
      <c r="C171" t="s">
        <v>5378</v>
      </c>
    </row>
    <row r="172" spans="1:5">
      <c r="B172" s="6" t="s">
        <v>1267</v>
      </c>
      <c r="C172" s="18" t="s">
        <v>1280</v>
      </c>
    </row>
    <row r="173" spans="1:5">
      <c r="B173" s="6"/>
      <c r="C173" s="6" t="s">
        <v>1267</v>
      </c>
      <c r="D173" t="s">
        <v>1285</v>
      </c>
    </row>
    <row r="174" spans="1:5">
      <c r="D174" s="6" t="s">
        <v>1267</v>
      </c>
      <c r="E174" t="s">
        <v>1282</v>
      </c>
    </row>
    <row r="175" spans="1:5">
      <c r="D175" s="6" t="s">
        <v>1267</v>
      </c>
      <c r="E175" t="s">
        <v>5380</v>
      </c>
    </row>
    <row r="176" spans="1:5">
      <c r="D176" s="6" t="s">
        <v>1267</v>
      </c>
      <c r="E176" t="s">
        <v>5390</v>
      </c>
    </row>
    <row r="177" spans="1:5">
      <c r="D177" s="6" t="s">
        <v>1267</v>
      </c>
      <c r="E177" t="s">
        <v>1283</v>
      </c>
    </row>
    <row r="178" spans="1:5">
      <c r="D178" s="6" t="s">
        <v>1267</v>
      </c>
      <c r="E178" t="s">
        <v>1284</v>
      </c>
    </row>
    <row r="179" spans="1:5">
      <c r="C179" s="6" t="s">
        <v>1267</v>
      </c>
      <c r="D179" t="s">
        <v>1281</v>
      </c>
    </row>
    <row r="181" spans="1:5">
      <c r="B181" t="s">
        <v>5381</v>
      </c>
    </row>
    <row r="182" spans="1:5">
      <c r="B182" s="6" t="s">
        <v>1267</v>
      </c>
      <c r="C182" t="s">
        <v>1286</v>
      </c>
    </row>
    <row r="184" spans="1:5">
      <c r="B184" t="s">
        <v>5385</v>
      </c>
    </row>
    <row r="185" spans="1:5">
      <c r="B185" s="6" t="s">
        <v>1267</v>
      </c>
      <c r="C185" t="s">
        <v>5386</v>
      </c>
    </row>
    <row r="186" spans="1:5">
      <c r="B186" s="6" t="s">
        <v>5387</v>
      </c>
      <c r="C186" t="s">
        <v>5388</v>
      </c>
    </row>
    <row r="188" spans="1:5" s="201" customFormat="1">
      <c r="A188" s="200" t="s">
        <v>1277</v>
      </c>
    </row>
    <row r="189" spans="1:5">
      <c r="A189" s="197"/>
    </row>
    <row r="190" spans="1:5">
      <c r="B190" t="s">
        <v>1290</v>
      </c>
    </row>
    <row r="191" spans="1:5">
      <c r="B191" t="s">
        <v>1289</v>
      </c>
    </row>
    <row r="194" spans="1:24" s="201" customFormat="1">
      <c r="A194" s="201" t="s">
        <v>5727</v>
      </c>
    </row>
    <row r="195" spans="1:24" ht="15.75" thickBot="1"/>
    <row r="196" spans="1:24">
      <c r="H196" s="305" t="s">
        <v>5715</v>
      </c>
      <c r="I196" s="435"/>
      <c r="J196" s="432"/>
      <c r="K196" s="432"/>
      <c r="L196" s="432"/>
      <c r="M196" s="432"/>
      <c r="N196" s="432"/>
      <c r="O196" s="432"/>
      <c r="P196" s="432"/>
      <c r="Q196" s="432"/>
      <c r="R196" s="433"/>
    </row>
    <row r="197" spans="1:24">
      <c r="H197" s="306"/>
      <c r="R197" s="168"/>
    </row>
    <row r="198" spans="1:24">
      <c r="H198" s="306"/>
      <c r="M198" s="3" t="s">
        <v>5718</v>
      </c>
      <c r="R198" s="168"/>
    </row>
    <row r="199" spans="1:24" ht="15.75" thickBot="1">
      <c r="H199" s="306"/>
      <c r="R199" s="168"/>
    </row>
    <row r="200" spans="1:24" ht="15" customHeight="1">
      <c r="H200" s="306"/>
      <c r="I200" s="305"/>
      <c r="J200" s="431"/>
      <c r="K200" s="441" t="s">
        <v>5430</v>
      </c>
      <c r="L200" s="442" t="s">
        <v>5430</v>
      </c>
      <c r="M200" s="442" t="s">
        <v>5430</v>
      </c>
      <c r="N200" s="443" t="s">
        <v>5714</v>
      </c>
      <c r="O200" s="445" t="s">
        <v>5714</v>
      </c>
      <c r="P200" s="444" t="s">
        <v>5714</v>
      </c>
      <c r="Q200" s="454" t="s">
        <v>5714</v>
      </c>
      <c r="R200" s="462"/>
      <c r="S200" s="533" t="s">
        <v>5719</v>
      </c>
      <c r="T200" s="533"/>
      <c r="U200" s="533"/>
      <c r="V200" s="533"/>
      <c r="W200" s="533"/>
      <c r="X200" s="534"/>
    </row>
    <row r="201" spans="1:24">
      <c r="H201" s="306"/>
      <c r="I201" s="437" t="s">
        <v>5282</v>
      </c>
      <c r="J201" s="438" t="s">
        <v>5308</v>
      </c>
      <c r="K201" s="316" t="s">
        <v>5431</v>
      </c>
      <c r="L201" s="317" t="s">
        <v>5431</v>
      </c>
      <c r="M201" s="317" t="s">
        <v>5431</v>
      </c>
      <c r="N201" s="316" t="s">
        <v>5431</v>
      </c>
      <c r="O201" s="446" t="s">
        <v>5431</v>
      </c>
      <c r="P201" s="317" t="s">
        <v>5431</v>
      </c>
      <c r="Q201" s="319" t="s">
        <v>5431</v>
      </c>
      <c r="R201" s="168"/>
      <c r="S201" s="535"/>
      <c r="T201" s="535"/>
      <c r="U201" s="535"/>
      <c r="V201" s="535"/>
      <c r="W201" s="535"/>
      <c r="X201" s="536"/>
    </row>
    <row r="202" spans="1:24">
      <c r="H202" s="306"/>
      <c r="I202" s="437" t="s">
        <v>5282</v>
      </c>
      <c r="J202" s="438" t="s">
        <v>5308</v>
      </c>
      <c r="K202" s="318" t="s">
        <v>5431</v>
      </c>
      <c r="L202" s="430" t="s">
        <v>5431</v>
      </c>
      <c r="M202" s="430" t="s">
        <v>5431</v>
      </c>
      <c r="N202" s="318" t="s">
        <v>5431</v>
      </c>
      <c r="O202" s="447" t="s">
        <v>5431</v>
      </c>
      <c r="P202" s="430" t="s">
        <v>5431</v>
      </c>
      <c r="Q202" s="320" t="s">
        <v>5431</v>
      </c>
      <c r="R202" s="168"/>
    </row>
    <row r="203" spans="1:24">
      <c r="H203" s="306"/>
      <c r="I203" s="449" t="s">
        <v>5282</v>
      </c>
      <c r="J203" s="450" t="s">
        <v>5308</v>
      </c>
      <c r="K203" s="450" t="s">
        <v>5431</v>
      </c>
      <c r="L203" s="451" t="s">
        <v>5431</v>
      </c>
      <c r="M203" s="451" t="s">
        <v>5431</v>
      </c>
      <c r="N203" s="450" t="s">
        <v>5431</v>
      </c>
      <c r="O203" s="452" t="s">
        <v>5431</v>
      </c>
      <c r="P203" s="451" t="s">
        <v>5431</v>
      </c>
      <c r="Q203" s="451" t="s">
        <v>5431</v>
      </c>
      <c r="R203" s="168"/>
    </row>
    <row r="204" spans="1:24">
      <c r="H204" s="306"/>
      <c r="I204" s="437" t="s">
        <v>5282</v>
      </c>
      <c r="J204" s="438" t="s">
        <v>5308</v>
      </c>
      <c r="K204" s="318" t="s">
        <v>5431</v>
      </c>
      <c r="L204" s="430" t="s">
        <v>5431</v>
      </c>
      <c r="M204" s="430" t="s">
        <v>5431</v>
      </c>
      <c r="N204" s="318" t="s">
        <v>5431</v>
      </c>
      <c r="O204" s="447" t="s">
        <v>5431</v>
      </c>
      <c r="P204" s="430" t="s">
        <v>5431</v>
      </c>
      <c r="Q204" s="320" t="s">
        <v>5431</v>
      </c>
      <c r="R204" s="168"/>
    </row>
    <row r="205" spans="1:24" ht="15.75" thickBot="1">
      <c r="H205" s="306"/>
      <c r="I205" s="439" t="s">
        <v>5282</v>
      </c>
      <c r="J205" s="440" t="s">
        <v>5308</v>
      </c>
      <c r="K205" s="321" t="s">
        <v>5431</v>
      </c>
      <c r="L205" s="322" t="s">
        <v>5431</v>
      </c>
      <c r="M205" s="322" t="s">
        <v>5431</v>
      </c>
      <c r="N205" s="321" t="s">
        <v>5431</v>
      </c>
      <c r="O205" s="448" t="s">
        <v>5431</v>
      </c>
      <c r="P205" s="322" t="s">
        <v>5431</v>
      </c>
      <c r="Q205" s="323" t="s">
        <v>5431</v>
      </c>
      <c r="R205" s="168"/>
    </row>
    <row r="206" spans="1:24" ht="15.75" thickBot="1">
      <c r="H206" s="309"/>
      <c r="I206" s="460"/>
      <c r="J206" s="461"/>
      <c r="K206" s="310"/>
      <c r="L206" s="310"/>
      <c r="M206" s="310"/>
      <c r="N206" s="436"/>
      <c r="O206" s="310"/>
      <c r="P206" s="310"/>
      <c r="Q206" s="310"/>
      <c r="R206" s="434"/>
    </row>
    <row r="207" spans="1:24" ht="18.75" customHeight="1">
      <c r="B207" s="455"/>
      <c r="C207" s="456"/>
      <c r="D207" s="456"/>
      <c r="E207" s="456"/>
      <c r="F207" s="456"/>
      <c r="G207" s="456"/>
      <c r="H207" s="457"/>
      <c r="I207" s="458" t="s">
        <v>5717</v>
      </c>
      <c r="J207" s="459" t="s">
        <v>5716</v>
      </c>
    </row>
    <row r="209" spans="1:23" ht="15" customHeight="1">
      <c r="B209" s="6" t="s">
        <v>1267</v>
      </c>
      <c r="C209" s="18" t="s">
        <v>5721</v>
      </c>
      <c r="R209" s="537" t="s">
        <v>5720</v>
      </c>
      <c r="S209" s="538"/>
      <c r="T209" s="538"/>
      <c r="U209" s="538"/>
      <c r="V209" s="539"/>
      <c r="W209" s="453"/>
    </row>
    <row r="210" spans="1:23">
      <c r="B210" s="6" t="s">
        <v>1267</v>
      </c>
      <c r="C210" s="18" t="s">
        <v>5722</v>
      </c>
      <c r="R210" s="540"/>
      <c r="S210" s="541"/>
      <c r="T210" s="541"/>
      <c r="U210" s="541"/>
      <c r="V210" s="542"/>
      <c r="W210" s="453"/>
    </row>
    <row r="211" spans="1:23">
      <c r="B211" s="6" t="s">
        <v>1267</v>
      </c>
      <c r="C211" s="18" t="s">
        <v>5723</v>
      </c>
      <c r="R211" s="543"/>
      <c r="S211" s="544"/>
      <c r="T211" s="544"/>
      <c r="U211" s="544"/>
      <c r="V211" s="545"/>
      <c r="W211" s="453"/>
    </row>
    <row r="212" spans="1:23">
      <c r="C212" s="6" t="s">
        <v>5387</v>
      </c>
      <c r="D212" t="s">
        <v>5726</v>
      </c>
    </row>
    <row r="213" spans="1:23">
      <c r="C213" s="6" t="s">
        <v>5387</v>
      </c>
      <c r="D213" t="s">
        <v>5724</v>
      </c>
    </row>
    <row r="214" spans="1:23">
      <c r="B214" s="6" t="s">
        <v>1267</v>
      </c>
      <c r="C214" s="18" t="s">
        <v>5728</v>
      </c>
    </row>
    <row r="215" spans="1:23">
      <c r="C215" s="6" t="s">
        <v>5387</v>
      </c>
      <c r="D215" t="s">
        <v>5725</v>
      </c>
    </row>
    <row r="216" spans="1:23">
      <c r="C216" s="6" t="s">
        <v>5387</v>
      </c>
      <c r="D216" t="s">
        <v>5730</v>
      </c>
      <c r="U216" s="463"/>
    </row>
    <row r="217" spans="1:23">
      <c r="B217" s="6" t="s">
        <v>1267</v>
      </c>
      <c r="C217" s="18" t="s">
        <v>5729</v>
      </c>
    </row>
    <row r="220" spans="1:23" s="201" customFormat="1">
      <c r="A220" s="467" t="s">
        <v>5753</v>
      </c>
      <c r="B220" s="467"/>
      <c r="C220" s="467"/>
      <c r="D220" s="467"/>
      <c r="E220" s="467"/>
      <c r="F220" s="467"/>
      <c r="G220" s="467"/>
      <c r="H220" s="467"/>
      <c r="I220" s="467"/>
      <c r="J220" s="467"/>
      <c r="K220" s="467"/>
      <c r="L220" s="467"/>
      <c r="M220" s="467"/>
      <c r="N220" s="467"/>
      <c r="O220" s="467"/>
      <c r="P220" s="467"/>
      <c r="Q220" s="467"/>
      <c r="R220" s="467"/>
    </row>
    <row r="221" spans="1:23">
      <c r="A221" s="468"/>
      <c r="B221" s="468"/>
      <c r="C221" s="468"/>
      <c r="D221" s="468"/>
      <c r="E221" s="468"/>
      <c r="F221" s="468"/>
      <c r="G221" s="468"/>
      <c r="H221" s="468"/>
      <c r="I221" s="468"/>
      <c r="J221" s="468"/>
      <c r="K221" s="468"/>
      <c r="L221" s="468"/>
      <c r="M221" s="468"/>
      <c r="N221" s="468"/>
      <c r="O221" s="468"/>
      <c r="P221" s="468"/>
      <c r="Q221" s="468"/>
      <c r="R221" s="468"/>
    </row>
    <row r="222" spans="1:23">
      <c r="A222" s="468"/>
      <c r="B222" s="469" t="s">
        <v>1267</v>
      </c>
      <c r="C222" s="468" t="s">
        <v>5766</v>
      </c>
      <c r="D222" s="468"/>
      <c r="E222" s="468"/>
      <c r="F222" s="468"/>
      <c r="G222" s="468"/>
      <c r="H222" s="468"/>
      <c r="I222" s="468"/>
      <c r="J222" s="468"/>
      <c r="K222" s="468"/>
      <c r="L222" s="468"/>
      <c r="M222" s="468"/>
      <c r="N222" s="468"/>
      <c r="O222" s="468"/>
      <c r="P222" s="468"/>
      <c r="Q222" s="468"/>
      <c r="R222" s="468"/>
    </row>
    <row r="223" spans="1:23">
      <c r="A223" s="468"/>
      <c r="B223" s="469" t="s">
        <v>1267</v>
      </c>
      <c r="C223" s="468" t="s">
        <v>5757</v>
      </c>
      <c r="D223" s="468"/>
      <c r="E223" s="468"/>
      <c r="F223" s="468"/>
      <c r="G223" s="468"/>
      <c r="H223" s="468"/>
      <c r="I223" s="468"/>
      <c r="J223" s="468"/>
      <c r="K223" s="468"/>
      <c r="L223" s="468"/>
      <c r="M223" s="468"/>
      <c r="N223" s="468"/>
      <c r="O223" s="468"/>
      <c r="P223" s="468"/>
      <c r="Q223" s="468"/>
      <c r="R223" s="468"/>
    </row>
    <row r="224" spans="1:23">
      <c r="A224" s="468"/>
      <c r="B224" s="468"/>
      <c r="C224" s="469"/>
      <c r="D224" s="468"/>
      <c r="E224" s="468"/>
      <c r="F224" s="468"/>
      <c r="G224" s="468"/>
      <c r="H224" s="468"/>
      <c r="I224" s="468"/>
      <c r="J224" s="468"/>
      <c r="K224" s="468"/>
      <c r="L224" s="468"/>
      <c r="M224" s="468"/>
      <c r="N224" s="468"/>
      <c r="O224" s="468"/>
      <c r="P224" s="468"/>
      <c r="Q224" s="468"/>
      <c r="R224" s="468"/>
    </row>
    <row r="225" spans="1:18" ht="17.25">
      <c r="A225" s="468"/>
      <c r="B225" s="469" t="s">
        <v>1267</v>
      </c>
      <c r="C225" s="468" t="s">
        <v>5747</v>
      </c>
      <c r="D225" s="468"/>
      <c r="E225" s="468"/>
      <c r="F225" s="546" t="s">
        <v>5751</v>
      </c>
      <c r="G225" s="546"/>
      <c r="H225" s="470" t="s">
        <v>5739</v>
      </c>
      <c r="I225" s="547" t="s">
        <v>5759</v>
      </c>
      <c r="J225" s="547"/>
      <c r="K225" s="468"/>
      <c r="L225" s="468"/>
      <c r="M225" s="494" t="s">
        <v>5764</v>
      </c>
      <c r="N225" s="468"/>
      <c r="O225" s="468"/>
      <c r="P225" s="468"/>
      <c r="Q225" s="468"/>
      <c r="R225" s="468"/>
    </row>
    <row r="226" spans="1:18" ht="17.25">
      <c r="A226" s="468"/>
      <c r="B226" s="468"/>
      <c r="C226" s="468"/>
      <c r="D226" s="468"/>
      <c r="E226" s="468"/>
      <c r="F226" s="468"/>
      <c r="G226" s="468"/>
      <c r="H226" s="468"/>
      <c r="I226" s="468"/>
      <c r="J226" s="468"/>
      <c r="K226" s="468"/>
      <c r="L226" s="468"/>
      <c r="M226" s="506" t="s">
        <v>5758</v>
      </c>
      <c r="N226" s="468"/>
      <c r="O226" s="468"/>
      <c r="P226" s="468"/>
      <c r="Q226" s="468"/>
      <c r="R226" s="468"/>
    </row>
    <row r="227" spans="1:18" ht="18" thickBot="1">
      <c r="A227" s="468"/>
      <c r="B227" s="469" t="s">
        <v>1267</v>
      </c>
      <c r="C227" s="468" t="s">
        <v>5747</v>
      </c>
      <c r="D227" s="468"/>
      <c r="E227" s="468"/>
      <c r="F227" s="548" t="s">
        <v>5741</v>
      </c>
      <c r="G227" s="548"/>
      <c r="H227" s="470" t="s">
        <v>5739</v>
      </c>
      <c r="I227" s="548" t="s">
        <v>5760</v>
      </c>
      <c r="J227" s="548"/>
      <c r="K227" s="468"/>
      <c r="M227" s="494" t="s">
        <v>5761</v>
      </c>
      <c r="N227" s="468"/>
      <c r="O227" s="468"/>
      <c r="P227" s="468"/>
      <c r="Q227" s="468"/>
      <c r="R227" s="468"/>
    </row>
    <row r="228" spans="1:18" ht="17.25">
      <c r="A228" s="468"/>
      <c r="B228" s="468"/>
      <c r="C228" s="468"/>
      <c r="D228" s="468"/>
      <c r="E228" s="468"/>
      <c r="F228" s="532" t="s">
        <v>5740</v>
      </c>
      <c r="G228" s="532"/>
      <c r="H228" s="468"/>
      <c r="I228" s="532" t="s">
        <v>5762</v>
      </c>
      <c r="J228" s="532"/>
      <c r="K228" s="468"/>
      <c r="M228" s="494" t="s">
        <v>5754</v>
      </c>
      <c r="N228" s="468"/>
      <c r="O228" s="468"/>
      <c r="P228" s="468"/>
      <c r="Q228" s="468"/>
      <c r="R228" s="468"/>
    </row>
    <row r="229" spans="1:18">
      <c r="A229" s="468"/>
      <c r="B229" s="468"/>
      <c r="C229" s="468"/>
      <c r="D229" s="468"/>
      <c r="E229" s="468"/>
      <c r="F229" s="470"/>
      <c r="G229" s="470"/>
      <c r="H229" s="468"/>
      <c r="I229" s="470"/>
      <c r="J229" s="470"/>
      <c r="K229" s="468"/>
      <c r="L229" s="471"/>
      <c r="M229" s="468"/>
      <c r="N229" s="468"/>
      <c r="O229" s="468"/>
      <c r="P229" s="468"/>
      <c r="Q229" s="468"/>
      <c r="R229" s="468"/>
    </row>
    <row r="230" spans="1:18">
      <c r="A230" s="468"/>
      <c r="B230" s="468"/>
      <c r="C230" s="468"/>
      <c r="D230" s="468"/>
      <c r="E230" s="468"/>
      <c r="F230" s="470"/>
      <c r="G230" s="470"/>
      <c r="H230" s="468"/>
      <c r="I230" s="470"/>
      <c r="J230" s="470"/>
      <c r="K230" s="468"/>
      <c r="M230" s="468"/>
      <c r="N230" s="468"/>
      <c r="O230" s="468"/>
      <c r="P230" s="468"/>
      <c r="Q230" s="468"/>
      <c r="R230" s="468"/>
    </row>
    <row r="231" spans="1:18">
      <c r="A231" s="468"/>
      <c r="B231" s="468"/>
      <c r="C231" s="468"/>
      <c r="D231" s="468"/>
      <c r="E231" s="468"/>
      <c r="F231" s="470"/>
      <c r="G231" s="470"/>
      <c r="H231" s="468"/>
      <c r="I231" s="470"/>
      <c r="J231" s="470"/>
      <c r="K231" s="468"/>
      <c r="L231" s="468"/>
      <c r="M231" s="468"/>
      <c r="N231" s="468"/>
      <c r="O231" s="468"/>
      <c r="P231" s="468"/>
      <c r="Q231" s="468"/>
      <c r="R231" s="468"/>
    </row>
    <row r="232" spans="1:18">
      <c r="A232" s="468"/>
      <c r="B232" s="468"/>
      <c r="C232" s="468"/>
      <c r="D232" s="468"/>
      <c r="E232" s="468"/>
      <c r="F232" s="470"/>
      <c r="G232" s="470"/>
      <c r="H232" s="468"/>
      <c r="I232" s="470" t="s">
        <v>5756</v>
      </c>
      <c r="J232" s="470"/>
      <c r="K232" s="468"/>
      <c r="L232" s="468"/>
      <c r="M232" s="468"/>
      <c r="N232" s="468"/>
      <c r="O232" s="468"/>
      <c r="P232" s="468"/>
      <c r="Q232" s="468"/>
      <c r="R232" s="468"/>
    </row>
    <row r="233" spans="1:18">
      <c r="A233" s="468"/>
      <c r="B233" s="468"/>
      <c r="C233" s="468"/>
      <c r="D233" s="468"/>
      <c r="E233" s="468"/>
      <c r="F233" s="470"/>
      <c r="G233" s="470"/>
      <c r="H233" s="468"/>
      <c r="I233" s="470" t="s">
        <v>5765</v>
      </c>
      <c r="J233" s="470"/>
      <c r="K233" s="468"/>
      <c r="L233" s="468"/>
      <c r="M233" s="468"/>
      <c r="N233" s="468"/>
      <c r="O233" s="468"/>
      <c r="P233" s="468"/>
      <c r="Q233" s="468"/>
      <c r="R233" s="468"/>
    </row>
    <row r="234" spans="1:18">
      <c r="A234" s="468"/>
      <c r="B234" s="468"/>
      <c r="C234" s="468"/>
      <c r="D234" s="468"/>
      <c r="E234" s="468"/>
      <c r="F234" s="470"/>
      <c r="G234" s="470"/>
      <c r="H234" s="468"/>
      <c r="I234" s="505" t="s">
        <v>5755</v>
      </c>
      <c r="J234" s="470"/>
      <c r="K234" s="468"/>
      <c r="L234" s="468"/>
      <c r="M234" s="468"/>
      <c r="N234" s="468"/>
      <c r="O234" s="468"/>
      <c r="P234" s="468"/>
      <c r="Q234" s="468"/>
      <c r="R234" s="468"/>
    </row>
    <row r="235" spans="1:18" ht="15.75" thickBot="1">
      <c r="A235" s="468"/>
      <c r="B235" s="468"/>
      <c r="C235" s="468"/>
      <c r="D235" s="468"/>
      <c r="E235" s="468"/>
      <c r="F235" s="468"/>
      <c r="G235" s="468"/>
      <c r="H235" s="468"/>
      <c r="J235" s="468"/>
      <c r="K235" s="468"/>
      <c r="L235" s="468"/>
      <c r="M235" s="468"/>
      <c r="N235" s="468"/>
      <c r="O235" s="468"/>
      <c r="P235" s="468"/>
      <c r="Q235" s="468"/>
      <c r="R235" s="468"/>
    </row>
    <row r="236" spans="1:18" ht="15.75" thickBot="1">
      <c r="A236" s="468"/>
      <c r="B236" s="468"/>
      <c r="C236" s="468"/>
      <c r="D236" s="468"/>
      <c r="E236" s="468"/>
      <c r="F236" s="472"/>
      <c r="G236" s="472"/>
      <c r="H236" s="473"/>
      <c r="I236" s="474" t="s">
        <v>5745</v>
      </c>
      <c r="J236" s="473"/>
      <c r="K236" s="473"/>
      <c r="L236" s="475"/>
      <c r="N236" s="468"/>
      <c r="O236" s="468"/>
      <c r="P236" s="468"/>
      <c r="Q236" s="468"/>
      <c r="R236" s="468"/>
    </row>
    <row r="237" spans="1:18">
      <c r="A237" s="468"/>
      <c r="B237" s="468"/>
      <c r="C237" s="468"/>
      <c r="D237" s="468"/>
      <c r="E237" s="468"/>
      <c r="F237" s="476"/>
      <c r="G237" s="477" t="s">
        <v>53</v>
      </c>
      <c r="H237" s="478" t="s">
        <v>54</v>
      </c>
      <c r="I237" s="478" t="s">
        <v>5742</v>
      </c>
      <c r="J237" s="478" t="s">
        <v>49</v>
      </c>
      <c r="K237" s="478" t="s">
        <v>50</v>
      </c>
      <c r="L237" s="479" t="s">
        <v>51</v>
      </c>
      <c r="M237" s="468"/>
      <c r="N237" s="468"/>
      <c r="O237" s="468"/>
      <c r="P237" s="468"/>
      <c r="Q237" s="468"/>
      <c r="R237" s="468"/>
    </row>
    <row r="238" spans="1:18" ht="15.75" thickBot="1">
      <c r="A238" s="468"/>
      <c r="B238" s="468"/>
      <c r="C238" s="468"/>
      <c r="D238" s="468"/>
      <c r="E238" s="469"/>
      <c r="F238" s="480"/>
      <c r="G238" s="481" t="s">
        <v>61</v>
      </c>
      <c r="H238" s="482" t="s">
        <v>5737</v>
      </c>
      <c r="I238" s="482" t="s">
        <v>5399</v>
      </c>
      <c r="J238" s="482" t="s">
        <v>1</v>
      </c>
      <c r="K238" s="482" t="s">
        <v>58</v>
      </c>
      <c r="L238" s="483" t="s">
        <v>5284</v>
      </c>
      <c r="M238" s="468"/>
      <c r="N238" s="468"/>
      <c r="O238" s="468"/>
      <c r="P238" s="468"/>
      <c r="Q238" s="468"/>
      <c r="R238" s="468"/>
    </row>
    <row r="239" spans="1:18" ht="30">
      <c r="A239" s="468"/>
      <c r="B239" s="468"/>
      <c r="C239" s="468"/>
      <c r="D239" s="468"/>
      <c r="E239" s="468"/>
      <c r="F239" s="484" t="s">
        <v>5752</v>
      </c>
      <c r="G239" s="485" t="s">
        <v>5744</v>
      </c>
      <c r="H239" s="486" t="s">
        <v>5738</v>
      </c>
      <c r="I239" s="486" t="s">
        <v>5763</v>
      </c>
      <c r="J239" s="486" t="s">
        <v>5744</v>
      </c>
      <c r="K239" s="486" t="s">
        <v>5744</v>
      </c>
      <c r="L239" s="487" t="s">
        <v>5744</v>
      </c>
      <c r="M239" s="510" t="s">
        <v>5767</v>
      </c>
      <c r="N239" s="468"/>
      <c r="O239" s="468"/>
      <c r="P239" s="468"/>
      <c r="Q239" s="468"/>
      <c r="R239" s="468"/>
    </row>
    <row r="240" spans="1:18" ht="17.25">
      <c r="A240" s="468"/>
      <c r="B240" s="468"/>
      <c r="C240" s="468"/>
      <c r="D240" s="468"/>
      <c r="E240" s="468"/>
      <c r="F240" s="488">
        <v>102</v>
      </c>
      <c r="G240" s="489" t="s">
        <v>5743</v>
      </c>
      <c r="H240" s="490" t="s">
        <v>5743</v>
      </c>
      <c r="I240" s="511" t="s">
        <v>5768</v>
      </c>
      <c r="J240" s="490" t="s">
        <v>5743</v>
      </c>
      <c r="K240" s="490" t="s">
        <v>5743</v>
      </c>
      <c r="L240" s="491" t="s">
        <v>5743</v>
      </c>
      <c r="M240" s="494" t="s">
        <v>5769</v>
      </c>
      <c r="N240" s="468"/>
      <c r="O240" s="468"/>
      <c r="P240" s="468"/>
      <c r="Q240" s="468"/>
      <c r="R240" s="468"/>
    </row>
    <row r="241" spans="1:18" ht="17.25">
      <c r="A241" s="468"/>
      <c r="B241" s="468"/>
      <c r="C241" s="468"/>
      <c r="D241" s="468"/>
      <c r="E241" s="468" t="s">
        <v>5746</v>
      </c>
      <c r="F241" s="492" t="s">
        <v>5736</v>
      </c>
      <c r="G241" s="507" t="s">
        <v>5738</v>
      </c>
      <c r="H241" s="509" t="s">
        <v>5770</v>
      </c>
      <c r="I241" s="509" t="s">
        <v>5770</v>
      </c>
      <c r="J241" s="490" t="s">
        <v>5743</v>
      </c>
      <c r="K241" s="490" t="s">
        <v>5743</v>
      </c>
      <c r="L241" s="493" t="s">
        <v>5743</v>
      </c>
      <c r="M241" s="494" t="s">
        <v>5772</v>
      </c>
      <c r="N241" s="495"/>
      <c r="O241" s="468"/>
      <c r="P241" s="468"/>
      <c r="Q241" s="468"/>
      <c r="R241" s="468"/>
    </row>
    <row r="242" spans="1:18" ht="17.25">
      <c r="A242" s="468"/>
      <c r="B242" s="468"/>
      <c r="C242" s="468"/>
      <c r="D242" s="468"/>
      <c r="E242" s="468"/>
      <c r="F242" s="492" t="s">
        <v>5735</v>
      </c>
      <c r="G242" s="508" t="s">
        <v>5744</v>
      </c>
      <c r="H242" s="490" t="s">
        <v>5771</v>
      </c>
      <c r="I242" s="490" t="s">
        <v>5771</v>
      </c>
      <c r="J242" s="490" t="s">
        <v>5743</v>
      </c>
      <c r="K242" s="490" t="s">
        <v>5743</v>
      </c>
      <c r="L242" s="493" t="s">
        <v>5743</v>
      </c>
      <c r="M242" s="496" t="s">
        <v>5773</v>
      </c>
      <c r="N242" s="468"/>
      <c r="O242" s="468"/>
      <c r="P242" s="468"/>
      <c r="Q242" s="468"/>
      <c r="R242" s="468"/>
    </row>
    <row r="243" spans="1:18">
      <c r="A243" s="468"/>
      <c r="B243" s="468"/>
      <c r="C243" s="468"/>
      <c r="D243" s="468"/>
      <c r="E243" s="468"/>
      <c r="F243" s="488">
        <v>111</v>
      </c>
      <c r="G243" s="489" t="s">
        <v>5738</v>
      </c>
      <c r="H243" s="490" t="s">
        <v>5738</v>
      </c>
      <c r="I243" s="490" t="s">
        <v>5738</v>
      </c>
      <c r="J243" s="490" t="s">
        <v>5743</v>
      </c>
      <c r="K243" s="490" t="s">
        <v>5743</v>
      </c>
      <c r="L243" s="493" t="s">
        <v>5743</v>
      </c>
      <c r="M243" s="494" t="s">
        <v>5774</v>
      </c>
      <c r="N243" s="468"/>
      <c r="O243" s="468"/>
      <c r="P243" s="468"/>
      <c r="Q243" s="468"/>
      <c r="R243" s="468"/>
    </row>
    <row r="244" spans="1:18" ht="15.75" thickBot="1">
      <c r="A244" s="468"/>
      <c r="B244" s="468"/>
      <c r="C244" s="468"/>
      <c r="D244" s="468"/>
      <c r="E244" s="468"/>
      <c r="F244" s="497" t="s">
        <v>5738</v>
      </c>
      <c r="G244" s="498" t="s">
        <v>5738</v>
      </c>
      <c r="H244" s="499" t="s">
        <v>5738</v>
      </c>
      <c r="I244" s="499" t="s">
        <v>5738</v>
      </c>
      <c r="J244" s="499" t="s">
        <v>5738</v>
      </c>
      <c r="K244" s="499" t="s">
        <v>5738</v>
      </c>
      <c r="L244" s="500" t="s">
        <v>5738</v>
      </c>
      <c r="M244" s="468"/>
      <c r="N244" s="468"/>
      <c r="O244" s="468"/>
      <c r="P244" s="468"/>
      <c r="Q244" s="468"/>
      <c r="R244" s="468"/>
    </row>
    <row r="245" spans="1:18">
      <c r="A245" s="468"/>
      <c r="B245" s="468"/>
      <c r="C245" s="468"/>
      <c r="D245" s="468"/>
      <c r="E245" s="468"/>
      <c r="F245" s="468"/>
      <c r="G245" s="468"/>
      <c r="H245" s="468"/>
      <c r="I245" s="468"/>
      <c r="J245" s="468"/>
      <c r="K245" s="468"/>
      <c r="L245" s="468"/>
      <c r="M245" s="468"/>
      <c r="N245" s="468"/>
      <c r="O245" s="468"/>
      <c r="P245" s="468"/>
      <c r="Q245" s="468"/>
      <c r="R245" s="468"/>
    </row>
    <row r="246" spans="1:18">
      <c r="A246" s="468"/>
      <c r="B246" s="468"/>
      <c r="C246" s="468"/>
      <c r="D246" s="468"/>
      <c r="E246" s="501"/>
      <c r="F246" s="502" t="s">
        <v>5748</v>
      </c>
      <c r="G246" s="503">
        <v>1988</v>
      </c>
      <c r="H246" s="503">
        <v>19908</v>
      </c>
      <c r="I246" s="503">
        <v>1330</v>
      </c>
      <c r="J246" s="504" t="s">
        <v>5750</v>
      </c>
      <c r="K246" s="504" t="s">
        <v>5749</v>
      </c>
      <c r="L246" s="503">
        <v>512</v>
      </c>
      <c r="M246" s="468"/>
      <c r="N246" s="468"/>
      <c r="O246" s="468"/>
      <c r="P246" s="468"/>
      <c r="Q246" s="468"/>
      <c r="R246" s="468"/>
    </row>
  </sheetData>
  <mergeCells count="8">
    <mergeCell ref="I228:J228"/>
    <mergeCell ref="F228:G228"/>
    <mergeCell ref="S200:X201"/>
    <mergeCell ref="R209:V211"/>
    <mergeCell ref="F225:G225"/>
    <mergeCell ref="I225:J225"/>
    <mergeCell ref="F227:G227"/>
    <mergeCell ref="I227:J227"/>
  </mergeCells>
  <pageMargins left="0.7" right="0.7" top="0.75" bottom="0.75" header="0.3" footer="0.3"/>
  <ignoredErrors>
    <ignoredError sqref="I240" numberStoredAsText="1"/>
  </ignoredErrors>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AB209"/>
  <sheetViews>
    <sheetView tabSelected="1" topLeftCell="M1" zoomScale="110" zoomScaleNormal="110" workbookViewId="0">
      <selection activeCell="Z21" sqref="Z21"/>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6" ht="45">
      <c r="B2" s="139" t="s">
        <v>849</v>
      </c>
      <c r="C2" s="139" t="s">
        <v>850</v>
      </c>
      <c r="D2" s="139" t="s">
        <v>851</v>
      </c>
      <c r="E2" s="139" t="s">
        <v>852</v>
      </c>
      <c r="F2" s="139" t="s">
        <v>853</v>
      </c>
      <c r="H2" s="140" t="s">
        <v>854</v>
      </c>
      <c r="I2" s="141" t="s">
        <v>855</v>
      </c>
      <c r="J2" s="139" t="s">
        <v>856</v>
      </c>
      <c r="K2" s="3"/>
      <c r="L2" s="139" t="s">
        <v>857</v>
      </c>
      <c r="M2" s="139" t="s">
        <v>858</v>
      </c>
      <c r="N2" s="139" t="s">
        <v>856</v>
      </c>
      <c r="P2" s="560" t="s">
        <v>5902</v>
      </c>
      <c r="Q2" s="561"/>
      <c r="R2" s="562"/>
      <c r="S2" s="563"/>
      <c r="T2" s="560" t="s">
        <v>5903</v>
      </c>
      <c r="U2" s="561"/>
      <c r="V2" s="561"/>
      <c r="W2" s="561"/>
      <c r="X2" s="561"/>
      <c r="Y2" s="561"/>
      <c r="Z2" s="562"/>
    </row>
    <row r="3" spans="2:26" ht="85.5">
      <c r="B3" s="142" t="s">
        <v>859</v>
      </c>
      <c r="C3" s="142" t="s">
        <v>860</v>
      </c>
      <c r="D3" s="142">
        <v>75</v>
      </c>
      <c r="E3" s="142">
        <f t="shared" ref="E3:E8" si="0">D3*8</f>
        <v>600</v>
      </c>
      <c r="F3" s="142">
        <v>1</v>
      </c>
      <c r="H3" s="142" t="s">
        <v>861</v>
      </c>
      <c r="I3" s="142">
        <v>0</v>
      </c>
      <c r="J3" s="142"/>
      <c r="L3" s="142" t="s">
        <v>861</v>
      </c>
      <c r="M3" s="142">
        <v>0</v>
      </c>
      <c r="N3" s="142">
        <v>0</v>
      </c>
      <c r="P3" s="564" t="s">
        <v>5904</v>
      </c>
      <c r="Q3" s="565" t="s">
        <v>5905</v>
      </c>
      <c r="R3" s="566" t="s">
        <v>5906</v>
      </c>
      <c r="T3" s="567" t="s">
        <v>5904</v>
      </c>
      <c r="U3" s="568" t="s">
        <v>859</v>
      </c>
      <c r="V3" s="568" t="s">
        <v>866</v>
      </c>
      <c r="W3" s="568" t="s">
        <v>869</v>
      </c>
      <c r="X3" s="568" t="s">
        <v>872</v>
      </c>
      <c r="Y3" s="568" t="s">
        <v>875</v>
      </c>
      <c r="Z3" s="569" t="s">
        <v>5907</v>
      </c>
    </row>
    <row r="4" spans="2:26" ht="15.75">
      <c r="B4" s="142" t="s">
        <v>862</v>
      </c>
      <c r="C4" s="142" t="s">
        <v>863</v>
      </c>
      <c r="D4" s="142">
        <v>33</v>
      </c>
      <c r="E4" s="142">
        <f t="shared" si="0"/>
        <v>264</v>
      </c>
      <c r="F4" s="143" t="s">
        <v>864</v>
      </c>
      <c r="H4" s="142" t="s">
        <v>865</v>
      </c>
      <c r="I4" s="142">
        <f>1/(24*60*60)</f>
        <v>1.1574074074074073E-5</v>
      </c>
      <c r="J4" s="142">
        <v>86400</v>
      </c>
      <c r="L4" s="142" t="s">
        <v>865</v>
      </c>
      <c r="M4" s="142">
        <f t="shared" ref="M4:M15" si="1">1/N4</f>
        <v>1.1574074074074073E-5</v>
      </c>
      <c r="N4" s="142">
        <v>86400</v>
      </c>
      <c r="P4" s="570" t="s">
        <v>861</v>
      </c>
      <c r="Q4" s="571">
        <v>0</v>
      </c>
      <c r="R4" s="572">
        <v>0</v>
      </c>
      <c r="T4" s="573" t="s">
        <v>861</v>
      </c>
      <c r="U4" s="574">
        <f>_xlfn.LET(
  _xlpm.per, _xlfn.XLOOKUP($T4, SwpRatesTbl[RateCmd], SwpRatesTbl[Period]),
  _xlpm.bits, _xlfn.XLOOKUP(U$3, SwpPktSizesTbl[Packet Names], SwpPktSizesTbl[Size (bits)]),
  _xlpm.cnt, _xlfn.XLOOKUP(U$3, SwpPktSizesTbl[Packet Names], SwpPktSizesTbl[Number of Packets in Set]),
  IF(_xlpm.per=0, 0, _xlpm.bits*_xlpm.cnt/_xlpm.per)
)</f>
        <v>0</v>
      </c>
      <c r="V4" s="574">
        <f>_xlfn.LET(
  _xlpm.per, _xlfn.XLOOKUP($T4, SwpRatesTbl[RateCmd], SwpRatesTbl[Period]),
  _xlpm.bits, _xlfn.XLOOKUP(V$3, SwpPktSizesTbl[Packet Names], SwpPktSizesTbl[Size (bits)]),
  _xlpm.cnt, _xlfn.XLOOKUP(V$3, SwpPktSizesTbl[Packet Names], SwpPktSizesTbl[Number of Packets in Set]),
  IF(_xlpm.per=0, 0, _xlpm.bits*_xlpm.cnt/_xlpm.per)
)</f>
        <v>0</v>
      </c>
      <c r="W4" s="574">
        <f>_xlfn.LET(
  _xlpm.per, _xlfn.XLOOKUP($T4, SwpRatesTbl[RateCmd], SwpRatesTbl[Period]),
  _xlpm.bits, _xlfn.XLOOKUP(W$3, SwpPktSizesTbl[Packet Names], SwpPktSizesTbl[Size (bits)]),
  _xlpm.cnt, _xlfn.XLOOKUP(W$3, SwpPktSizesTbl[Packet Names], SwpPktSizesTbl[Number of Packets in Set]),
  IF(_xlpm.per=0, 0, _xlpm.bits*_xlpm.cnt/_xlpm.per)
)</f>
        <v>0</v>
      </c>
      <c r="X4" s="574">
        <f>_xlfn.LET(
  _xlpm.per, _xlfn.XLOOKUP($T4, SwpRatesTbl[RateCmd], SwpRatesTbl[Period]),
  _xlpm.bits, _xlfn.XLOOKUP(X$3, SwpPktSizesTbl[Packet Names], SwpPktSizesTbl[Size (bits)]),
  _xlpm.cnt, _xlfn.XLOOKUP(X$3, SwpPktSizesTbl[Packet Names], SwpPktSizesTbl[Number of Packets in Set]),
  IF(_xlpm.per=0, 0, _xlpm.bits*_xlpm.cnt/_xlpm.per)
)</f>
        <v>0</v>
      </c>
      <c r="Y4" s="574">
        <f>_xlfn.LET(
  _xlpm.per, _xlfn.XLOOKUP($T4, SwpRatesTbl[RateCmd], SwpRatesTbl[Period]),
  _xlpm.bits, _xlfn.XLOOKUP(Y$3, SwpPktSizesTbl[Packet Names], SwpPktSizesTbl[Size (bits)]),
  _xlpm.cnt, _xlfn.XLOOKUP(Y$3, SwpPktSizesTbl[Packet Names], SwpPktSizesTbl[Number of Packets in Set]),
  IF(_xlpm.per=0, 0, _xlpm.bits*_xlpm.cnt/_xlpm.per)
)</f>
        <v>0</v>
      </c>
      <c r="Z4" s="575">
        <f>SwpPktRatesTbl[[#This Row],[Histogram 1]]+SwpPktRatesTbl[[#This Row],[Histogram 0]]</f>
        <v>0</v>
      </c>
    </row>
    <row r="5" spans="2:26" ht="15.75">
      <c r="B5" s="142" t="s">
        <v>866</v>
      </c>
      <c r="C5" s="142" t="s">
        <v>867</v>
      </c>
      <c r="D5" s="142">
        <v>35</v>
      </c>
      <c r="E5" s="142">
        <f t="shared" si="0"/>
        <v>280</v>
      </c>
      <c r="F5" s="142">
        <v>64</v>
      </c>
      <c r="H5" s="142" t="s">
        <v>868</v>
      </c>
      <c r="I5" s="142">
        <f>1/(12*60*60)</f>
        <v>2.3148148148148147E-5</v>
      </c>
      <c r="J5" s="142">
        <v>43200</v>
      </c>
      <c r="L5" s="142" t="s">
        <v>868</v>
      </c>
      <c r="M5" s="142">
        <f t="shared" si="1"/>
        <v>2.3148148148148147E-5</v>
      </c>
      <c r="N5" s="142">
        <v>43200</v>
      </c>
      <c r="P5" s="570" t="s">
        <v>865</v>
      </c>
      <c r="Q5" s="571">
        <f>_xlfn.BITAND(24*60*60+63, 4294967232)</f>
        <v>86400</v>
      </c>
      <c r="R5" s="572">
        <f>1/SwpRatesTbl[[#This Row],[Period]]</f>
        <v>1.1574074074074073E-5</v>
      </c>
      <c r="T5" s="576" t="s">
        <v>865</v>
      </c>
      <c r="U5" s="324">
        <f>_xlfn.LET(
  _xlpm.per, _xlfn.XLOOKUP($T5, SwpRatesTbl[RateCmd], SwpRatesTbl[Period]),
  _xlpm.bits, _xlfn.XLOOKUP(U$3, SwpPktSizesTbl[Packet Names], SwpPktSizesTbl[Size (bits)]),
  _xlpm.cnt, _xlfn.XLOOKUP(U$3, SwpPktSizesTbl[Packet Names], SwpPktSizesTbl[Number of Packets in Set]),
  IF(_xlpm.per=0, 0, _xlpm.bits*_xlpm.cnt/_xlpm.per)
)</f>
        <v>6.9444444444444441E-3</v>
      </c>
      <c r="V5" s="324">
        <f>_xlfn.LET(
  _xlpm.per, _xlfn.XLOOKUP($T5, SwpRatesTbl[RateCmd], SwpRatesTbl[Period]),
  _xlpm.bits, _xlfn.XLOOKUP(V$3, SwpPktSizesTbl[Packet Names], SwpPktSizesTbl[Size (bits)]),
  _xlpm.cnt, _xlfn.XLOOKUP(V$3, SwpPktSizesTbl[Packet Names], SwpPktSizesTbl[Number of Packets in Set]),
  IF(_xlpm.per=0, 0, _xlpm.bits*_xlpm.cnt/_xlpm.per)
)</f>
        <v>0.2074074074074074</v>
      </c>
      <c r="W5" s="324">
        <f>_xlfn.LET(
  _xlpm.per, _xlfn.XLOOKUP($T5, SwpRatesTbl[RateCmd], SwpRatesTbl[Period]),
  _xlpm.bits, _xlfn.XLOOKUP(W$3, SwpPktSizesTbl[Packet Names], SwpPktSizesTbl[Size (bits)]),
  _xlpm.cnt, _xlfn.XLOOKUP(W$3, SwpPktSizesTbl[Packet Names], SwpPktSizesTbl[Number of Packets in Set]),
  IF(_xlpm.per=0, 0, _xlpm.bits*_xlpm.cnt/_xlpm.per)
)</f>
        <v>8.0555555555555554E-3</v>
      </c>
      <c r="X5" s="324">
        <f>_xlfn.LET(
  _xlpm.per, _xlfn.XLOOKUP($T5, SwpRatesTbl[RateCmd], SwpRatesTbl[Period]),
  _xlpm.bits, _xlfn.XLOOKUP(X$3, SwpPktSizesTbl[Packet Names], SwpPktSizesTbl[Size (bits)]),
  _xlpm.cnt, _xlfn.XLOOKUP(X$3, SwpPktSizesTbl[Packet Names], SwpPktSizesTbl[Number of Packets in Set]),
  IF(_xlpm.per=0, 0, _xlpm.bits*_xlpm.cnt/_xlpm.per)
)</f>
        <v>0.02</v>
      </c>
      <c r="Y5" s="324">
        <f>_xlfn.LET(
  _xlpm.per, _xlfn.XLOOKUP($T5, SwpRatesTbl[RateCmd], SwpRatesTbl[Period]),
  _xlpm.bits, _xlfn.XLOOKUP(Y$3, SwpPktSizesTbl[Packet Names], SwpPktSizesTbl[Size (bits)]),
  _xlpm.cnt, _xlfn.XLOOKUP(Y$3, SwpPktSizesTbl[Packet Names], SwpPktSizesTbl[Number of Packets in Set]),
  IF(_xlpm.per=0, 0, _xlpm.bits*_xlpm.cnt/_xlpm.per)
)</f>
        <v>1.19</v>
      </c>
      <c r="Z5" s="577">
        <f>SwpPktRatesTbl[[#This Row],[Histogram 1]]+SwpPktRatesTbl[[#This Row],[Histogram 0]]</f>
        <v>1.21</v>
      </c>
    </row>
    <row r="6" spans="2:26" ht="15.75">
      <c r="B6" s="142" t="s">
        <v>869</v>
      </c>
      <c r="C6" s="142" t="s">
        <v>870</v>
      </c>
      <c r="D6" s="142">
        <v>87</v>
      </c>
      <c r="E6" s="142">
        <f t="shared" si="0"/>
        <v>696</v>
      </c>
      <c r="F6" s="142">
        <v>1</v>
      </c>
      <c r="H6" s="142" t="s">
        <v>871</v>
      </c>
      <c r="I6" s="142">
        <f>1/(6*60*60)</f>
        <v>4.6296296296296294E-5</v>
      </c>
      <c r="J6" s="142">
        <v>21600</v>
      </c>
      <c r="L6" s="142" t="s">
        <v>871</v>
      </c>
      <c r="M6" s="142">
        <f t="shared" si="1"/>
        <v>4.6227810650887573E-5</v>
      </c>
      <c r="N6" s="142">
        <v>21632</v>
      </c>
      <c r="P6" s="570" t="s">
        <v>868</v>
      </c>
      <c r="Q6" s="571">
        <f>_xlfn.BITAND(12*60*60+63, 4294967232)</f>
        <v>43200</v>
      </c>
      <c r="R6" s="572">
        <f>1/SwpRatesTbl[[#This Row],[Period]]</f>
        <v>2.3148148148148147E-5</v>
      </c>
      <c r="T6" s="576" t="s">
        <v>868</v>
      </c>
      <c r="U6" s="324">
        <f>_xlfn.LET(
  _xlpm.per, _xlfn.XLOOKUP($T6, SwpRatesTbl[RateCmd], SwpRatesTbl[Period]),
  _xlpm.bits, _xlfn.XLOOKUP(U$3, SwpPktSizesTbl[Packet Names], SwpPktSizesTbl[Size (bits)]),
  _xlpm.cnt, _xlfn.XLOOKUP(U$3, SwpPktSizesTbl[Packet Names], SwpPktSizesTbl[Number of Packets in Set]),
  IF(_xlpm.per=0, 0, _xlpm.bits*_xlpm.cnt/_xlpm.per)
)</f>
        <v>1.3888888888888888E-2</v>
      </c>
      <c r="V6" s="324">
        <f>_xlfn.LET(
  _xlpm.per, _xlfn.XLOOKUP($T6, SwpRatesTbl[RateCmd], SwpRatesTbl[Period]),
  _xlpm.bits, _xlfn.XLOOKUP(V$3, SwpPktSizesTbl[Packet Names], SwpPktSizesTbl[Size (bits)]),
  _xlpm.cnt, _xlfn.XLOOKUP(V$3, SwpPktSizesTbl[Packet Names], SwpPktSizesTbl[Number of Packets in Set]),
  IF(_xlpm.per=0, 0, _xlpm.bits*_xlpm.cnt/_xlpm.per)
)</f>
        <v>0.4148148148148148</v>
      </c>
      <c r="W6" s="324">
        <f>_xlfn.LET(
  _xlpm.per, _xlfn.XLOOKUP($T6, SwpRatesTbl[RateCmd], SwpRatesTbl[Period]),
  _xlpm.bits, _xlfn.XLOOKUP(W$3, SwpPktSizesTbl[Packet Names], SwpPktSizesTbl[Size (bits)]),
  _xlpm.cnt, _xlfn.XLOOKUP(W$3, SwpPktSizesTbl[Packet Names], SwpPktSizesTbl[Number of Packets in Set]),
  IF(_xlpm.per=0, 0, _xlpm.bits*_xlpm.cnt/_xlpm.per)
)</f>
        <v>1.6111111111111111E-2</v>
      </c>
      <c r="X6" s="324">
        <f>_xlfn.LET(
  _xlpm.per, _xlfn.XLOOKUP($T6, SwpRatesTbl[RateCmd], SwpRatesTbl[Period]),
  _xlpm.bits, _xlfn.XLOOKUP(X$3, SwpPktSizesTbl[Packet Names], SwpPktSizesTbl[Size (bits)]),
  _xlpm.cnt, _xlfn.XLOOKUP(X$3, SwpPktSizesTbl[Packet Names], SwpPktSizesTbl[Number of Packets in Set]),
  IF(_xlpm.per=0, 0, _xlpm.bits*_xlpm.cnt/_xlpm.per)
)</f>
        <v>0.04</v>
      </c>
      <c r="Y6" s="324">
        <f>_xlfn.LET(
  _xlpm.per, _xlfn.XLOOKUP($T6, SwpRatesTbl[RateCmd], SwpRatesTbl[Period]),
  _xlpm.bits, _xlfn.XLOOKUP(Y$3, SwpPktSizesTbl[Packet Names], SwpPktSizesTbl[Size (bits)]),
  _xlpm.cnt, _xlfn.XLOOKUP(Y$3, SwpPktSizesTbl[Packet Names], SwpPktSizesTbl[Number of Packets in Set]),
  IF(_xlpm.per=0, 0, _xlpm.bits*_xlpm.cnt/_xlpm.per)
)</f>
        <v>2.38</v>
      </c>
      <c r="Z6" s="577">
        <f>SwpPktRatesTbl[[#This Row],[Histogram 1]]+SwpPktRatesTbl[[#This Row],[Histogram 0]]</f>
        <v>2.42</v>
      </c>
    </row>
    <row r="7" spans="2:26" ht="15.75">
      <c r="B7" s="142" t="s">
        <v>872</v>
      </c>
      <c r="C7" s="142" t="s">
        <v>873</v>
      </c>
      <c r="D7" s="142">
        <v>216</v>
      </c>
      <c r="E7" s="142">
        <f t="shared" si="0"/>
        <v>1728</v>
      </c>
      <c r="F7" s="142">
        <v>1</v>
      </c>
      <c r="H7" s="142" t="s">
        <v>874</v>
      </c>
      <c r="I7" s="142">
        <f>1/(3*60*60)</f>
        <v>9.2592592592592588E-5</v>
      </c>
      <c r="J7" s="142">
        <v>10800</v>
      </c>
      <c r="L7" s="142" t="s">
        <v>874</v>
      </c>
      <c r="M7" s="142">
        <f t="shared" si="1"/>
        <v>9.2455621301775146E-5</v>
      </c>
      <c r="N7" s="142">
        <v>10816</v>
      </c>
      <c r="P7" s="570" t="s">
        <v>871</v>
      </c>
      <c r="Q7" s="571">
        <f>_xlfn.BITAND(360*60+63, 4294967232)</f>
        <v>21632</v>
      </c>
      <c r="R7" s="572">
        <f>1/SwpRatesTbl[[#This Row],[Period]]</f>
        <v>4.6227810650887573E-5</v>
      </c>
      <c r="T7" s="576" t="s">
        <v>871</v>
      </c>
      <c r="U7" s="324">
        <f>_xlfn.LET(
  _xlpm.per, _xlfn.XLOOKUP($T7, SwpRatesTbl[RateCmd], SwpRatesTbl[Period]),
  _xlpm.bits, _xlfn.XLOOKUP(U$3, SwpPktSizesTbl[Packet Names], SwpPktSizesTbl[Size (bits)]),
  _xlpm.cnt, _xlfn.XLOOKUP(U$3, SwpPktSizesTbl[Packet Names], SwpPktSizesTbl[Number of Packets in Set]),
  IF(_xlpm.per=0, 0, _xlpm.bits*_xlpm.cnt/_xlpm.per)
)</f>
        <v>2.7736686390532544E-2</v>
      </c>
      <c r="V7" s="324">
        <f>_xlfn.LET(
  _xlpm.per, _xlfn.XLOOKUP($T7, SwpRatesTbl[RateCmd], SwpRatesTbl[Period]),
  _xlpm.bits, _xlfn.XLOOKUP(V$3, SwpPktSizesTbl[Packet Names], SwpPktSizesTbl[Size (bits)]),
  _xlpm.cnt, _xlfn.XLOOKUP(V$3, SwpPktSizesTbl[Packet Names], SwpPktSizesTbl[Number of Packets in Set]),
  IF(_xlpm.per=0, 0, _xlpm.bits*_xlpm.cnt/_xlpm.per)
)</f>
        <v>0.82840236686390534</v>
      </c>
      <c r="W7" s="324">
        <f>_xlfn.LET(
  _xlpm.per, _xlfn.XLOOKUP($T7, SwpRatesTbl[RateCmd], SwpRatesTbl[Period]),
  _xlpm.bits, _xlfn.XLOOKUP(W$3, SwpPktSizesTbl[Packet Names], SwpPktSizesTbl[Size (bits)]),
  _xlpm.cnt, _xlfn.XLOOKUP(W$3, SwpPktSizesTbl[Packet Names], SwpPktSizesTbl[Number of Packets in Set]),
  IF(_xlpm.per=0, 0, _xlpm.bits*_xlpm.cnt/_xlpm.per)
)</f>
        <v>3.2174556213017749E-2</v>
      </c>
      <c r="X7" s="324">
        <f>_xlfn.LET(
  _xlpm.per, _xlfn.XLOOKUP($T7, SwpRatesTbl[RateCmd], SwpRatesTbl[Period]),
  _xlpm.bits, _xlfn.XLOOKUP(X$3, SwpPktSizesTbl[Packet Names], SwpPktSizesTbl[Size (bits)]),
  _xlpm.cnt, _xlfn.XLOOKUP(X$3, SwpPktSizesTbl[Packet Names], SwpPktSizesTbl[Number of Packets in Set]),
  IF(_xlpm.per=0, 0, _xlpm.bits*_xlpm.cnt/_xlpm.per)
)</f>
        <v>7.9881656804733733E-2</v>
      </c>
      <c r="Y7" s="324">
        <f>_xlfn.LET(
  _xlpm.per, _xlfn.XLOOKUP($T7, SwpRatesTbl[RateCmd], SwpRatesTbl[Period]),
  _xlpm.bits, _xlfn.XLOOKUP(Y$3, SwpPktSizesTbl[Packet Names], SwpPktSizesTbl[Size (bits)]),
  _xlpm.cnt, _xlfn.XLOOKUP(Y$3, SwpPktSizesTbl[Packet Names], SwpPktSizesTbl[Number of Packets in Set]),
  IF(_xlpm.per=0, 0, _xlpm.bits*_xlpm.cnt/_xlpm.per)
)</f>
        <v>4.7529585798816569</v>
      </c>
      <c r="Z7" s="577">
        <f>SwpPktRatesTbl[[#This Row],[Histogram 1]]+SwpPktRatesTbl[[#This Row],[Histogram 0]]</f>
        <v>4.8328402366863905</v>
      </c>
    </row>
    <row r="8" spans="2:26" ht="15.75">
      <c r="B8" s="142" t="s">
        <v>875</v>
      </c>
      <c r="C8" s="142" t="s">
        <v>876</v>
      </c>
      <c r="D8" s="142">
        <v>204</v>
      </c>
      <c r="E8" s="142">
        <f t="shared" si="0"/>
        <v>1632</v>
      </c>
      <c r="F8" s="142">
        <v>63</v>
      </c>
      <c r="H8" s="142" t="s">
        <v>877</v>
      </c>
      <c r="I8" s="142">
        <f>1/(2*60*60)</f>
        <v>1.3888888888888889E-4</v>
      </c>
      <c r="J8" s="142">
        <v>7200</v>
      </c>
      <c r="L8" s="142" t="s">
        <v>877</v>
      </c>
      <c r="M8" s="142">
        <f t="shared" si="1"/>
        <v>1.3827433628318584E-4</v>
      </c>
      <c r="N8" s="142">
        <v>7232</v>
      </c>
      <c r="P8" s="570" t="s">
        <v>874</v>
      </c>
      <c r="Q8" s="571">
        <f>_xlfn.BITAND(180*60+63, 4294967232)</f>
        <v>10816</v>
      </c>
      <c r="R8" s="572">
        <f>1/SwpRatesTbl[[#This Row],[Period]]</f>
        <v>9.2455621301775146E-5</v>
      </c>
      <c r="T8" s="576" t="s">
        <v>874</v>
      </c>
      <c r="U8" s="324">
        <f>_xlfn.LET(
  _xlpm.per, _xlfn.XLOOKUP($T8, SwpRatesTbl[RateCmd], SwpRatesTbl[Period]),
  _xlpm.bits, _xlfn.XLOOKUP(U$3, SwpPktSizesTbl[Packet Names], SwpPktSizesTbl[Size (bits)]),
  _xlpm.cnt, _xlfn.XLOOKUP(U$3, SwpPktSizesTbl[Packet Names], SwpPktSizesTbl[Number of Packets in Set]),
  IF(_xlpm.per=0, 0, _xlpm.bits*_xlpm.cnt/_xlpm.per)
)</f>
        <v>5.5473372781065088E-2</v>
      </c>
      <c r="V8" s="324">
        <f>_xlfn.LET(
  _xlpm.per, _xlfn.XLOOKUP($T8, SwpRatesTbl[RateCmd], SwpRatesTbl[Period]),
  _xlpm.bits, _xlfn.XLOOKUP(V$3, SwpPktSizesTbl[Packet Names], SwpPktSizesTbl[Size (bits)]),
  _xlpm.cnt, _xlfn.XLOOKUP(V$3, SwpPktSizesTbl[Packet Names], SwpPktSizesTbl[Number of Packets in Set]),
  IF(_xlpm.per=0, 0, _xlpm.bits*_xlpm.cnt/_xlpm.per)
)</f>
        <v>1.6568047337278107</v>
      </c>
      <c r="W8" s="324">
        <f>_xlfn.LET(
  _xlpm.per, _xlfn.XLOOKUP($T8, SwpRatesTbl[RateCmd], SwpRatesTbl[Period]),
  _xlpm.bits, _xlfn.XLOOKUP(W$3, SwpPktSizesTbl[Packet Names], SwpPktSizesTbl[Size (bits)]),
  _xlpm.cnt, _xlfn.XLOOKUP(W$3, SwpPktSizesTbl[Packet Names], SwpPktSizesTbl[Number of Packets in Set]),
  IF(_xlpm.per=0, 0, _xlpm.bits*_xlpm.cnt/_xlpm.per)
)</f>
        <v>6.4349112426035499E-2</v>
      </c>
      <c r="X8" s="324">
        <f>_xlfn.LET(
  _xlpm.per, _xlfn.XLOOKUP($T8, SwpRatesTbl[RateCmd], SwpRatesTbl[Period]),
  _xlpm.bits, _xlfn.XLOOKUP(X$3, SwpPktSizesTbl[Packet Names], SwpPktSizesTbl[Size (bits)]),
  _xlpm.cnt, _xlfn.XLOOKUP(X$3, SwpPktSizesTbl[Packet Names], SwpPktSizesTbl[Number of Packets in Set]),
  IF(_xlpm.per=0, 0, _xlpm.bits*_xlpm.cnt/_xlpm.per)
)</f>
        <v>0.15976331360946747</v>
      </c>
      <c r="Y8" s="324">
        <f>_xlfn.LET(
  _xlpm.per, _xlfn.XLOOKUP($T8, SwpRatesTbl[RateCmd], SwpRatesTbl[Period]),
  _xlpm.bits, _xlfn.XLOOKUP(Y$3, SwpPktSizesTbl[Packet Names], SwpPktSizesTbl[Size (bits)]),
  _xlpm.cnt, _xlfn.XLOOKUP(Y$3, SwpPktSizesTbl[Packet Names], SwpPktSizesTbl[Number of Packets in Set]),
  IF(_xlpm.per=0, 0, _xlpm.bits*_xlpm.cnt/_xlpm.per)
)</f>
        <v>9.5059171597633139</v>
      </c>
      <c r="Z8" s="577">
        <f>SwpPktRatesTbl[[#This Row],[Histogram 1]]+SwpPktRatesTbl[[#This Row],[Histogram 0]]</f>
        <v>9.665680473372781</v>
      </c>
    </row>
    <row r="9" spans="2:26" ht="15.75">
      <c r="H9" s="142" t="s">
        <v>878</v>
      </c>
      <c r="I9" s="142">
        <f>1/(60*60)</f>
        <v>2.7777777777777778E-4</v>
      </c>
      <c r="J9" s="142">
        <v>3600</v>
      </c>
      <c r="L9" s="142" t="s">
        <v>878</v>
      </c>
      <c r="M9" s="142">
        <f t="shared" si="1"/>
        <v>2.7412280701754384E-4</v>
      </c>
      <c r="N9" s="142">
        <v>3648</v>
      </c>
      <c r="P9" s="570" t="s">
        <v>877</v>
      </c>
      <c r="Q9" s="571">
        <f>_xlfn.BITAND(120*60+63, 4294967232)</f>
        <v>7232</v>
      </c>
      <c r="R9" s="572">
        <f>1/SwpRatesTbl[[#This Row],[Period]]</f>
        <v>1.3827433628318584E-4</v>
      </c>
      <c r="T9" s="576" t="s">
        <v>877</v>
      </c>
      <c r="U9" s="324">
        <f>_xlfn.LET(
  _xlpm.per, _xlfn.XLOOKUP($T9, SwpRatesTbl[RateCmd], SwpRatesTbl[Period]),
  _xlpm.bits, _xlfn.XLOOKUP(U$3, SwpPktSizesTbl[Packet Names], SwpPktSizesTbl[Size (bits)]),
  _xlpm.cnt, _xlfn.XLOOKUP(U$3, SwpPktSizesTbl[Packet Names], SwpPktSizesTbl[Number of Packets in Set]),
  IF(_xlpm.per=0, 0, _xlpm.bits*_xlpm.cnt/_xlpm.per)
)</f>
        <v>8.2964601769911508E-2</v>
      </c>
      <c r="V9" s="324">
        <f>_xlfn.LET(
  _xlpm.per, _xlfn.XLOOKUP($T9, SwpRatesTbl[RateCmd], SwpRatesTbl[Period]),
  _xlpm.bits, _xlfn.XLOOKUP(V$3, SwpPktSizesTbl[Packet Names], SwpPktSizesTbl[Size (bits)]),
  _xlpm.cnt, _xlfn.XLOOKUP(V$3, SwpPktSizesTbl[Packet Names], SwpPktSizesTbl[Number of Packets in Set]),
  IF(_xlpm.per=0, 0, _xlpm.bits*_xlpm.cnt/_xlpm.per)
)</f>
        <v>2.4778761061946901</v>
      </c>
      <c r="W9" s="324">
        <f>_xlfn.LET(
  _xlpm.per, _xlfn.XLOOKUP($T9, SwpRatesTbl[RateCmd], SwpRatesTbl[Period]),
  _xlpm.bits, _xlfn.XLOOKUP(W$3, SwpPktSizesTbl[Packet Names], SwpPktSizesTbl[Size (bits)]),
  _xlpm.cnt, _xlfn.XLOOKUP(W$3, SwpPktSizesTbl[Packet Names], SwpPktSizesTbl[Number of Packets in Set]),
  IF(_xlpm.per=0, 0, _xlpm.bits*_xlpm.cnt/_xlpm.per)
)</f>
        <v>9.6238938053097342E-2</v>
      </c>
      <c r="X9" s="324">
        <f>_xlfn.LET(
  _xlpm.per, _xlfn.XLOOKUP($T9, SwpRatesTbl[RateCmd], SwpRatesTbl[Period]),
  _xlpm.bits, _xlfn.XLOOKUP(X$3, SwpPktSizesTbl[Packet Names], SwpPktSizesTbl[Size (bits)]),
  _xlpm.cnt, _xlfn.XLOOKUP(X$3, SwpPktSizesTbl[Packet Names], SwpPktSizesTbl[Number of Packets in Set]),
  IF(_xlpm.per=0, 0, _xlpm.bits*_xlpm.cnt/_xlpm.per)
)</f>
        <v>0.23893805309734514</v>
      </c>
      <c r="Y9" s="324">
        <f>_xlfn.LET(
  _xlpm.per, _xlfn.XLOOKUP($T9, SwpRatesTbl[RateCmd], SwpRatesTbl[Period]),
  _xlpm.bits, _xlfn.XLOOKUP(Y$3, SwpPktSizesTbl[Packet Names], SwpPktSizesTbl[Size (bits)]),
  _xlpm.cnt, _xlfn.XLOOKUP(Y$3, SwpPktSizesTbl[Packet Names], SwpPktSizesTbl[Number of Packets in Set]),
  IF(_xlpm.per=0, 0, _xlpm.bits*_xlpm.cnt/_xlpm.per)
)</f>
        <v>14.216814159292035</v>
      </c>
      <c r="Z9" s="577">
        <f>SwpPktRatesTbl[[#This Row],[Histogram 1]]+SwpPktRatesTbl[[#This Row],[Histogram 0]]</f>
        <v>14.455752212389379</v>
      </c>
    </row>
    <row r="10" spans="2:26" ht="15.75">
      <c r="H10" s="142" t="s">
        <v>879</v>
      </c>
      <c r="I10" s="142">
        <f>1/(30*60)</f>
        <v>5.5555555555555556E-4</v>
      </c>
      <c r="J10" s="142">
        <v>1800</v>
      </c>
      <c r="L10" s="142" t="s">
        <v>879</v>
      </c>
      <c r="M10" s="142">
        <f t="shared" si="1"/>
        <v>5.3879310344827585E-4</v>
      </c>
      <c r="N10" s="142">
        <f>1856</f>
        <v>1856</v>
      </c>
      <c r="P10" s="570" t="s">
        <v>878</v>
      </c>
      <c r="Q10" s="571">
        <f>_xlfn.BITAND(60*60+63, 4294967232)</f>
        <v>3648</v>
      </c>
      <c r="R10" s="572">
        <f>1/SwpRatesTbl[[#This Row],[Period]]</f>
        <v>2.7412280701754384E-4</v>
      </c>
      <c r="S10" s="563"/>
      <c r="T10" s="576" t="s">
        <v>878</v>
      </c>
      <c r="U10" s="324">
        <f>_xlfn.LET(
  _xlpm.per, _xlfn.XLOOKUP($T10, SwpRatesTbl[RateCmd], SwpRatesTbl[Period]),
  _xlpm.bits, _xlfn.XLOOKUP(U$3, SwpPktSizesTbl[Packet Names], SwpPktSizesTbl[Size (bits)]),
  _xlpm.cnt, _xlfn.XLOOKUP(U$3, SwpPktSizesTbl[Packet Names], SwpPktSizesTbl[Number of Packets in Set]),
  IF(_xlpm.per=0, 0, _xlpm.bits*_xlpm.cnt/_xlpm.per)
)</f>
        <v>0.16447368421052633</v>
      </c>
      <c r="V10" s="324">
        <f>_xlfn.LET(
  _xlpm.per, _xlfn.XLOOKUP($T10, SwpRatesTbl[RateCmd], SwpRatesTbl[Period]),
  _xlpm.bits, _xlfn.XLOOKUP(V$3, SwpPktSizesTbl[Packet Names], SwpPktSizesTbl[Size (bits)]),
  _xlpm.cnt, _xlfn.XLOOKUP(V$3, SwpPktSizesTbl[Packet Names], SwpPktSizesTbl[Number of Packets in Set]),
  IF(_xlpm.per=0, 0, _xlpm.bits*_xlpm.cnt/_xlpm.per)
)</f>
        <v>4.9122807017543861</v>
      </c>
      <c r="W10" s="324">
        <f>_xlfn.LET(
  _xlpm.per, _xlfn.XLOOKUP($T10, SwpRatesTbl[RateCmd], SwpRatesTbl[Period]),
  _xlpm.bits, _xlfn.XLOOKUP(W$3, SwpPktSizesTbl[Packet Names], SwpPktSizesTbl[Size (bits)]),
  _xlpm.cnt, _xlfn.XLOOKUP(W$3, SwpPktSizesTbl[Packet Names], SwpPktSizesTbl[Number of Packets in Set]),
  IF(_xlpm.per=0, 0, _xlpm.bits*_xlpm.cnt/_xlpm.per)
)</f>
        <v>0.19078947368421054</v>
      </c>
      <c r="X10" s="324">
        <f>_xlfn.LET(
  _xlpm.per, _xlfn.XLOOKUP($T10, SwpRatesTbl[RateCmd], SwpRatesTbl[Period]),
  _xlpm.bits, _xlfn.XLOOKUP(X$3, SwpPktSizesTbl[Packet Names], SwpPktSizesTbl[Size (bits)]),
  _xlpm.cnt, _xlfn.XLOOKUP(X$3, SwpPktSizesTbl[Packet Names], SwpPktSizesTbl[Number of Packets in Set]),
  IF(_xlpm.per=0, 0, _xlpm.bits*_xlpm.cnt/_xlpm.per)
)</f>
        <v>0.47368421052631576</v>
      </c>
      <c r="Y10" s="324">
        <f>_xlfn.LET(
  _xlpm.per, _xlfn.XLOOKUP($T10, SwpRatesTbl[RateCmd], SwpRatesTbl[Period]),
  _xlpm.bits, _xlfn.XLOOKUP(Y$3, SwpPktSizesTbl[Packet Names], SwpPktSizesTbl[Size (bits)]),
  _xlpm.cnt, _xlfn.XLOOKUP(Y$3, SwpPktSizesTbl[Packet Names], SwpPktSizesTbl[Number of Packets in Set]),
  IF(_xlpm.per=0, 0, _xlpm.bits*_xlpm.cnt/_xlpm.per)
)</f>
        <v>28.184210526315791</v>
      </c>
      <c r="Z10" s="577">
        <f>SwpPktRatesTbl[[#This Row],[Histogram 1]]+SwpPktRatesTbl[[#This Row],[Histogram 0]]</f>
        <v>28.657894736842106</v>
      </c>
    </row>
    <row r="11" spans="2:26" ht="15.75">
      <c r="H11" s="142" t="s">
        <v>880</v>
      </c>
      <c r="I11" s="142">
        <f>1/(20*60)</f>
        <v>8.3333333333333339E-4</v>
      </c>
      <c r="J11" s="142">
        <f>1200</f>
        <v>1200</v>
      </c>
      <c r="L11" s="142" t="s">
        <v>880</v>
      </c>
      <c r="M11" s="142">
        <f t="shared" si="1"/>
        <v>7.8125000000000004E-4</v>
      </c>
      <c r="N11" s="142">
        <f>20*64</f>
        <v>1280</v>
      </c>
      <c r="P11" s="570" t="s">
        <v>879</v>
      </c>
      <c r="Q11" s="571">
        <f>_xlfn.BITAND(30*60+63, 4294967232)</f>
        <v>1856</v>
      </c>
      <c r="R11" s="572">
        <f>1/SwpRatesTbl[[#This Row],[Period]]</f>
        <v>5.3879310344827585E-4</v>
      </c>
      <c r="S11" s="563"/>
      <c r="T11" s="576" t="s">
        <v>879</v>
      </c>
      <c r="U11" s="324">
        <f>_xlfn.LET(
  _xlpm.per, _xlfn.XLOOKUP($T11, SwpRatesTbl[RateCmd], SwpRatesTbl[Period]),
  _xlpm.bits, _xlfn.XLOOKUP(U$3, SwpPktSizesTbl[Packet Names], SwpPktSizesTbl[Size (bits)]),
  _xlpm.cnt, _xlfn.XLOOKUP(U$3, SwpPktSizesTbl[Packet Names], SwpPktSizesTbl[Number of Packets in Set]),
  IF(_xlpm.per=0, 0, _xlpm.bits*_xlpm.cnt/_xlpm.per)
)</f>
        <v>0.32327586206896552</v>
      </c>
      <c r="V11" s="324">
        <f>_xlfn.LET(
  _xlpm.per, _xlfn.XLOOKUP($T11, SwpRatesTbl[RateCmd], SwpRatesTbl[Period]),
  _xlpm.bits, _xlfn.XLOOKUP(V$3, SwpPktSizesTbl[Packet Names], SwpPktSizesTbl[Size (bits)]),
  _xlpm.cnt, _xlfn.XLOOKUP(V$3, SwpPktSizesTbl[Packet Names], SwpPktSizesTbl[Number of Packets in Set]),
  IF(_xlpm.per=0, 0, _xlpm.bits*_xlpm.cnt/_xlpm.per)
)</f>
        <v>9.6551724137931032</v>
      </c>
      <c r="W11" s="324">
        <f>_xlfn.LET(
  _xlpm.per, _xlfn.XLOOKUP($T11, SwpRatesTbl[RateCmd], SwpRatesTbl[Period]),
  _xlpm.bits, _xlfn.XLOOKUP(W$3, SwpPktSizesTbl[Packet Names], SwpPktSizesTbl[Size (bits)]),
  _xlpm.cnt, _xlfn.XLOOKUP(W$3, SwpPktSizesTbl[Packet Names], SwpPktSizesTbl[Number of Packets in Set]),
  IF(_xlpm.per=0, 0, _xlpm.bits*_xlpm.cnt/_xlpm.per)
)</f>
        <v>0.375</v>
      </c>
      <c r="X11" s="324">
        <f>_xlfn.LET(
  _xlpm.per, _xlfn.XLOOKUP($T11, SwpRatesTbl[RateCmd], SwpRatesTbl[Period]),
  _xlpm.bits, _xlfn.XLOOKUP(X$3, SwpPktSizesTbl[Packet Names], SwpPktSizesTbl[Size (bits)]),
  _xlpm.cnt, _xlfn.XLOOKUP(X$3, SwpPktSizesTbl[Packet Names], SwpPktSizesTbl[Number of Packets in Set]),
  IF(_xlpm.per=0, 0, _xlpm.bits*_xlpm.cnt/_xlpm.per)
)</f>
        <v>0.93103448275862066</v>
      </c>
      <c r="Y11" s="324">
        <f>_xlfn.LET(
  _xlpm.per, _xlfn.XLOOKUP($T11, SwpRatesTbl[RateCmd], SwpRatesTbl[Period]),
  _xlpm.bits, _xlfn.XLOOKUP(Y$3, SwpPktSizesTbl[Packet Names], SwpPktSizesTbl[Size (bits)]),
  _xlpm.cnt, _xlfn.XLOOKUP(Y$3, SwpPktSizesTbl[Packet Names], SwpPktSizesTbl[Number of Packets in Set]),
  IF(_xlpm.per=0, 0, _xlpm.bits*_xlpm.cnt/_xlpm.per)
)</f>
        <v>55.396551724137929</v>
      </c>
      <c r="Z11" s="577">
        <f>SwpPktRatesTbl[[#This Row],[Histogram 1]]+SwpPktRatesTbl[[#This Row],[Histogram 0]]</f>
        <v>56.327586206896548</v>
      </c>
    </row>
    <row r="12" spans="2:26" ht="15.75">
      <c r="H12" s="142" t="s">
        <v>881</v>
      </c>
      <c r="I12" s="142">
        <f>1/(10*60)</f>
        <v>1.6666666666666668E-3</v>
      </c>
      <c r="J12" s="142">
        <v>600</v>
      </c>
      <c r="L12" s="142" t="s">
        <v>881</v>
      </c>
      <c r="M12" s="142">
        <f t="shared" si="1"/>
        <v>1.5625000000000001E-3</v>
      </c>
      <c r="N12" s="142">
        <f>10*64</f>
        <v>640</v>
      </c>
      <c r="P12" s="570" t="s">
        <v>880</v>
      </c>
      <c r="Q12" s="571">
        <f>_xlfn.BITAND(20*60+63, 4294967232)</f>
        <v>1216</v>
      </c>
      <c r="R12" s="572">
        <f>1/SwpRatesTbl[[#This Row],[Period]]</f>
        <v>8.2236842105263153E-4</v>
      </c>
      <c r="T12" s="576" t="s">
        <v>880</v>
      </c>
      <c r="U12" s="324">
        <f>_xlfn.LET(
  _xlpm.per, _xlfn.XLOOKUP($T12, SwpRatesTbl[RateCmd], SwpRatesTbl[Period]),
  _xlpm.bits, _xlfn.XLOOKUP(U$3, SwpPktSizesTbl[Packet Names], SwpPktSizesTbl[Size (bits)]),
  _xlpm.cnt, _xlfn.XLOOKUP(U$3, SwpPktSizesTbl[Packet Names], SwpPktSizesTbl[Number of Packets in Set]),
  IF(_xlpm.per=0, 0, _xlpm.bits*_xlpm.cnt/_xlpm.per)
)</f>
        <v>0.49342105263157893</v>
      </c>
      <c r="V12" s="324">
        <f>_xlfn.LET(
  _xlpm.per, _xlfn.XLOOKUP($T12, SwpRatesTbl[RateCmd], SwpRatesTbl[Period]),
  _xlpm.bits, _xlfn.XLOOKUP(V$3, SwpPktSizesTbl[Packet Names], SwpPktSizesTbl[Size (bits)]),
  _xlpm.cnt, _xlfn.XLOOKUP(V$3, SwpPktSizesTbl[Packet Names], SwpPktSizesTbl[Number of Packets in Set]),
  IF(_xlpm.per=0, 0, _xlpm.bits*_xlpm.cnt/_xlpm.per)
)</f>
        <v>14.736842105263158</v>
      </c>
      <c r="W12" s="324">
        <f>_xlfn.LET(
  _xlpm.per, _xlfn.XLOOKUP($T12, SwpRatesTbl[RateCmd], SwpRatesTbl[Period]),
  _xlpm.bits, _xlfn.XLOOKUP(W$3, SwpPktSizesTbl[Packet Names], SwpPktSizesTbl[Size (bits)]),
  _xlpm.cnt, _xlfn.XLOOKUP(W$3, SwpPktSizesTbl[Packet Names], SwpPktSizesTbl[Number of Packets in Set]),
  IF(_xlpm.per=0, 0, _xlpm.bits*_xlpm.cnt/_xlpm.per)
)</f>
        <v>0.57236842105263153</v>
      </c>
      <c r="X12" s="324">
        <f>_xlfn.LET(
  _xlpm.per, _xlfn.XLOOKUP($T12, SwpRatesTbl[RateCmd], SwpRatesTbl[Period]),
  _xlpm.bits, _xlfn.XLOOKUP(X$3, SwpPktSizesTbl[Packet Names], SwpPktSizesTbl[Size (bits)]),
  _xlpm.cnt, _xlfn.XLOOKUP(X$3, SwpPktSizesTbl[Packet Names], SwpPktSizesTbl[Number of Packets in Set]),
  IF(_xlpm.per=0, 0, _xlpm.bits*_xlpm.cnt/_xlpm.per)
)</f>
        <v>1.4210526315789473</v>
      </c>
      <c r="Y12" s="324">
        <f>_xlfn.LET(
  _xlpm.per, _xlfn.XLOOKUP($T12, SwpRatesTbl[RateCmd], SwpRatesTbl[Period]),
  _xlpm.bits, _xlfn.XLOOKUP(Y$3, SwpPktSizesTbl[Packet Names], SwpPktSizesTbl[Size (bits)]),
  _xlpm.cnt, _xlfn.XLOOKUP(Y$3, SwpPktSizesTbl[Packet Names], SwpPktSizesTbl[Number of Packets in Set]),
  IF(_xlpm.per=0, 0, _xlpm.bits*_xlpm.cnt/_xlpm.per)
)</f>
        <v>84.55263157894737</v>
      </c>
      <c r="Z12" s="577">
        <f>SwpPktRatesTbl[[#This Row],[Histogram 1]]+SwpPktRatesTbl[[#This Row],[Histogram 0]]</f>
        <v>85.973684210526315</v>
      </c>
    </row>
    <row r="13" spans="2:26" ht="15.75">
      <c r="H13" s="142" t="s">
        <v>882</v>
      </c>
      <c r="I13" s="142">
        <f>1/(5*60)</f>
        <v>3.3333333333333335E-3</v>
      </c>
      <c r="J13" s="142">
        <v>300</v>
      </c>
      <c r="L13" s="142" t="s">
        <v>882</v>
      </c>
      <c r="M13" s="142">
        <f t="shared" si="1"/>
        <v>3.1250000000000002E-3</v>
      </c>
      <c r="N13" s="142">
        <f>5*64</f>
        <v>320</v>
      </c>
      <c r="P13" s="570" t="s">
        <v>881</v>
      </c>
      <c r="Q13" s="571">
        <f>_xlfn.BITAND(10*60+63, 4294967232)</f>
        <v>640</v>
      </c>
      <c r="R13" s="572">
        <f>1/SwpRatesTbl[[#This Row],[Period]]</f>
        <v>1.5625000000000001E-3</v>
      </c>
      <c r="T13" s="576" t="s">
        <v>881</v>
      </c>
      <c r="U13" s="324">
        <f>_xlfn.LET(
  _xlpm.per, _xlfn.XLOOKUP($T13, SwpRatesTbl[RateCmd], SwpRatesTbl[Period]),
  _xlpm.bits, _xlfn.XLOOKUP(U$3, SwpPktSizesTbl[Packet Names], SwpPktSizesTbl[Size (bits)]),
  _xlpm.cnt, _xlfn.XLOOKUP(U$3, SwpPktSizesTbl[Packet Names], SwpPktSizesTbl[Number of Packets in Set]),
  IF(_xlpm.per=0, 0, _xlpm.bits*_xlpm.cnt/_xlpm.per)
)</f>
        <v>0.9375</v>
      </c>
      <c r="V13" s="324">
        <f>_xlfn.LET(
  _xlpm.per, _xlfn.XLOOKUP($T13, SwpRatesTbl[RateCmd], SwpRatesTbl[Period]),
  _xlpm.bits, _xlfn.XLOOKUP(V$3, SwpPktSizesTbl[Packet Names], SwpPktSizesTbl[Size (bits)]),
  _xlpm.cnt, _xlfn.XLOOKUP(V$3, SwpPktSizesTbl[Packet Names], SwpPktSizesTbl[Number of Packets in Set]),
  IF(_xlpm.per=0, 0, _xlpm.bits*_xlpm.cnt/_xlpm.per)
)</f>
        <v>28</v>
      </c>
      <c r="W13" s="324">
        <f>_xlfn.LET(
  _xlpm.per, _xlfn.XLOOKUP($T13, SwpRatesTbl[RateCmd], SwpRatesTbl[Period]),
  _xlpm.bits, _xlfn.XLOOKUP(W$3, SwpPktSizesTbl[Packet Names], SwpPktSizesTbl[Size (bits)]),
  _xlpm.cnt, _xlfn.XLOOKUP(W$3, SwpPktSizesTbl[Packet Names], SwpPktSizesTbl[Number of Packets in Set]),
  IF(_xlpm.per=0, 0, _xlpm.bits*_xlpm.cnt/_xlpm.per)
)</f>
        <v>1.0874999999999999</v>
      </c>
      <c r="X13" s="324">
        <f>_xlfn.LET(
  _xlpm.per, _xlfn.XLOOKUP($T13, SwpRatesTbl[RateCmd], SwpRatesTbl[Period]),
  _xlpm.bits, _xlfn.XLOOKUP(X$3, SwpPktSizesTbl[Packet Names], SwpPktSizesTbl[Size (bits)]),
  _xlpm.cnt, _xlfn.XLOOKUP(X$3, SwpPktSizesTbl[Packet Names], SwpPktSizesTbl[Number of Packets in Set]),
  IF(_xlpm.per=0, 0, _xlpm.bits*_xlpm.cnt/_xlpm.per)
)</f>
        <v>2.7</v>
      </c>
      <c r="Y13" s="324">
        <f>_xlfn.LET(
  _xlpm.per, _xlfn.XLOOKUP($T13, SwpRatesTbl[RateCmd], SwpRatesTbl[Period]),
  _xlpm.bits, _xlfn.XLOOKUP(Y$3, SwpPktSizesTbl[Packet Names], SwpPktSizesTbl[Size (bits)]),
  _xlpm.cnt, _xlfn.XLOOKUP(Y$3, SwpPktSizesTbl[Packet Names], SwpPktSizesTbl[Number of Packets in Set]),
  IF(_xlpm.per=0, 0, _xlpm.bits*_xlpm.cnt/_xlpm.per)
)</f>
        <v>160.65</v>
      </c>
      <c r="Z13" s="577">
        <f>SwpPktRatesTbl[[#This Row],[Histogram 1]]+SwpPktRatesTbl[[#This Row],[Histogram 0]]</f>
        <v>163.35</v>
      </c>
    </row>
    <row r="14" spans="2:26" ht="15.75">
      <c r="H14" s="142" t="s">
        <v>883</v>
      </c>
      <c r="I14" s="142">
        <f>1/(2*60)</f>
        <v>8.3333333333333332E-3</v>
      </c>
      <c r="J14" s="142">
        <v>120</v>
      </c>
      <c r="L14" s="142" t="s">
        <v>883</v>
      </c>
      <c r="M14" s="142">
        <f t="shared" si="1"/>
        <v>7.8125E-3</v>
      </c>
      <c r="N14" s="142">
        <f>2*64</f>
        <v>128</v>
      </c>
      <c r="P14" s="570" t="s">
        <v>882</v>
      </c>
      <c r="Q14" s="571">
        <f>_xlfn.BITAND(5*60+63, 4294967232)</f>
        <v>320</v>
      </c>
      <c r="R14" s="572">
        <f>1/SwpRatesTbl[[#This Row],[Period]]</f>
        <v>3.1250000000000002E-3</v>
      </c>
      <c r="T14" s="576" t="s">
        <v>882</v>
      </c>
      <c r="U14" s="324">
        <f>_xlfn.LET(
  _xlpm.per, _xlfn.XLOOKUP($T14, SwpRatesTbl[RateCmd], SwpRatesTbl[Period]),
  _xlpm.bits, _xlfn.XLOOKUP(U$3, SwpPktSizesTbl[Packet Names], SwpPktSizesTbl[Size (bits)]),
  _xlpm.cnt, _xlfn.XLOOKUP(U$3, SwpPktSizesTbl[Packet Names], SwpPktSizesTbl[Number of Packets in Set]),
  IF(_xlpm.per=0, 0, _xlpm.bits*_xlpm.cnt/_xlpm.per)
)</f>
        <v>1.875</v>
      </c>
      <c r="V14" s="324">
        <f>_xlfn.LET(
  _xlpm.per, _xlfn.XLOOKUP($T14, SwpRatesTbl[RateCmd], SwpRatesTbl[Period]),
  _xlpm.bits, _xlfn.XLOOKUP(V$3, SwpPktSizesTbl[Packet Names], SwpPktSizesTbl[Size (bits)]),
  _xlpm.cnt, _xlfn.XLOOKUP(V$3, SwpPktSizesTbl[Packet Names], SwpPktSizesTbl[Number of Packets in Set]),
  IF(_xlpm.per=0, 0, _xlpm.bits*_xlpm.cnt/_xlpm.per)
)</f>
        <v>56</v>
      </c>
      <c r="W14" s="324">
        <f>_xlfn.LET(
  _xlpm.per, _xlfn.XLOOKUP($T14, SwpRatesTbl[RateCmd], SwpRatesTbl[Period]),
  _xlpm.bits, _xlfn.XLOOKUP(W$3, SwpPktSizesTbl[Packet Names], SwpPktSizesTbl[Size (bits)]),
  _xlpm.cnt, _xlfn.XLOOKUP(W$3, SwpPktSizesTbl[Packet Names], SwpPktSizesTbl[Number of Packets in Set]),
  IF(_xlpm.per=0, 0, _xlpm.bits*_xlpm.cnt/_xlpm.per)
)</f>
        <v>2.1749999999999998</v>
      </c>
      <c r="X14" s="324">
        <f>_xlfn.LET(
  _xlpm.per, _xlfn.XLOOKUP($T14, SwpRatesTbl[RateCmd], SwpRatesTbl[Period]),
  _xlpm.bits, _xlfn.XLOOKUP(X$3, SwpPktSizesTbl[Packet Names], SwpPktSizesTbl[Size (bits)]),
  _xlpm.cnt, _xlfn.XLOOKUP(X$3, SwpPktSizesTbl[Packet Names], SwpPktSizesTbl[Number of Packets in Set]),
  IF(_xlpm.per=0, 0, _xlpm.bits*_xlpm.cnt/_xlpm.per)
)</f>
        <v>5.4</v>
      </c>
      <c r="Y14" s="324">
        <f>_xlfn.LET(
  _xlpm.per, _xlfn.XLOOKUP($T14, SwpRatesTbl[RateCmd], SwpRatesTbl[Period]),
  _xlpm.bits, _xlfn.XLOOKUP(Y$3, SwpPktSizesTbl[Packet Names], SwpPktSizesTbl[Size (bits)]),
  _xlpm.cnt, _xlfn.XLOOKUP(Y$3, SwpPktSizesTbl[Packet Names], SwpPktSizesTbl[Number of Packets in Set]),
  IF(_xlpm.per=0, 0, _xlpm.bits*_xlpm.cnt/_xlpm.per)
)</f>
        <v>321.3</v>
      </c>
      <c r="Z14" s="577">
        <f>SwpPktRatesTbl[[#This Row],[Histogram 1]]+SwpPktRatesTbl[[#This Row],[Histogram 0]]</f>
        <v>326.7</v>
      </c>
    </row>
    <row r="15" spans="2:26" ht="15.75">
      <c r="H15" s="142" t="s">
        <v>884</v>
      </c>
      <c r="I15" s="142">
        <f>1/64</f>
        <v>1.5625E-2</v>
      </c>
      <c r="J15" s="142">
        <v>64</v>
      </c>
      <c r="L15" s="142" t="s">
        <v>884</v>
      </c>
      <c r="M15" s="142">
        <f t="shared" si="1"/>
        <v>1.5625E-2</v>
      </c>
      <c r="N15" s="142">
        <v>64</v>
      </c>
      <c r="P15" s="570" t="s">
        <v>883</v>
      </c>
      <c r="Q15" s="571">
        <v>128</v>
      </c>
      <c r="R15" s="572">
        <f>1/SwpRatesTbl[[#This Row],[Period]]</f>
        <v>7.8125E-3</v>
      </c>
      <c r="T15" s="576" t="s">
        <v>883</v>
      </c>
      <c r="U15" s="324">
        <f>_xlfn.LET(
  _xlpm.per, _xlfn.XLOOKUP($T15, SwpRatesTbl[RateCmd], SwpRatesTbl[Period]),
  _xlpm.bits, _xlfn.XLOOKUP(U$3, SwpPktSizesTbl[Packet Names], SwpPktSizesTbl[Size (bits)]),
  _xlpm.cnt, _xlfn.XLOOKUP(U$3, SwpPktSizesTbl[Packet Names], SwpPktSizesTbl[Number of Packets in Set]),
  IF(_xlpm.per=0, 0, _xlpm.bits*_xlpm.cnt/_xlpm.per)
)</f>
        <v>4.6875</v>
      </c>
      <c r="V15" s="324">
        <f>_xlfn.LET(
  _xlpm.per, _xlfn.XLOOKUP($T15, SwpRatesTbl[RateCmd], SwpRatesTbl[Period]),
  _xlpm.bits, _xlfn.XLOOKUP(V$3, SwpPktSizesTbl[Packet Names], SwpPktSizesTbl[Size (bits)]),
  _xlpm.cnt, _xlfn.XLOOKUP(V$3, SwpPktSizesTbl[Packet Names], SwpPktSizesTbl[Number of Packets in Set]),
  IF(_xlpm.per=0, 0, _xlpm.bits*_xlpm.cnt/_xlpm.per)
)</f>
        <v>140</v>
      </c>
      <c r="W15" s="324">
        <f>_xlfn.LET(
  _xlpm.per, _xlfn.XLOOKUP($T15, SwpRatesTbl[RateCmd], SwpRatesTbl[Period]),
  _xlpm.bits, _xlfn.XLOOKUP(W$3, SwpPktSizesTbl[Packet Names], SwpPktSizesTbl[Size (bits)]),
  _xlpm.cnt, _xlfn.XLOOKUP(W$3, SwpPktSizesTbl[Packet Names], SwpPktSizesTbl[Number of Packets in Set]),
  IF(_xlpm.per=0, 0, _xlpm.bits*_xlpm.cnt/_xlpm.per)
)</f>
        <v>5.4375</v>
      </c>
      <c r="X15" s="324">
        <f>_xlfn.LET(
  _xlpm.per, _xlfn.XLOOKUP($T15, SwpRatesTbl[RateCmd], SwpRatesTbl[Period]),
  _xlpm.bits, _xlfn.XLOOKUP(X$3, SwpPktSizesTbl[Packet Names], SwpPktSizesTbl[Size (bits)]),
  _xlpm.cnt, _xlfn.XLOOKUP(X$3, SwpPktSizesTbl[Packet Names], SwpPktSizesTbl[Number of Packets in Set]),
  IF(_xlpm.per=0, 0, _xlpm.bits*_xlpm.cnt/_xlpm.per)
)</f>
        <v>13.5</v>
      </c>
      <c r="Y15" s="324">
        <f>_xlfn.LET(
  _xlpm.per, _xlfn.XLOOKUP($T15, SwpRatesTbl[RateCmd], SwpRatesTbl[Period]),
  _xlpm.bits, _xlfn.XLOOKUP(Y$3, SwpPktSizesTbl[Packet Names], SwpPktSizesTbl[Size (bits)]),
  _xlpm.cnt, _xlfn.XLOOKUP(Y$3, SwpPktSizesTbl[Packet Names], SwpPktSizesTbl[Number of Packets in Set]),
  IF(_xlpm.per=0, 0, _xlpm.bits*_xlpm.cnt/_xlpm.per)
)</f>
        <v>803.25</v>
      </c>
      <c r="Z15" s="577">
        <f>SwpPktRatesTbl[[#This Row],[Histogram 1]]+SwpPktRatesTbl[[#This Row],[Histogram 0]]</f>
        <v>816.75</v>
      </c>
    </row>
    <row r="16" spans="2:26" ht="15.75">
      <c r="H16" s="142" t="s">
        <v>885</v>
      </c>
      <c r="I16" s="142">
        <f>1/32</f>
        <v>3.125E-2</v>
      </c>
      <c r="J16" s="142">
        <v>32</v>
      </c>
      <c r="P16" s="570" t="s">
        <v>884</v>
      </c>
      <c r="Q16" s="571">
        <v>64</v>
      </c>
      <c r="R16" s="572">
        <f>1/SwpRatesTbl[[#This Row],[Period]]</f>
        <v>1.5625E-2</v>
      </c>
      <c r="T16" s="576" t="s">
        <v>884</v>
      </c>
      <c r="U16" s="324">
        <f>_xlfn.LET(
  _xlpm.per, _xlfn.XLOOKUP($T16, SwpRatesTbl[RateCmd], SwpRatesTbl[Period]),
  _xlpm.bits, _xlfn.XLOOKUP(U$3, SwpPktSizesTbl[Packet Names], SwpPktSizesTbl[Size (bits)]),
  _xlpm.cnt, _xlfn.XLOOKUP(U$3, SwpPktSizesTbl[Packet Names], SwpPktSizesTbl[Number of Packets in Set]),
  IF(_xlpm.per=0, 0, _xlpm.bits*_xlpm.cnt/_xlpm.per)
)</f>
        <v>9.375</v>
      </c>
      <c r="V16" s="324">
        <f>_xlfn.LET(
  _xlpm.per, _xlfn.XLOOKUP($T16, SwpRatesTbl[RateCmd], SwpRatesTbl[Period]),
  _xlpm.bits, _xlfn.XLOOKUP(V$3, SwpPktSizesTbl[Packet Names], SwpPktSizesTbl[Size (bits)]),
  _xlpm.cnt, _xlfn.XLOOKUP(V$3, SwpPktSizesTbl[Packet Names], SwpPktSizesTbl[Number of Packets in Set]),
  IF(_xlpm.per=0, 0, _xlpm.bits*_xlpm.cnt/_xlpm.per)
)</f>
        <v>280</v>
      </c>
      <c r="W16" s="324">
        <f>_xlfn.LET(
  _xlpm.per, _xlfn.XLOOKUP($T16, SwpRatesTbl[RateCmd], SwpRatesTbl[Period]),
  _xlpm.bits, _xlfn.XLOOKUP(W$3, SwpPktSizesTbl[Packet Names], SwpPktSizesTbl[Size (bits)]),
  _xlpm.cnt, _xlfn.XLOOKUP(W$3, SwpPktSizesTbl[Packet Names], SwpPktSizesTbl[Number of Packets in Set]),
  IF(_xlpm.per=0, 0, _xlpm.bits*_xlpm.cnt/_xlpm.per)
)</f>
        <v>10.875</v>
      </c>
      <c r="X16" s="324">
        <f>_xlfn.LET(
  _xlpm.per, _xlfn.XLOOKUP($T16, SwpRatesTbl[RateCmd], SwpRatesTbl[Period]),
  _xlpm.bits, _xlfn.XLOOKUP(X$3, SwpPktSizesTbl[Packet Names], SwpPktSizesTbl[Size (bits)]),
  _xlpm.cnt, _xlfn.XLOOKUP(X$3, SwpPktSizesTbl[Packet Names], SwpPktSizesTbl[Number of Packets in Set]),
  IF(_xlpm.per=0, 0, _xlpm.bits*_xlpm.cnt/_xlpm.per)
)</f>
        <v>27</v>
      </c>
      <c r="Y16" s="324">
        <f>_xlfn.LET(
  _xlpm.per, _xlfn.XLOOKUP($T16, SwpRatesTbl[RateCmd], SwpRatesTbl[Period]),
  _xlpm.bits, _xlfn.XLOOKUP(Y$3, SwpPktSizesTbl[Packet Names], SwpPktSizesTbl[Size (bits)]),
  _xlpm.cnt, _xlfn.XLOOKUP(Y$3, SwpPktSizesTbl[Packet Names], SwpPktSizesTbl[Number of Packets in Set]),
  IF(_xlpm.per=0, 0, _xlpm.bits*_xlpm.cnt/_xlpm.per)
)</f>
        <v>1606.5</v>
      </c>
      <c r="Z16" s="577">
        <f>SwpPktRatesTbl[[#This Row],[Histogram 1]]+SwpPktRatesTbl[[#This Row],[Histogram 0]]</f>
        <v>1633.5</v>
      </c>
    </row>
    <row r="17" spans="2:28" ht="15.75">
      <c r="H17" s="142" t="s">
        <v>886</v>
      </c>
      <c r="I17" s="142">
        <f>1/16</f>
        <v>6.25E-2</v>
      </c>
      <c r="J17" s="142">
        <v>16</v>
      </c>
      <c r="P17" s="570" t="s">
        <v>885</v>
      </c>
      <c r="Q17" s="571">
        <v>32</v>
      </c>
      <c r="R17" s="572">
        <f>1/SwpRatesTbl[[#This Row],[Period]]</f>
        <v>3.125E-2</v>
      </c>
      <c r="S17" s="563"/>
      <c r="T17" s="576" t="s">
        <v>885</v>
      </c>
      <c r="U17" s="324">
        <f>_xlfn.LET(
  _xlpm.per, _xlfn.XLOOKUP($T17, SwpRatesTbl[RateCmd], SwpRatesTbl[Period]),
  _xlpm.bits, _xlfn.XLOOKUP(U$3, SwpPktSizesTbl[Packet Names], SwpPktSizesTbl[Size (bits)]),
  _xlpm.cnt, _xlfn.XLOOKUP(U$3, SwpPktSizesTbl[Packet Names], SwpPktSizesTbl[Number of Packets in Set]),
  IF(_xlpm.per=0, 0, _xlpm.bits*_xlpm.cnt/_xlpm.per)
)</f>
        <v>18.75</v>
      </c>
      <c r="V17" s="324" t="e">
        <f>NA()</f>
        <v>#N/A</v>
      </c>
      <c r="W17" s="324" t="e">
        <f>NA()</f>
        <v>#N/A</v>
      </c>
      <c r="X17" s="324" t="e">
        <f>NA()</f>
        <v>#N/A</v>
      </c>
      <c r="Y17" s="324" t="e">
        <f>NA()</f>
        <v>#N/A</v>
      </c>
      <c r="Z17" s="577" t="e">
        <f>SwpPktRatesTbl[[#This Row],[Histogram 1]]+SwpPktRatesTbl[[#This Row],[Histogram 0]]</f>
        <v>#N/A</v>
      </c>
    </row>
    <row r="18" spans="2:28" ht="15.75">
      <c r="H18" s="142" t="s">
        <v>887</v>
      </c>
      <c r="I18" s="142">
        <f>1/8</f>
        <v>0.125</v>
      </c>
      <c r="J18" s="142">
        <v>8</v>
      </c>
      <c r="P18" s="570" t="s">
        <v>886</v>
      </c>
      <c r="Q18" s="571">
        <v>16</v>
      </c>
      <c r="R18" s="572">
        <f>1/SwpRatesTbl[[#This Row],[Period]]</f>
        <v>6.25E-2</v>
      </c>
      <c r="S18" s="563"/>
      <c r="T18" s="576" t="s">
        <v>886</v>
      </c>
      <c r="U18" s="324">
        <f>_xlfn.LET(
  _xlpm.per, _xlfn.XLOOKUP($T18, SwpRatesTbl[RateCmd], SwpRatesTbl[Period]),
  _xlpm.bits, _xlfn.XLOOKUP(U$3, SwpPktSizesTbl[Packet Names], SwpPktSizesTbl[Size (bits)]),
  _xlpm.cnt, _xlfn.XLOOKUP(U$3, SwpPktSizesTbl[Packet Names], SwpPktSizesTbl[Number of Packets in Set]),
  IF(_xlpm.per=0, 0, _xlpm.bits*_xlpm.cnt/_xlpm.per)
)</f>
        <v>37.5</v>
      </c>
      <c r="V18" s="324" t="e">
        <f>NA()</f>
        <v>#N/A</v>
      </c>
      <c r="W18" s="324" t="e">
        <f>NA()</f>
        <v>#N/A</v>
      </c>
      <c r="X18" s="324" t="e">
        <f>NA()</f>
        <v>#N/A</v>
      </c>
      <c r="Y18" s="324" t="e">
        <f>NA()</f>
        <v>#N/A</v>
      </c>
      <c r="Z18" s="577" t="e">
        <f>SwpPktRatesTbl[[#This Row],[Histogram 1]]+SwpPktRatesTbl[[#This Row],[Histogram 0]]</f>
        <v>#N/A</v>
      </c>
    </row>
    <row r="19" spans="2:28" ht="15.75">
      <c r="H19" s="142" t="s">
        <v>888</v>
      </c>
      <c r="I19" s="142">
        <f>1/4</f>
        <v>0.25</v>
      </c>
      <c r="J19" s="142">
        <v>4</v>
      </c>
      <c r="P19" s="570" t="s">
        <v>887</v>
      </c>
      <c r="Q19" s="571">
        <v>8</v>
      </c>
      <c r="R19" s="572">
        <f>1/SwpRatesTbl[[#This Row],[Period]]</f>
        <v>0.125</v>
      </c>
      <c r="S19" s="563"/>
      <c r="T19" s="576" t="s">
        <v>887</v>
      </c>
      <c r="U19" s="324">
        <f>_xlfn.LET(
  _xlpm.per, _xlfn.XLOOKUP($T19, SwpRatesTbl[RateCmd], SwpRatesTbl[Period]),
  _xlpm.bits, _xlfn.XLOOKUP(U$3, SwpPktSizesTbl[Packet Names], SwpPktSizesTbl[Size (bits)]),
  _xlpm.cnt, _xlfn.XLOOKUP(U$3, SwpPktSizesTbl[Packet Names], SwpPktSizesTbl[Number of Packets in Set]),
  IF(_xlpm.per=0, 0, _xlpm.bits*_xlpm.cnt/_xlpm.per)
)</f>
        <v>75</v>
      </c>
      <c r="V19" s="324" t="e">
        <f>NA()</f>
        <v>#N/A</v>
      </c>
      <c r="W19" s="324" t="e">
        <f>NA()</f>
        <v>#N/A</v>
      </c>
      <c r="X19" s="324" t="e">
        <f>NA()</f>
        <v>#N/A</v>
      </c>
      <c r="Y19" s="324" t="e">
        <f>NA()</f>
        <v>#N/A</v>
      </c>
      <c r="Z19" s="577" t="e">
        <f>SwpPktRatesTbl[[#This Row],[Histogram 1]]+SwpPktRatesTbl[[#This Row],[Histogram 0]]</f>
        <v>#N/A</v>
      </c>
    </row>
    <row r="20" spans="2:28" ht="15.75">
      <c r="H20" s="142" t="s">
        <v>889</v>
      </c>
      <c r="I20" s="142">
        <f>1/2</f>
        <v>0.5</v>
      </c>
      <c r="J20" s="142">
        <v>2</v>
      </c>
      <c r="P20" s="570" t="s">
        <v>888</v>
      </c>
      <c r="Q20" s="571">
        <v>4</v>
      </c>
      <c r="R20" s="572">
        <f>1/SwpRatesTbl[[#This Row],[Period]]</f>
        <v>0.25</v>
      </c>
      <c r="S20" s="563"/>
      <c r="T20" s="576" t="s">
        <v>888</v>
      </c>
      <c r="U20" s="324">
        <f>_xlfn.LET(
  _xlpm.per, _xlfn.XLOOKUP($T20, SwpRatesTbl[RateCmd], SwpRatesTbl[Period]),
  _xlpm.bits, _xlfn.XLOOKUP(U$3, SwpPktSizesTbl[Packet Names], SwpPktSizesTbl[Size (bits)]),
  _xlpm.cnt, _xlfn.XLOOKUP(U$3, SwpPktSizesTbl[Packet Names], SwpPktSizesTbl[Number of Packets in Set]),
  IF(_xlpm.per=0, 0, _xlpm.bits*_xlpm.cnt/_xlpm.per)
)</f>
        <v>150</v>
      </c>
      <c r="V20" s="324" t="e">
        <f>NA()</f>
        <v>#N/A</v>
      </c>
      <c r="W20" s="324" t="e">
        <f>NA()</f>
        <v>#N/A</v>
      </c>
      <c r="X20" s="324" t="e">
        <f>NA()</f>
        <v>#N/A</v>
      </c>
      <c r="Y20" s="324" t="e">
        <f>NA()</f>
        <v>#N/A</v>
      </c>
      <c r="Z20" s="577" t="e">
        <f>SwpPktRatesTbl[[#This Row],[Histogram 1]]+SwpPktRatesTbl[[#This Row],[Histogram 0]]</f>
        <v>#N/A</v>
      </c>
    </row>
    <row r="21" spans="2:28" ht="15.75">
      <c r="H21" s="142" t="s">
        <v>890</v>
      </c>
      <c r="I21" s="142">
        <f>1</f>
        <v>1</v>
      </c>
      <c r="J21" s="142">
        <v>1</v>
      </c>
      <c r="P21" s="570" t="s">
        <v>889</v>
      </c>
      <c r="Q21" s="571">
        <v>2</v>
      </c>
      <c r="R21" s="572">
        <f>1/SwpRatesTbl[[#This Row],[Period]]</f>
        <v>0.5</v>
      </c>
      <c r="S21" s="563"/>
      <c r="T21" s="576" t="s">
        <v>889</v>
      </c>
      <c r="U21" s="324">
        <f>_xlfn.LET(
  _xlpm.per, _xlfn.XLOOKUP($T21, SwpRatesTbl[RateCmd], SwpRatesTbl[Period]),
  _xlpm.bits, _xlfn.XLOOKUP(U$3, SwpPktSizesTbl[Packet Names], SwpPktSizesTbl[Size (bits)]),
  _xlpm.cnt, _xlfn.XLOOKUP(U$3, SwpPktSizesTbl[Packet Names], SwpPktSizesTbl[Number of Packets in Set]),
  IF(_xlpm.per=0, 0, _xlpm.bits*_xlpm.cnt/_xlpm.per)
)</f>
        <v>300</v>
      </c>
      <c r="V21" s="324" t="e">
        <f>NA()</f>
        <v>#N/A</v>
      </c>
      <c r="W21" s="324" t="e">
        <f>NA()</f>
        <v>#N/A</v>
      </c>
      <c r="X21" s="324" t="e">
        <f>NA()</f>
        <v>#N/A</v>
      </c>
      <c r="Y21" s="324" t="e">
        <f>NA()</f>
        <v>#N/A</v>
      </c>
      <c r="Z21" s="577" t="e">
        <f>SwpPktRatesTbl[[#This Row],[Histogram 1]]+SwpPktRatesTbl[[#This Row],[Histogram 0]]</f>
        <v>#N/A</v>
      </c>
    </row>
    <row r="22" spans="2:28" ht="15" customHeight="1">
      <c r="P22" s="578" t="s">
        <v>890</v>
      </c>
      <c r="Q22" s="579">
        <v>1</v>
      </c>
      <c r="R22" s="572">
        <f>1/SwpRatesTbl[[#This Row],[Period]]</f>
        <v>1</v>
      </c>
      <c r="S22" s="563"/>
      <c r="T22" s="580" t="s">
        <v>890</v>
      </c>
      <c r="U22" s="581">
        <f>_xlfn.LET(
  _xlpm.per, _xlfn.XLOOKUP($T22, SwpRatesTbl[RateCmd], SwpRatesTbl[Period]),
  _xlpm.bits, _xlfn.XLOOKUP(U$3, SwpPktSizesTbl[Packet Names], SwpPktSizesTbl[Size (bits)]),
  _xlpm.cnt, _xlfn.XLOOKUP(U$3, SwpPktSizesTbl[Packet Names], SwpPktSizesTbl[Number of Packets in Set]),
  IF(_xlpm.per=0, 0, _xlpm.bits*_xlpm.cnt/_xlpm.per)
)</f>
        <v>600</v>
      </c>
      <c r="V22" s="581" t="e">
        <f>NA()</f>
        <v>#N/A</v>
      </c>
      <c r="W22" s="581" t="e">
        <f>NA()</f>
        <v>#N/A</v>
      </c>
      <c r="X22" s="581" t="e">
        <f>NA()</f>
        <v>#N/A</v>
      </c>
      <c r="Y22" s="581" t="e">
        <f>NA()</f>
        <v>#N/A</v>
      </c>
      <c r="Z22" s="582" t="e">
        <f>SwpPktRatesTbl[[#This Row],[Histogram 1]]+SwpPktRatesTbl[[#This Row],[Histogram 0]]</f>
        <v>#N/A</v>
      </c>
    </row>
    <row r="23" spans="2:28" ht="15" customHeight="1">
      <c r="P23" s="563"/>
      <c r="Q23" s="563"/>
      <c r="R23" s="563"/>
      <c r="S23" s="563"/>
      <c r="T23" s="563"/>
      <c r="U23" s="563"/>
      <c r="W23" s="324"/>
      <c r="X23" s="324"/>
      <c r="Y23" s="324"/>
      <c r="Z23" s="324"/>
      <c r="AA23" s="324"/>
      <c r="AB23" s="324"/>
    </row>
    <row r="24" spans="2:28" ht="15" customHeight="1">
      <c r="P24" s="560" t="s">
        <v>5908</v>
      </c>
      <c r="Q24" s="561"/>
      <c r="R24" s="561"/>
      <c r="S24" s="561"/>
      <c r="T24" s="562"/>
      <c r="U24" s="563"/>
      <c r="V24" s="563"/>
      <c r="W24" s="563"/>
      <c r="X24" s="563"/>
      <c r="Y24" s="563"/>
      <c r="Z24" s="563"/>
      <c r="AA24" s="563"/>
      <c r="AB24" s="563"/>
    </row>
    <row r="25" spans="2:28" ht="18.75">
      <c r="B25" s="553" t="s">
        <v>891</v>
      </c>
      <c r="C25" s="553"/>
      <c r="D25" s="553"/>
      <c r="E25" s="553"/>
      <c r="F25" s="553"/>
      <c r="G25" s="553"/>
      <c r="H25" s="553"/>
      <c r="I25" s="553"/>
      <c r="J25" s="17"/>
      <c r="P25" s="583" t="s">
        <v>849</v>
      </c>
      <c r="Q25" s="584" t="s">
        <v>850</v>
      </c>
      <c r="R25" s="584" t="s">
        <v>851</v>
      </c>
      <c r="S25" s="584" t="s">
        <v>852</v>
      </c>
      <c r="T25" s="565" t="s">
        <v>853</v>
      </c>
      <c r="U25" s="563"/>
      <c r="V25" s="563"/>
      <c r="W25" s="563"/>
      <c r="X25" s="563"/>
      <c r="Y25" s="563"/>
      <c r="Z25" s="563"/>
      <c r="AA25" s="563"/>
      <c r="AB25" s="563"/>
    </row>
    <row r="26" spans="2:28" ht="15.75">
      <c r="B26" s="144"/>
      <c r="C26" s="145" t="s">
        <v>850</v>
      </c>
      <c r="D26" s="145" t="s">
        <v>892</v>
      </c>
      <c r="E26" s="145" t="s">
        <v>893</v>
      </c>
      <c r="F26" s="145" t="s">
        <v>894</v>
      </c>
      <c r="G26" s="145" t="s">
        <v>895</v>
      </c>
      <c r="H26" s="145" t="s">
        <v>896</v>
      </c>
      <c r="I26" s="145" t="s">
        <v>897</v>
      </c>
      <c r="J26" s="17"/>
      <c r="P26" s="570" t="s">
        <v>859</v>
      </c>
      <c r="Q26" s="585" t="s">
        <v>860</v>
      </c>
      <c r="R26" s="585">
        <v>75</v>
      </c>
      <c r="S26" s="585">
        <f t="shared" ref="S26:S31" si="2">R26*8</f>
        <v>600</v>
      </c>
      <c r="T26" s="571">
        <v>1</v>
      </c>
      <c r="U26" s="563"/>
      <c r="V26" s="563"/>
      <c r="W26" s="563"/>
      <c r="X26" s="563"/>
      <c r="Y26" s="563"/>
      <c r="Z26" s="563"/>
      <c r="AA26" s="563"/>
      <c r="AB26" s="563"/>
    </row>
    <row r="27" spans="2:28" ht="15.75">
      <c r="B27" s="142" t="s">
        <v>898</v>
      </c>
      <c r="C27" s="142" t="s">
        <v>860</v>
      </c>
      <c r="D27" s="142">
        <f>$E$3</f>
        <v>600</v>
      </c>
      <c r="E27" s="142" t="s">
        <v>878</v>
      </c>
      <c r="F27" s="142">
        <f>$I$9*$F$3</f>
        <v>2.7777777777777778E-4</v>
      </c>
      <c r="G27" s="142">
        <f>D27*F27</f>
        <v>0.16666666666666666</v>
      </c>
      <c r="H27" s="142">
        <v>86400</v>
      </c>
      <c r="I27" s="142">
        <f>G27*H27/1000000</f>
        <v>1.44E-2</v>
      </c>
      <c r="J27" s="17"/>
      <c r="P27" s="570" t="s">
        <v>862</v>
      </c>
      <c r="Q27" s="585" t="s">
        <v>863</v>
      </c>
      <c r="R27" s="585">
        <v>33</v>
      </c>
      <c r="S27" s="585">
        <f t="shared" si="2"/>
        <v>264</v>
      </c>
      <c r="T27" s="586" t="s">
        <v>864</v>
      </c>
      <c r="U27" s="563"/>
      <c r="V27" s="563"/>
    </row>
    <row r="28" spans="2:28" ht="15.75">
      <c r="B28" s="142" t="s">
        <v>899</v>
      </c>
      <c r="C28" s="142" t="s">
        <v>867</v>
      </c>
      <c r="D28" s="142">
        <f>$E$5</f>
        <v>280</v>
      </c>
      <c r="E28" s="146" t="s">
        <v>884</v>
      </c>
      <c r="F28" s="142">
        <f>$M$15*$F$5</f>
        <v>1</v>
      </c>
      <c r="G28" s="142">
        <f>D28*F28</f>
        <v>280</v>
      </c>
      <c r="H28" s="142">
        <v>86400</v>
      </c>
      <c r="I28" s="142">
        <f>G28*H28/1000000</f>
        <v>24.192</v>
      </c>
      <c r="J28" s="17"/>
      <c r="P28" s="570" t="s">
        <v>866</v>
      </c>
      <c r="Q28" s="585" t="s">
        <v>867</v>
      </c>
      <c r="R28" s="585">
        <v>35</v>
      </c>
      <c r="S28" s="585">
        <f t="shared" si="2"/>
        <v>280</v>
      </c>
      <c r="T28" s="571">
        <v>64</v>
      </c>
      <c r="U28" s="563"/>
      <c r="V28" s="563"/>
    </row>
    <row r="29" spans="2:28" ht="15.75">
      <c r="B29" s="142" t="s">
        <v>869</v>
      </c>
      <c r="C29" s="142" t="s">
        <v>870</v>
      </c>
      <c r="D29" s="142">
        <f>$E$6</f>
        <v>696</v>
      </c>
      <c r="E29" s="142" t="s">
        <v>878</v>
      </c>
      <c r="F29" s="142">
        <f>$M$9*$F$6</f>
        <v>2.7412280701754384E-4</v>
      </c>
      <c r="G29" s="142">
        <f>D29*F29</f>
        <v>0.19078947368421051</v>
      </c>
      <c r="H29" s="142">
        <v>86400</v>
      </c>
      <c r="I29" s="142">
        <f>G29*H29/1000000</f>
        <v>1.6484210526315785E-2</v>
      </c>
      <c r="J29" s="17"/>
      <c r="P29" s="570" t="s">
        <v>869</v>
      </c>
      <c r="Q29" s="585" t="s">
        <v>870</v>
      </c>
      <c r="R29" s="585">
        <v>87</v>
      </c>
      <c r="S29" s="585">
        <f t="shared" si="2"/>
        <v>696</v>
      </c>
      <c r="T29" s="571">
        <v>1</v>
      </c>
      <c r="U29" s="563"/>
      <c r="V29" s="563"/>
    </row>
    <row r="30" spans="2:28" ht="15" customHeight="1">
      <c r="B30" s="142" t="s">
        <v>872</v>
      </c>
      <c r="C30" s="142" t="s">
        <v>873</v>
      </c>
      <c r="D30" s="142">
        <f>$E$7</f>
        <v>1728</v>
      </c>
      <c r="E30" s="142" t="s">
        <v>900</v>
      </c>
      <c r="F30" s="142">
        <v>0</v>
      </c>
      <c r="G30" s="142">
        <f>D30*F30</f>
        <v>0</v>
      </c>
      <c r="H30" s="142">
        <v>0</v>
      </c>
      <c r="I30" s="142">
        <f>G30*H30/1000000</f>
        <v>0</v>
      </c>
      <c r="J30" s="558" t="s">
        <v>901</v>
      </c>
      <c r="K30" s="558"/>
      <c r="L30" s="558"/>
      <c r="M30" s="558"/>
      <c r="N30" s="558"/>
      <c r="P30" s="570" t="s">
        <v>872</v>
      </c>
      <c r="Q30" s="585" t="s">
        <v>873</v>
      </c>
      <c r="R30" s="585">
        <v>216</v>
      </c>
      <c r="S30" s="585">
        <f t="shared" si="2"/>
        <v>1728</v>
      </c>
      <c r="T30" s="571">
        <v>1</v>
      </c>
      <c r="U30" s="563"/>
      <c r="V30" s="563"/>
    </row>
    <row r="31" spans="2:28" ht="15.75">
      <c r="B31" s="142" t="s">
        <v>875</v>
      </c>
      <c r="C31" s="142" t="s">
        <v>876</v>
      </c>
      <c r="D31" s="142">
        <f>$E$8</f>
        <v>1632</v>
      </c>
      <c r="E31" s="142" t="s">
        <v>900</v>
      </c>
      <c r="F31" s="142">
        <v>0</v>
      </c>
      <c r="G31" s="142">
        <f>D31*F31</f>
        <v>0</v>
      </c>
      <c r="H31" s="142">
        <v>0</v>
      </c>
      <c r="I31" s="142">
        <f>G31*H31/1000000</f>
        <v>0</v>
      </c>
      <c r="J31" s="558"/>
      <c r="K31" s="558"/>
      <c r="L31" s="558"/>
      <c r="M31" s="558"/>
      <c r="N31" s="558"/>
      <c r="P31" s="578" t="s">
        <v>875</v>
      </c>
      <c r="Q31" s="572" t="s">
        <v>876</v>
      </c>
      <c r="R31" s="572">
        <v>204</v>
      </c>
      <c r="S31" s="572">
        <f t="shared" si="2"/>
        <v>1632</v>
      </c>
      <c r="T31" s="579">
        <v>63</v>
      </c>
      <c r="U31" s="563"/>
      <c r="V31" s="563"/>
    </row>
    <row r="32" spans="2:28" ht="15.75">
      <c r="B32" s="557"/>
      <c r="C32" s="557"/>
      <c r="D32" s="557"/>
      <c r="E32" s="557"/>
      <c r="F32" s="557"/>
      <c r="G32" s="557"/>
      <c r="H32" s="146" t="s">
        <v>902</v>
      </c>
      <c r="I32" s="146">
        <f>SUM(I27:I31)</f>
        <v>24.222884210526313</v>
      </c>
      <c r="J32" s="147"/>
      <c r="K32" s="148"/>
      <c r="L32" s="148"/>
      <c r="M32" s="148"/>
      <c r="N32" s="148"/>
      <c r="P32" s="563"/>
      <c r="Q32" s="563"/>
      <c r="R32" s="563"/>
      <c r="S32" s="563"/>
      <c r="T32" s="563"/>
      <c r="U32" s="563"/>
      <c r="V32" s="563"/>
    </row>
    <row r="33" spans="2:16" ht="15.75">
      <c r="J33" s="148"/>
      <c r="K33" s="148"/>
      <c r="L33" s="148"/>
      <c r="M33" s="148"/>
      <c r="N33" s="148"/>
    </row>
    <row r="34" spans="2:16" ht="15.75">
      <c r="J34" s="148"/>
      <c r="K34" s="148"/>
      <c r="L34" s="148"/>
      <c r="M34" s="148"/>
      <c r="N34" s="148"/>
    </row>
    <row r="35" spans="2:16" ht="15.75">
      <c r="J35" s="148"/>
      <c r="K35" s="148"/>
      <c r="L35" s="148"/>
      <c r="M35" s="148"/>
      <c r="N35" s="148"/>
    </row>
    <row r="36" spans="2:16" ht="15.75">
      <c r="J36" s="148"/>
      <c r="K36" s="148"/>
      <c r="L36" s="148"/>
      <c r="M36" s="148"/>
      <c r="N36" s="148"/>
    </row>
    <row r="37" spans="2:16" ht="15.75">
      <c r="J37" s="148"/>
      <c r="K37" s="148"/>
      <c r="L37" s="148"/>
      <c r="M37" s="148"/>
      <c r="N37" s="148"/>
    </row>
    <row r="38" spans="2:16" ht="18.75">
      <c r="B38" s="553" t="s">
        <v>903</v>
      </c>
      <c r="C38" s="553"/>
      <c r="D38" s="553"/>
      <c r="E38" s="553"/>
      <c r="F38" s="553"/>
      <c r="G38" s="553"/>
      <c r="H38" s="553"/>
      <c r="I38" s="553"/>
      <c r="J38" s="149"/>
      <c r="K38" s="148"/>
      <c r="L38" s="148"/>
      <c r="M38" s="148"/>
      <c r="N38" s="148"/>
      <c r="P38" t="s">
        <v>23</v>
      </c>
    </row>
    <row r="39" spans="2:16" ht="15.75">
      <c r="B39" s="144"/>
      <c r="C39" s="145" t="s">
        <v>850</v>
      </c>
      <c r="D39" s="145" t="s">
        <v>892</v>
      </c>
      <c r="E39" s="145" t="s">
        <v>893</v>
      </c>
      <c r="F39" s="145" t="s">
        <v>894</v>
      </c>
      <c r="G39" s="145" t="s">
        <v>895</v>
      </c>
      <c r="H39" s="145" t="s">
        <v>896</v>
      </c>
      <c r="I39" s="145" t="s">
        <v>897</v>
      </c>
      <c r="J39" s="149"/>
      <c r="K39" s="148"/>
      <c r="L39" s="148"/>
      <c r="M39" s="148"/>
      <c r="N39" s="148"/>
    </row>
    <row r="40" spans="2:16" ht="15.75">
      <c r="B40" s="142" t="s">
        <v>898</v>
      </c>
      <c r="C40" s="142" t="s">
        <v>860</v>
      </c>
      <c r="D40" s="142">
        <f>$E$3</f>
        <v>600</v>
      </c>
      <c r="E40" s="142" t="s">
        <v>878</v>
      </c>
      <c r="F40" s="142">
        <f>$I$9*$F$3</f>
        <v>2.7777777777777778E-4</v>
      </c>
      <c r="G40" s="142">
        <f>D40*F40</f>
        <v>0.16666666666666666</v>
      </c>
      <c r="H40" s="142">
        <v>86400</v>
      </c>
      <c r="I40" s="142">
        <f>G40*H40/1000000</f>
        <v>1.44E-2</v>
      </c>
      <c r="J40" s="148"/>
      <c r="K40" s="148">
        <f>(I45-I40)*1000000/(8*86400)</f>
        <v>35.175098684210532</v>
      </c>
      <c r="L40" s="148" t="str">
        <f>"&lt;=no HK, byte/s"</f>
        <v>&lt;=no HK, byte/s</v>
      </c>
      <c r="M40" s="148"/>
      <c r="N40" s="148"/>
    </row>
    <row r="41" spans="2:16" ht="15.75">
      <c r="B41" s="142" t="s">
        <v>899</v>
      </c>
      <c r="C41" s="142" t="s">
        <v>867</v>
      </c>
      <c r="D41" s="142">
        <f>$E$5</f>
        <v>280</v>
      </c>
      <c r="E41" s="146" t="s">
        <v>884</v>
      </c>
      <c r="F41" s="142">
        <f>$M$15*$F$5</f>
        <v>1</v>
      </c>
      <c r="G41" s="142">
        <f>D41*F41</f>
        <v>280</v>
      </c>
      <c r="H41" s="142">
        <v>86400</v>
      </c>
      <c r="I41" s="142">
        <f>G41*H41/1000000</f>
        <v>24.192</v>
      </c>
      <c r="J41" s="148"/>
      <c r="K41" s="148"/>
      <c r="L41" s="148"/>
      <c r="M41" s="148"/>
      <c r="N41" s="148"/>
    </row>
    <row r="42" spans="2:16" ht="15.75">
      <c r="B42" s="142" t="s">
        <v>869</v>
      </c>
      <c r="C42" s="142" t="s">
        <v>870</v>
      </c>
      <c r="D42" s="142">
        <f>$E$6</f>
        <v>696</v>
      </c>
      <c r="E42" s="142" t="s">
        <v>878</v>
      </c>
      <c r="F42" s="142">
        <f>$M$9*$F$6</f>
        <v>2.7412280701754384E-4</v>
      </c>
      <c r="G42" s="142">
        <f>D42*F42</f>
        <v>0.19078947368421051</v>
      </c>
      <c r="H42" s="142">
        <v>86400</v>
      </c>
      <c r="I42" s="142">
        <f>G42*H42/1000000</f>
        <v>1.6484210526315785E-2</v>
      </c>
      <c r="J42" s="148"/>
      <c r="K42" s="148"/>
      <c r="L42" s="148"/>
      <c r="M42" s="148"/>
      <c r="N42" s="148"/>
    </row>
    <row r="43" spans="2:16" ht="15" customHeight="1">
      <c r="B43" s="142" t="s">
        <v>872</v>
      </c>
      <c r="C43" s="142" t="s">
        <v>873</v>
      </c>
      <c r="D43" s="142">
        <f>$E$7</f>
        <v>1728</v>
      </c>
      <c r="E43" s="142" t="s">
        <v>865</v>
      </c>
      <c r="F43" s="142">
        <f>$M$4*$F$7</f>
        <v>1.1574074074074073E-5</v>
      </c>
      <c r="G43" s="142">
        <f>D43*F43</f>
        <v>0.02</v>
      </c>
      <c r="H43" s="142">
        <v>86400</v>
      </c>
      <c r="I43" s="142">
        <f>G43*H43/1000000</f>
        <v>1.7279999999999999E-3</v>
      </c>
      <c r="J43" s="559" t="s">
        <v>904</v>
      </c>
      <c r="K43" s="559"/>
      <c r="L43" s="559"/>
      <c r="M43" s="559"/>
      <c r="N43" s="559"/>
      <c r="O43" s="97"/>
    </row>
    <row r="44" spans="2:16">
      <c r="B44" s="142" t="s">
        <v>875</v>
      </c>
      <c r="C44" s="142" t="s">
        <v>876</v>
      </c>
      <c r="D44" s="142">
        <f>$E$8</f>
        <v>1632</v>
      </c>
      <c r="E44" s="142" t="s">
        <v>865</v>
      </c>
      <c r="F44" s="142">
        <f>$M$4*$F$8</f>
        <v>7.2916666666666659E-4</v>
      </c>
      <c r="G44" s="142">
        <f>D44*F44</f>
        <v>1.19</v>
      </c>
      <c r="H44" s="142">
        <v>86400</v>
      </c>
      <c r="I44" s="142">
        <f>G44*H44/1000000</f>
        <v>0.102816</v>
      </c>
      <c r="J44" s="559"/>
      <c r="K44" s="559"/>
      <c r="L44" s="559"/>
      <c r="M44" s="559"/>
      <c r="N44" s="559"/>
      <c r="O44" s="97"/>
    </row>
    <row r="45" spans="2:16">
      <c r="B45" s="557"/>
      <c r="C45" s="557"/>
      <c r="D45" s="557"/>
      <c r="E45" s="557"/>
      <c r="F45" s="557"/>
      <c r="G45" s="557"/>
      <c r="H45" s="146" t="s">
        <v>902</v>
      </c>
      <c r="I45" s="146">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53" t="s">
        <v>905</v>
      </c>
      <c r="C47" s="553"/>
      <c r="D47" s="553"/>
      <c r="E47" s="553"/>
      <c r="F47" s="553"/>
      <c r="G47" s="553"/>
      <c r="H47" s="553"/>
      <c r="I47" s="553"/>
      <c r="J47" s="150"/>
    </row>
    <row r="48" spans="2:16">
      <c r="B48" s="144"/>
      <c r="C48" s="145" t="s">
        <v>850</v>
      </c>
      <c r="D48" s="145" t="s">
        <v>892</v>
      </c>
      <c r="E48" s="145" t="s">
        <v>893</v>
      </c>
      <c r="F48" s="145" t="s">
        <v>894</v>
      </c>
      <c r="G48" s="145" t="s">
        <v>895</v>
      </c>
      <c r="H48" s="145" t="s">
        <v>896</v>
      </c>
      <c r="I48" s="145" t="s">
        <v>897</v>
      </c>
      <c r="J48" s="29"/>
    </row>
    <row r="49" spans="2:12" ht="15.75">
      <c r="B49" s="142" t="s">
        <v>898</v>
      </c>
      <c r="C49" s="142" t="s">
        <v>860</v>
      </c>
      <c r="D49" s="142">
        <f>$E$3</f>
        <v>600</v>
      </c>
      <c r="E49" s="142" t="s">
        <v>878</v>
      </c>
      <c r="F49" s="142">
        <f>$I$9*$F$3</f>
        <v>2.7777777777777778E-4</v>
      </c>
      <c r="G49" s="142">
        <f>D49*F49</f>
        <v>0.16666666666666666</v>
      </c>
      <c r="H49" s="142">
        <v>86400</v>
      </c>
      <c r="I49" s="142">
        <f>G49*H49/1000000</f>
        <v>1.44E-2</v>
      </c>
      <c r="K49" s="148">
        <f>(I54-I49)*1000000/(8*86400)</f>
        <v>17.675098684210528</v>
      </c>
      <c r="L49" s="148" t="str">
        <f>"&lt;=no HK, byte/s"</f>
        <v>&lt;=no HK, byte/s</v>
      </c>
    </row>
    <row r="50" spans="2:12">
      <c r="B50" s="142" t="s">
        <v>899</v>
      </c>
      <c r="C50" s="142" t="s">
        <v>867</v>
      </c>
      <c r="D50" s="142">
        <f>$E$5</f>
        <v>280</v>
      </c>
      <c r="E50" s="146" t="s">
        <v>883</v>
      </c>
      <c r="F50" s="142">
        <f>$M$14*$F$5</f>
        <v>0.5</v>
      </c>
      <c r="G50" s="142">
        <f>D50*F50</f>
        <v>140</v>
      </c>
      <c r="H50" s="142">
        <v>86400</v>
      </c>
      <c r="I50" s="142">
        <f>G50*H50/1000000</f>
        <v>12.096</v>
      </c>
    </row>
    <row r="51" spans="2:12">
      <c r="B51" s="142" t="s">
        <v>869</v>
      </c>
      <c r="C51" s="142" t="s">
        <v>870</v>
      </c>
      <c r="D51" s="142">
        <f>$E$6</f>
        <v>696</v>
      </c>
      <c r="E51" s="142" t="s">
        <v>878</v>
      </c>
      <c r="F51" s="142">
        <f>$M$9*$F$6</f>
        <v>2.7412280701754384E-4</v>
      </c>
      <c r="G51" s="142">
        <f>D51*F51</f>
        <v>0.19078947368421051</v>
      </c>
      <c r="H51" s="142">
        <v>86400</v>
      </c>
      <c r="I51" s="142">
        <f>G51*H51/1000000</f>
        <v>1.6484210526315785E-2</v>
      </c>
    </row>
    <row r="52" spans="2:12">
      <c r="B52" s="142" t="s">
        <v>872</v>
      </c>
      <c r="C52" s="142" t="s">
        <v>873</v>
      </c>
      <c r="D52" s="142">
        <f>$E$7</f>
        <v>1728</v>
      </c>
      <c r="E52" s="142" t="s">
        <v>865</v>
      </c>
      <c r="F52" s="142">
        <f>$M$4*$F$7</f>
        <v>1.1574074074074073E-5</v>
      </c>
      <c r="G52" s="142">
        <f>D52*F52</f>
        <v>0.02</v>
      </c>
      <c r="H52" s="142">
        <v>86400</v>
      </c>
      <c r="I52" s="142">
        <f>G52*H52/1000000</f>
        <v>1.7279999999999999E-3</v>
      </c>
    </row>
    <row r="53" spans="2:12">
      <c r="B53" s="142" t="s">
        <v>875</v>
      </c>
      <c r="C53" s="142" t="s">
        <v>876</v>
      </c>
      <c r="D53" s="142">
        <f>$E$8</f>
        <v>1632</v>
      </c>
      <c r="E53" s="142" t="s">
        <v>865</v>
      </c>
      <c r="F53" s="142">
        <f>$M$4*$F$8</f>
        <v>7.2916666666666659E-4</v>
      </c>
      <c r="G53" s="142">
        <f>D53*F53</f>
        <v>1.19</v>
      </c>
      <c r="H53" s="142">
        <v>86400</v>
      </c>
      <c r="I53" s="142">
        <f>G53*H53/1000000</f>
        <v>0.102816</v>
      </c>
    </row>
    <row r="54" spans="2:12">
      <c r="B54" s="557"/>
      <c r="C54" s="557"/>
      <c r="D54" s="557"/>
      <c r="E54" s="557"/>
      <c r="F54" s="557"/>
      <c r="G54" s="557"/>
      <c r="H54" s="146" t="s">
        <v>902</v>
      </c>
      <c r="I54" s="146">
        <f>SUM(I49:I53)</f>
        <v>12.231428210526317</v>
      </c>
      <c r="J54" s="17">
        <f>I54*1000000/86400</f>
        <v>141.56745614035088</v>
      </c>
      <c r="K54">
        <f>J54/8</f>
        <v>17.695932017543861</v>
      </c>
    </row>
    <row r="55" spans="2:12">
      <c r="I55" s="17"/>
      <c r="J55" s="3" t="s">
        <v>0</v>
      </c>
      <c r="K55" s="3" t="s">
        <v>1017</v>
      </c>
    </row>
    <row r="56" spans="2:12" ht="18.75">
      <c r="B56" s="553" t="s">
        <v>906</v>
      </c>
      <c r="C56" s="553"/>
      <c r="D56" s="553"/>
      <c r="E56" s="553"/>
      <c r="F56" s="553"/>
      <c r="G56" s="553"/>
      <c r="H56" s="553"/>
      <c r="I56" s="553"/>
      <c r="J56" s="150"/>
    </row>
    <row r="57" spans="2:12">
      <c r="B57" s="144"/>
      <c r="C57" s="145" t="s">
        <v>850</v>
      </c>
      <c r="D57" s="145" t="s">
        <v>892</v>
      </c>
      <c r="E57" s="145" t="s">
        <v>893</v>
      </c>
      <c r="F57" s="145" t="s">
        <v>894</v>
      </c>
      <c r="G57" s="145" t="s">
        <v>895</v>
      </c>
      <c r="H57" s="145" t="s">
        <v>896</v>
      </c>
      <c r="I57" s="145" t="s">
        <v>897</v>
      </c>
      <c r="J57" s="29"/>
    </row>
    <row r="58" spans="2:12" ht="15.75">
      <c r="B58" s="142" t="s">
        <v>898</v>
      </c>
      <c r="C58" s="142" t="s">
        <v>860</v>
      </c>
      <c r="D58" s="142">
        <f>$E$3</f>
        <v>600</v>
      </c>
      <c r="E58" s="142" t="s">
        <v>878</v>
      </c>
      <c r="F58" s="142">
        <f>$I$9*$F$3</f>
        <v>2.7777777777777778E-4</v>
      </c>
      <c r="G58" s="142">
        <f>D58*F58</f>
        <v>0.16666666666666666</v>
      </c>
      <c r="H58" s="142">
        <v>86400</v>
      </c>
      <c r="I58" s="142">
        <f>G58*H58/1000000</f>
        <v>1.44E-2</v>
      </c>
      <c r="K58" s="148">
        <f>(I63-I58)*1000000/(8*86400)</f>
        <v>7.1750986842105258</v>
      </c>
      <c r="L58" s="148" t="str">
        <f>"&lt;=no HK, byte/s"</f>
        <v>&lt;=no HK, byte/s</v>
      </c>
    </row>
    <row r="59" spans="2:12">
      <c r="B59" s="142" t="s">
        <v>899</v>
      </c>
      <c r="C59" s="142" t="s">
        <v>867</v>
      </c>
      <c r="D59" s="142">
        <f>$E$5</f>
        <v>280</v>
      </c>
      <c r="E59" s="146" t="s">
        <v>882</v>
      </c>
      <c r="F59" s="142">
        <f>$M$13*$F$5</f>
        <v>0.2</v>
      </c>
      <c r="G59" s="142">
        <f>D59*F59</f>
        <v>56</v>
      </c>
      <c r="H59" s="142">
        <v>86400</v>
      </c>
      <c r="I59" s="142">
        <f>G59*H59/1000000</f>
        <v>4.8384</v>
      </c>
    </row>
    <row r="60" spans="2:12">
      <c r="B60" s="142" t="s">
        <v>869</v>
      </c>
      <c r="C60" s="142" t="s">
        <v>870</v>
      </c>
      <c r="D60" s="142">
        <f>$E$6</f>
        <v>696</v>
      </c>
      <c r="E60" s="142" t="s">
        <v>878</v>
      </c>
      <c r="F60" s="142">
        <f>$M$9*$F$6</f>
        <v>2.7412280701754384E-4</v>
      </c>
      <c r="G60" s="142">
        <f>D60*F60</f>
        <v>0.19078947368421051</v>
      </c>
      <c r="H60" s="142">
        <v>86400</v>
      </c>
      <c r="I60" s="142">
        <f>G60*H60/1000000</f>
        <v>1.6484210526315785E-2</v>
      </c>
    </row>
    <row r="61" spans="2:12">
      <c r="B61" s="142" t="s">
        <v>872</v>
      </c>
      <c r="C61" s="142" t="s">
        <v>873</v>
      </c>
      <c r="D61" s="142">
        <f>$E$7</f>
        <v>1728</v>
      </c>
      <c r="E61" s="142" t="s">
        <v>865</v>
      </c>
      <c r="F61" s="142">
        <f>$M$4*$F$7</f>
        <v>1.1574074074074073E-5</v>
      </c>
      <c r="G61" s="142">
        <f>D61*F61</f>
        <v>0.02</v>
      </c>
      <c r="H61" s="142">
        <v>86400</v>
      </c>
      <c r="I61" s="142">
        <f>G61*H61/1000000</f>
        <v>1.7279999999999999E-3</v>
      </c>
    </row>
    <row r="62" spans="2:12">
      <c r="B62" s="142" t="s">
        <v>875</v>
      </c>
      <c r="C62" s="142" t="s">
        <v>876</v>
      </c>
      <c r="D62" s="142">
        <f>$E$8</f>
        <v>1632</v>
      </c>
      <c r="E62" s="142" t="s">
        <v>865</v>
      </c>
      <c r="F62" s="142">
        <f>$M$4*$F$8</f>
        <v>7.2916666666666659E-4</v>
      </c>
      <c r="G62" s="142">
        <f>D62*F62</f>
        <v>1.19</v>
      </c>
      <c r="H62" s="142">
        <v>86400</v>
      </c>
      <c r="I62" s="142">
        <f>G62*H62/1000000</f>
        <v>0.102816</v>
      </c>
    </row>
    <row r="63" spans="2:12">
      <c r="B63" s="557"/>
      <c r="C63" s="557"/>
      <c r="D63" s="557"/>
      <c r="E63" s="557"/>
      <c r="F63" s="557"/>
      <c r="G63" s="557"/>
      <c r="H63" s="146" t="s">
        <v>902</v>
      </c>
      <c r="I63" s="146">
        <f>SUM(I58:I62)</f>
        <v>4.9738282105263156</v>
      </c>
      <c r="J63" s="17">
        <f>I63*1000000/86400</f>
        <v>57.56745614035087</v>
      </c>
      <c r="K63">
        <f>J63/8</f>
        <v>7.1959320175438588</v>
      </c>
    </row>
    <row r="64" spans="2:12">
      <c r="I64" s="17"/>
      <c r="J64" s="3" t="s">
        <v>0</v>
      </c>
      <c r="K64" s="3" t="s">
        <v>1017</v>
      </c>
    </row>
    <row r="65" spans="2:12" ht="18.75">
      <c r="B65" s="553" t="s">
        <v>907</v>
      </c>
      <c r="C65" s="553"/>
      <c r="D65" s="553"/>
      <c r="E65" s="553"/>
      <c r="F65" s="553"/>
      <c r="G65" s="553"/>
      <c r="H65" s="553"/>
      <c r="I65" s="553"/>
      <c r="J65" s="150"/>
    </row>
    <row r="66" spans="2:12">
      <c r="B66" s="144"/>
      <c r="C66" s="145" t="s">
        <v>850</v>
      </c>
      <c r="D66" s="145" t="s">
        <v>892</v>
      </c>
      <c r="E66" s="145" t="s">
        <v>893</v>
      </c>
      <c r="F66" s="145" t="s">
        <v>894</v>
      </c>
      <c r="G66" s="145" t="s">
        <v>895</v>
      </c>
      <c r="H66" s="145" t="s">
        <v>896</v>
      </c>
      <c r="I66" s="145" t="s">
        <v>897</v>
      </c>
      <c r="J66" s="29"/>
    </row>
    <row r="67" spans="2:12" ht="15.75">
      <c r="B67" s="142" t="s">
        <v>898</v>
      </c>
      <c r="C67" s="142" t="s">
        <v>860</v>
      </c>
      <c r="D67" s="142">
        <f>$E$3</f>
        <v>600</v>
      </c>
      <c r="E67" s="142" t="s">
        <v>878</v>
      </c>
      <c r="F67" s="142">
        <f>$I$9*$F$3</f>
        <v>2.7777777777777778E-4</v>
      </c>
      <c r="G67" s="142">
        <f>D67*F67</f>
        <v>0.16666666666666666</v>
      </c>
      <c r="H67" s="142">
        <v>86400</v>
      </c>
      <c r="I67" s="142">
        <f>G67*H67/1000000</f>
        <v>1.44E-2</v>
      </c>
      <c r="K67" s="148">
        <f>(I72-I67)*1000000/(8*86400)</f>
        <v>3.6750986842105258</v>
      </c>
      <c r="L67" s="148" t="str">
        <f>"&lt;=no HK, byte/s"</f>
        <v>&lt;=no HK, byte/s</v>
      </c>
    </row>
    <row r="68" spans="2:12">
      <c r="B68" s="142" t="s">
        <v>899</v>
      </c>
      <c r="C68" s="142" t="s">
        <v>867</v>
      </c>
      <c r="D68" s="142">
        <f>$E$5</f>
        <v>280</v>
      </c>
      <c r="E68" s="146" t="s">
        <v>881</v>
      </c>
      <c r="F68" s="142">
        <f>$M$12*$F$5</f>
        <v>0.1</v>
      </c>
      <c r="G68" s="142">
        <f>D68*F68</f>
        <v>28</v>
      </c>
      <c r="H68" s="142">
        <v>86400</v>
      </c>
      <c r="I68" s="142">
        <f>G68*H68/1000000</f>
        <v>2.4192</v>
      </c>
    </row>
    <row r="69" spans="2:12">
      <c r="B69" s="142" t="s">
        <v>869</v>
      </c>
      <c r="C69" s="142" t="s">
        <v>870</v>
      </c>
      <c r="D69" s="142">
        <f>$E$6</f>
        <v>696</v>
      </c>
      <c r="E69" s="142" t="s">
        <v>878</v>
      </c>
      <c r="F69" s="142">
        <f>$M$9*$F$6</f>
        <v>2.7412280701754384E-4</v>
      </c>
      <c r="G69" s="142">
        <f>D69*F69</f>
        <v>0.19078947368421051</v>
      </c>
      <c r="H69" s="142">
        <v>86400</v>
      </c>
      <c r="I69" s="142">
        <f>G69*H69/1000000</f>
        <v>1.6484210526315785E-2</v>
      </c>
    </row>
    <row r="70" spans="2:12">
      <c r="B70" s="142" t="s">
        <v>872</v>
      </c>
      <c r="C70" s="142" t="s">
        <v>873</v>
      </c>
      <c r="D70" s="142">
        <f>$E$7</f>
        <v>1728</v>
      </c>
      <c r="E70" s="142" t="s">
        <v>865</v>
      </c>
      <c r="F70" s="142">
        <f>$M$4*$F$7</f>
        <v>1.1574074074074073E-5</v>
      </c>
      <c r="G70" s="142">
        <f>D70*F70</f>
        <v>0.02</v>
      </c>
      <c r="H70" s="142">
        <v>86400</v>
      </c>
      <c r="I70" s="142">
        <f>G70*H70/1000000</f>
        <v>1.7279999999999999E-3</v>
      </c>
    </row>
    <row r="71" spans="2:12">
      <c r="B71" s="142" t="s">
        <v>875</v>
      </c>
      <c r="C71" s="142" t="s">
        <v>876</v>
      </c>
      <c r="D71" s="142">
        <f>$E$8</f>
        <v>1632</v>
      </c>
      <c r="E71" s="142" t="s">
        <v>865</v>
      </c>
      <c r="F71" s="142">
        <f>$M$4*$F$8</f>
        <v>7.2916666666666659E-4</v>
      </c>
      <c r="G71" s="142">
        <f>D71*F71</f>
        <v>1.19</v>
      </c>
      <c r="H71" s="142">
        <v>86400</v>
      </c>
      <c r="I71" s="142">
        <f>G71*H71/1000000</f>
        <v>0.102816</v>
      </c>
      <c r="K71" t="s">
        <v>1018</v>
      </c>
    </row>
    <row r="72" spans="2:12">
      <c r="B72" s="557"/>
      <c r="C72" s="557"/>
      <c r="D72" s="557"/>
      <c r="E72" s="557"/>
      <c r="F72" s="557"/>
      <c r="G72" s="557"/>
      <c r="H72" s="146" t="s">
        <v>902</v>
      </c>
      <c r="I72" s="146">
        <f>SUM(I67:I71)</f>
        <v>2.5546282105263156</v>
      </c>
      <c r="J72" s="17">
        <f>I72*1000000/86400</f>
        <v>29.567456140350874</v>
      </c>
      <c r="K72" s="175">
        <f>J72/8</f>
        <v>3.6959320175438592</v>
      </c>
    </row>
    <row r="73" spans="2:12">
      <c r="J73" s="3" t="s">
        <v>0</v>
      </c>
      <c r="K73" s="3" t="s">
        <v>1017</v>
      </c>
    </row>
    <row r="74" spans="2:12" ht="18.75">
      <c r="B74" s="553" t="s">
        <v>908</v>
      </c>
      <c r="C74" s="553"/>
      <c r="D74" s="553"/>
      <c r="E74" s="553"/>
      <c r="F74" s="553"/>
      <c r="G74" s="553"/>
      <c r="H74" s="553"/>
      <c r="I74" s="553"/>
      <c r="J74" s="150"/>
    </row>
    <row r="75" spans="2:12">
      <c r="B75" s="144"/>
      <c r="C75" s="145" t="s">
        <v>850</v>
      </c>
      <c r="D75" s="145" t="s">
        <v>892</v>
      </c>
      <c r="E75" s="145" t="s">
        <v>893</v>
      </c>
      <c r="F75" s="145" t="s">
        <v>894</v>
      </c>
      <c r="G75" s="145" t="s">
        <v>895</v>
      </c>
      <c r="H75" s="145" t="s">
        <v>896</v>
      </c>
      <c r="I75" s="145" t="s">
        <v>897</v>
      </c>
      <c r="J75" s="29"/>
    </row>
    <row r="76" spans="2:12" ht="15.75">
      <c r="B76" s="142" t="s">
        <v>898</v>
      </c>
      <c r="C76" s="142" t="s">
        <v>860</v>
      </c>
      <c r="D76" s="142">
        <f>$E$3</f>
        <v>600</v>
      </c>
      <c r="E76" s="142" t="s">
        <v>878</v>
      </c>
      <c r="F76" s="142">
        <f>$I$9*$F$3</f>
        <v>2.7777777777777778E-4</v>
      </c>
      <c r="G76" s="142">
        <f>D76*F76</f>
        <v>0.16666666666666666</v>
      </c>
      <c r="H76" s="142">
        <v>86400</v>
      </c>
      <c r="I76" s="142">
        <f>G76*H76/1000000</f>
        <v>1.44E-2</v>
      </c>
      <c r="K76" s="148">
        <f>(I81-I76)*1000000/(8*86400)</f>
        <v>1.9250986842105267</v>
      </c>
      <c r="L76" s="148" t="str">
        <f>"&lt;=no HK, byte/s"</f>
        <v>&lt;=no HK, byte/s</v>
      </c>
    </row>
    <row r="77" spans="2:12">
      <c r="B77" s="142" t="s">
        <v>899</v>
      </c>
      <c r="C77" s="142" t="s">
        <v>867</v>
      </c>
      <c r="D77" s="142">
        <f>$E$5</f>
        <v>280</v>
      </c>
      <c r="E77" s="146" t="s">
        <v>880</v>
      </c>
      <c r="F77" s="142">
        <f>$M$11*$F$5</f>
        <v>0.05</v>
      </c>
      <c r="G77" s="142">
        <f>D77*F77</f>
        <v>14</v>
      </c>
      <c r="H77" s="142">
        <v>86400</v>
      </c>
      <c r="I77" s="142">
        <f>G77*H77/1000000</f>
        <v>1.2096</v>
      </c>
    </row>
    <row r="78" spans="2:12">
      <c r="B78" s="142" t="s">
        <v>869</v>
      </c>
      <c r="C78" s="142" t="s">
        <v>870</v>
      </c>
      <c r="D78" s="142">
        <f>$E$6</f>
        <v>696</v>
      </c>
      <c r="E78" s="142" t="s">
        <v>878</v>
      </c>
      <c r="F78" s="142">
        <f>$M$9*$F$6</f>
        <v>2.7412280701754384E-4</v>
      </c>
      <c r="G78" s="142">
        <f>D78*F78</f>
        <v>0.19078947368421051</v>
      </c>
      <c r="H78" s="142">
        <v>86400</v>
      </c>
      <c r="I78" s="142">
        <f>G78*H78/1000000</f>
        <v>1.6484210526315785E-2</v>
      </c>
    </row>
    <row r="79" spans="2:12">
      <c r="B79" s="142" t="s">
        <v>872</v>
      </c>
      <c r="C79" s="142" t="s">
        <v>873</v>
      </c>
      <c r="D79" s="142">
        <f>$E$7</f>
        <v>1728</v>
      </c>
      <c r="E79" s="142" t="s">
        <v>865</v>
      </c>
      <c r="F79" s="142">
        <f>$M$4*$F$7</f>
        <v>1.1574074074074073E-5</v>
      </c>
      <c r="G79" s="142">
        <f>D79*F79</f>
        <v>0.02</v>
      </c>
      <c r="H79" s="142">
        <v>86400</v>
      </c>
      <c r="I79" s="142">
        <f>G79*H79/1000000</f>
        <v>1.7279999999999999E-3</v>
      </c>
    </row>
    <row r="80" spans="2:12">
      <c r="B80" s="142" t="s">
        <v>875</v>
      </c>
      <c r="C80" s="142" t="s">
        <v>876</v>
      </c>
      <c r="D80" s="142">
        <f>$E$8</f>
        <v>1632</v>
      </c>
      <c r="E80" s="142" t="s">
        <v>865</v>
      </c>
      <c r="F80" s="142">
        <f>$M$4*$F$8</f>
        <v>7.2916666666666659E-4</v>
      </c>
      <c r="G80" s="142">
        <f>D80*F80</f>
        <v>1.19</v>
      </c>
      <c r="H80" s="142">
        <v>86400</v>
      </c>
      <c r="I80" s="142">
        <f>G80*H80/1000000</f>
        <v>0.102816</v>
      </c>
    </row>
    <row r="81" spans="2:12">
      <c r="B81" s="557"/>
      <c r="C81" s="557"/>
      <c r="D81" s="557"/>
      <c r="E81" s="557"/>
      <c r="F81" s="557"/>
      <c r="G81" s="557"/>
      <c r="H81" s="146" t="s">
        <v>902</v>
      </c>
      <c r="I81" s="146">
        <f>SUM(I76:I80)</f>
        <v>1.3450282105263158</v>
      </c>
      <c r="J81" s="17">
        <f>I81*1000000/86400</f>
        <v>15.567456140350876</v>
      </c>
      <c r="K81">
        <f>J81/8</f>
        <v>1.9459320175438595</v>
      </c>
    </row>
    <row r="82" spans="2:12">
      <c r="I82" s="17"/>
      <c r="J82" s="3" t="s">
        <v>0</v>
      </c>
      <c r="K82" s="3" t="s">
        <v>1017</v>
      </c>
    </row>
    <row r="83" spans="2:12" ht="18.75">
      <c r="B83" s="553" t="s">
        <v>909</v>
      </c>
      <c r="C83" s="553"/>
      <c r="D83" s="553"/>
      <c r="E83" s="553"/>
      <c r="F83" s="553"/>
      <c r="G83" s="553"/>
      <c r="H83" s="553"/>
      <c r="I83" s="553"/>
      <c r="J83" s="150"/>
    </row>
    <row r="84" spans="2:12">
      <c r="B84" s="144"/>
      <c r="C84" s="145" t="s">
        <v>850</v>
      </c>
      <c r="D84" s="145" t="s">
        <v>892</v>
      </c>
      <c r="E84" s="145" t="s">
        <v>893</v>
      </c>
      <c r="F84" s="145" t="s">
        <v>894</v>
      </c>
      <c r="G84" s="145" t="s">
        <v>895</v>
      </c>
      <c r="H84" s="145" t="s">
        <v>896</v>
      </c>
      <c r="I84" s="145" t="s">
        <v>897</v>
      </c>
      <c r="J84" s="29"/>
    </row>
    <row r="85" spans="2:12" ht="15.75">
      <c r="B85" s="142" t="s">
        <v>898</v>
      </c>
      <c r="C85" s="142" t="s">
        <v>860</v>
      </c>
      <c r="D85" s="142">
        <f>$E$3</f>
        <v>600</v>
      </c>
      <c r="E85" s="142" t="s">
        <v>878</v>
      </c>
      <c r="F85" s="142">
        <f>$I$9*$F$3</f>
        <v>2.7777777777777778E-4</v>
      </c>
      <c r="G85" s="142">
        <f>D85*F85</f>
        <v>0.16666666666666666</v>
      </c>
      <c r="H85" s="142">
        <v>86400</v>
      </c>
      <c r="I85" s="142">
        <f>G85*H85/1000000</f>
        <v>1.44E-2</v>
      </c>
      <c r="K85" s="148">
        <f>(I90-I85)*1000000/(8*86400)</f>
        <v>1.3819952359346641</v>
      </c>
      <c r="L85" s="148" t="str">
        <f>"&lt;=no HK, byte/s"</f>
        <v>&lt;=no HK, byte/s</v>
      </c>
    </row>
    <row r="86" spans="2:12">
      <c r="B86" s="142" t="s">
        <v>899</v>
      </c>
      <c r="C86" s="142" t="s">
        <v>867</v>
      </c>
      <c r="D86" s="142">
        <f>$E$5</f>
        <v>280</v>
      </c>
      <c r="E86" s="146" t="s">
        <v>879</v>
      </c>
      <c r="F86" s="142">
        <f>$M$10*$F$5</f>
        <v>3.4482758620689655E-2</v>
      </c>
      <c r="G86" s="142">
        <f>D86*F86</f>
        <v>9.6551724137931032</v>
      </c>
      <c r="H86" s="142">
        <v>86400</v>
      </c>
      <c r="I86" s="142">
        <f>G86*H86/1000000</f>
        <v>0.8342068965517242</v>
      </c>
    </row>
    <row r="87" spans="2:12">
      <c r="B87" s="142" t="s">
        <v>869</v>
      </c>
      <c r="C87" s="142" t="s">
        <v>870</v>
      </c>
      <c r="D87" s="142">
        <f>$E$6</f>
        <v>696</v>
      </c>
      <c r="E87" s="142" t="s">
        <v>878</v>
      </c>
      <c r="F87" s="142">
        <f>$M$9*$F$6</f>
        <v>2.7412280701754384E-4</v>
      </c>
      <c r="G87" s="142">
        <f>D87*F87</f>
        <v>0.19078947368421051</v>
      </c>
      <c r="H87" s="142">
        <v>86400</v>
      </c>
      <c r="I87" s="142">
        <f>G87*H87/1000000</f>
        <v>1.6484210526315785E-2</v>
      </c>
    </row>
    <row r="88" spans="2:12">
      <c r="B88" s="142" t="s">
        <v>872</v>
      </c>
      <c r="C88" s="142" t="s">
        <v>873</v>
      </c>
      <c r="D88" s="142">
        <f>$E$7</f>
        <v>1728</v>
      </c>
      <c r="E88" s="142" t="s">
        <v>865</v>
      </c>
      <c r="F88" s="142">
        <f>$M$4*$F$7</f>
        <v>1.1574074074074073E-5</v>
      </c>
      <c r="G88" s="142">
        <f>D88*F88</f>
        <v>0.02</v>
      </c>
      <c r="H88" s="142">
        <v>86400</v>
      </c>
      <c r="I88" s="142">
        <f>G88*H88/1000000</f>
        <v>1.7279999999999999E-3</v>
      </c>
    </row>
    <row r="89" spans="2:12">
      <c r="B89" s="142" t="s">
        <v>875</v>
      </c>
      <c r="C89" s="142" t="s">
        <v>876</v>
      </c>
      <c r="D89" s="142">
        <f>$E$8</f>
        <v>1632</v>
      </c>
      <c r="E89" s="142" t="s">
        <v>865</v>
      </c>
      <c r="F89" s="142">
        <f>$M$4*$F$8</f>
        <v>7.2916666666666659E-4</v>
      </c>
      <c r="G89" s="142">
        <f>D89*F89</f>
        <v>1.19</v>
      </c>
      <c r="H89" s="142">
        <v>86400</v>
      </c>
      <c r="I89" s="142">
        <f>G89*H89/1000000</f>
        <v>0.102816</v>
      </c>
    </row>
    <row r="90" spans="2:12">
      <c r="B90" s="142"/>
      <c r="C90" s="142"/>
      <c r="D90" s="142"/>
      <c r="E90" s="142"/>
      <c r="F90" s="142"/>
      <c r="G90" s="142"/>
      <c r="H90" s="146" t="s">
        <v>902</v>
      </c>
      <c r="I90" s="146">
        <f>SUM(I85:I89)</f>
        <v>0.9696351070780399</v>
      </c>
      <c r="J90" s="17">
        <f>I90*1000000/86400</f>
        <v>11.222628554143981</v>
      </c>
      <c r="K90">
        <f>J90/8</f>
        <v>1.4028285692679976</v>
      </c>
    </row>
    <row r="91" spans="2:12" ht="15" customHeight="1">
      <c r="J91" s="3" t="s">
        <v>0</v>
      </c>
      <c r="K91" s="3" t="s">
        <v>1017</v>
      </c>
    </row>
    <row r="92" spans="2:12" ht="18.75">
      <c r="B92" s="553" t="s">
        <v>910</v>
      </c>
      <c r="C92" s="553"/>
      <c r="D92" s="553"/>
      <c r="E92" s="553"/>
      <c r="F92" s="553"/>
      <c r="G92" s="553"/>
      <c r="H92" s="553"/>
      <c r="I92" s="553"/>
      <c r="J92" s="150"/>
    </row>
    <row r="93" spans="2:12">
      <c r="B93" s="144"/>
      <c r="C93" s="145" t="s">
        <v>850</v>
      </c>
      <c r="D93" s="145" t="s">
        <v>892</v>
      </c>
      <c r="E93" s="145" t="s">
        <v>893</v>
      </c>
      <c r="F93" s="145" t="s">
        <v>894</v>
      </c>
      <c r="G93" s="145" t="s">
        <v>895</v>
      </c>
      <c r="H93" s="145" t="s">
        <v>896</v>
      </c>
      <c r="I93" s="145" t="s">
        <v>897</v>
      </c>
      <c r="J93" s="29"/>
    </row>
    <row r="94" spans="2:12" ht="15.75">
      <c r="B94" s="142" t="s">
        <v>898</v>
      </c>
      <c r="C94" s="142" t="s">
        <v>860</v>
      </c>
      <c r="D94" s="142">
        <f>$E$3</f>
        <v>600</v>
      </c>
      <c r="E94" s="142" t="s">
        <v>878</v>
      </c>
      <c r="F94" s="142">
        <f>$I$9*$F$3</f>
        <v>2.7777777777777778E-4</v>
      </c>
      <c r="G94" s="142">
        <f>D94*F94</f>
        <v>0.16666666666666666</v>
      </c>
      <c r="H94" s="142">
        <v>86400</v>
      </c>
      <c r="I94" s="142">
        <f>G94*H94/1000000</f>
        <v>1.44E-2</v>
      </c>
      <c r="K94" s="148">
        <f>(I99-I94)*1000000/(8*86400)</f>
        <v>0.78913377192982437</v>
      </c>
      <c r="L94" s="148" t="str">
        <f>"&lt;=no HK, byte/s"</f>
        <v>&lt;=no HK, byte/s</v>
      </c>
    </row>
    <row r="95" spans="2:12">
      <c r="B95" s="142" t="s">
        <v>899</v>
      </c>
      <c r="C95" s="142" t="s">
        <v>867</v>
      </c>
      <c r="D95" s="142">
        <f>$E$5</f>
        <v>280</v>
      </c>
      <c r="E95" s="151" t="s">
        <v>878</v>
      </c>
      <c r="F95" s="142">
        <f>$M$9*$F$5</f>
        <v>1.7543859649122806E-2</v>
      </c>
      <c r="G95" s="142">
        <f>D95*F95</f>
        <v>4.9122807017543852</v>
      </c>
      <c r="H95" s="142">
        <v>86400</v>
      </c>
      <c r="I95" s="142">
        <f>G95*H95/1000000</f>
        <v>0.42442105263157887</v>
      </c>
    </row>
    <row r="96" spans="2:12">
      <c r="B96" s="142" t="s">
        <v>869</v>
      </c>
      <c r="C96" s="142" t="s">
        <v>870</v>
      </c>
      <c r="D96" s="142">
        <f>$E$6</f>
        <v>696</v>
      </c>
      <c r="E96" s="142" t="s">
        <v>878</v>
      </c>
      <c r="F96" s="142">
        <f>$M$9*$F$6</f>
        <v>2.7412280701754384E-4</v>
      </c>
      <c r="G96" s="142">
        <f>D96*F96</f>
        <v>0.19078947368421051</v>
      </c>
      <c r="H96" s="142">
        <v>86400</v>
      </c>
      <c r="I96" s="142">
        <f>G96*H96/1000000</f>
        <v>1.6484210526315785E-2</v>
      </c>
    </row>
    <row r="97" spans="2:12">
      <c r="B97" s="142" t="s">
        <v>872</v>
      </c>
      <c r="C97" s="142" t="s">
        <v>873</v>
      </c>
      <c r="D97" s="142">
        <f>$E$7</f>
        <v>1728</v>
      </c>
      <c r="E97" s="142" t="s">
        <v>865</v>
      </c>
      <c r="F97" s="142">
        <f>$M$4*$F$7</f>
        <v>1.1574074074074073E-5</v>
      </c>
      <c r="G97" s="142">
        <f>D97*F97</f>
        <v>0.02</v>
      </c>
      <c r="H97" s="142">
        <v>86400</v>
      </c>
      <c r="I97" s="142">
        <f>G97*H97/1000000</f>
        <v>1.7279999999999999E-3</v>
      </c>
    </row>
    <row r="98" spans="2:12">
      <c r="B98" s="142" t="s">
        <v>875</v>
      </c>
      <c r="C98" s="142" t="s">
        <v>876</v>
      </c>
      <c r="D98" s="142">
        <f>$E$8</f>
        <v>1632</v>
      </c>
      <c r="E98" s="142" t="s">
        <v>865</v>
      </c>
      <c r="F98" s="142">
        <f>$M$4*$F$8</f>
        <v>7.2916666666666659E-4</v>
      </c>
      <c r="G98" s="142">
        <f>D98*F98</f>
        <v>1.19</v>
      </c>
      <c r="H98" s="142">
        <v>86400</v>
      </c>
      <c r="I98" s="142">
        <f>G98*H98/1000000</f>
        <v>0.102816</v>
      </c>
    </row>
    <row r="99" spans="2:12">
      <c r="B99" s="557"/>
      <c r="C99" s="557"/>
      <c r="D99" s="557"/>
      <c r="E99" s="557"/>
      <c r="F99" s="557"/>
      <c r="G99" s="557"/>
      <c r="H99" s="146" t="s">
        <v>902</v>
      </c>
      <c r="I99" s="146">
        <f>SUM(I94:I98)</f>
        <v>0.55984926315789463</v>
      </c>
      <c r="J99" s="17">
        <f>I99*1000000/86400</f>
        <v>6.4797368421052619</v>
      </c>
      <c r="K99">
        <f>J99/8</f>
        <v>0.80996710526315774</v>
      </c>
    </row>
    <row r="100" spans="2:12" ht="15" customHeight="1">
      <c r="J100" s="3" t="s">
        <v>0</v>
      </c>
      <c r="K100" s="3" t="s">
        <v>1017</v>
      </c>
    </row>
    <row r="101" spans="2:12" ht="18.75">
      <c r="B101" s="553" t="s">
        <v>911</v>
      </c>
      <c r="C101" s="553"/>
      <c r="D101" s="553"/>
      <c r="E101" s="553"/>
      <c r="F101" s="553"/>
      <c r="G101" s="553"/>
      <c r="H101" s="553"/>
      <c r="I101" s="553"/>
      <c r="J101" s="150"/>
    </row>
    <row r="102" spans="2:12">
      <c r="B102" s="144"/>
      <c r="C102" s="145" t="s">
        <v>850</v>
      </c>
      <c r="D102" s="145" t="s">
        <v>892</v>
      </c>
      <c r="E102" s="145" t="s">
        <v>893</v>
      </c>
      <c r="F102" s="145" t="s">
        <v>894</v>
      </c>
      <c r="G102" s="145" t="s">
        <v>895</v>
      </c>
      <c r="H102" s="145" t="s">
        <v>896</v>
      </c>
      <c r="I102" s="145" t="s">
        <v>897</v>
      </c>
      <c r="J102" s="29"/>
    </row>
    <row r="103" spans="2:12" ht="15.75">
      <c r="B103" s="142" t="s">
        <v>898</v>
      </c>
      <c r="C103" s="142" t="s">
        <v>860</v>
      </c>
      <c r="D103" s="142">
        <f>$E$3</f>
        <v>600</v>
      </c>
      <c r="E103" s="142" t="s">
        <v>878</v>
      </c>
      <c r="F103" s="142">
        <f>$I$9*$F$3</f>
        <v>2.7777777777777778E-4</v>
      </c>
      <c r="G103" s="142">
        <f>D103*F103</f>
        <v>0.16666666666666666</v>
      </c>
      <c r="H103" s="142">
        <v>86400</v>
      </c>
      <c r="I103" s="142">
        <f>G103*H103/1000000</f>
        <v>1.44E-2</v>
      </c>
      <c r="K103" s="148">
        <f>(I108-I103)*1000000/(8*86400)</f>
        <v>0.48483319748486253</v>
      </c>
      <c r="L103" s="148" t="str">
        <f>"&lt;=no HK, byte/s"</f>
        <v>&lt;=no HK, byte/s</v>
      </c>
    </row>
    <row r="104" spans="2:12">
      <c r="B104" s="142" t="s">
        <v>899</v>
      </c>
      <c r="C104" s="142" t="s">
        <v>867</v>
      </c>
      <c r="D104" s="142">
        <f>$E$5</f>
        <v>280</v>
      </c>
      <c r="E104" s="151" t="s">
        <v>877</v>
      </c>
      <c r="F104" s="142">
        <f>$M$8*$F$5</f>
        <v>8.8495575221238937E-3</v>
      </c>
      <c r="G104" s="142">
        <f>D104*F104</f>
        <v>2.4778761061946901</v>
      </c>
      <c r="H104" s="142">
        <v>86400</v>
      </c>
      <c r="I104" s="142">
        <f>G104*H104/1000000</f>
        <v>0.21408849557522122</v>
      </c>
    </row>
    <row r="105" spans="2:12">
      <c r="B105" s="142" t="s">
        <v>869</v>
      </c>
      <c r="C105" s="142" t="s">
        <v>870</v>
      </c>
      <c r="D105" s="142">
        <f>$E$6</f>
        <v>696</v>
      </c>
      <c r="E105" s="142" t="s">
        <v>878</v>
      </c>
      <c r="F105" s="142">
        <f>$M$9*$F$6</f>
        <v>2.7412280701754384E-4</v>
      </c>
      <c r="G105" s="142">
        <f>D105*F105</f>
        <v>0.19078947368421051</v>
      </c>
      <c r="H105" s="142">
        <v>86400</v>
      </c>
      <c r="I105" s="142">
        <f>G105*H105/1000000</f>
        <v>1.6484210526315785E-2</v>
      </c>
    </row>
    <row r="106" spans="2:12">
      <c r="B106" s="142" t="s">
        <v>872</v>
      </c>
      <c r="C106" s="142" t="s">
        <v>873</v>
      </c>
      <c r="D106" s="142">
        <f>$E$7</f>
        <v>1728</v>
      </c>
      <c r="E106" s="142" t="s">
        <v>865</v>
      </c>
      <c r="F106" s="142">
        <f>$M$4*$F$7</f>
        <v>1.1574074074074073E-5</v>
      </c>
      <c r="G106" s="142">
        <f>D106*F106</f>
        <v>0.02</v>
      </c>
      <c r="H106" s="142">
        <v>86400</v>
      </c>
      <c r="I106" s="142">
        <f>G106*H106/1000000</f>
        <v>1.7279999999999999E-3</v>
      </c>
    </row>
    <row r="107" spans="2:12">
      <c r="B107" s="142" t="s">
        <v>875</v>
      </c>
      <c r="C107" s="142" t="s">
        <v>876</v>
      </c>
      <c r="D107" s="142">
        <f>$E$8</f>
        <v>1632</v>
      </c>
      <c r="E107" s="142" t="s">
        <v>865</v>
      </c>
      <c r="F107" s="142">
        <f>$M$4*$F$8</f>
        <v>7.2916666666666659E-4</v>
      </c>
      <c r="G107" s="142">
        <f>D107*F107</f>
        <v>1.19</v>
      </c>
      <c r="H107" s="142">
        <v>86400</v>
      </c>
      <c r="I107" s="142">
        <f>G107*H107/1000000</f>
        <v>0.102816</v>
      </c>
      <c r="K107" t="s">
        <v>1026</v>
      </c>
    </row>
    <row r="108" spans="2:12">
      <c r="B108" s="557"/>
      <c r="C108" s="557"/>
      <c r="D108" s="557"/>
      <c r="E108" s="557"/>
      <c r="F108" s="557"/>
      <c r="G108" s="557"/>
      <c r="H108" s="146" t="s">
        <v>902</v>
      </c>
      <c r="I108" s="146">
        <f>SUM(I103:I107)</f>
        <v>0.34951670610153701</v>
      </c>
      <c r="J108" s="17">
        <f>I108*1000000/86400</f>
        <v>4.0453322465455672</v>
      </c>
      <c r="K108" s="175">
        <f>J108/8</f>
        <v>0.5056665308181959</v>
      </c>
    </row>
    <row r="109" spans="2:12" ht="15" customHeight="1">
      <c r="J109" s="3" t="s">
        <v>0</v>
      </c>
      <c r="K109" s="3" t="s">
        <v>1017</v>
      </c>
    </row>
    <row r="110" spans="2:12" ht="18.75">
      <c r="B110" s="553" t="s">
        <v>912</v>
      </c>
      <c r="C110" s="553"/>
      <c r="D110" s="553"/>
      <c r="E110" s="553"/>
      <c r="F110" s="553"/>
      <c r="G110" s="553"/>
      <c r="H110" s="553"/>
      <c r="I110" s="553"/>
      <c r="J110" s="150"/>
    </row>
    <row r="111" spans="2:12">
      <c r="B111" s="144"/>
      <c r="C111" s="145" t="s">
        <v>850</v>
      </c>
      <c r="D111" s="145" t="s">
        <v>892</v>
      </c>
      <c r="E111" s="145" t="s">
        <v>893</v>
      </c>
      <c r="F111" s="145" t="s">
        <v>894</v>
      </c>
      <c r="G111" s="145" t="s">
        <v>895</v>
      </c>
      <c r="H111" s="145" t="s">
        <v>896</v>
      </c>
      <c r="I111" s="145" t="s">
        <v>897</v>
      </c>
      <c r="J111" s="29"/>
    </row>
    <row r="112" spans="2:12" ht="15.75">
      <c r="B112" s="142" t="s">
        <v>898</v>
      </c>
      <c r="C112" s="142" t="s">
        <v>860</v>
      </c>
      <c r="D112" s="142">
        <f>$E$3</f>
        <v>600</v>
      </c>
      <c r="E112" s="142" t="s">
        <v>878</v>
      </c>
      <c r="F112" s="142">
        <f>$I$9*$F$3</f>
        <v>2.7777777777777778E-4</v>
      </c>
      <c r="G112" s="142">
        <f>D112*F112</f>
        <v>0.16666666666666666</v>
      </c>
      <c r="H112" s="142">
        <v>86400</v>
      </c>
      <c r="I112" s="142">
        <f>G112*H112/1000000</f>
        <v>1.44E-2</v>
      </c>
      <c r="K112" s="148">
        <f>(I117-I112)*1000000/(8*86400)</f>
        <v>0.38219927592650266</v>
      </c>
      <c r="L112" s="148" t="str">
        <f>"&lt;=no HK, byte/s"</f>
        <v>&lt;=no HK, byte/s</v>
      </c>
    </row>
    <row r="113" spans="2:12">
      <c r="B113" s="142" t="s">
        <v>899</v>
      </c>
      <c r="C113" s="142" t="s">
        <v>867</v>
      </c>
      <c r="D113" s="142">
        <f>$E$5</f>
        <v>280</v>
      </c>
      <c r="E113" s="151" t="s">
        <v>874</v>
      </c>
      <c r="F113" s="142">
        <f>$M$7*$F$5</f>
        <v>5.9171597633136093E-3</v>
      </c>
      <c r="G113" s="142">
        <f>D113*F113</f>
        <v>1.6568047337278107</v>
      </c>
      <c r="H113" s="142">
        <v>86400</v>
      </c>
      <c r="I113" s="142">
        <f>G113*H113/1000000</f>
        <v>0.14314792899408285</v>
      </c>
    </row>
    <row r="114" spans="2:12">
      <c r="B114" s="142" t="s">
        <v>869</v>
      </c>
      <c r="C114" s="142" t="s">
        <v>870</v>
      </c>
      <c r="D114" s="142">
        <f>$E$6</f>
        <v>696</v>
      </c>
      <c r="E114" s="142" t="s">
        <v>878</v>
      </c>
      <c r="F114" s="142">
        <f>$M$9*$F$6</f>
        <v>2.7412280701754384E-4</v>
      </c>
      <c r="G114" s="142">
        <f>D114*F114</f>
        <v>0.19078947368421051</v>
      </c>
      <c r="H114" s="142">
        <v>86400</v>
      </c>
      <c r="I114" s="142">
        <f>G114*H114/1000000</f>
        <v>1.6484210526315785E-2</v>
      </c>
    </row>
    <row r="115" spans="2:12">
      <c r="B115" s="142" t="s">
        <v>872</v>
      </c>
      <c r="C115" s="142" t="s">
        <v>873</v>
      </c>
      <c r="D115" s="142">
        <f>$E$7</f>
        <v>1728</v>
      </c>
      <c r="E115" s="142" t="s">
        <v>865</v>
      </c>
      <c r="F115" s="142">
        <f>$M$4*$F$7</f>
        <v>1.1574074074074073E-5</v>
      </c>
      <c r="G115" s="142">
        <f>D115*F115</f>
        <v>0.02</v>
      </c>
      <c r="H115" s="142">
        <v>86400</v>
      </c>
      <c r="I115" s="142">
        <f>G115*H115/1000000</f>
        <v>1.7279999999999999E-3</v>
      </c>
    </row>
    <row r="116" spans="2:12">
      <c r="B116" s="142" t="s">
        <v>875</v>
      </c>
      <c r="C116" s="142" t="s">
        <v>876</v>
      </c>
      <c r="D116" s="142">
        <f>$E$8</f>
        <v>1632</v>
      </c>
      <c r="E116" s="142" t="s">
        <v>865</v>
      </c>
      <c r="F116" s="142">
        <f>$M$4*$F$8</f>
        <v>7.2916666666666659E-4</v>
      </c>
      <c r="G116" s="142">
        <f>D116*F116</f>
        <v>1.19</v>
      </c>
      <c r="H116" s="142">
        <v>86400</v>
      </c>
      <c r="I116" s="142">
        <f>G116*H116/1000000</f>
        <v>0.102816</v>
      </c>
    </row>
    <row r="117" spans="2:12">
      <c r="B117" s="557"/>
      <c r="C117" s="557"/>
      <c r="D117" s="557"/>
      <c r="E117" s="557"/>
      <c r="F117" s="557"/>
      <c r="G117" s="557"/>
      <c r="H117" s="146" t="s">
        <v>902</v>
      </c>
      <c r="I117" s="146">
        <f>SUM(I112:I116)</f>
        <v>0.27857613952039867</v>
      </c>
      <c r="J117" s="17">
        <f>I117*1000000/86400</f>
        <v>3.2242608740786887</v>
      </c>
      <c r="K117">
        <f>J117/8</f>
        <v>0.40303260925983608</v>
      </c>
    </row>
    <row r="118" spans="2:12">
      <c r="B118" s="3"/>
      <c r="C118" s="3"/>
      <c r="D118" s="3"/>
      <c r="E118" s="3"/>
      <c r="F118" s="3"/>
      <c r="G118" s="3"/>
      <c r="I118" s="17"/>
      <c r="J118" s="3" t="s">
        <v>0</v>
      </c>
      <c r="K118" s="3" t="s">
        <v>1017</v>
      </c>
    </row>
    <row r="119" spans="2:12" ht="18.75">
      <c r="B119" s="553" t="s">
        <v>913</v>
      </c>
      <c r="C119" s="553"/>
      <c r="D119" s="553"/>
      <c r="E119" s="553"/>
      <c r="F119" s="553"/>
      <c r="G119" s="553"/>
      <c r="H119" s="553"/>
      <c r="I119" s="553"/>
      <c r="J119" s="150"/>
    </row>
    <row r="120" spans="2:12">
      <c r="B120" s="144"/>
      <c r="C120" s="145" t="s">
        <v>850</v>
      </c>
      <c r="D120" s="145" t="s">
        <v>892</v>
      </c>
      <c r="E120" s="145" t="s">
        <v>893</v>
      </c>
      <c r="F120" s="145" t="s">
        <v>894</v>
      </c>
      <c r="G120" s="145" t="s">
        <v>895</v>
      </c>
      <c r="H120" s="145" t="s">
        <v>896</v>
      </c>
      <c r="I120" s="145" t="s">
        <v>897</v>
      </c>
      <c r="J120" s="29"/>
    </row>
    <row r="121" spans="2:12" ht="15.75">
      <c r="B121" s="142" t="s">
        <v>898</v>
      </c>
      <c r="C121" s="142" t="s">
        <v>860</v>
      </c>
      <c r="D121" s="142">
        <f>$E$3</f>
        <v>600</v>
      </c>
      <c r="E121" s="142" t="s">
        <v>878</v>
      </c>
      <c r="F121" s="142">
        <f>$I$9*$F$3</f>
        <v>2.7777777777777778E-4</v>
      </c>
      <c r="G121" s="142">
        <f>D121*F121</f>
        <v>0.16666666666666666</v>
      </c>
      <c r="H121" s="142">
        <v>86400</v>
      </c>
      <c r="I121" s="142">
        <f>G121*H121/1000000</f>
        <v>1.44E-2</v>
      </c>
      <c r="K121" s="148">
        <f>(I126-I121)*1000000/(8*86400)</f>
        <v>0.27864898006851446</v>
      </c>
      <c r="L121" s="148" t="str">
        <f>"&lt;=no HK, byte/s"</f>
        <v>&lt;=no HK, byte/s</v>
      </c>
    </row>
    <row r="122" spans="2:12">
      <c r="B122" s="142" t="s">
        <v>899</v>
      </c>
      <c r="C122" s="142" t="s">
        <v>867</v>
      </c>
      <c r="D122" s="142">
        <f>$E$5</f>
        <v>280</v>
      </c>
      <c r="E122" s="151" t="s">
        <v>871</v>
      </c>
      <c r="F122" s="142">
        <f>$M$6*$F$5</f>
        <v>2.9585798816568047E-3</v>
      </c>
      <c r="G122" s="142">
        <f>D122*F122</f>
        <v>0.82840236686390534</v>
      </c>
      <c r="H122" s="142">
        <v>86400</v>
      </c>
      <c r="I122" s="142">
        <f>G122*H122/1000000</f>
        <v>7.1573964497041426E-2</v>
      </c>
    </row>
    <row r="123" spans="2:12">
      <c r="B123" s="142" t="s">
        <v>869</v>
      </c>
      <c r="C123" s="142" t="s">
        <v>870</v>
      </c>
      <c r="D123" s="142">
        <f>$E$6</f>
        <v>696</v>
      </c>
      <c r="E123" s="142" t="s">
        <v>878</v>
      </c>
      <c r="F123" s="142">
        <f>$M$9*$F$6</f>
        <v>2.7412280701754384E-4</v>
      </c>
      <c r="G123" s="142">
        <f>D123*F123</f>
        <v>0.19078947368421051</v>
      </c>
      <c r="H123" s="142">
        <v>86400</v>
      </c>
      <c r="I123" s="142">
        <f>G123*H123/1000000</f>
        <v>1.6484210526315785E-2</v>
      </c>
    </row>
    <row r="124" spans="2:12">
      <c r="B124" s="142" t="s">
        <v>872</v>
      </c>
      <c r="C124" s="142" t="s">
        <v>873</v>
      </c>
      <c r="D124" s="142">
        <f>$E$7</f>
        <v>1728</v>
      </c>
      <c r="E124" s="142" t="s">
        <v>865</v>
      </c>
      <c r="F124" s="142">
        <f>$M$4*$F$7</f>
        <v>1.1574074074074073E-5</v>
      </c>
      <c r="G124" s="142">
        <f>D124*F124</f>
        <v>0.02</v>
      </c>
      <c r="H124" s="142">
        <v>86400</v>
      </c>
      <c r="I124" s="142">
        <f>G124*H124/1000000</f>
        <v>1.7279999999999999E-3</v>
      </c>
    </row>
    <row r="125" spans="2:12">
      <c r="B125" s="142" t="s">
        <v>875</v>
      </c>
      <c r="C125" s="142" t="s">
        <v>876</v>
      </c>
      <c r="D125" s="142">
        <f>$E$8</f>
        <v>1632</v>
      </c>
      <c r="E125" s="142" t="s">
        <v>865</v>
      </c>
      <c r="F125" s="142">
        <f>$M$4*$F$8</f>
        <v>7.2916666666666659E-4</v>
      </c>
      <c r="G125" s="142">
        <f>D125*F125</f>
        <v>1.19</v>
      </c>
      <c r="H125" s="142">
        <v>86400</v>
      </c>
      <c r="I125" s="142">
        <f>G125*H125/1000000</f>
        <v>0.102816</v>
      </c>
    </row>
    <row r="126" spans="2:12">
      <c r="B126" s="557"/>
      <c r="C126" s="557"/>
      <c r="D126" s="557"/>
      <c r="E126" s="557"/>
      <c r="F126" s="557"/>
      <c r="G126" s="557"/>
      <c r="H126" s="146" t="s">
        <v>902</v>
      </c>
      <c r="I126" s="146">
        <f>SUM(I121:I125)</f>
        <v>0.20700217502335722</v>
      </c>
      <c r="J126" s="17">
        <f>I126*1000000/86400</f>
        <v>2.3958585072147827</v>
      </c>
      <c r="K126">
        <f>J126/8</f>
        <v>0.29948231340184783</v>
      </c>
    </row>
    <row r="127" spans="2:12">
      <c r="B127" s="3"/>
      <c r="C127" s="3"/>
      <c r="D127" s="3"/>
      <c r="E127" s="3"/>
      <c r="F127" s="3"/>
      <c r="G127" s="3"/>
      <c r="I127" s="17"/>
      <c r="J127" s="3" t="s">
        <v>0</v>
      </c>
      <c r="K127" s="3" t="s">
        <v>1017</v>
      </c>
    </row>
    <row r="128" spans="2:12" ht="18.75">
      <c r="B128" s="553" t="s">
        <v>914</v>
      </c>
      <c r="C128" s="553"/>
      <c r="D128" s="553"/>
      <c r="E128" s="553"/>
      <c r="F128" s="553"/>
      <c r="G128" s="553"/>
      <c r="H128" s="553"/>
      <c r="I128" s="553"/>
      <c r="J128" s="150"/>
    </row>
    <row r="129" spans="2:12">
      <c r="B129" s="144"/>
      <c r="C129" s="145" t="s">
        <v>850</v>
      </c>
      <c r="D129" s="145" t="s">
        <v>892</v>
      </c>
      <c r="E129" s="145" t="s">
        <v>893</v>
      </c>
      <c r="F129" s="145" t="s">
        <v>894</v>
      </c>
      <c r="G129" s="145" t="s">
        <v>895</v>
      </c>
      <c r="H129" s="145" t="s">
        <v>896</v>
      </c>
      <c r="I129" s="145" t="s">
        <v>897</v>
      </c>
      <c r="J129" s="29"/>
    </row>
    <row r="130" spans="2:12">
      <c r="B130" s="142" t="s">
        <v>898</v>
      </c>
      <c r="C130" s="142" t="s">
        <v>860</v>
      </c>
      <c r="D130" s="142">
        <f>$E$3</f>
        <v>600</v>
      </c>
      <c r="E130" s="142" t="s">
        <v>878</v>
      </c>
      <c r="F130" s="142">
        <f>$I$9*$F$3</f>
        <v>2.7777777777777778E-4</v>
      </c>
      <c r="G130" s="142">
        <f>D130*F130</f>
        <v>0.16666666666666666</v>
      </c>
      <c r="H130" s="142">
        <v>86400</v>
      </c>
      <c r="I130" s="142">
        <f>G130*H130/1000000</f>
        <v>1.44E-2</v>
      </c>
    </row>
    <row r="131" spans="2:12">
      <c r="B131" s="142" t="s">
        <v>899</v>
      </c>
      <c r="C131" s="142" t="s">
        <v>867</v>
      </c>
      <c r="D131" s="142">
        <f>$E$5</f>
        <v>280</v>
      </c>
      <c r="E131" s="151" t="s">
        <v>868</v>
      </c>
      <c r="F131" s="142">
        <f>$M$5*$F$5</f>
        <v>1.4814814814814814E-3</v>
      </c>
      <c r="G131" s="142">
        <f>D131*F131</f>
        <v>0.4148148148148148</v>
      </c>
      <c r="H131" s="142">
        <v>86400</v>
      </c>
      <c r="I131" s="142">
        <f>G131*H131/1000000</f>
        <v>3.5839999999999997E-2</v>
      </c>
    </row>
    <row r="132" spans="2:12">
      <c r="B132" s="142" t="s">
        <v>869</v>
      </c>
      <c r="C132" s="142" t="s">
        <v>870</v>
      </c>
      <c r="D132" s="142">
        <f>$E$6</f>
        <v>696</v>
      </c>
      <c r="E132" s="142" t="s">
        <v>878</v>
      </c>
      <c r="F132" s="142">
        <f>$M$9*$F$6</f>
        <v>2.7412280701754384E-4</v>
      </c>
      <c r="G132" s="142">
        <f>D132*F132</f>
        <v>0.19078947368421051</v>
      </c>
      <c r="H132" s="142">
        <v>86400</v>
      </c>
      <c r="I132" s="142">
        <f>G132*H132/1000000</f>
        <v>1.6484210526315785E-2</v>
      </c>
    </row>
    <row r="133" spans="2:12">
      <c r="B133" s="142" t="s">
        <v>872</v>
      </c>
      <c r="C133" s="142" t="s">
        <v>873</v>
      </c>
      <c r="D133" s="142">
        <f>$E$7</f>
        <v>1728</v>
      </c>
      <c r="E133" s="142" t="s">
        <v>865</v>
      </c>
      <c r="F133" s="142">
        <f>$M$4*$F$7</f>
        <v>1.1574074074074073E-5</v>
      </c>
      <c r="G133" s="142">
        <f>D133*F133</f>
        <v>0.02</v>
      </c>
      <c r="H133" s="142">
        <v>86400</v>
      </c>
      <c r="I133" s="142">
        <f>G133*H133/1000000</f>
        <v>1.7279999999999999E-3</v>
      </c>
    </row>
    <row r="134" spans="2:12">
      <c r="B134" s="142" t="s">
        <v>875</v>
      </c>
      <c r="C134" s="142" t="s">
        <v>876</v>
      </c>
      <c r="D134" s="142">
        <f>$E$8</f>
        <v>1632</v>
      </c>
      <c r="E134" s="142" t="s">
        <v>865</v>
      </c>
      <c r="F134" s="142">
        <f>$M$4*$F$8</f>
        <v>7.2916666666666659E-4</v>
      </c>
      <c r="G134" s="142">
        <f>D134*F134</f>
        <v>1.19</v>
      </c>
      <c r="H134" s="142">
        <v>86400</v>
      </c>
      <c r="I134" s="142">
        <f>G134*H134/1000000</f>
        <v>0.102816</v>
      </c>
    </row>
    <row r="135" spans="2:12">
      <c r="B135" s="557"/>
      <c r="C135" s="557"/>
      <c r="D135" s="557"/>
      <c r="E135" s="557"/>
      <c r="F135" s="557"/>
      <c r="G135" s="557"/>
      <c r="H135" s="146" t="s">
        <v>902</v>
      </c>
      <c r="I135" s="146">
        <f>SUM(I130:I134)</f>
        <v>0.17126821052631577</v>
      </c>
      <c r="J135" s="17">
        <f>I135*1000000/86400</f>
        <v>1.9822709551656921</v>
      </c>
      <c r="K135">
        <f>J135/8</f>
        <v>0.24778386939571151</v>
      </c>
    </row>
    <row r="136" spans="2:12" ht="15" customHeight="1">
      <c r="J136" s="3" t="s">
        <v>0</v>
      </c>
      <c r="K136" s="3" t="s">
        <v>1017</v>
      </c>
    </row>
    <row r="137" spans="2:12" ht="18.75">
      <c r="B137" s="553" t="s">
        <v>915</v>
      </c>
      <c r="C137" s="553"/>
      <c r="D137" s="553"/>
      <c r="E137" s="553"/>
      <c r="F137" s="553"/>
      <c r="G137" s="553"/>
      <c r="H137" s="553"/>
      <c r="I137" s="553"/>
      <c r="J137" s="150"/>
    </row>
    <row r="138" spans="2:12">
      <c r="B138" s="144"/>
      <c r="C138" s="145" t="s">
        <v>850</v>
      </c>
      <c r="D138" s="145" t="s">
        <v>892</v>
      </c>
      <c r="E138" s="145" t="s">
        <v>893</v>
      </c>
      <c r="F138" s="145" t="s">
        <v>894</v>
      </c>
      <c r="G138" s="145" t="s">
        <v>895</v>
      </c>
      <c r="H138" s="145" t="s">
        <v>896</v>
      </c>
      <c r="I138" s="145" t="s">
        <v>897</v>
      </c>
      <c r="J138" s="29"/>
    </row>
    <row r="139" spans="2:12" ht="15.75">
      <c r="B139" s="142" t="s">
        <v>898</v>
      </c>
      <c r="C139" s="142" t="s">
        <v>860</v>
      </c>
      <c r="D139" s="142">
        <f>$E$3</f>
        <v>600</v>
      </c>
      <c r="E139" s="142" t="s">
        <v>878</v>
      </c>
      <c r="F139" s="142">
        <f>$I$9*$F$3</f>
        <v>2.7777777777777778E-4</v>
      </c>
      <c r="G139" s="142">
        <f>D139*F139</f>
        <v>0.16666666666666666</v>
      </c>
      <c r="H139" s="142">
        <v>86400</v>
      </c>
      <c r="I139" s="142">
        <f>G139*H139/1000000</f>
        <v>1.44E-2</v>
      </c>
      <c r="K139" s="148">
        <f>(I144-I139)*1000000/(8*86400)</f>
        <v>0.20102461013645223</v>
      </c>
      <c r="L139" s="148" t="str">
        <f>"&lt;=no HK, byte/s"</f>
        <v>&lt;=no HK, byte/s</v>
      </c>
    </row>
    <row r="140" spans="2:12">
      <c r="B140" s="142" t="s">
        <v>899</v>
      </c>
      <c r="C140" s="142" t="s">
        <v>867</v>
      </c>
      <c r="D140" s="142">
        <f>$E$5</f>
        <v>280</v>
      </c>
      <c r="E140" s="151" t="s">
        <v>865</v>
      </c>
      <c r="F140" s="142">
        <f>$M$4*$F$5</f>
        <v>7.407407407407407E-4</v>
      </c>
      <c r="G140" s="142">
        <f>D140*F140</f>
        <v>0.2074074074074074</v>
      </c>
      <c r="H140" s="142">
        <v>86400</v>
      </c>
      <c r="I140" s="142">
        <f>G140*H140/1000000</f>
        <v>1.7919999999999998E-2</v>
      </c>
    </row>
    <row r="141" spans="2:12">
      <c r="B141" s="142" t="s">
        <v>869</v>
      </c>
      <c r="C141" s="142" t="s">
        <v>870</v>
      </c>
      <c r="D141" s="142">
        <f>$E$6</f>
        <v>696</v>
      </c>
      <c r="E141" s="142" t="s">
        <v>878</v>
      </c>
      <c r="F141" s="142">
        <f>$M$9*$F$6</f>
        <v>2.7412280701754384E-4</v>
      </c>
      <c r="G141" s="142">
        <f>D141*F141</f>
        <v>0.19078947368421051</v>
      </c>
      <c r="H141" s="142">
        <v>86400</v>
      </c>
      <c r="I141" s="142">
        <f>G141*H141/1000000</f>
        <v>1.6484210526315785E-2</v>
      </c>
    </row>
    <row r="142" spans="2:12">
      <c r="B142" s="142" t="s">
        <v>872</v>
      </c>
      <c r="C142" s="142" t="s">
        <v>873</v>
      </c>
      <c r="D142" s="142">
        <f>$E$7</f>
        <v>1728</v>
      </c>
      <c r="E142" s="142" t="s">
        <v>865</v>
      </c>
      <c r="F142" s="142">
        <f>$M$4*$F$7</f>
        <v>1.1574074074074073E-5</v>
      </c>
      <c r="G142" s="142">
        <f>D142*F142</f>
        <v>0.02</v>
      </c>
      <c r="H142" s="142">
        <v>86400</v>
      </c>
      <c r="I142" s="142">
        <f>G142*H142/1000000</f>
        <v>1.7279999999999999E-3</v>
      </c>
    </row>
    <row r="143" spans="2:12">
      <c r="B143" s="142" t="s">
        <v>875</v>
      </c>
      <c r="C143" s="142" t="s">
        <v>876</v>
      </c>
      <c r="D143" s="142">
        <f>$E$8</f>
        <v>1632</v>
      </c>
      <c r="E143" s="142" t="s">
        <v>865</v>
      </c>
      <c r="F143" s="142">
        <f>$M$4*$F$8</f>
        <v>7.2916666666666659E-4</v>
      </c>
      <c r="G143" s="142">
        <f>D143*F143</f>
        <v>1.19</v>
      </c>
      <c r="H143" s="142">
        <v>86400</v>
      </c>
      <c r="I143" s="142">
        <f>G143*H143/1000000</f>
        <v>0.102816</v>
      </c>
    </row>
    <row r="144" spans="2:12">
      <c r="B144" s="554"/>
      <c r="C144" s="554"/>
      <c r="D144" s="554"/>
      <c r="E144" s="554"/>
      <c r="F144" s="554"/>
      <c r="G144" s="554"/>
      <c r="H144" s="146" t="s">
        <v>902</v>
      </c>
      <c r="I144" s="146">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55" t="s">
        <v>916</v>
      </c>
      <c r="C149" s="555"/>
      <c r="D149" s="555"/>
      <c r="E149" s="555"/>
      <c r="F149" s="555"/>
      <c r="G149" s="555"/>
      <c r="H149" s="555"/>
      <c r="I149" s="555"/>
      <c r="J149" s="556" t="s">
        <v>917</v>
      </c>
      <c r="K149" s="556"/>
      <c r="L149" s="556"/>
      <c r="M149" s="556"/>
    </row>
    <row r="150" spans="2:13">
      <c r="B150" s="144"/>
      <c r="C150" s="145" t="s">
        <v>850</v>
      </c>
      <c r="D150" s="145" t="s">
        <v>892</v>
      </c>
      <c r="E150" s="145" t="s">
        <v>893</v>
      </c>
      <c r="F150" s="145" t="s">
        <v>894</v>
      </c>
      <c r="G150" s="145" t="s">
        <v>895</v>
      </c>
      <c r="H150" s="145" t="s">
        <v>896</v>
      </c>
      <c r="I150" s="145" t="s">
        <v>897</v>
      </c>
      <c r="J150" s="29"/>
    </row>
    <row r="151" spans="2:13" ht="15.75">
      <c r="B151" s="142" t="s">
        <v>898</v>
      </c>
      <c r="C151" s="142" t="s">
        <v>860</v>
      </c>
      <c r="D151" s="142">
        <f>$E$3</f>
        <v>600</v>
      </c>
      <c r="E151" s="142" t="s">
        <v>890</v>
      </c>
      <c r="F151" s="142">
        <f>$I$21*$F$3</f>
        <v>1</v>
      </c>
      <c r="G151" s="142">
        <f>D151*F151</f>
        <v>600</v>
      </c>
      <c r="H151" s="142">
        <v>7200</v>
      </c>
      <c r="I151" s="142">
        <f>G151*H151/1000000</f>
        <v>4.32</v>
      </c>
      <c r="K151" s="148">
        <f>(I156-I151)*1000000/(8*86400)</f>
        <v>2.9383680555555554</v>
      </c>
      <c r="L151" s="148" t="str">
        <f>"&lt;=no HK, byte/s"</f>
        <v>&lt;=no HK, byte/s</v>
      </c>
    </row>
    <row r="152" spans="2:13">
      <c r="B152" s="142" t="s">
        <v>899</v>
      </c>
      <c r="C152" s="142" t="s">
        <v>867</v>
      </c>
      <c r="D152" s="142">
        <f>$E$5</f>
        <v>280</v>
      </c>
      <c r="E152" s="142" t="s">
        <v>884</v>
      </c>
      <c r="F152" s="142">
        <f>$M$15*$F$5</f>
        <v>1</v>
      </c>
      <c r="G152" s="142">
        <f>D152*F152</f>
        <v>280</v>
      </c>
      <c r="H152" s="142">
        <v>7200</v>
      </c>
      <c r="I152" s="142">
        <f>G152*H152/1000000</f>
        <v>2.016</v>
      </c>
    </row>
    <row r="153" spans="2:13">
      <c r="B153" s="142" t="s">
        <v>869</v>
      </c>
      <c r="C153" s="142" t="s">
        <v>870</v>
      </c>
      <c r="D153" s="142">
        <f>$E$6</f>
        <v>696</v>
      </c>
      <c r="E153" s="142" t="s">
        <v>861</v>
      </c>
      <c r="F153" s="142">
        <f>$M$3*$F$6</f>
        <v>0</v>
      </c>
      <c r="G153" s="142">
        <f>D153*F153</f>
        <v>0</v>
      </c>
      <c r="H153" s="142">
        <v>0</v>
      </c>
      <c r="I153" s="142">
        <f>G153*H153/1000000</f>
        <v>0</v>
      </c>
    </row>
    <row r="154" spans="2:13">
      <c r="B154" s="142" t="s">
        <v>872</v>
      </c>
      <c r="C154" s="142" t="s">
        <v>873</v>
      </c>
      <c r="D154" s="142">
        <f>$E$7</f>
        <v>1728</v>
      </c>
      <c r="E154" s="142" t="s">
        <v>861</v>
      </c>
      <c r="F154" s="142">
        <v>0</v>
      </c>
      <c r="G154" s="142">
        <f>D154*F154</f>
        <v>0</v>
      </c>
      <c r="H154" s="142">
        <v>0</v>
      </c>
      <c r="I154" s="142">
        <f>G154*H154/1000000</f>
        <v>0</v>
      </c>
    </row>
    <row r="155" spans="2:13">
      <c r="B155" s="142" t="s">
        <v>875</v>
      </c>
      <c r="C155" s="142" t="s">
        <v>876</v>
      </c>
      <c r="D155" s="142">
        <f>$E$8</f>
        <v>1632</v>
      </c>
      <c r="E155" s="142" t="s">
        <v>861</v>
      </c>
      <c r="F155" s="142">
        <v>0</v>
      </c>
      <c r="G155" s="142">
        <f>D155*F155</f>
        <v>0</v>
      </c>
      <c r="H155" s="142">
        <v>0</v>
      </c>
      <c r="I155" s="142">
        <f>G155*H155/1000000</f>
        <v>0</v>
      </c>
    </row>
    <row r="156" spans="2:13">
      <c r="B156" s="557"/>
      <c r="C156" s="557"/>
      <c r="D156" s="557"/>
      <c r="E156" s="557"/>
      <c r="F156" s="557"/>
      <c r="G156" s="557"/>
      <c r="H156" s="146" t="s">
        <v>902</v>
      </c>
      <c r="I156" s="146">
        <f>SUM(I151:I155)+(15000/1000000)</f>
        <v>6.351</v>
      </c>
      <c r="J156" s="17"/>
    </row>
    <row r="162" spans="2:7" ht="72" customHeight="1">
      <c r="B162" s="550" t="s">
        <v>918</v>
      </c>
      <c r="C162" s="152" t="s">
        <v>919</v>
      </c>
      <c r="D162" s="153" t="s">
        <v>920</v>
      </c>
      <c r="E162" s="551" t="s">
        <v>921</v>
      </c>
      <c r="F162" s="551"/>
      <c r="G162" s="551"/>
    </row>
    <row r="163" spans="2:7" ht="78.75" customHeight="1">
      <c r="B163" s="550"/>
      <c r="C163" s="1" t="s">
        <v>922</v>
      </c>
      <c r="D163" s="153" t="s">
        <v>923</v>
      </c>
    </row>
    <row r="164" spans="2:7" ht="18">
      <c r="B164" s="154" t="s">
        <v>861</v>
      </c>
      <c r="C164" s="155">
        <v>0</v>
      </c>
      <c r="D164" s="156">
        <f t="shared" ref="D164:D176" si="3">C164*365.25/1000</f>
        <v>0</v>
      </c>
    </row>
    <row r="165" spans="2:7" ht="18">
      <c r="B165" s="154" t="s">
        <v>865</v>
      </c>
      <c r="C165" s="157">
        <f>$I$144</f>
        <v>0.15334821052631578</v>
      </c>
      <c r="D165" s="158">
        <f t="shared" si="3"/>
        <v>5.6010433894736839E-2</v>
      </c>
    </row>
    <row r="166" spans="2:7" ht="18">
      <c r="B166" s="154" t="s">
        <v>868</v>
      </c>
      <c r="C166" s="157">
        <f>$I$135</f>
        <v>0.17126821052631577</v>
      </c>
      <c r="D166" s="158">
        <f t="shared" si="3"/>
        <v>6.2555713894736839E-2</v>
      </c>
    </row>
    <row r="167" spans="2:7" ht="18">
      <c r="B167" s="154" t="s">
        <v>871</v>
      </c>
      <c r="C167" s="157">
        <f>$I$126</f>
        <v>0.20700217502335722</v>
      </c>
      <c r="D167" s="158">
        <f t="shared" si="3"/>
        <v>7.5607544427281223E-2</v>
      </c>
    </row>
    <row r="168" spans="2:7" ht="18">
      <c r="B168" s="154" t="s">
        <v>874</v>
      </c>
      <c r="C168" s="157">
        <f>$I$117</f>
        <v>0.27857613952039867</v>
      </c>
      <c r="D168" s="158">
        <f t="shared" si="3"/>
        <v>0.10174993495982561</v>
      </c>
    </row>
    <row r="169" spans="2:7" ht="18">
      <c r="B169" s="154" t="s">
        <v>877</v>
      </c>
      <c r="C169" s="157">
        <f>$I$108</f>
        <v>0.34951670610153701</v>
      </c>
      <c r="D169" s="158">
        <f t="shared" si="3"/>
        <v>0.12766097690358638</v>
      </c>
    </row>
    <row r="170" spans="2:7" ht="18">
      <c r="B170" s="154" t="s">
        <v>878</v>
      </c>
      <c r="C170" s="157">
        <f>$I$99</f>
        <v>0.55984926315789463</v>
      </c>
      <c r="D170" s="158">
        <f t="shared" si="3"/>
        <v>0.20448494336842099</v>
      </c>
    </row>
    <row r="171" spans="2:7" ht="18">
      <c r="B171" s="154" t="s">
        <v>879</v>
      </c>
      <c r="C171" s="157">
        <f>$I$90</f>
        <v>0.9696351070780399</v>
      </c>
      <c r="D171" s="158">
        <f t="shared" si="3"/>
        <v>0.35415922286025409</v>
      </c>
    </row>
    <row r="172" spans="2:7" ht="18">
      <c r="B172" s="154" t="s">
        <v>880</v>
      </c>
      <c r="C172" s="157">
        <f>$I$81</f>
        <v>1.3450282105263158</v>
      </c>
      <c r="D172" s="158">
        <f t="shared" si="3"/>
        <v>0.49127155389473687</v>
      </c>
    </row>
    <row r="173" spans="2:7" ht="18">
      <c r="B173" s="154" t="s">
        <v>881</v>
      </c>
      <c r="C173" s="157">
        <f>$I$72</f>
        <v>2.5546282105263156</v>
      </c>
      <c r="D173" s="158">
        <f t="shared" si="3"/>
        <v>0.9330779538947368</v>
      </c>
    </row>
    <row r="174" spans="2:7" ht="18">
      <c r="B174" s="154" t="s">
        <v>882</v>
      </c>
      <c r="C174" s="157">
        <f>$I$63</f>
        <v>4.9738282105263156</v>
      </c>
      <c r="D174" s="158">
        <f t="shared" si="3"/>
        <v>1.8166907538947368</v>
      </c>
    </row>
    <row r="175" spans="2:7" ht="18">
      <c r="B175" s="154" t="s">
        <v>883</v>
      </c>
      <c r="C175" s="157">
        <f>$I$54</f>
        <v>12.231428210526317</v>
      </c>
      <c r="D175" s="158">
        <f t="shared" si="3"/>
        <v>4.4675291538947377</v>
      </c>
    </row>
    <row r="176" spans="2:7" ht="18">
      <c r="B176" s="154" t="s">
        <v>884</v>
      </c>
      <c r="C176" s="157">
        <f>$I$45</f>
        <v>24.327428210526314</v>
      </c>
      <c r="D176" s="158">
        <f t="shared" si="3"/>
        <v>8.885593153894737</v>
      </c>
    </row>
    <row r="179" spans="2:11" ht="32.25" customHeight="1">
      <c r="B179" s="550" t="s">
        <v>918</v>
      </c>
      <c r="C179" s="152" t="s">
        <v>919</v>
      </c>
      <c r="D179" s="153" t="s">
        <v>920</v>
      </c>
    </row>
    <row r="180" spans="2:11" ht="36">
      <c r="B180" s="550"/>
      <c r="C180" s="1" t="s">
        <v>924</v>
      </c>
      <c r="D180" s="153" t="s">
        <v>925</v>
      </c>
    </row>
    <row r="181" spans="2:11" ht="36">
      <c r="B181" s="154" t="s">
        <v>926</v>
      </c>
      <c r="C181" s="159">
        <f>$I$32</f>
        <v>24.222884210526313</v>
      </c>
      <c r="D181" s="159">
        <f>C181*365.25/1000</f>
        <v>8.847408457894737</v>
      </c>
    </row>
    <row r="189" spans="2:11" ht="21" customHeight="1">
      <c r="B189" s="552" t="s">
        <v>927</v>
      </c>
      <c r="C189" s="552"/>
      <c r="D189" s="552"/>
      <c r="E189" s="552"/>
      <c r="F189" s="552"/>
      <c r="G189" s="552"/>
      <c r="H189" s="552"/>
      <c r="I189" s="160"/>
      <c r="J189" s="160"/>
      <c r="K189" s="160"/>
    </row>
    <row r="190" spans="2:11" ht="15.75" customHeight="1"/>
    <row r="191" spans="2:11" ht="15.75">
      <c r="B191" s="161"/>
      <c r="C191" s="162" t="s">
        <v>893</v>
      </c>
      <c r="D191" s="163" t="s">
        <v>928</v>
      </c>
      <c r="F191" s="161"/>
      <c r="G191" s="162" t="s">
        <v>893</v>
      </c>
      <c r="H191" s="163" t="s">
        <v>928</v>
      </c>
    </row>
    <row r="192" spans="2:11" ht="15.75">
      <c r="B192" s="164"/>
      <c r="C192" s="165" t="s">
        <v>884</v>
      </c>
      <c r="D192" s="166">
        <f>$C$176</f>
        <v>24.327428210526314</v>
      </c>
      <c r="F192" s="164"/>
      <c r="G192" s="165" t="s">
        <v>884</v>
      </c>
      <c r="H192" s="166">
        <f>$C$176</f>
        <v>24.327428210526314</v>
      </c>
    </row>
    <row r="193" spans="1:8" ht="15.75">
      <c r="B193" s="164"/>
      <c r="C193" s="165" t="s">
        <v>883</v>
      </c>
      <c r="D193" s="166">
        <f>$C$175</f>
        <v>12.231428210526317</v>
      </c>
      <c r="F193" s="164"/>
      <c r="G193" s="165" t="s">
        <v>883</v>
      </c>
      <c r="H193" s="166">
        <f>$C$175</f>
        <v>12.231428210526317</v>
      </c>
    </row>
    <row r="194" spans="1:8" ht="15.75">
      <c r="B194" s="164"/>
      <c r="C194" s="165" t="s">
        <v>882</v>
      </c>
      <c r="D194" s="166">
        <f>$C$174</f>
        <v>4.9738282105263156</v>
      </c>
      <c r="F194" s="164"/>
      <c r="G194" s="165" t="s">
        <v>882</v>
      </c>
      <c r="H194" s="166">
        <f>$C$174</f>
        <v>4.9738282105263156</v>
      </c>
    </row>
    <row r="195" spans="1:8" ht="15.75">
      <c r="B195" s="164"/>
      <c r="C195" s="165" t="s">
        <v>881</v>
      </c>
      <c r="D195" s="166">
        <f>$C$173</f>
        <v>2.5546282105263156</v>
      </c>
      <c r="F195" s="164"/>
      <c r="G195" s="165" t="s">
        <v>881</v>
      </c>
      <c r="H195" s="166">
        <f>$C$173</f>
        <v>2.5546282105263156</v>
      </c>
    </row>
    <row r="196" spans="1:8" ht="15.75">
      <c r="B196" s="164"/>
      <c r="C196" s="165"/>
      <c r="D196" s="166"/>
      <c r="F196" s="164"/>
      <c r="G196" s="165"/>
      <c r="H196" s="167"/>
    </row>
    <row r="197" spans="1:8" ht="15.75">
      <c r="A197" s="168"/>
      <c r="B197" s="549" t="s">
        <v>929</v>
      </c>
      <c r="C197" s="549"/>
      <c r="D197" s="549"/>
      <c r="F197" s="549" t="s">
        <v>929</v>
      </c>
      <c r="G197" s="549"/>
      <c r="H197" s="549"/>
    </row>
    <row r="198" spans="1:8" ht="15.75">
      <c r="B198" s="164" t="s">
        <v>930</v>
      </c>
      <c r="C198" s="165" t="s">
        <v>848</v>
      </c>
      <c r="D198" s="167" t="s">
        <v>931</v>
      </c>
      <c r="F198" s="164" t="s">
        <v>930</v>
      </c>
      <c r="G198" s="165" t="s">
        <v>848</v>
      </c>
      <c r="H198" s="167" t="s">
        <v>931</v>
      </c>
    </row>
    <row r="199" spans="1:8" ht="15.75">
      <c r="B199" s="164" t="s">
        <v>932</v>
      </c>
      <c r="C199" s="165">
        <v>48</v>
      </c>
      <c r="D199" s="169">
        <f>C199*D193</f>
        <v>587.10855410526324</v>
      </c>
      <c r="F199" s="164" t="s">
        <v>933</v>
      </c>
      <c r="G199" s="165">
        <v>5</v>
      </c>
      <c r="H199" s="169">
        <f>G199*H193</f>
        <v>61.157141052631587</v>
      </c>
    </row>
    <row r="200" spans="1:8" ht="15.75">
      <c r="B200" s="164" t="s">
        <v>934</v>
      </c>
      <c r="C200" s="165">
        <f>365-C199</f>
        <v>317</v>
      </c>
      <c r="D200" s="169">
        <f>C200*D194</f>
        <v>1576.7035427368421</v>
      </c>
      <c r="F200" s="164" t="s">
        <v>932</v>
      </c>
      <c r="G200" s="165">
        <v>122</v>
      </c>
      <c r="H200" s="169">
        <f>G200*H193</f>
        <v>1492.2342416842107</v>
      </c>
    </row>
    <row r="201" spans="1:8" ht="15.75">
      <c r="B201" s="164"/>
      <c r="C201" s="165">
        <f>SUM(C199:C200)</f>
        <v>365</v>
      </c>
      <c r="D201" s="170">
        <f>SUM(D199:D200)</f>
        <v>2163.8120968421053</v>
      </c>
      <c r="F201" s="164" t="s">
        <v>935</v>
      </c>
      <c r="G201" s="165">
        <f>365-(G199+G200)</f>
        <v>238</v>
      </c>
      <c r="H201" s="169">
        <f>H195*G201</f>
        <v>608.00151410526314</v>
      </c>
    </row>
    <row r="202" spans="1:8" ht="15.75">
      <c r="B202" s="164"/>
      <c r="C202" s="165"/>
      <c r="D202" s="167"/>
      <c r="F202" s="164"/>
      <c r="G202" s="165">
        <f>SUM(G199:G201)</f>
        <v>365</v>
      </c>
      <c r="H202" s="170">
        <f>SUM(H199:H201)</f>
        <v>2161.3928968421055</v>
      </c>
    </row>
    <row r="203" spans="1:8" ht="15.75">
      <c r="B203" s="164"/>
      <c r="C203" s="165"/>
      <c r="D203" s="167"/>
      <c r="F203" s="164"/>
      <c r="G203" s="165"/>
      <c r="H203" s="167"/>
    </row>
    <row r="204" spans="1:8" ht="15.75">
      <c r="B204" s="549" t="s">
        <v>936</v>
      </c>
      <c r="C204" s="549"/>
      <c r="D204" s="549"/>
      <c r="F204" s="549" t="s">
        <v>936</v>
      </c>
      <c r="G204" s="549"/>
      <c r="H204" s="549"/>
    </row>
    <row r="205" spans="1:8" ht="15.75">
      <c r="B205" s="164" t="s">
        <v>930</v>
      </c>
      <c r="C205" s="165" t="s">
        <v>848</v>
      </c>
      <c r="D205" s="167" t="s">
        <v>931</v>
      </c>
      <c r="F205" s="164" t="s">
        <v>930</v>
      </c>
      <c r="G205" s="165" t="s">
        <v>848</v>
      </c>
      <c r="H205" s="167" t="s">
        <v>931</v>
      </c>
    </row>
    <row r="206" spans="1:8" ht="15.75">
      <c r="B206" s="164" t="s">
        <v>934</v>
      </c>
      <c r="C206" s="165">
        <v>260</v>
      </c>
      <c r="D206" s="169">
        <f>C206*D194</f>
        <v>1293.1953347368421</v>
      </c>
      <c r="F206" s="164" t="s">
        <v>932</v>
      </c>
      <c r="G206" s="165">
        <v>40</v>
      </c>
      <c r="H206" s="169">
        <f>G206*H193</f>
        <v>489.2571284210527</v>
      </c>
    </row>
    <row r="207" spans="1:8" ht="15.75">
      <c r="B207" s="164"/>
      <c r="C207" s="165"/>
      <c r="D207" s="169"/>
      <c r="F207" s="164" t="s">
        <v>934</v>
      </c>
      <c r="G207" s="165">
        <v>100</v>
      </c>
      <c r="H207" s="169">
        <f>G207*H194</f>
        <v>497.38282105263158</v>
      </c>
    </row>
    <row r="208" spans="1:8" ht="15.75">
      <c r="B208" s="164" t="s">
        <v>935</v>
      </c>
      <c r="C208" s="165">
        <f>365-C206</f>
        <v>105</v>
      </c>
      <c r="D208" s="169">
        <f>C208*D195</f>
        <v>268.23596210526313</v>
      </c>
      <c r="F208" s="164" t="s">
        <v>935</v>
      </c>
      <c r="G208" s="165">
        <f>365-(G206+G207)</f>
        <v>225</v>
      </c>
      <c r="H208" s="169">
        <f>G208*D195</f>
        <v>574.79134736842104</v>
      </c>
    </row>
    <row r="209" spans="2:8" ht="15.75">
      <c r="B209" s="171"/>
      <c r="C209" s="172">
        <f>SUM(C206:C208)</f>
        <v>365</v>
      </c>
      <c r="D209" s="173">
        <f>SUM(D206:D208)</f>
        <v>1561.4312968421052</v>
      </c>
      <c r="F209" s="171"/>
      <c r="G209" s="172">
        <f>SUM(H206:H208)</f>
        <v>1561.4312968421054</v>
      </c>
      <c r="H209" s="173">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3" priority="2">
      <formula>M3=I3</formula>
    </cfRule>
    <cfRule type="expression" dxfId="2" priority="3">
      <formula>M3&lt;&gt;I3</formula>
    </cfRule>
  </conditionalFormatting>
  <conditionalFormatting sqref="T4:Z22">
    <cfRule type="expression" dxfId="1" priority="1">
      <formula>ISNA(T4)</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drawing r:id="rId1"/>
  <tableParts count="3">
    <tablePart r:id="rId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7">
        <f>X6*1000000/(8*86400)</f>
        <v>3.6959320175438659</v>
      </c>
      <c r="Y9" s="38"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39">
        <f t="shared" ref="V10:V21" si="0">Y10/8</f>
        <v>4.8557552083333402</v>
      </c>
      <c r="W10" t="s">
        <v>71</v>
      </c>
      <c r="X10" s="3" t="s">
        <v>72</v>
      </c>
      <c r="Y10" s="38">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39">
        <f t="shared" si="0"/>
        <v>0.34244791666666624</v>
      </c>
      <c r="W14" t="s">
        <v>81</v>
      </c>
      <c r="X14" s="3" t="s">
        <v>79</v>
      </c>
      <c r="Y14" s="38">
        <f t="shared" si="1"/>
        <v>2.7395833333333299</v>
      </c>
      <c r="AD14" s="3"/>
      <c r="AE14">
        <v>2.7395833333333299</v>
      </c>
      <c r="AF14" s="3">
        <f t="shared" si="2"/>
        <v>0.23669999999999972</v>
      </c>
      <c r="AG14" s="3">
        <f>AF14*21</f>
        <v>4.9706999999999937</v>
      </c>
    </row>
    <row r="15" spans="13:33" ht="15">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3">
        <f t="shared" si="2"/>
        <v>1.1969279999999958</v>
      </c>
      <c r="AG15" s="3"/>
    </row>
    <row r="16" spans="13:33" ht="15">
      <c r="P16" s="40"/>
      <c r="Q16" s="40" t="s">
        <v>85</v>
      </c>
      <c r="R16" s="40"/>
      <c r="S16" s="41" t="s">
        <v>86</v>
      </c>
      <c r="T16" s="42" t="s">
        <v>83</v>
      </c>
      <c r="U16" s="43" t="s">
        <v>70</v>
      </c>
      <c r="V16" s="44">
        <f t="shared" si="0"/>
        <v>2.4219444444444478</v>
      </c>
      <c r="W16" s="40" t="s">
        <v>84</v>
      </c>
      <c r="X16" s="42" t="s">
        <v>72</v>
      </c>
      <c r="Y16" s="38">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39">
        <f t="shared" si="0"/>
        <v>1.6742795138888924</v>
      </c>
      <c r="W18" t="s">
        <v>91</v>
      </c>
      <c r="X18" s="3" t="s">
        <v>79</v>
      </c>
      <c r="Y18" s="38">
        <f t="shared" si="1"/>
        <v>13.394236111111139</v>
      </c>
      <c r="AA18">
        <v>2.5244444444444398</v>
      </c>
      <c r="AC18">
        <v>10.8697916666667</v>
      </c>
      <c r="AF18" s="3">
        <f t="shared" si="2"/>
        <v>1.1572620000000022</v>
      </c>
    </row>
    <row r="19" spans="11:43" ht="15">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39">
        <f t="shared" si="0"/>
        <v>52.75</v>
      </c>
      <c r="W20" t="s">
        <v>93</v>
      </c>
      <c r="X20" s="3" t="s">
        <v>79</v>
      </c>
      <c r="Y20" s="38">
        <f t="shared" si="1"/>
        <v>422</v>
      </c>
      <c r="AD20">
        <v>422</v>
      </c>
      <c r="AF20" s="3">
        <f t="shared" si="2"/>
        <v>36.460799999999999</v>
      </c>
    </row>
    <row r="21" spans="11:43" ht="15">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3">
        <f t="shared" si="2"/>
        <v>1.2365459999999995</v>
      </c>
    </row>
    <row r="22" spans="11:43" ht="15"/>
    <row r="23" spans="11:43" ht="15">
      <c r="U23" s="36" t="s">
        <v>97</v>
      </c>
      <c r="V23" s="24">
        <v>197375</v>
      </c>
      <c r="AB23" s="3"/>
    </row>
    <row r="24" spans="11:43" ht="15">
      <c r="P24" s="45" t="s">
        <v>98</v>
      </c>
      <c r="Q24" s="45" t="s">
        <v>99</v>
      </c>
      <c r="R24" s="46">
        <v>606262016</v>
      </c>
      <c r="S24" s="45">
        <v>8</v>
      </c>
      <c r="T24" s="45" t="s">
        <v>27</v>
      </c>
      <c r="U24" s="45" t="s">
        <v>100</v>
      </c>
      <c r="V24" s="45" t="s">
        <v>101</v>
      </c>
      <c r="W24" s="45" t="s">
        <v>102</v>
      </c>
      <c r="X24" s="45" t="s">
        <v>103</v>
      </c>
      <c r="Y24" s="47"/>
      <c r="Z24" s="48"/>
    </row>
    <row r="25" spans="11:43" ht="15">
      <c r="O25" s="6" t="s">
        <v>104</v>
      </c>
      <c r="P25" s="45" t="s">
        <v>105</v>
      </c>
      <c r="Q25" s="45" t="s">
        <v>106</v>
      </c>
      <c r="R25" s="46">
        <v>606473516</v>
      </c>
      <c r="S25" s="45">
        <v>7</v>
      </c>
      <c r="T25" s="45" t="s">
        <v>27</v>
      </c>
      <c r="U25" s="45" t="s">
        <v>107</v>
      </c>
      <c r="V25" s="45" t="s">
        <v>101</v>
      </c>
      <c r="W25" s="45" t="s">
        <v>102</v>
      </c>
      <c r="X25" s="45" t="s">
        <v>108</v>
      </c>
      <c r="Y25" s="48"/>
    </row>
    <row r="26" spans="11:43" ht="15">
      <c r="P26" s="45" t="s">
        <v>109</v>
      </c>
      <c r="Q26" s="45" t="s">
        <v>110</v>
      </c>
      <c r="R26" s="45">
        <v>606480128</v>
      </c>
      <c r="S26" s="45">
        <v>0</v>
      </c>
      <c r="T26" s="45" t="s">
        <v>111</v>
      </c>
      <c r="U26" s="45" t="s">
        <v>112</v>
      </c>
      <c r="V26" s="45" t="s">
        <v>113</v>
      </c>
      <c r="W26" s="45"/>
      <c r="X26" s="45" t="s">
        <v>114</v>
      </c>
      <c r="Y26" s="48"/>
    </row>
    <row r="27" spans="11:43" ht="15">
      <c r="P27">
        <f>R26-R25</f>
        <v>6612</v>
      </c>
      <c r="R27">
        <v>589335049</v>
      </c>
      <c r="S27">
        <v>589362052</v>
      </c>
      <c r="T27">
        <f>S27-R27</f>
        <v>27003</v>
      </c>
      <c r="U27">
        <v>110684</v>
      </c>
      <c r="V27">
        <f>U27/T27</f>
        <v>4.0989519682998186</v>
      </c>
    </row>
    <row r="28" spans="11:43" ht="15">
      <c r="M28">
        <f>(20+16/24)*38.9*86400/1000000</f>
        <v>69.45984</v>
      </c>
      <c r="P28" s="46" t="s">
        <v>115</v>
      </c>
      <c r="Q28" s="46" t="s">
        <v>116</v>
      </c>
      <c r="R28" s="46">
        <v>606482128</v>
      </c>
      <c r="S28" s="46">
        <v>1</v>
      </c>
      <c r="T28" s="46" t="s">
        <v>27</v>
      </c>
      <c r="U28" s="46" t="s">
        <v>117</v>
      </c>
      <c r="V28" s="46" t="s">
        <v>118</v>
      </c>
      <c r="W28" s="46"/>
      <c r="X28" s="46"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8">
        <f>AJ31+AJ33+AJ34</f>
        <v>31.701153000000001</v>
      </c>
    </row>
    <row r="31" spans="11:43" ht="15.75">
      <c r="L31" s="47" t="s">
        <v>127</v>
      </c>
      <c r="M31" s="47" t="s">
        <v>128</v>
      </c>
      <c r="N31" s="48" t="s">
        <v>129</v>
      </c>
      <c r="O31" s="49" t="s">
        <v>130</v>
      </c>
      <c r="P31" s="32" t="s">
        <v>131</v>
      </c>
      <c r="Q31" s="35">
        <f>R24-20</f>
        <v>606261996</v>
      </c>
      <c r="R31" s="35">
        <f>R25</f>
        <v>606473516</v>
      </c>
      <c r="S31" s="21">
        <f>R31-Q31</f>
        <v>211520</v>
      </c>
      <c r="T31" s="21">
        <f>S31*$V$9</f>
        <v>808006.4</v>
      </c>
      <c r="U31" s="3">
        <v>0</v>
      </c>
      <c r="V31" s="27">
        <f>T31+U31*$V$23</f>
        <v>808006.4</v>
      </c>
      <c r="W31" s="20">
        <f>Y31*1000000/8</f>
        <v>1085211.75</v>
      </c>
      <c r="X31" s="22">
        <f>W31-V31</f>
        <v>277205.34999999998</v>
      </c>
      <c r="Y31" s="33">
        <f>8.681694</f>
        <v>8.6816940000000002</v>
      </c>
      <c r="Z31" s="33"/>
      <c r="AA31" s="50">
        <v>344216</v>
      </c>
      <c r="AB31" s="51">
        <f>S31*$S$9</f>
        <v>294226.40092592593</v>
      </c>
      <c r="AC31" s="52">
        <f>AB31*8/1000000</f>
        <v>2.3538112074074076</v>
      </c>
      <c r="AD31" s="50">
        <f>AB31+AB32</f>
        <v>1088101.4009259259</v>
      </c>
      <c r="AE31" s="50">
        <f>AC31+AC32</f>
        <v>8.704811207407408</v>
      </c>
      <c r="AF31" s="31" t="s">
        <v>132</v>
      </c>
      <c r="AG31" s="49" t="s">
        <v>130</v>
      </c>
      <c r="AH31" s="53">
        <f>X31*8/1000000</f>
        <v>2.2176427999999997</v>
      </c>
      <c r="AI31" s="53">
        <f>V31*8/1000000</f>
        <v>6.4640512000000001</v>
      </c>
      <c r="AJ31" s="48">
        <v>8.6816940000000002</v>
      </c>
      <c r="AK31" t="s">
        <v>132</v>
      </c>
      <c r="AL31" t="s">
        <v>133</v>
      </c>
      <c r="AM31">
        <v>0.80020999999999998</v>
      </c>
      <c r="AN31">
        <v>6</v>
      </c>
      <c r="AO31">
        <v>1.786772</v>
      </c>
      <c r="AP31">
        <v>0.98655599999999999</v>
      </c>
      <c r="AQ31">
        <v>8.6816940000000002</v>
      </c>
    </row>
    <row r="32" spans="11:43" ht="15.75">
      <c r="K32" s="47" t="s">
        <v>134</v>
      </c>
      <c r="L32" s="47" t="s">
        <v>128</v>
      </c>
      <c r="M32" s="47" t="s">
        <v>135</v>
      </c>
      <c r="N32" s="48">
        <v>5.58</v>
      </c>
      <c r="O32" s="49"/>
      <c r="P32" s="32" t="s">
        <v>131</v>
      </c>
      <c r="Q32" s="35">
        <f>R31-1</f>
        <v>606473515</v>
      </c>
      <c r="R32" s="35">
        <f>R26</f>
        <v>606480128</v>
      </c>
      <c r="S32" s="21">
        <f>R32-Q32</f>
        <v>6613</v>
      </c>
      <c r="T32" s="21">
        <f>N32*1000000/8</f>
        <v>697500</v>
      </c>
      <c r="U32" s="3">
        <v>0</v>
      </c>
      <c r="V32" s="27">
        <f>T32+U32*$V$23</f>
        <v>697500</v>
      </c>
      <c r="W32" s="20">
        <f>X31</f>
        <v>277205.34999999998</v>
      </c>
      <c r="X32" s="22">
        <f>W32-V32</f>
        <v>-420294.65</v>
      </c>
      <c r="Y32" s="33"/>
      <c r="Z32" s="33"/>
      <c r="AA32" s="50">
        <v>677415</v>
      </c>
      <c r="AB32" s="54">
        <f>AC32*1000000/8</f>
        <v>793875</v>
      </c>
      <c r="AC32" s="55">
        <v>6.351</v>
      </c>
      <c r="AD32" s="50">
        <f>AB32+AB31-W31</f>
        <v>2889.6509259259328</v>
      </c>
      <c r="AE32" s="50">
        <f>AC32+AC31-Y31</f>
        <v>2.3117207407407747E-2</v>
      </c>
      <c r="AF32" s="31"/>
      <c r="AG32" s="49"/>
      <c r="AH32" s="53"/>
      <c r="AI32" s="53"/>
      <c r="AJ32" s="48"/>
    </row>
    <row r="33" spans="1:44" ht="15.75">
      <c r="K33" s="47" t="s">
        <v>136</v>
      </c>
      <c r="L33" s="47" t="s">
        <v>135</v>
      </c>
      <c r="M33" s="47" t="s">
        <v>137</v>
      </c>
      <c r="N33" s="48"/>
      <c r="O33" s="49" t="s">
        <v>138</v>
      </c>
      <c r="P33" s="32" t="s">
        <v>139</v>
      </c>
      <c r="Q33" s="35">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3">
        <f>AJ33</f>
        <v>15.724325</v>
      </c>
      <c r="Z33" s="33"/>
      <c r="AA33" s="50">
        <v>647088</v>
      </c>
      <c r="AB33" s="56">
        <f>S33*$S$9</f>
        <v>562683.86211983429</v>
      </c>
      <c r="AC33" s="57">
        <f>AB33*8/1000000</f>
        <v>4.5014708969586739</v>
      </c>
      <c r="AD33" s="50">
        <f>AB33-V33</f>
        <v>-982562.11288023472</v>
      </c>
      <c r="AE33" s="50">
        <f>AD33*8/1000000</f>
        <v>-7.8604969030418781</v>
      </c>
      <c r="AF33" s="31" t="str">
        <f>AK33</f>
        <v>TRK_112_1</v>
      </c>
      <c r="AG33" s="49" t="s">
        <v>138</v>
      </c>
      <c r="AH33" s="53">
        <f>X33*8/1000000</f>
        <v>-5.5134296417236325E-13</v>
      </c>
      <c r="AI33" s="53">
        <f>V33*8/1000000</f>
        <v>12.361967800000553</v>
      </c>
      <c r="AJ33" s="48">
        <v>15.724325</v>
      </c>
      <c r="AK33" t="s">
        <v>140</v>
      </c>
      <c r="AL33" t="s">
        <v>141</v>
      </c>
      <c r="AM33">
        <v>0.23064999999999999</v>
      </c>
      <c r="AN33">
        <v>6</v>
      </c>
      <c r="AO33">
        <v>2.0175109999999998</v>
      </c>
      <c r="AP33">
        <v>1.7868550000000001</v>
      </c>
      <c r="AQ33">
        <v>15.724325</v>
      </c>
    </row>
    <row r="34" spans="1:44" ht="15.75">
      <c r="L34" s="47" t="s">
        <v>137</v>
      </c>
      <c r="M34" s="47" t="s">
        <v>142</v>
      </c>
      <c r="N34" s="48"/>
      <c r="O34" s="49" t="s">
        <v>143</v>
      </c>
      <c r="P34" s="32" t="s">
        <v>144</v>
      </c>
      <c r="Q34" s="58">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3">
        <f>AJ34</f>
        <v>7.295134</v>
      </c>
      <c r="Z34" s="33"/>
      <c r="AA34" s="50">
        <v>323548</v>
      </c>
      <c r="AB34" s="56">
        <f>S34*$S$9</f>
        <v>332055.07733177627</v>
      </c>
      <c r="AC34" s="57">
        <f>AB34*8/1000000</f>
        <v>2.65644061865421</v>
      </c>
      <c r="AD34" s="50">
        <f>AB34-V34</f>
        <v>-579836.67266831186</v>
      </c>
      <c r="AE34" s="50">
        <f>AC34-Y34</f>
        <v>-4.6386933813457905</v>
      </c>
      <c r="AF34" s="31" t="str">
        <f>AK34</f>
        <v>TRK_112_2</v>
      </c>
      <c r="AG34" s="49" t="s">
        <v>143</v>
      </c>
      <c r="AH34" s="53">
        <f>X34*8/1000000</f>
        <v>-7.0501118898391721E-13</v>
      </c>
      <c r="AI34" s="53">
        <f>V34*8/1000000</f>
        <v>7.2951340000007052</v>
      </c>
      <c r="AJ34" s="48">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3"/>
      <c r="AI35" s="53"/>
    </row>
    <row r="36" spans="1:44" ht="15">
      <c r="L36" s="3"/>
      <c r="M36" s="3"/>
      <c r="N36" s="3"/>
      <c r="P36" s="15" t="s">
        <v>148</v>
      </c>
      <c r="Q36" s="15" t="s">
        <v>149</v>
      </c>
      <c r="R36" s="15">
        <v>606263216</v>
      </c>
      <c r="S36" s="15">
        <v>7</v>
      </c>
      <c r="T36" s="15" t="s">
        <v>27</v>
      </c>
      <c r="U36" s="15" t="s">
        <v>150</v>
      </c>
      <c r="V36" s="15" t="s">
        <v>151</v>
      </c>
      <c r="W36" s="15" t="s">
        <v>152</v>
      </c>
      <c r="X36" s="15" t="s">
        <v>153</v>
      </c>
      <c r="Y36" s="59"/>
      <c r="Z36" s="60"/>
      <c r="AA36" s="3" t="s">
        <v>154</v>
      </c>
      <c r="AB36" s="3" t="s">
        <v>155</v>
      </c>
      <c r="AC36" s="3" t="s">
        <v>156</v>
      </c>
      <c r="AD36" s="59"/>
      <c r="AE36" s="59"/>
      <c r="AH36" s="53"/>
      <c r="AI36" s="53"/>
    </row>
    <row r="37" spans="1:44" ht="15.75">
      <c r="A37" s="59" t="s">
        <v>157</v>
      </c>
      <c r="B37" s="59"/>
      <c r="C37" s="59"/>
      <c r="D37" s="59"/>
      <c r="E37" s="59"/>
      <c r="F37" s="59"/>
      <c r="G37" s="59"/>
      <c r="H37" s="59"/>
      <c r="I37" s="59"/>
      <c r="J37" s="59"/>
      <c r="K37" s="59"/>
      <c r="L37" s="59" t="s">
        <v>158</v>
      </c>
      <c r="M37" s="59" t="s">
        <v>159</v>
      </c>
      <c r="N37" s="59"/>
      <c r="O37" s="34" t="s">
        <v>160</v>
      </c>
      <c r="P37" s="32" t="s">
        <v>161</v>
      </c>
      <c r="Q37" s="61">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3">
        <f>AJ37</f>
        <v>12.175423</v>
      </c>
      <c r="Z37" s="33"/>
      <c r="AA37" s="50">
        <v>1614636</v>
      </c>
      <c r="AB37" s="56">
        <f>AA37-T37</f>
        <v>290083.12499972247</v>
      </c>
      <c r="AC37" s="62">
        <f>(AB37/8)/1000000</f>
        <v>3.6260390624965305E-2</v>
      </c>
      <c r="AD37" s="50"/>
      <c r="AE37" s="50"/>
      <c r="AF37" s="31" t="str">
        <f>AK37</f>
        <v>TRK_113_1</v>
      </c>
      <c r="AG37" s="34" t="s">
        <v>160</v>
      </c>
      <c r="AH37" s="53">
        <f>X37*8/1000000</f>
        <v>-2.2202730178833006E-12</v>
      </c>
      <c r="AI37" s="53">
        <f>V37*8/1000000</f>
        <v>12.175423000002221</v>
      </c>
      <c r="AJ37" s="63">
        <v>12.175423</v>
      </c>
      <c r="AK37" t="s">
        <v>162</v>
      </c>
      <c r="AL37" t="s">
        <v>163</v>
      </c>
      <c r="AM37">
        <v>0.23605000000000001</v>
      </c>
      <c r="AN37">
        <v>6</v>
      </c>
      <c r="AO37">
        <v>1.6196269999999999</v>
      </c>
      <c r="AP37">
        <v>1.3835710000000001</v>
      </c>
      <c r="AQ37">
        <v>12.175423</v>
      </c>
    </row>
    <row r="38" spans="1:44" ht="15.75">
      <c r="L38" s="59" t="str">
        <f>M37</f>
        <v>99/20:14</v>
      </c>
      <c r="M38" s="59" t="s">
        <v>164</v>
      </c>
      <c r="N38" s="59"/>
      <c r="O38" s="34" t="s">
        <v>165</v>
      </c>
      <c r="P38" s="32" t="s">
        <v>29</v>
      </c>
      <c r="Q38" s="58">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3">
        <f>AJ38</f>
        <v>15.587928</v>
      </c>
      <c r="Z38" s="33"/>
      <c r="AA38" s="50">
        <v>2057144</v>
      </c>
      <c r="AB38" s="56">
        <f>AA38-T38</f>
        <v>108652.9999997355</v>
      </c>
      <c r="AC38" s="62">
        <f>(AB38/8)/1000000</f>
        <v>1.3581624999966938E-2</v>
      </c>
      <c r="AD38" s="50"/>
      <c r="AE38" s="50"/>
      <c r="AF38" s="31" t="str">
        <f>AK38</f>
        <v>TRK_114_1_</v>
      </c>
      <c r="AG38" s="34" t="s">
        <v>165</v>
      </c>
      <c r="AH38" s="53">
        <f>X38*8/1000000</f>
        <v>-2.1159648895263673E-12</v>
      </c>
      <c r="AI38" s="53">
        <f>V38*8/1000000</f>
        <v>15.587928000002115</v>
      </c>
      <c r="AJ38" s="63">
        <v>15.587928</v>
      </c>
      <c r="AK38" t="s">
        <v>166</v>
      </c>
      <c r="AL38" t="s">
        <v>167</v>
      </c>
      <c r="AM38">
        <v>0.40827999999999998</v>
      </c>
      <c r="AN38">
        <v>6</v>
      </c>
      <c r="AO38">
        <v>2.1796410000000002</v>
      </c>
      <c r="AP38">
        <v>1.771355</v>
      </c>
      <c r="AQ38">
        <v>15.587928</v>
      </c>
    </row>
    <row r="39" spans="1:44" ht="15.75">
      <c r="L39" s="59" t="str">
        <f>M38</f>
        <v>104/11:33</v>
      </c>
      <c r="M39" s="59" t="s">
        <v>168</v>
      </c>
      <c r="N39" s="59"/>
      <c r="O39" s="34" t="s">
        <v>169</v>
      </c>
      <c r="P39" s="32" t="s">
        <v>170</v>
      </c>
      <c r="Q39" s="58">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3">
        <f>AJ39</f>
        <v>8.8757579999999994</v>
      </c>
      <c r="Z39" s="33"/>
      <c r="AA39" s="50">
        <v>1157806</v>
      </c>
      <c r="AB39" s="56">
        <f>AA39-T39</f>
        <v>48336.250000240747</v>
      </c>
      <c r="AC39" s="62">
        <f>(AB39/8)/1000000</f>
        <v>6.0420312500300936E-3</v>
      </c>
      <c r="AD39" s="50"/>
      <c r="AE39" s="50"/>
      <c r="AF39" s="31" t="str">
        <f>AK39</f>
        <v>TRK_115_1</v>
      </c>
      <c r="AG39" s="34" t="s">
        <v>169</v>
      </c>
      <c r="AH39" s="53">
        <f>X39*8/1000000</f>
        <v>1.9259750843048095E-12</v>
      </c>
      <c r="AI39" s="53">
        <f>V39*8/1000000</f>
        <v>8.8757579999980738</v>
      </c>
      <c r="AJ39" s="63">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3"/>
      <c r="AI40" s="53"/>
      <c r="AJ40">
        <f>SUM(AJ37:AJ39)</f>
        <v>36.639108999999998</v>
      </c>
    </row>
    <row r="41" spans="1:44" ht="15.75">
      <c r="L41" s="47" t="s">
        <v>142</v>
      </c>
      <c r="M41" s="47" t="s">
        <v>173</v>
      </c>
      <c r="N41" s="48"/>
      <c r="O41" s="49" t="s">
        <v>174</v>
      </c>
      <c r="P41" s="32" t="s">
        <v>175</v>
      </c>
      <c r="Q41" s="58">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3">
        <f>AJ41</f>
        <v>1.2670090000000001</v>
      </c>
      <c r="Z41" s="33"/>
      <c r="AA41" s="50"/>
      <c r="AB41" s="56">
        <f>S41*$S$9</f>
        <v>57670.876432920704</v>
      </c>
      <c r="AC41" s="57">
        <f>AB41*8/1000000</f>
        <v>0.46136701146336562</v>
      </c>
      <c r="AD41" s="56">
        <f>AB41-V41</f>
        <v>-100705.24856729862</v>
      </c>
      <c r="AE41" s="50">
        <f>AC41-Y41</f>
        <v>-0.80564198853663438</v>
      </c>
      <c r="AF41" s="31" t="str">
        <f>AK41</f>
        <v>TRK_118_1</v>
      </c>
      <c r="AG41" s="49" t="s">
        <v>174</v>
      </c>
      <c r="AH41" s="53">
        <f>X41*8/1000000</f>
        <v>-1.7546117305755616E-12</v>
      </c>
      <c r="AI41" s="53">
        <f>V41*8/1000000</f>
        <v>1.2670090000017546</v>
      </c>
      <c r="AJ41" s="48">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4">
        <f>AC41+AC34+AC33+AC32+AC31</f>
        <v>16.324089734483657</v>
      </c>
      <c r="AC42" s="3"/>
      <c r="AD42" s="3"/>
      <c r="AG42" s="40"/>
      <c r="AH42" s="40"/>
    </row>
    <row r="43" spans="1:44" ht="15">
      <c r="L43" s="3"/>
      <c r="M43" s="3"/>
      <c r="N43" s="3"/>
      <c r="O43" s="3"/>
      <c r="Y43">
        <f>Y41+Y34+Y33+Y31</f>
        <v>32.968162</v>
      </c>
      <c r="Z43" s="60">
        <f>Y39+Y38+Y37</f>
        <v>36.639108999999998</v>
      </c>
      <c r="AB43" t="s">
        <v>179</v>
      </c>
      <c r="AC43" s="3"/>
      <c r="AD43" s="3"/>
      <c r="AG43" s="40"/>
      <c r="AH43" s="40"/>
    </row>
    <row r="44" spans="1:44" ht="15">
      <c r="L44" s="3"/>
      <c r="M44" s="3"/>
      <c r="N44" s="3"/>
      <c r="O44" s="3"/>
      <c r="Y44" s="3" t="s">
        <v>180</v>
      </c>
      <c r="Z44" s="3" t="s">
        <v>181</v>
      </c>
      <c r="AA44" s="3"/>
      <c r="AB44" s="3"/>
      <c r="AC44" s="3"/>
      <c r="AD44" s="3"/>
      <c r="AG44" s="40"/>
      <c r="AH44" s="40"/>
      <c r="AK44" s="65" t="s">
        <v>182</v>
      </c>
      <c r="AL44" s="65" t="s">
        <v>183</v>
      </c>
      <c r="AM44" s="65">
        <v>14.73</v>
      </c>
      <c r="AN44" s="65">
        <v>-5.43</v>
      </c>
      <c r="AO44" s="65">
        <v>-5.43</v>
      </c>
      <c r="AR44" s="3">
        <v>16.2</v>
      </c>
    </row>
    <row r="45" spans="1:44" ht="15">
      <c r="L45" s="18" t="s">
        <v>184</v>
      </c>
      <c r="M45" s="3"/>
      <c r="N45" s="3"/>
      <c r="O45" s="3"/>
      <c r="AC45" s="3"/>
      <c r="AD45" s="3"/>
      <c r="AG45" s="40"/>
      <c r="AH45" s="40"/>
      <c r="AK45" s="65" t="s">
        <v>185</v>
      </c>
      <c r="AL45" s="65" t="s">
        <v>186</v>
      </c>
      <c r="AM45" s="65">
        <v>3.7</v>
      </c>
      <c r="AN45" s="65">
        <v>3.7</v>
      </c>
      <c r="AO45" s="65">
        <v>-1.73</v>
      </c>
      <c r="AR45" s="3">
        <v>4.07</v>
      </c>
    </row>
    <row r="46" spans="1:44" ht="15">
      <c r="L46" s="18" t="s">
        <v>187</v>
      </c>
      <c r="M46" s="3"/>
      <c r="N46" s="3"/>
      <c r="O46" s="3"/>
      <c r="AC46" s="3"/>
      <c r="AD46" s="3"/>
      <c r="AG46" s="40"/>
      <c r="AH46" s="40"/>
      <c r="AK46" s="65" t="s">
        <v>188</v>
      </c>
      <c r="AL46" s="65" t="s">
        <v>189</v>
      </c>
      <c r="AM46" s="65">
        <v>4.3099999999999996</v>
      </c>
      <c r="AN46" s="65">
        <v>-2.41</v>
      </c>
      <c r="AO46" s="65">
        <v>-4.1399999999999997</v>
      </c>
      <c r="AR46" s="3">
        <v>4.74</v>
      </c>
    </row>
    <row r="47" spans="1:44" ht="15">
      <c r="O47" s="3"/>
      <c r="AC47" s="3"/>
      <c r="AD47" s="3"/>
      <c r="AG47" s="40"/>
      <c r="AH47" s="40"/>
      <c r="AK47" s="65" t="s">
        <v>190</v>
      </c>
      <c r="AL47" s="65" t="s">
        <v>191</v>
      </c>
      <c r="AM47" s="65">
        <v>4.42</v>
      </c>
      <c r="AN47" s="65">
        <v>1.46</v>
      </c>
      <c r="AO47" s="65">
        <v>-2.68</v>
      </c>
      <c r="AR47" s="3">
        <v>4.87</v>
      </c>
    </row>
    <row r="48" spans="1:44" ht="15">
      <c r="P48" s="15" t="s">
        <v>192</v>
      </c>
      <c r="Q48" s="15" t="s">
        <v>193</v>
      </c>
      <c r="R48" s="15">
        <v>608130222</v>
      </c>
      <c r="S48" s="15">
        <v>1</v>
      </c>
      <c r="T48" s="15" t="s">
        <v>27</v>
      </c>
      <c r="U48" s="15" t="s">
        <v>194</v>
      </c>
      <c r="V48" s="15" t="s">
        <v>28</v>
      </c>
      <c r="W48" s="15"/>
      <c r="X48" s="15" t="s">
        <v>195</v>
      </c>
      <c r="AC48" s="3"/>
      <c r="AD48" s="3"/>
      <c r="AG48" s="40"/>
      <c r="AH48" s="40"/>
      <c r="AK48" s="66" t="s">
        <v>196</v>
      </c>
      <c r="AL48" s="67" t="s">
        <v>197</v>
      </c>
      <c r="AM48" s="65">
        <v>11.87</v>
      </c>
      <c r="AN48" s="65">
        <v>9.11</v>
      </c>
      <c r="AO48" s="67">
        <v>6.43</v>
      </c>
      <c r="AP48">
        <f>AO48</f>
        <v>6.43</v>
      </c>
      <c r="AR48" s="68">
        <v>13.04</v>
      </c>
    </row>
    <row r="49" spans="2:45" ht="15">
      <c r="X49" t="s">
        <v>198</v>
      </c>
      <c r="AC49" s="3"/>
      <c r="AD49" s="3"/>
      <c r="AG49" s="40"/>
      <c r="AH49" s="40"/>
      <c r="AK49" s="66" t="s">
        <v>199</v>
      </c>
      <c r="AL49" s="67" t="s">
        <v>200</v>
      </c>
      <c r="AM49" s="65">
        <v>11.16</v>
      </c>
      <c r="AN49" s="65">
        <v>11.16</v>
      </c>
      <c r="AO49" s="67">
        <v>11.16</v>
      </c>
      <c r="AP49" s="69">
        <f>AP48+AO49</f>
        <v>17.59</v>
      </c>
      <c r="AR49" s="3">
        <v>12.28</v>
      </c>
    </row>
    <row r="50" spans="2:45" ht="15">
      <c r="X50" t="s">
        <v>201</v>
      </c>
      <c r="AC50" s="3"/>
      <c r="AD50" s="3"/>
      <c r="AE50" s="3"/>
      <c r="AH50" s="40"/>
      <c r="AI50" s="40"/>
      <c r="AL50" s="65" t="s">
        <v>202</v>
      </c>
      <c r="AM50" s="65" t="s">
        <v>203</v>
      </c>
      <c r="AN50" s="65">
        <v>0</v>
      </c>
      <c r="AO50" s="65">
        <v>0</v>
      </c>
      <c r="AP50" s="70">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5" t="s">
        <v>205</v>
      </c>
      <c r="AM51" s="65" t="s">
        <v>206</v>
      </c>
      <c r="AN51" s="65">
        <v>0</v>
      </c>
      <c r="AO51" s="65">
        <v>0</v>
      </c>
      <c r="AP51" s="70">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8"/>
      <c r="AL52" s="67" t="s">
        <v>209</v>
      </c>
      <c r="AM52" s="66" t="s">
        <v>210</v>
      </c>
      <c r="AN52" s="65">
        <v>3.19</v>
      </c>
      <c r="AO52" s="65">
        <v>3.19</v>
      </c>
      <c r="AP52" s="67">
        <v>3.19</v>
      </c>
      <c r="AQ52">
        <f>AP49+AP52</f>
        <v>20.78</v>
      </c>
      <c r="AS52" s="3">
        <v>3.5</v>
      </c>
    </row>
    <row r="53" spans="2:45" ht="15">
      <c r="P53" s="45" t="s">
        <v>211</v>
      </c>
      <c r="Q53" s="45" t="s">
        <v>212</v>
      </c>
      <c r="R53" s="45">
        <v>607931101</v>
      </c>
      <c r="S53" s="45">
        <v>1</v>
      </c>
      <c r="T53" s="45" t="s">
        <v>27</v>
      </c>
      <c r="U53" s="45" t="s">
        <v>213</v>
      </c>
      <c r="V53" s="45" t="s">
        <v>118</v>
      </c>
      <c r="W53" s="45"/>
      <c r="X53" s="45" t="s">
        <v>214</v>
      </c>
      <c r="Y53" s="48"/>
      <c r="Z53" s="48"/>
      <c r="AA53" s="48"/>
      <c r="AB53" s="48"/>
      <c r="AC53" s="47"/>
      <c r="AD53" s="47"/>
      <c r="AE53" s="47"/>
      <c r="AF53" s="48"/>
      <c r="AL53" s="71" t="s">
        <v>215</v>
      </c>
      <c r="AM53" s="71" t="s">
        <v>216</v>
      </c>
      <c r="AN53" s="65">
        <v>6.36</v>
      </c>
      <c r="AO53" s="65">
        <v>6.36</v>
      </c>
      <c r="AP53" s="72">
        <v>6.36</v>
      </c>
      <c r="AQ53">
        <f>AQ52+AP53</f>
        <v>27.14</v>
      </c>
      <c r="AS53" s="3">
        <v>6.99</v>
      </c>
    </row>
    <row r="54" spans="2:45" ht="15.75">
      <c r="L54" s="47" t="s">
        <v>217</v>
      </c>
      <c r="M54" s="47" t="s">
        <v>218</v>
      </c>
      <c r="N54" s="73" t="s">
        <v>219</v>
      </c>
      <c r="O54" s="47"/>
      <c r="P54" s="32" t="s">
        <v>220</v>
      </c>
      <c r="Q54" s="58">
        <f>R41-1</f>
        <v>607164813.48952889</v>
      </c>
      <c r="R54" s="61">
        <f>R53+20</f>
        <v>607931121</v>
      </c>
      <c r="S54" s="21">
        <f>R54-Q54</f>
        <v>766307.51047110558</v>
      </c>
      <c r="T54" s="21">
        <f>S54*$V$9</f>
        <v>2927294.6899996232</v>
      </c>
      <c r="U54" s="3">
        <v>0</v>
      </c>
      <c r="V54" s="27">
        <f>T54+U54*$V$23</f>
        <v>2927294.6899996232</v>
      </c>
      <c r="W54" s="20">
        <f>Y54*1000000/8</f>
        <v>2857250.0000000005</v>
      </c>
      <c r="X54" s="22">
        <f>W54-V54</f>
        <v>-70044.689999622758</v>
      </c>
      <c r="Y54" s="74">
        <f>1.1*(AO48+AO49+AP52)</f>
        <v>22.858000000000004</v>
      </c>
      <c r="Z54" s="33" t="s">
        <v>221</v>
      </c>
      <c r="AA54" s="56">
        <f>S54*$S$9</f>
        <v>1065941.2859702141</v>
      </c>
      <c r="AB54" s="57">
        <f>AA54*8/1000000</f>
        <v>8.5275302877617118</v>
      </c>
      <c r="AC54" s="56">
        <f>AA54-V54</f>
        <v>-1861353.4040294092</v>
      </c>
      <c r="AD54" s="50">
        <f>AB54-Y54</f>
        <v>-14.330469712238292</v>
      </c>
      <c r="AE54" s="50"/>
      <c r="AF54" s="31" t="s">
        <v>222</v>
      </c>
      <c r="AG54" s="49" t="s">
        <v>223</v>
      </c>
      <c r="AH54" s="53">
        <f>X54*8/1000000</f>
        <v>-0.56035751999698202</v>
      </c>
      <c r="AI54" s="53">
        <f>V54*8/1000000</f>
        <v>23.418357519996984</v>
      </c>
      <c r="AJ54" s="63"/>
      <c r="AL54" s="71" t="s">
        <v>224</v>
      </c>
      <c r="AM54" s="71" t="s">
        <v>225</v>
      </c>
      <c r="AN54" s="65">
        <v>8.57</v>
      </c>
      <c r="AO54" s="65">
        <v>8.57</v>
      </c>
      <c r="AP54" s="72">
        <v>8.57</v>
      </c>
      <c r="AQ54">
        <f>AQ53+AP54</f>
        <v>35.71</v>
      </c>
      <c r="AS54" s="3">
        <v>9.43</v>
      </c>
    </row>
    <row r="55" spans="2:45" ht="15">
      <c r="C55" s="75" t="s">
        <v>226</v>
      </c>
      <c r="D55" s="75" t="s">
        <v>227</v>
      </c>
      <c r="E55" s="75" t="s">
        <v>51</v>
      </c>
      <c r="F55" s="75" t="s">
        <v>49</v>
      </c>
      <c r="G55" s="75" t="s">
        <v>50</v>
      </c>
      <c r="H55" s="75" t="s">
        <v>53</v>
      </c>
      <c r="I55" s="75" t="s">
        <v>54</v>
      </c>
      <c r="J55" s="75" t="s">
        <v>228</v>
      </c>
      <c r="P55" s="15" t="s">
        <v>229</v>
      </c>
      <c r="Q55" s="15" t="s">
        <v>230</v>
      </c>
      <c r="R55" s="15">
        <v>607931322</v>
      </c>
      <c r="S55" s="15">
        <v>1</v>
      </c>
      <c r="T55" s="15" t="s">
        <v>27</v>
      </c>
      <c r="U55" s="15" t="s">
        <v>213</v>
      </c>
      <c r="V55" s="15" t="s">
        <v>28</v>
      </c>
      <c r="W55" s="15"/>
      <c r="X55" s="15" t="s">
        <v>231</v>
      </c>
      <c r="Y55" s="60"/>
      <c r="Z55" s="60"/>
      <c r="AA55" s="60"/>
      <c r="AB55" s="60"/>
      <c r="AC55" s="59"/>
      <c r="AD55" s="59"/>
      <c r="AE55" s="59"/>
      <c r="AH55" s="53"/>
      <c r="AI55" s="53"/>
      <c r="AL55" s="65" t="s">
        <v>232</v>
      </c>
      <c r="AM55" s="65" t="s">
        <v>233</v>
      </c>
      <c r="AN55" s="65">
        <v>0</v>
      </c>
      <c r="AO55" s="65">
        <v>0</v>
      </c>
      <c r="AP55" s="70">
        <v>0</v>
      </c>
      <c r="AS55" s="3"/>
    </row>
    <row r="56" spans="2:45" ht="15.75">
      <c r="B56">
        <v>102</v>
      </c>
      <c r="C56">
        <v>101</v>
      </c>
      <c r="E56" t="s">
        <v>51</v>
      </c>
      <c r="F56" t="s">
        <v>49</v>
      </c>
      <c r="G56" t="s">
        <v>50</v>
      </c>
      <c r="H56" t="s">
        <v>53</v>
      </c>
      <c r="L56" s="59" t="s">
        <v>168</v>
      </c>
      <c r="M56" s="59" t="s">
        <v>234</v>
      </c>
      <c r="N56" s="76" t="s">
        <v>235</v>
      </c>
      <c r="O56" s="59"/>
      <c r="P56" s="32" t="s">
        <v>236</v>
      </c>
      <c r="Q56" s="58">
        <f>R39-1</f>
        <v>607165733.06575108</v>
      </c>
      <c r="R56" s="61">
        <f>R55+20</f>
        <v>607931342</v>
      </c>
      <c r="S56" s="21">
        <f>R56-Q56</f>
        <v>765608.93424892426</v>
      </c>
      <c r="T56" s="21">
        <f>S56*$V$10</f>
        <v>3717609.5700257518</v>
      </c>
      <c r="U56" s="3">
        <v>0</v>
      </c>
      <c r="V56" s="27">
        <f>T56+U56*$V$23</f>
        <v>3717609.5700257518</v>
      </c>
      <c r="W56" s="20">
        <f>Y56*1000000/8+X54</f>
        <v>5179705.3100003786</v>
      </c>
      <c r="X56" s="22">
        <f>W56-V56</f>
        <v>1462095.7399746268</v>
      </c>
      <c r="Y56" s="77">
        <f>1.1*(AP53+AP54+AP59+AP60)</f>
        <v>41.998000000000005</v>
      </c>
      <c r="Z56" s="33" t="s">
        <v>237</v>
      </c>
      <c r="AA56" s="50">
        <v>1654428</v>
      </c>
      <c r="AB56" s="56">
        <f>AA56-T56</f>
        <v>-2063181.5700257518</v>
      </c>
      <c r="AC56" s="62">
        <f>(AB56/8)/1000000</f>
        <v>-0.25789769625321896</v>
      </c>
      <c r="AD56" s="62"/>
      <c r="AE56" s="50"/>
      <c r="AF56" s="31" t="s">
        <v>238</v>
      </c>
      <c r="AG56" s="34" t="s">
        <v>239</v>
      </c>
      <c r="AH56" s="53">
        <f>X56*8/1000000</f>
        <v>11.696765919797015</v>
      </c>
      <c r="AI56" s="53">
        <f>V56*8/1000000</f>
        <v>29.740876560206015</v>
      </c>
      <c r="AL56" s="65" t="s">
        <v>240</v>
      </c>
      <c r="AM56" s="65" t="s">
        <v>241</v>
      </c>
      <c r="AN56" s="65">
        <v>0</v>
      </c>
      <c r="AO56" s="65">
        <v>0</v>
      </c>
      <c r="AP56" s="70">
        <v>0</v>
      </c>
      <c r="AS56" s="3"/>
    </row>
    <row r="57" spans="2:45" ht="15">
      <c r="P57" s="15" t="s">
        <v>242</v>
      </c>
      <c r="Q57" s="15" t="s">
        <v>243</v>
      </c>
      <c r="R57" s="15">
        <v>607961216</v>
      </c>
      <c r="S57" s="15">
        <v>7</v>
      </c>
      <c r="T57" s="15" t="s">
        <v>27</v>
      </c>
      <c r="U57" s="15" t="s">
        <v>244</v>
      </c>
      <c r="V57" s="15" t="s">
        <v>151</v>
      </c>
      <c r="W57" s="15" t="s">
        <v>152</v>
      </c>
      <c r="X57" s="15" t="s">
        <v>245</v>
      </c>
      <c r="Y57" s="60"/>
      <c r="Z57" s="60"/>
      <c r="AA57" s="60"/>
      <c r="AB57" s="60"/>
      <c r="AC57" s="59"/>
      <c r="AD57" s="59"/>
      <c r="AE57" s="59"/>
      <c r="AH57" s="53"/>
      <c r="AI57" s="53"/>
      <c r="AL57" s="65" t="s">
        <v>246</v>
      </c>
      <c r="AM57" s="65" t="s">
        <v>247</v>
      </c>
      <c r="AN57" s="65">
        <v>0</v>
      </c>
      <c r="AO57" s="65">
        <v>0</v>
      </c>
      <c r="AP57" s="70">
        <v>0</v>
      </c>
      <c r="AS57" s="3"/>
    </row>
    <row r="58" spans="2:45" ht="15.75">
      <c r="B58">
        <v>102</v>
      </c>
      <c r="C58">
        <v>101</v>
      </c>
      <c r="E58" t="s">
        <v>51</v>
      </c>
      <c r="F58" t="s">
        <v>49</v>
      </c>
      <c r="G58" t="s">
        <v>50</v>
      </c>
      <c r="H58" t="s">
        <v>53</v>
      </c>
      <c r="L58" s="59" t="s">
        <v>248</v>
      </c>
      <c r="M58" s="78" t="s">
        <v>249</v>
      </c>
      <c r="N58" s="76" t="s">
        <v>250</v>
      </c>
      <c r="O58" s="59"/>
      <c r="P58" s="32" t="s">
        <v>236</v>
      </c>
      <c r="Q58" s="61">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0">
        <v>334035</v>
      </c>
      <c r="AB58" s="56">
        <f>AA58-T58</f>
        <v>-930685.73997454415</v>
      </c>
      <c r="AC58" s="62">
        <f>(AB58/8)/1000000</f>
        <v>-0.11633571749681802</v>
      </c>
      <c r="AD58" s="62"/>
      <c r="AE58" s="3"/>
      <c r="AF58">
        <f>15*60*4.8624</f>
        <v>4376.16</v>
      </c>
      <c r="AG58" t="s">
        <v>20</v>
      </c>
      <c r="AH58" s="53">
        <f>X58*8/1000000</f>
        <v>6.6123902797698976E-13</v>
      </c>
      <c r="AI58" s="53">
        <f>V58*8/1000000</f>
        <v>11.696765919796354</v>
      </c>
      <c r="AL58" s="65" t="s">
        <v>252</v>
      </c>
      <c r="AM58" s="65" t="s">
        <v>253</v>
      </c>
      <c r="AN58" s="65">
        <v>0</v>
      </c>
      <c r="AO58" s="65">
        <v>0</v>
      </c>
      <c r="AP58" s="70">
        <v>0</v>
      </c>
      <c r="AS58" s="3"/>
    </row>
    <row r="59" spans="2:45" ht="15">
      <c r="L59" s="6" t="s">
        <v>254</v>
      </c>
      <c r="M59" t="s">
        <v>255</v>
      </c>
      <c r="N59" t="s">
        <v>256</v>
      </c>
      <c r="P59" s="45" t="s">
        <v>257</v>
      </c>
      <c r="Q59" s="45" t="s">
        <v>258</v>
      </c>
      <c r="R59" s="45">
        <v>607960737</v>
      </c>
      <c r="S59" s="45">
        <v>7</v>
      </c>
      <c r="T59" s="45" t="s">
        <v>27</v>
      </c>
      <c r="U59" s="45" t="s">
        <v>259</v>
      </c>
      <c r="V59" s="45" t="s">
        <v>101</v>
      </c>
      <c r="W59" s="45" t="s">
        <v>102</v>
      </c>
      <c r="X59" s="45" t="s">
        <v>260</v>
      </c>
      <c r="Y59" s="48"/>
      <c r="Z59" s="48"/>
      <c r="AA59" s="48"/>
      <c r="AB59" s="3"/>
      <c r="AC59" s="3"/>
      <c r="AD59" s="3"/>
      <c r="AE59" s="3"/>
      <c r="AF59" s="3"/>
      <c r="AH59" s="53"/>
      <c r="AI59" s="53"/>
      <c r="AL59" s="71" t="s">
        <v>261</v>
      </c>
      <c r="AM59" s="71" t="s">
        <v>262</v>
      </c>
      <c r="AN59" s="65">
        <v>6.03</v>
      </c>
      <c r="AO59" s="65">
        <v>6.03</v>
      </c>
      <c r="AP59" s="72">
        <v>6.03</v>
      </c>
      <c r="AQ59">
        <f>AQ54+AP59</f>
        <v>41.74</v>
      </c>
      <c r="AS59" s="3">
        <v>6.63</v>
      </c>
    </row>
    <row r="60" spans="2:45" ht="15.75">
      <c r="L60" s="47" t="s">
        <v>263</v>
      </c>
      <c r="M60" s="47" t="s">
        <v>264</v>
      </c>
      <c r="N60" s="48" t="s">
        <v>265</v>
      </c>
      <c r="O60" s="47"/>
      <c r="P60" s="32" t="s">
        <v>15</v>
      </c>
      <c r="Q60" s="61">
        <f>R59-20</f>
        <v>607960717</v>
      </c>
      <c r="R60" s="61">
        <f>R62+20</f>
        <v>608535921</v>
      </c>
      <c r="S60" s="21">
        <f>R60-Q60</f>
        <v>575204</v>
      </c>
      <c r="T60" s="21">
        <f>S60*$V$9</f>
        <v>2197279.2799999998</v>
      </c>
      <c r="U60" s="3">
        <v>0</v>
      </c>
      <c r="V60" s="27">
        <f>T60+U60*$V$23</f>
        <v>2197279.2799999998</v>
      </c>
      <c r="W60" s="20">
        <f>Y60*1000000/8</f>
        <v>3121250.0000000005</v>
      </c>
      <c r="X60" s="22">
        <f>W60-V60</f>
        <v>923970.72000000067</v>
      </c>
      <c r="Y60" s="79">
        <f>1.1*(AP61+AP62+AP63)</f>
        <v>24.970000000000002</v>
      </c>
      <c r="Z60" s="33" t="s">
        <v>266</v>
      </c>
      <c r="AA60" s="56">
        <f>S60*$S$9</f>
        <v>800114.42283564818</v>
      </c>
      <c r="AB60" s="57">
        <f>AA60*8/1000000</f>
        <v>6.4009153826851852</v>
      </c>
      <c r="AC60" s="56">
        <f>AA60-V60</f>
        <v>-1397164.8571643517</v>
      </c>
      <c r="AD60" s="50">
        <f>AB60-Y60</f>
        <v>-18.569084617314818</v>
      </c>
      <c r="AE60" s="50"/>
      <c r="AF60" t="s">
        <v>30</v>
      </c>
      <c r="AG60" s="48" t="s">
        <v>267</v>
      </c>
      <c r="AH60" s="53">
        <f>X60*8/1000000</f>
        <v>7.3917657600000055</v>
      </c>
      <c r="AI60" s="53">
        <f>V60*8/1000000</f>
        <v>17.578234239999997</v>
      </c>
      <c r="AL60" s="71" t="s">
        <v>268</v>
      </c>
      <c r="AM60" s="71" t="s">
        <v>269</v>
      </c>
      <c r="AN60" s="65">
        <v>17.22</v>
      </c>
      <c r="AO60" s="65">
        <v>17.22</v>
      </c>
      <c r="AP60" s="72">
        <v>17.22</v>
      </c>
      <c r="AQ60">
        <f>AQ59+AP60</f>
        <v>58.96</v>
      </c>
      <c r="AS60" s="3">
        <v>18.940000000000001</v>
      </c>
    </row>
    <row r="61" spans="2:45" ht="15">
      <c r="O61" s="6" t="s">
        <v>270</v>
      </c>
      <c r="P61" s="46" t="s">
        <v>271</v>
      </c>
      <c r="Q61" s="46" t="s">
        <v>272</v>
      </c>
      <c r="R61" s="46">
        <v>608622301</v>
      </c>
      <c r="S61" s="46">
        <v>1</v>
      </c>
      <c r="T61" s="46" t="s">
        <v>27</v>
      </c>
      <c r="U61" s="46" t="s">
        <v>273</v>
      </c>
      <c r="V61" s="46" t="s">
        <v>118</v>
      </c>
      <c r="W61" s="46"/>
      <c r="X61" s="46" t="s">
        <v>274</v>
      </c>
      <c r="Y61">
        <f>(Y60+Y56+Y54)*0.9</f>
        <v>80.843400000000003</v>
      </c>
      <c r="AC61" s="3"/>
      <c r="AD61" s="3"/>
      <c r="AE61" s="3"/>
      <c r="AH61" s="53"/>
      <c r="AI61" s="53"/>
      <c r="AL61" s="80" t="s">
        <v>275</v>
      </c>
      <c r="AM61" s="80" t="s">
        <v>276</v>
      </c>
      <c r="AN61" s="65">
        <v>8.7799999999999994</v>
      </c>
      <c r="AO61" s="65">
        <v>8.7799999999999994</v>
      </c>
      <c r="AP61" s="81">
        <v>8.7799999999999994</v>
      </c>
      <c r="AQ61">
        <f>AQ60+AP61</f>
        <v>67.739999999999995</v>
      </c>
      <c r="AS61" s="3">
        <v>9.66</v>
      </c>
    </row>
    <row r="62" spans="2:45" ht="15">
      <c r="O62" s="6" t="s">
        <v>277</v>
      </c>
      <c r="P62" s="46" t="s">
        <v>278</v>
      </c>
      <c r="Q62" s="46" t="s">
        <v>279</v>
      </c>
      <c r="R62" s="82">
        <f>R61-86400</f>
        <v>608535901</v>
      </c>
      <c r="S62" s="46">
        <v>1</v>
      </c>
      <c r="T62" s="46" t="s">
        <v>27</v>
      </c>
      <c r="U62" s="46" t="s">
        <v>273</v>
      </c>
      <c r="V62" s="46" t="s">
        <v>118</v>
      </c>
      <c r="W62" s="46"/>
      <c r="X62" s="46" t="s">
        <v>274</v>
      </c>
      <c r="Y62" s="48"/>
      <c r="Z62" s="48"/>
      <c r="AA62" s="48"/>
      <c r="AB62" s="48"/>
      <c r="AC62" s="47"/>
      <c r="AD62" s="47"/>
      <c r="AE62" s="47"/>
      <c r="AF62" s="48"/>
      <c r="AH62" s="53"/>
      <c r="AI62" s="53"/>
      <c r="AL62" s="80" t="s">
        <v>280</v>
      </c>
      <c r="AM62" s="80" t="s">
        <v>281</v>
      </c>
      <c r="AN62" s="65">
        <v>6.38</v>
      </c>
      <c r="AO62" s="65">
        <v>6.38</v>
      </c>
      <c r="AP62" s="81">
        <v>6.38</v>
      </c>
      <c r="AQ62">
        <f>AQ61+AP62</f>
        <v>74.11999999999999</v>
      </c>
      <c r="AS62" s="3">
        <v>7.01</v>
      </c>
    </row>
    <row r="63" spans="2:45" ht="15">
      <c r="O63" s="6" t="s">
        <v>282</v>
      </c>
      <c r="P63" s="46" t="s">
        <v>283</v>
      </c>
      <c r="Q63" s="46" t="s">
        <v>284</v>
      </c>
      <c r="R63" s="46">
        <v>608651936</v>
      </c>
      <c r="S63" s="46">
        <v>7</v>
      </c>
      <c r="T63" s="46" t="s">
        <v>27</v>
      </c>
      <c r="U63" s="46" t="s">
        <v>285</v>
      </c>
      <c r="V63" s="46" t="s">
        <v>101</v>
      </c>
      <c r="W63" s="46" t="s">
        <v>102</v>
      </c>
      <c r="X63" s="46" t="s">
        <v>286</v>
      </c>
      <c r="Y63" s="48"/>
      <c r="Z63" s="48"/>
      <c r="AA63" s="48"/>
      <c r="AB63" s="48"/>
      <c r="AC63" s="47"/>
      <c r="AD63" s="47"/>
      <c r="AE63" s="47"/>
      <c r="AF63" s="48"/>
      <c r="AH63" s="53"/>
      <c r="AI63" s="53"/>
      <c r="AL63" s="80" t="s">
        <v>287</v>
      </c>
      <c r="AM63" s="80" t="s">
        <v>288</v>
      </c>
      <c r="AN63" s="65">
        <v>7.54</v>
      </c>
      <c r="AO63" s="65">
        <v>7.54</v>
      </c>
      <c r="AP63" s="81">
        <v>7.54</v>
      </c>
      <c r="AQ63">
        <f>AQ62+AP63</f>
        <v>81.66</v>
      </c>
      <c r="AR63">
        <f>AQ63/2</f>
        <v>40.83</v>
      </c>
      <c r="AS63" s="3">
        <v>8.3000000000000007</v>
      </c>
    </row>
    <row r="64" spans="2:45" ht="15">
      <c r="O64" s="6" t="s">
        <v>277</v>
      </c>
      <c r="P64" s="46" t="s">
        <v>283</v>
      </c>
      <c r="Q64" s="46" t="s">
        <v>289</v>
      </c>
      <c r="R64" s="82">
        <f>R63-86400</f>
        <v>608565536</v>
      </c>
      <c r="S64" s="46">
        <v>7</v>
      </c>
      <c r="T64" s="46" t="s">
        <v>27</v>
      </c>
      <c r="U64" s="46" t="s">
        <v>285</v>
      </c>
      <c r="V64" s="46" t="s">
        <v>101</v>
      </c>
      <c r="W64" s="46" t="s">
        <v>102</v>
      </c>
      <c r="X64" s="46" t="s">
        <v>286</v>
      </c>
      <c r="Y64" s="48"/>
      <c r="Z64" s="48"/>
      <c r="AA64" s="48"/>
      <c r="AB64" s="48"/>
      <c r="AC64" s="47"/>
      <c r="AD64" s="47"/>
      <c r="AE64" s="47"/>
      <c r="AF64" s="48"/>
      <c r="AH64" s="53"/>
      <c r="AI64" s="53"/>
    </row>
    <row r="65" spans="1:47" ht="15.75">
      <c r="L65" s="47" t="s">
        <v>290</v>
      </c>
      <c r="M65" s="47" t="s">
        <v>291</v>
      </c>
      <c r="N65" s="48" t="s">
        <v>292</v>
      </c>
      <c r="O65" s="47"/>
      <c r="P65" s="32" t="s">
        <v>15</v>
      </c>
      <c r="Q65" s="61">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6">
        <f>S65*$S$9</f>
        <v>336453.49777741509</v>
      </c>
      <c r="AB65" s="57">
        <f>AA65*8/1000000</f>
        <v>2.6916279822193205</v>
      </c>
      <c r="AC65" s="56">
        <f>AA65-V65</f>
        <v>-587517.22222258721</v>
      </c>
      <c r="AD65" s="50">
        <f>AB65-Y65</f>
        <v>-87.134372017780692</v>
      </c>
      <c r="AE65" s="50"/>
      <c r="AG65" s="48" t="s">
        <v>293</v>
      </c>
      <c r="AH65" s="53">
        <f>X65*8/1000000</f>
        <v>-1.3038516044616699E-14</v>
      </c>
      <c r="AI65" s="53">
        <f>V65*8/1000000</f>
        <v>7.3917657600000188</v>
      </c>
      <c r="AU65" s="3"/>
    </row>
    <row r="66" spans="1:47" ht="15">
      <c r="Z66" s="59">
        <f>Y56</f>
        <v>41.998000000000005</v>
      </c>
      <c r="AB66" s="64">
        <f>AB65+AB60+AB54</f>
        <v>17.620073652666218</v>
      </c>
      <c r="AC66" s="3"/>
      <c r="AD66" s="3"/>
      <c r="AE66" s="3"/>
      <c r="AH66" s="53"/>
      <c r="AI66" s="53"/>
    </row>
    <row r="67" spans="1:47" ht="15">
      <c r="X67" t="s">
        <v>198</v>
      </c>
      <c r="AB67" t="s">
        <v>179</v>
      </c>
      <c r="AC67" s="3"/>
      <c r="AD67" s="3"/>
      <c r="AE67" s="3"/>
      <c r="AH67" s="53"/>
      <c r="AI67" s="53"/>
    </row>
    <row r="68" spans="1:47" ht="15">
      <c r="P68" t="s">
        <v>294</v>
      </c>
      <c r="X68" t="s">
        <v>295</v>
      </c>
      <c r="AC68" s="3"/>
      <c r="AD68" s="3"/>
      <c r="AE68" s="3"/>
      <c r="AH68" s="53"/>
      <c r="AI68" s="53"/>
    </row>
    <row r="69" spans="1:47" ht="15">
      <c r="P69" s="15" t="s">
        <v>192</v>
      </c>
      <c r="Q69" s="15" t="s">
        <v>193</v>
      </c>
      <c r="R69" s="15">
        <v>608130222</v>
      </c>
      <c r="S69" s="15">
        <v>1</v>
      </c>
      <c r="T69" s="15" t="s">
        <v>27</v>
      </c>
      <c r="U69" s="15" t="s">
        <v>194</v>
      </c>
      <c r="V69" s="15" t="s">
        <v>28</v>
      </c>
      <c r="W69" s="15"/>
      <c r="X69" s="15" t="s">
        <v>195</v>
      </c>
      <c r="Y69" s="60"/>
      <c r="Z69" s="60"/>
      <c r="AA69" s="60"/>
      <c r="AB69" s="60"/>
      <c r="AC69" s="59"/>
      <c r="AD69" s="59"/>
      <c r="AE69" s="59"/>
      <c r="AH69" s="53"/>
      <c r="AI69" s="53"/>
    </row>
    <row r="70" spans="1:47" ht="15">
      <c r="P70" s="15" t="s">
        <v>296</v>
      </c>
      <c r="Q70" s="15" t="s">
        <v>297</v>
      </c>
      <c r="R70" s="15">
        <v>608131016</v>
      </c>
      <c r="S70" s="15">
        <v>7</v>
      </c>
      <c r="T70" s="15" t="s">
        <v>27</v>
      </c>
      <c r="U70" s="15" t="s">
        <v>298</v>
      </c>
      <c r="V70" s="15" t="s">
        <v>151</v>
      </c>
      <c r="W70" s="15" t="s">
        <v>152</v>
      </c>
      <c r="X70" s="15" t="s">
        <v>299</v>
      </c>
      <c r="Y70" s="60"/>
      <c r="Z70" s="60"/>
      <c r="AA70" s="60"/>
      <c r="AB70" s="60"/>
      <c r="AC70" s="59"/>
      <c r="AD70" s="59"/>
      <c r="AE70" s="59"/>
      <c r="AH70" s="53"/>
      <c r="AI70" s="53"/>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5" t="s">
        <v>226</v>
      </c>
      <c r="D73" s="75" t="s">
        <v>227</v>
      </c>
      <c r="E73" s="75" t="s">
        <v>51</v>
      </c>
      <c r="F73" s="75" t="s">
        <v>49</v>
      </c>
      <c r="G73" s="75" t="s">
        <v>50</v>
      </c>
      <c r="H73" s="75" t="s">
        <v>53</v>
      </c>
      <c r="I73" s="75" t="s">
        <v>54</v>
      </c>
      <c r="J73" s="75" t="s">
        <v>228</v>
      </c>
      <c r="L73" t="s">
        <v>301</v>
      </c>
      <c r="P73" s="16" t="s">
        <v>302</v>
      </c>
      <c r="Q73" s="16" t="s">
        <v>303</v>
      </c>
      <c r="R73" s="16">
        <v>608536122</v>
      </c>
      <c r="S73" s="16">
        <v>1</v>
      </c>
      <c r="T73" s="16" t="s">
        <v>27</v>
      </c>
      <c r="U73" s="16" t="s">
        <v>304</v>
      </c>
      <c r="V73" s="16" t="s">
        <v>28</v>
      </c>
      <c r="W73" s="16"/>
      <c r="X73" s="16" t="s">
        <v>305</v>
      </c>
      <c r="Y73" s="60"/>
      <c r="Z73" s="60"/>
      <c r="AA73" s="60"/>
      <c r="AB73" s="60"/>
      <c r="AC73" s="59"/>
      <c r="AD73" s="59"/>
      <c r="AE73" s="59"/>
      <c r="AH73" t="s">
        <v>306</v>
      </c>
      <c r="AI73" t="s">
        <v>121</v>
      </c>
      <c r="AL73" s="83" t="s">
        <v>307</v>
      </c>
      <c r="AM73" s="83" t="s">
        <v>308</v>
      </c>
      <c r="AN73" s="83" t="s">
        <v>309</v>
      </c>
      <c r="AO73" s="83" t="s">
        <v>310</v>
      </c>
      <c r="AP73" s="83" t="s">
        <v>311</v>
      </c>
    </row>
    <row r="74" spans="1:47" ht="15.75">
      <c r="B74">
        <v>102</v>
      </c>
      <c r="C74">
        <v>101</v>
      </c>
      <c r="E74" t="s">
        <v>51</v>
      </c>
      <c r="F74" t="s">
        <v>49</v>
      </c>
      <c r="G74" t="s">
        <v>50</v>
      </c>
      <c r="H74" t="s">
        <v>53</v>
      </c>
      <c r="L74" s="59" t="s">
        <v>249</v>
      </c>
      <c r="M74" s="59" t="s">
        <v>312</v>
      </c>
      <c r="N74" s="76" t="s">
        <v>18</v>
      </c>
      <c r="O74" s="84" t="s">
        <v>313</v>
      </c>
      <c r="P74" s="32" t="s">
        <v>16</v>
      </c>
      <c r="Q74" s="85">
        <f>R58-1</f>
        <v>608221653.09265757</v>
      </c>
      <c r="R74" s="86">
        <f>R73+20</f>
        <v>608536142</v>
      </c>
      <c r="S74" s="21">
        <f>R74-Q74</f>
        <v>314488.90734243393</v>
      </c>
      <c r="T74" s="21">
        <f>S74*$V$10</f>
        <v>1527081.1497910847</v>
      </c>
      <c r="U74" s="3">
        <v>1</v>
      </c>
      <c r="V74" s="27">
        <f>T74+U74*$V$23</f>
        <v>1724456.1497910847</v>
      </c>
      <c r="W74" s="20">
        <f>Y74*1000000/8</f>
        <v>2076250</v>
      </c>
      <c r="X74" s="87">
        <f>W74-V74</f>
        <v>351793.8502089153</v>
      </c>
      <c r="Y74" s="77">
        <f>1.1*AN74</f>
        <v>16.61</v>
      </c>
      <c r="Z74" s="33"/>
      <c r="AA74" s="33"/>
      <c r="AB74" s="50">
        <v>1612718</v>
      </c>
      <c r="AC74" s="50">
        <f>AB74-V74</f>
        <v>-111738.1497910847</v>
      </c>
      <c r="AD74" s="88">
        <f>AC74*8/1000000</f>
        <v>-0.89390519832867754</v>
      </c>
      <c r="AE74" s="62">
        <f>AC74/AB74</f>
        <v>-6.9285609629882408E-2</v>
      </c>
      <c r="AF74" s="31" t="s">
        <v>314</v>
      </c>
      <c r="AG74" s="34" t="s">
        <v>313</v>
      </c>
      <c r="AH74" s="53">
        <f>X74*8/1000000</f>
        <v>2.8143508016713223</v>
      </c>
      <c r="AI74" s="53">
        <f>V74*8/1000000</f>
        <v>13.795649198328677</v>
      </c>
      <c r="AL74" s="89" t="s">
        <v>315</v>
      </c>
      <c r="AM74" s="89" t="s">
        <v>316</v>
      </c>
      <c r="AN74" s="89">
        <v>15.1</v>
      </c>
      <c r="AO74" s="89">
        <v>15.1</v>
      </c>
      <c r="AP74" s="89">
        <v>15.1</v>
      </c>
      <c r="AQ74">
        <f>AP74</f>
        <v>15.1</v>
      </c>
    </row>
    <row r="75" spans="1:47" ht="15">
      <c r="M75" s="3"/>
      <c r="P75" s="16" t="s">
        <v>317</v>
      </c>
      <c r="Q75" s="16" t="s">
        <v>318</v>
      </c>
      <c r="R75" s="16">
        <v>608566017</v>
      </c>
      <c r="S75" s="16">
        <v>7</v>
      </c>
      <c r="T75" s="16" t="s">
        <v>27</v>
      </c>
      <c r="U75" s="16" t="s">
        <v>319</v>
      </c>
      <c r="V75" s="16" t="s">
        <v>151</v>
      </c>
      <c r="W75" s="16" t="s">
        <v>152</v>
      </c>
      <c r="X75" s="16" t="s">
        <v>320</v>
      </c>
      <c r="Y75" s="60"/>
      <c r="Z75" s="60"/>
      <c r="AA75" s="60"/>
      <c r="AB75" s="78"/>
      <c r="AC75" s="59"/>
      <c r="AD75" s="59"/>
      <c r="AE75" s="90"/>
      <c r="AH75" s="53"/>
      <c r="AI75" s="53"/>
    </row>
    <row r="76" spans="1:47" ht="15.75">
      <c r="A76" s="76" t="s">
        <v>157</v>
      </c>
      <c r="B76">
        <v>102</v>
      </c>
      <c r="C76">
        <v>101</v>
      </c>
      <c r="E76" t="s">
        <v>51</v>
      </c>
      <c r="F76" t="s">
        <v>49</v>
      </c>
      <c r="G76" t="s">
        <v>50</v>
      </c>
      <c r="H76" t="s">
        <v>53</v>
      </c>
      <c r="I76" s="76"/>
      <c r="J76" s="76"/>
      <c r="K76" s="76"/>
      <c r="L76" s="78" t="s">
        <v>321</v>
      </c>
      <c r="M76" s="78" t="s">
        <v>322</v>
      </c>
      <c r="N76" s="76"/>
      <c r="O76" s="84" t="s">
        <v>313</v>
      </c>
      <c r="P76" s="32" t="s">
        <v>16</v>
      </c>
      <c r="Q76" s="91">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7">
        <f t="shared" ref="X76:X81" si="7">W76-V76</f>
        <v>1.3102544471621513E-7</v>
      </c>
      <c r="AB76" s="50">
        <v>334134</v>
      </c>
      <c r="AC76" s="50">
        <f t="shared" ref="AC76:AC81" si="8">AB76-V76</f>
        <v>-17659.850208784279</v>
      </c>
      <c r="AD76" s="88">
        <f t="shared" ref="AD76:AD81" si="9">AC76*8/1000000</f>
        <v>-0.14127880167027423</v>
      </c>
      <c r="AE76" s="62">
        <f t="shared" ref="AE76:AE81" si="10">AC76/AB76</f>
        <v>-5.2852598684313114E-2</v>
      </c>
      <c r="AF76" s="31" t="s">
        <v>314</v>
      </c>
      <c r="AG76" s="34" t="s">
        <v>313</v>
      </c>
      <c r="AH76" s="53">
        <f t="shared" ref="AH76:AH81" si="11">X76*8/1000000</f>
        <v>1.0482035577297211E-12</v>
      </c>
      <c r="AI76" s="53">
        <f t="shared" ref="AI76:AI81" si="12">V76*8/1000000</f>
        <v>2.8143508016702743</v>
      </c>
    </row>
    <row r="77" spans="1:47" ht="15.75">
      <c r="B77">
        <v>102</v>
      </c>
      <c r="C77">
        <v>101</v>
      </c>
      <c r="E77" t="s">
        <v>51</v>
      </c>
      <c r="F77" t="s">
        <v>49</v>
      </c>
      <c r="G77" t="s">
        <v>50</v>
      </c>
      <c r="H77" t="s">
        <v>53</v>
      </c>
      <c r="L77" s="78" t="s">
        <v>322</v>
      </c>
      <c r="M77" s="78" t="s">
        <v>323</v>
      </c>
      <c r="O77" s="84" t="s">
        <v>324</v>
      </c>
      <c r="P77" s="32" t="s">
        <v>325</v>
      </c>
      <c r="Q77" s="85">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7">
        <f t="shared" si="7"/>
        <v>-8.0326572060585022E-8</v>
      </c>
      <c r="Y77" s="77">
        <f>1.1*AN77</f>
        <v>8.1180000000000003</v>
      </c>
      <c r="Z77" s="33"/>
      <c r="AA77" s="33"/>
      <c r="AB77" s="50">
        <v>1116266</v>
      </c>
      <c r="AC77" s="50">
        <f t="shared" si="8"/>
        <v>101515.99999991967</v>
      </c>
      <c r="AD77" s="88">
        <f t="shared" si="9"/>
        <v>0.81212799999935736</v>
      </c>
      <c r="AE77" s="62">
        <f t="shared" si="10"/>
        <v>9.0942481451481705E-2</v>
      </c>
      <c r="AF77" s="31" t="s">
        <v>326</v>
      </c>
      <c r="AG77" s="34" t="s">
        <v>324</v>
      </c>
      <c r="AH77" s="53">
        <f t="shared" si="11"/>
        <v>-6.4261257648468014E-13</v>
      </c>
      <c r="AI77" s="53">
        <f t="shared" si="12"/>
        <v>8.1180000000006434</v>
      </c>
      <c r="AJ77" s="3"/>
      <c r="AK77" s="3"/>
      <c r="AL77" s="89" t="s">
        <v>327</v>
      </c>
      <c r="AM77" s="89" t="s">
        <v>328</v>
      </c>
      <c r="AN77" s="89">
        <v>7.38</v>
      </c>
      <c r="AO77" s="89">
        <v>7.38</v>
      </c>
      <c r="AP77" s="89">
        <v>7.38</v>
      </c>
      <c r="AQ77" s="92">
        <f>AQ74+AP77</f>
        <v>22.48</v>
      </c>
    </row>
    <row r="78" spans="1:47" ht="15.75">
      <c r="B78">
        <v>102</v>
      </c>
      <c r="C78">
        <v>101</v>
      </c>
      <c r="E78" t="s">
        <v>51</v>
      </c>
      <c r="F78" t="s">
        <v>49</v>
      </c>
      <c r="G78" t="s">
        <v>50</v>
      </c>
      <c r="H78" t="s">
        <v>53</v>
      </c>
      <c r="L78" s="78" t="s">
        <v>323</v>
      </c>
      <c r="M78" s="78" t="s">
        <v>329</v>
      </c>
      <c r="O78" s="84" t="s">
        <v>330</v>
      </c>
      <c r="P78" s="32" t="s">
        <v>331</v>
      </c>
      <c r="Q78" s="85">
        <f>R77-1</f>
        <v>608806815.02288961</v>
      </c>
      <c r="R78" s="28">
        <f t="shared" si="3"/>
        <v>608968221.4295913</v>
      </c>
      <c r="S78" s="21">
        <f t="shared" si="4"/>
        <v>161406.406701684</v>
      </c>
      <c r="T78" s="21">
        <f t="shared" si="5"/>
        <v>783750.00000007136</v>
      </c>
      <c r="U78" s="3">
        <v>0</v>
      </c>
      <c r="V78" s="27">
        <f t="shared" si="6"/>
        <v>783750.00000007136</v>
      </c>
      <c r="W78" s="20">
        <f>Y78*1000000/8</f>
        <v>783750</v>
      </c>
      <c r="X78" s="87">
        <f t="shared" si="7"/>
        <v>-7.1362592279911041E-8</v>
      </c>
      <c r="Y78" s="77">
        <f>1.1*AN78</f>
        <v>6.2700000000000005</v>
      </c>
      <c r="Z78" s="33"/>
      <c r="AA78" s="33"/>
      <c r="AB78" s="50">
        <v>862324</v>
      </c>
      <c r="AC78" s="50">
        <f t="shared" si="8"/>
        <v>78573.999999928637</v>
      </c>
      <c r="AD78" s="88">
        <f t="shared" si="9"/>
        <v>0.62859199999942905</v>
      </c>
      <c r="AE78" s="62">
        <f t="shared" si="10"/>
        <v>9.1118883389455285E-2</v>
      </c>
      <c r="AF78" s="31" t="s">
        <v>332</v>
      </c>
      <c r="AG78" s="34" t="s">
        <v>330</v>
      </c>
      <c r="AH78" s="53">
        <f t="shared" si="11"/>
        <v>-5.7090073823928837E-13</v>
      </c>
      <c r="AI78" s="53">
        <f t="shared" si="12"/>
        <v>6.2700000000005707</v>
      </c>
      <c r="AL78" s="89" t="s">
        <v>333</v>
      </c>
      <c r="AM78" s="89" t="s">
        <v>334</v>
      </c>
      <c r="AN78" s="89">
        <v>5.7</v>
      </c>
      <c r="AO78" s="89">
        <v>5.7</v>
      </c>
      <c r="AP78" s="89">
        <v>5.7</v>
      </c>
      <c r="AQ78" s="92">
        <f>AQ77+AP78</f>
        <v>28.18</v>
      </c>
    </row>
    <row r="79" spans="1:47" ht="15.75">
      <c r="B79">
        <v>102</v>
      </c>
      <c r="C79">
        <v>101</v>
      </c>
      <c r="E79" t="s">
        <v>51</v>
      </c>
      <c r="F79" t="s">
        <v>49</v>
      </c>
      <c r="G79" t="s">
        <v>50</v>
      </c>
      <c r="H79" t="s">
        <v>53</v>
      </c>
      <c r="L79" s="78" t="s">
        <v>329</v>
      </c>
      <c r="M79" s="78" t="s">
        <v>335</v>
      </c>
      <c r="O79" s="84" t="s">
        <v>336</v>
      </c>
      <c r="P79" s="32" t="s">
        <v>337</v>
      </c>
      <c r="Q79" s="85">
        <f>R78-1</f>
        <v>608968220.4295913</v>
      </c>
      <c r="R79" s="28">
        <f t="shared" si="3"/>
        <v>609242044.98271501</v>
      </c>
      <c r="S79" s="21">
        <f t="shared" si="4"/>
        <v>273824.55312371254</v>
      </c>
      <c r="T79" s="21">
        <f t="shared" si="5"/>
        <v>1329625.0000000165</v>
      </c>
      <c r="U79" s="3">
        <v>0</v>
      </c>
      <c r="V79" s="27">
        <f t="shared" si="6"/>
        <v>1329625.0000000165</v>
      </c>
      <c r="W79" s="20">
        <f>Y79*1000000/8</f>
        <v>1329625</v>
      </c>
      <c r="X79" s="87">
        <f t="shared" si="7"/>
        <v>-1.6530975699424744E-8</v>
      </c>
      <c r="Y79" s="77">
        <f>1.1*AN79</f>
        <v>10.637</v>
      </c>
      <c r="Z79" s="33"/>
      <c r="AA79" s="33"/>
      <c r="AB79" s="50">
        <v>1414898</v>
      </c>
      <c r="AC79" s="50">
        <f t="shared" si="8"/>
        <v>85272.999999983469</v>
      </c>
      <c r="AD79" s="88">
        <f t="shared" si="9"/>
        <v>0.68218399999986779</v>
      </c>
      <c r="AE79" s="62">
        <f t="shared" si="10"/>
        <v>6.0267948643636125E-2</v>
      </c>
      <c r="AF79" s="31" t="s">
        <v>338</v>
      </c>
      <c r="AG79" s="34" t="s">
        <v>336</v>
      </c>
      <c r="AH79" s="53">
        <f t="shared" si="11"/>
        <v>-1.3224780559539796E-13</v>
      </c>
      <c r="AI79" s="53">
        <f t="shared" si="12"/>
        <v>10.637000000000132</v>
      </c>
      <c r="AL79" s="89" t="s">
        <v>339</v>
      </c>
      <c r="AM79" s="89" t="s">
        <v>340</v>
      </c>
      <c r="AN79" s="89">
        <v>9.67</v>
      </c>
      <c r="AO79" s="89">
        <v>9.67</v>
      </c>
      <c r="AP79" s="89">
        <v>9.67</v>
      </c>
      <c r="AQ79" s="92">
        <f>AQ78+AP79</f>
        <v>37.85</v>
      </c>
    </row>
    <row r="80" spans="1:47" ht="15.75">
      <c r="B80">
        <v>102</v>
      </c>
      <c r="C80">
        <v>101</v>
      </c>
      <c r="E80" t="s">
        <v>51</v>
      </c>
      <c r="F80" t="s">
        <v>49</v>
      </c>
      <c r="G80" t="s">
        <v>50</v>
      </c>
      <c r="H80" t="s">
        <v>53</v>
      </c>
      <c r="L80" s="78" t="s">
        <v>335</v>
      </c>
      <c r="M80" s="78" t="s">
        <v>341</v>
      </c>
      <c r="N80" s="17"/>
      <c r="O80" s="84" t="s">
        <v>342</v>
      </c>
      <c r="P80" s="32" t="s">
        <v>343</v>
      </c>
      <c r="Q80" s="85">
        <f>R79-1</f>
        <v>609242043.98271501</v>
      </c>
      <c r="R80" s="28">
        <f t="shared" si="3"/>
        <v>609420723.7066251</v>
      </c>
      <c r="S80" s="21">
        <f t="shared" si="4"/>
        <v>178679.72391009331</v>
      </c>
      <c r="T80" s="21">
        <f t="shared" si="5"/>
        <v>867624.99999999884</v>
      </c>
      <c r="U80" s="3">
        <v>0</v>
      </c>
      <c r="V80" s="27">
        <f t="shared" si="6"/>
        <v>867624.99999999884</v>
      </c>
      <c r="W80" s="20">
        <f>Y80*1000000/8</f>
        <v>867625</v>
      </c>
      <c r="X80" s="87">
        <f t="shared" si="7"/>
        <v>1.1641532182693481E-9</v>
      </c>
      <c r="Y80" s="77">
        <f>1.1*AN80</f>
        <v>6.9409999999999998</v>
      </c>
      <c r="Z80" s="33"/>
      <c r="AA80" s="33"/>
      <c r="AB80" s="50">
        <v>924952</v>
      </c>
      <c r="AC80" s="50">
        <f t="shared" si="8"/>
        <v>57327.000000001164</v>
      </c>
      <c r="AD80" s="88">
        <f t="shared" si="9"/>
        <v>0.45861600000000929</v>
      </c>
      <c r="AE80" s="62">
        <f t="shared" si="10"/>
        <v>6.1978351309042161E-2</v>
      </c>
      <c r="AF80" s="31" t="s">
        <v>344</v>
      </c>
      <c r="AG80" s="34" t="s">
        <v>342</v>
      </c>
      <c r="AH80" s="53">
        <f t="shared" si="11"/>
        <v>9.3132257461547859E-15</v>
      </c>
      <c r="AI80" s="53">
        <f t="shared" si="12"/>
        <v>6.940999999999991</v>
      </c>
      <c r="AL80" s="89" t="s">
        <v>345</v>
      </c>
      <c r="AM80" s="89" t="s">
        <v>346</v>
      </c>
      <c r="AN80" s="89">
        <v>6.31</v>
      </c>
      <c r="AO80" s="89">
        <v>6.31</v>
      </c>
      <c r="AP80" s="89">
        <v>6.31</v>
      </c>
      <c r="AQ80" s="92">
        <f>AQ79+AP80</f>
        <v>44.160000000000004</v>
      </c>
    </row>
    <row r="81" spans="1:43" ht="15.75">
      <c r="B81">
        <v>102</v>
      </c>
      <c r="C81">
        <v>101</v>
      </c>
      <c r="E81" t="s">
        <v>51</v>
      </c>
      <c r="F81" t="s">
        <v>49</v>
      </c>
      <c r="G81" t="s">
        <v>50</v>
      </c>
      <c r="H81" t="s">
        <v>53</v>
      </c>
      <c r="L81" s="78" t="s">
        <v>341</v>
      </c>
      <c r="M81" s="78" t="s">
        <v>347</v>
      </c>
      <c r="N81" s="17"/>
      <c r="O81" s="84" t="s">
        <v>348</v>
      </c>
      <c r="P81" s="32" t="s">
        <v>349</v>
      </c>
      <c r="Q81" s="85">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7">
        <f t="shared" si="7"/>
        <v>2.7206260710954666E-7</v>
      </c>
      <c r="Y81" s="77">
        <f>1.1*AN81</f>
        <v>7.9530000000000012</v>
      </c>
      <c r="Z81" s="93">
        <f>SUM(Y74:Y81)</f>
        <v>56.529000000000011</v>
      </c>
      <c r="AA81" s="50"/>
      <c r="AB81" s="50">
        <v>1063706</v>
      </c>
      <c r="AC81" s="50">
        <f t="shared" si="8"/>
        <v>69581.000000271946</v>
      </c>
      <c r="AD81" s="88">
        <f t="shared" si="9"/>
        <v>0.55664800000217562</v>
      </c>
      <c r="AE81" s="62">
        <f t="shared" si="10"/>
        <v>6.5413751544385335E-2</v>
      </c>
      <c r="AF81" s="31" t="s">
        <v>350</v>
      </c>
      <c r="AG81" s="34" t="s">
        <v>348</v>
      </c>
      <c r="AH81" s="53">
        <f t="shared" si="11"/>
        <v>2.1765008568763734E-12</v>
      </c>
      <c r="AI81" s="53">
        <f t="shared" si="12"/>
        <v>7.9529999999978243</v>
      </c>
      <c r="AL81" s="89" t="s">
        <v>351</v>
      </c>
      <c r="AM81" s="89" t="s">
        <v>352</v>
      </c>
      <c r="AN81" s="89">
        <v>7.23</v>
      </c>
      <c r="AO81" s="89">
        <v>7.23</v>
      </c>
      <c r="AP81" s="89">
        <v>7.23</v>
      </c>
      <c r="AQ81" s="92">
        <f>AQ80+AP81</f>
        <v>51.39</v>
      </c>
    </row>
    <row r="82" spans="1:43" ht="15">
      <c r="V82">
        <f>23*0.96</f>
        <v>22.08</v>
      </c>
      <c r="W82">
        <f>86400*V82</f>
        <v>1907711.9999999998</v>
      </c>
      <c r="Z82" s="59">
        <f>Y72</f>
        <v>0</v>
      </c>
      <c r="AB82" s="64">
        <f>AB81+AB76+AB70</f>
        <v>1397840</v>
      </c>
      <c r="AC82" s="3"/>
      <c r="AD82" s="3">
        <f>SUM(AD74:AD81)</f>
        <v>2.1029840000018876</v>
      </c>
      <c r="AE82" s="3"/>
      <c r="AH82" s="53"/>
      <c r="AI82" s="53"/>
    </row>
    <row r="83" spans="1:43" ht="15">
      <c r="O83" t="s">
        <v>353</v>
      </c>
      <c r="Q83" s="3">
        <v>590138632</v>
      </c>
      <c r="Y83" s="3"/>
      <c r="Z83" s="5"/>
      <c r="AA83" s="5"/>
      <c r="AB83" s="5"/>
      <c r="AC83" s="20"/>
      <c r="AD83" s="20"/>
      <c r="AE83" s="20"/>
      <c r="AH83" s="53"/>
      <c r="AI83" s="53"/>
    </row>
    <row r="84" spans="1:43" ht="15">
      <c r="M84" t="s">
        <v>354</v>
      </c>
      <c r="P84" s="45" t="s">
        <v>355</v>
      </c>
      <c r="Q84" s="45" t="s">
        <v>356</v>
      </c>
      <c r="R84" s="45">
        <v>590207401</v>
      </c>
      <c r="S84" s="45">
        <v>1</v>
      </c>
      <c r="T84" s="45" t="s">
        <v>27</v>
      </c>
      <c r="U84" s="45" t="s">
        <v>357</v>
      </c>
      <c r="V84" s="45" t="s">
        <v>118</v>
      </c>
      <c r="W84" s="45"/>
      <c r="X84" s="45" t="s">
        <v>358</v>
      </c>
      <c r="Y84" s="48"/>
      <c r="AC84" s="3"/>
      <c r="AD84" s="3"/>
      <c r="AE84" s="3"/>
      <c r="AH84" s="53"/>
      <c r="AI84" s="53"/>
    </row>
    <row r="85" spans="1:43" ht="15.75">
      <c r="L85" s="94" t="s">
        <v>359</v>
      </c>
      <c r="M85" s="94" t="s">
        <v>360</v>
      </c>
      <c r="N85" s="73" t="s">
        <v>18</v>
      </c>
      <c r="O85" s="34" t="s">
        <v>361</v>
      </c>
      <c r="P85" s="10" t="s">
        <v>10</v>
      </c>
      <c r="Q85" s="85">
        <f>Q83-3</f>
        <v>590138629</v>
      </c>
      <c r="R85" s="91">
        <f>R84+20</f>
        <v>590207421</v>
      </c>
      <c r="S85" s="21">
        <f>R85-Q85</f>
        <v>68792</v>
      </c>
      <c r="T85" s="21">
        <f>S85*$W$9</f>
        <v>253437.51089120371</v>
      </c>
      <c r="U85" s="3">
        <v>0</v>
      </c>
      <c r="V85" s="27">
        <f>T85+U85*$W$9</f>
        <v>253437.51089120371</v>
      </c>
      <c r="W85" s="20">
        <f>Y85*1000000/8</f>
        <v>396000</v>
      </c>
      <c r="X85" s="87">
        <f>W85-V85</f>
        <v>142562.48910879629</v>
      </c>
      <c r="Y85" s="77">
        <f>1.1*AN85</f>
        <v>3.1680000000000001</v>
      </c>
      <c r="Z85" s="33"/>
      <c r="AA85" s="33"/>
      <c r="AB85" s="50">
        <v>283727</v>
      </c>
      <c r="AC85" s="50">
        <f>AB85-W85</f>
        <v>-112273</v>
      </c>
      <c r="AD85" s="50">
        <f>AC85*8/1000000</f>
        <v>-0.89818399999999998</v>
      </c>
      <c r="AE85" s="50"/>
      <c r="AF85" s="31" t="s">
        <v>362</v>
      </c>
      <c r="AG85" s="34" t="s">
        <v>361</v>
      </c>
      <c r="AH85" s="53">
        <f>X85*8/1000000</f>
        <v>1.1404999128703703</v>
      </c>
      <c r="AI85" s="53">
        <f>V85*8/1000000</f>
        <v>2.0275000871296296</v>
      </c>
      <c r="AL85" s="95" t="s">
        <v>363</v>
      </c>
      <c r="AM85" s="95" t="s">
        <v>364</v>
      </c>
      <c r="AN85" s="95">
        <v>2.88</v>
      </c>
      <c r="AO85" s="95">
        <v>2.88</v>
      </c>
      <c r="AP85" s="95">
        <v>2.88</v>
      </c>
      <c r="AQ85" s="48">
        <f>AP85</f>
        <v>2.88</v>
      </c>
    </row>
    <row r="86" spans="1:43" ht="15">
      <c r="O86" t="s">
        <v>23</v>
      </c>
      <c r="P86" s="46" t="s">
        <v>365</v>
      </c>
      <c r="Q86" s="46" t="s">
        <v>366</v>
      </c>
      <c r="R86" s="46">
        <v>590247116</v>
      </c>
      <c r="S86" s="46">
        <v>7</v>
      </c>
      <c r="T86" s="46" t="s">
        <v>27</v>
      </c>
      <c r="U86" s="46" t="s">
        <v>367</v>
      </c>
      <c r="V86" s="45" t="s">
        <v>101</v>
      </c>
      <c r="W86" s="46" t="s">
        <v>102</v>
      </c>
      <c r="X86" s="46" t="s">
        <v>368</v>
      </c>
      <c r="Y86" s="48"/>
      <c r="Z86" s="48"/>
      <c r="AA86" s="48"/>
      <c r="AB86" s="48"/>
      <c r="AC86" s="47"/>
      <c r="AD86" s="47"/>
      <c r="AE86" s="47"/>
      <c r="AG86" t="s">
        <v>23</v>
      </c>
      <c r="AH86" s="53"/>
      <c r="AI86" s="53"/>
    </row>
    <row r="87" spans="1:43" ht="15.75">
      <c r="A87" s="73" t="s">
        <v>157</v>
      </c>
      <c r="B87" s="73"/>
      <c r="C87" s="73"/>
      <c r="D87" s="73"/>
      <c r="E87" s="73"/>
      <c r="F87" s="73"/>
      <c r="G87" s="73"/>
      <c r="H87" s="73"/>
      <c r="I87" s="73"/>
      <c r="J87" s="73"/>
      <c r="K87" s="73"/>
      <c r="L87" s="94" t="s">
        <v>369</v>
      </c>
      <c r="M87" s="94" t="s">
        <v>370</v>
      </c>
      <c r="O87" s="34" t="s">
        <v>361</v>
      </c>
      <c r="P87" s="32" t="s">
        <v>10</v>
      </c>
      <c r="Q87" s="91">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7">
        <f t="shared" ref="X87:X92" si="17">W87-V87</f>
        <v>1.0061194188892841E-7</v>
      </c>
      <c r="AB87" s="50">
        <v>191209</v>
      </c>
      <c r="AC87" s="50">
        <f t="shared" ref="AC87:AC92" si="18">AB87-W87</f>
        <v>48646.51089120371</v>
      </c>
      <c r="AD87" s="50">
        <f t="shared" ref="AD87:AD92" si="19">AC87*8/1000000</f>
        <v>0.3891720871296297</v>
      </c>
      <c r="AE87" s="50"/>
      <c r="AH87" s="53">
        <f t="shared" ref="AH87:AH92" si="20">X87*8/1000000</f>
        <v>8.0489553511142731E-13</v>
      </c>
      <c r="AI87" s="53">
        <f t="shared" ref="AI87:AI92" si="21">V87*8/1000000</f>
        <v>1.1404999128695654</v>
      </c>
    </row>
    <row r="88" spans="1:43" ht="15.75">
      <c r="L88" s="94" t="s">
        <v>370</v>
      </c>
      <c r="M88" s="94" t="s">
        <v>371</v>
      </c>
      <c r="O88" s="34" t="s">
        <v>372</v>
      </c>
      <c r="P88" s="32" t="s">
        <v>373</v>
      </c>
      <c r="Q88" s="85">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7">
        <f t="shared" si="17"/>
        <v>-8.3586201071739197E-8</v>
      </c>
      <c r="Y88" s="77">
        <f>1.1*AN88</f>
        <v>11.297000000000001</v>
      </c>
      <c r="Z88" s="33"/>
      <c r="AA88" s="33"/>
      <c r="AB88" s="50">
        <v>1411117</v>
      </c>
      <c r="AC88" s="50">
        <f t="shared" si="18"/>
        <v>-1008</v>
      </c>
      <c r="AD88" s="50">
        <f t="shared" si="19"/>
        <v>-8.064E-3</v>
      </c>
      <c r="AE88" s="50"/>
      <c r="AF88" s="31" t="s">
        <v>374</v>
      </c>
      <c r="AG88" s="34" t="s">
        <v>372</v>
      </c>
      <c r="AH88" s="53">
        <f t="shared" si="20"/>
        <v>-6.6868960857391357E-13</v>
      </c>
      <c r="AI88" s="53">
        <f t="shared" si="21"/>
        <v>11.297000000000669</v>
      </c>
      <c r="AL88" s="95" t="s">
        <v>375</v>
      </c>
      <c r="AM88" s="95" t="s">
        <v>376</v>
      </c>
      <c r="AN88" s="95">
        <v>10.27</v>
      </c>
      <c r="AO88" s="95">
        <v>10.27</v>
      </c>
      <c r="AP88" s="95">
        <v>10.27</v>
      </c>
      <c r="AQ88" s="48">
        <f>AQ85+AP88</f>
        <v>13.149999999999999</v>
      </c>
    </row>
    <row r="89" spans="1:43" ht="15.75">
      <c r="L89" s="94" t="s">
        <v>371</v>
      </c>
      <c r="M89" s="94" t="s">
        <v>377</v>
      </c>
      <c r="O89" s="34" t="s">
        <v>378</v>
      </c>
      <c r="P89" s="32" t="s">
        <v>17</v>
      </c>
      <c r="Q89" s="85">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7">
        <f t="shared" si="17"/>
        <v>2.7939677238464355E-8</v>
      </c>
      <c r="Y89" s="77">
        <f>1.1*AN89</f>
        <v>23.144000000000002</v>
      </c>
      <c r="Z89" s="33"/>
      <c r="AA89" s="33"/>
      <c r="AB89" s="50">
        <v>2901234</v>
      </c>
      <c r="AC89" s="50">
        <f t="shared" si="18"/>
        <v>8233.9999999995343</v>
      </c>
      <c r="AD89" s="50">
        <f t="shared" si="19"/>
        <v>6.5871999999996281E-2</v>
      </c>
      <c r="AE89" s="50"/>
      <c r="AF89" s="31" t="s">
        <v>379</v>
      </c>
      <c r="AG89" s="34" t="s">
        <v>378</v>
      </c>
      <c r="AH89" s="53">
        <f t="shared" si="20"/>
        <v>2.2351741790771485E-13</v>
      </c>
      <c r="AI89" s="53">
        <f t="shared" si="21"/>
        <v>23.143999999999782</v>
      </c>
      <c r="AL89" s="95" t="s">
        <v>380</v>
      </c>
      <c r="AM89" s="95" t="s">
        <v>381</v>
      </c>
      <c r="AN89" s="95">
        <v>21.04</v>
      </c>
      <c r="AO89" s="95">
        <v>21.04</v>
      </c>
      <c r="AP89" s="95">
        <v>21.04</v>
      </c>
      <c r="AQ89" s="48">
        <f>AQ88+AP89</f>
        <v>34.19</v>
      </c>
    </row>
    <row r="90" spans="1:43" ht="15.75">
      <c r="L90" s="94" t="s">
        <v>377</v>
      </c>
      <c r="M90" s="94" t="s">
        <v>382</v>
      </c>
      <c r="N90" s="17"/>
      <c r="O90" s="34" t="s">
        <v>383</v>
      </c>
      <c r="P90" s="32" t="s">
        <v>384</v>
      </c>
      <c r="Q90" s="85">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7">
        <f t="shared" si="17"/>
        <v>-1.0477378964424133E-7</v>
      </c>
      <c r="Y90" s="77">
        <f>1.1*AN90</f>
        <v>10.043000000000001</v>
      </c>
      <c r="Z90" s="33"/>
      <c r="AA90" s="33"/>
      <c r="AB90" s="50">
        <v>1259168</v>
      </c>
      <c r="AC90" s="50">
        <f t="shared" si="18"/>
        <v>3792.9999999997672</v>
      </c>
      <c r="AD90" s="50">
        <f t="shared" si="19"/>
        <v>3.0343999999998136E-2</v>
      </c>
      <c r="AE90" s="50"/>
      <c r="AF90" s="31" t="s">
        <v>385</v>
      </c>
      <c r="AG90" s="34" t="s">
        <v>383</v>
      </c>
      <c r="AH90" s="53">
        <f t="shared" si="20"/>
        <v>-8.3819031715393064E-13</v>
      </c>
      <c r="AI90" s="53">
        <f t="shared" si="21"/>
        <v>10.043000000000839</v>
      </c>
      <c r="AL90" s="95" t="s">
        <v>386</v>
      </c>
      <c r="AM90" s="95" t="s">
        <v>387</v>
      </c>
      <c r="AN90" s="95">
        <v>9.1300000000000008</v>
      </c>
      <c r="AO90" s="95">
        <v>9.1300000000000008</v>
      </c>
      <c r="AP90" s="95">
        <v>9.1300000000000008</v>
      </c>
      <c r="AQ90" s="48">
        <f>AQ89+AP90</f>
        <v>43.32</v>
      </c>
    </row>
    <row r="91" spans="1:43" ht="15.75">
      <c r="L91" s="47" t="s">
        <v>382</v>
      </c>
      <c r="M91" s="47" t="s">
        <v>388</v>
      </c>
      <c r="O91" s="34" t="s">
        <v>389</v>
      </c>
      <c r="P91" s="32" t="s">
        <v>390</v>
      </c>
      <c r="Q91" s="58">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7">
        <f t="shared" si="17"/>
        <v>7.8813172876834869E-8</v>
      </c>
      <c r="Y91" s="77">
        <f>1.1*AN91</f>
        <v>7.2820000000000009</v>
      </c>
      <c r="Z91" s="33"/>
      <c r="AA91" s="33"/>
      <c r="AB91" s="50">
        <v>915898</v>
      </c>
      <c r="AC91" s="50">
        <f t="shared" si="18"/>
        <v>5647.9999999998836</v>
      </c>
      <c r="AD91" s="50">
        <f t="shared" si="19"/>
        <v>4.5183999999999072E-2</v>
      </c>
      <c r="AE91" s="50"/>
      <c r="AF91" s="31" t="s">
        <v>391</v>
      </c>
      <c r="AG91" s="34" t="s">
        <v>389</v>
      </c>
      <c r="AH91" s="53">
        <f t="shared" si="20"/>
        <v>6.3050538301467893E-13</v>
      </c>
      <c r="AI91" s="53">
        <f t="shared" si="21"/>
        <v>7.2819999999993703</v>
      </c>
      <c r="AL91" s="95" t="s">
        <v>392</v>
      </c>
      <c r="AM91" s="95" t="s">
        <v>393</v>
      </c>
      <c r="AN91" s="95">
        <v>6.62</v>
      </c>
      <c r="AO91" s="95">
        <v>6.62</v>
      </c>
      <c r="AP91" s="95">
        <v>6.62</v>
      </c>
      <c r="AQ91" s="48">
        <f>AQ90+AP91</f>
        <v>49.94</v>
      </c>
    </row>
    <row r="92" spans="1:43" ht="15.75">
      <c r="L92" s="47" t="s">
        <v>388</v>
      </c>
      <c r="M92" s="47" t="s">
        <v>394</v>
      </c>
      <c r="O92" s="34" t="s">
        <v>395</v>
      </c>
      <c r="P92" s="32" t="s">
        <v>396</v>
      </c>
      <c r="Q92" s="58">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7">
        <f t="shared" si="17"/>
        <v>-7.9628080129623413E-8</v>
      </c>
      <c r="Y92" s="77">
        <f>1.1*AN92</f>
        <v>11.506000000000002</v>
      </c>
      <c r="Z92" s="96">
        <f>SUM(Y85:Y92)</f>
        <v>66.440000000000012</v>
      </c>
      <c r="AA92" s="50"/>
      <c r="AB92" s="50">
        <v>1436041</v>
      </c>
      <c r="AC92" s="50">
        <f t="shared" si="18"/>
        <v>-2209.0000000002328</v>
      </c>
      <c r="AD92" s="50">
        <f t="shared" si="19"/>
        <v>-1.7672000000001863E-2</v>
      </c>
      <c r="AE92" s="50"/>
      <c r="AF92" s="31" t="s">
        <v>397</v>
      </c>
      <c r="AG92" s="34" t="s">
        <v>395</v>
      </c>
      <c r="AH92" s="53">
        <f t="shared" si="20"/>
        <v>-6.3702464103698734E-13</v>
      </c>
      <c r="AI92" s="53">
        <f t="shared" si="21"/>
        <v>11.50600000000064</v>
      </c>
      <c r="AL92" s="95" t="s">
        <v>398</v>
      </c>
      <c r="AM92" s="95" t="s">
        <v>399</v>
      </c>
      <c r="AN92" s="95">
        <v>10.46</v>
      </c>
      <c r="AO92" s="95">
        <v>10.46</v>
      </c>
      <c r="AP92" s="95">
        <v>10.46</v>
      </c>
      <c r="AQ92" s="48">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3"/>
      <c r="AI93" s="53"/>
    </row>
    <row r="94" spans="1:43" ht="15.75">
      <c r="P94" s="32" t="s">
        <v>401</v>
      </c>
      <c r="Q94" s="58">
        <f>R92-3</f>
        <v>592432559.87599802</v>
      </c>
      <c r="R94" s="21">
        <f>((W94)/$W$9)+Q94</f>
        <v>592883201.30270076</v>
      </c>
      <c r="S94" s="21">
        <f>R94-Q94</f>
        <v>450641.42670273781</v>
      </c>
      <c r="T94" s="21">
        <f>S94*$W$9</f>
        <v>1660214.0000000391</v>
      </c>
      <c r="U94" s="3">
        <v>0</v>
      </c>
      <c r="V94" s="20">
        <f>T94+U94*$V$23</f>
        <v>1660214.0000000391</v>
      </c>
      <c r="W94" s="20">
        <f>982562+579837+100705-2890</f>
        <v>1660214</v>
      </c>
      <c r="X94" s="87">
        <f>W94-V94</f>
        <v>-3.9115548133850098E-8</v>
      </c>
      <c r="Y94" s="77">
        <f>W94*8/1000000</f>
        <v>13.281712000000001</v>
      </c>
      <c r="Z94" t="s">
        <v>402</v>
      </c>
      <c r="AC94" s="3" t="s">
        <v>155</v>
      </c>
      <c r="AD94" s="3"/>
      <c r="AE94" s="3"/>
      <c r="AH94" s="53">
        <f>X94*8/1000000</f>
        <v>-3.1292438507080076E-13</v>
      </c>
      <c r="AI94" s="53">
        <f>V94*8/1000000</f>
        <v>13.281712000000313</v>
      </c>
    </row>
    <row r="95" spans="1:43" ht="15">
      <c r="AC95" s="3"/>
      <c r="AH95" s="53"/>
      <c r="AI95" s="53"/>
      <c r="AJ95" s="97"/>
      <c r="AK95" s="97"/>
      <c r="AL95" s="97"/>
      <c r="AM95" s="97"/>
      <c r="AN95" s="97"/>
    </row>
    <row r="96" spans="1:43" ht="15">
      <c r="AC96" s="3"/>
      <c r="AI96" s="97"/>
      <c r="AJ96" s="97"/>
      <c r="AK96" s="97"/>
      <c r="AL96" s="97"/>
      <c r="AM96" s="97"/>
    </row>
    <row r="97" spans="16:41" ht="15">
      <c r="AA97" s="60"/>
      <c r="AC97" s="3"/>
      <c r="AI97" s="97"/>
      <c r="AJ97" s="97"/>
      <c r="AK97" s="97"/>
      <c r="AL97" s="97"/>
      <c r="AM97" s="97"/>
    </row>
    <row r="98" spans="16:41" ht="15">
      <c r="AG98" s="97"/>
      <c r="AH98" s="97"/>
      <c r="AI98" s="97"/>
      <c r="AJ98" s="97"/>
      <c r="AK98" s="97"/>
    </row>
    <row r="100" spans="16:41" ht="15">
      <c r="AK100" s="65"/>
      <c r="AL100" s="65"/>
      <c r="AM100" s="65"/>
      <c r="AN100" s="65"/>
      <c r="AO100" s="65"/>
    </row>
    <row r="101" spans="16:41" ht="15">
      <c r="AK101" s="65"/>
      <c r="AL101" s="65"/>
      <c r="AM101" s="65"/>
      <c r="AN101" s="65"/>
      <c r="AO101" s="65"/>
    </row>
    <row r="102" spans="16:41" ht="15">
      <c r="AK102" s="65"/>
      <c r="AL102" s="65"/>
      <c r="AM102" s="65"/>
      <c r="AN102" s="65"/>
      <c r="AO102" s="65"/>
    </row>
    <row r="103" spans="16:41" ht="15">
      <c r="AK103" s="65"/>
      <c r="AL103" s="65"/>
      <c r="AM103" s="65"/>
      <c r="AN103" s="65"/>
      <c r="AO103" s="65"/>
    </row>
    <row r="104" spans="16:41" ht="15">
      <c r="P104" s="15" t="s">
        <v>403</v>
      </c>
      <c r="Q104" s="15" t="s">
        <v>404</v>
      </c>
      <c r="R104" s="15">
        <v>611744576</v>
      </c>
      <c r="S104" s="15">
        <v>7</v>
      </c>
      <c r="T104" s="15" t="s">
        <v>27</v>
      </c>
      <c r="U104" s="15" t="s">
        <v>405</v>
      </c>
      <c r="V104" s="15" t="s">
        <v>151</v>
      </c>
      <c r="W104" s="15" t="s">
        <v>152</v>
      </c>
      <c r="X104" s="15" t="s">
        <v>406</v>
      </c>
      <c r="Y104" s="60"/>
      <c r="Z104" s="60"/>
      <c r="AA104" s="60"/>
      <c r="AK104" s="65"/>
      <c r="AL104" s="65"/>
      <c r="AM104" s="65"/>
      <c r="AN104" s="65"/>
      <c r="AO104" s="65"/>
    </row>
    <row r="105" spans="16:41" ht="15">
      <c r="P105" s="15" t="s">
        <v>407</v>
      </c>
      <c r="Q105" s="15" t="s">
        <v>408</v>
      </c>
      <c r="R105" s="15">
        <v>611746916</v>
      </c>
      <c r="S105" s="15">
        <v>0</v>
      </c>
      <c r="T105" s="15" t="s">
        <v>409</v>
      </c>
      <c r="U105" s="15" t="s">
        <v>410</v>
      </c>
      <c r="V105" s="15" t="s">
        <v>411</v>
      </c>
      <c r="W105" s="15"/>
      <c r="X105" s="15" t="s">
        <v>406</v>
      </c>
      <c r="Y105" s="60"/>
      <c r="Z105" s="60"/>
      <c r="AA105" s="60"/>
      <c r="AG105" s="97"/>
      <c r="AH105" s="97"/>
      <c r="AI105" s="97"/>
      <c r="AJ105" s="97"/>
      <c r="AK105" s="65"/>
      <c r="AL105" s="65"/>
      <c r="AM105" s="65"/>
      <c r="AN105" s="65"/>
      <c r="AO105" s="65"/>
    </row>
    <row r="106" spans="16:41" ht="15">
      <c r="AK106" s="65"/>
      <c r="AL106" s="65"/>
      <c r="AM106" s="65"/>
      <c r="AN106" s="65"/>
      <c r="AO106" s="65"/>
    </row>
    <row r="107" spans="16:41" ht="15">
      <c r="P107" s="15" t="s">
        <v>412</v>
      </c>
      <c r="Q107" s="15" t="s">
        <v>413</v>
      </c>
      <c r="R107" s="15">
        <v>611791076</v>
      </c>
      <c r="S107" s="15">
        <v>0</v>
      </c>
      <c r="T107" s="15" t="s">
        <v>409</v>
      </c>
      <c r="U107" s="15" t="s">
        <v>414</v>
      </c>
      <c r="V107" s="15" t="s">
        <v>415</v>
      </c>
      <c r="W107" s="15"/>
      <c r="X107" s="15"/>
      <c r="AK107" s="65"/>
      <c r="AL107" s="65"/>
      <c r="AM107" s="65"/>
      <c r="AN107" s="65"/>
      <c r="AO107" s="65"/>
    </row>
    <row r="108" spans="16:41" ht="15">
      <c r="P108" s="15" t="s">
        <v>412</v>
      </c>
      <c r="Q108" s="15" t="s">
        <v>413</v>
      </c>
      <c r="R108" s="15">
        <v>611791076</v>
      </c>
      <c r="S108" s="15">
        <v>0</v>
      </c>
      <c r="T108" s="15" t="s">
        <v>409</v>
      </c>
      <c r="U108" s="15" t="s">
        <v>414</v>
      </c>
      <c r="V108" s="15" t="s">
        <v>416</v>
      </c>
      <c r="W108" s="15" t="s">
        <v>417</v>
      </c>
      <c r="X108" s="15"/>
      <c r="AK108" s="65"/>
      <c r="AL108" s="65"/>
      <c r="AM108" s="65"/>
      <c r="AN108" s="65"/>
      <c r="AO108" s="65"/>
    </row>
    <row r="109" spans="16:41" ht="15">
      <c r="P109" s="15" t="s">
        <v>412</v>
      </c>
      <c r="Q109" s="15" t="s">
        <v>413</v>
      </c>
      <c r="R109" s="15">
        <v>611791076</v>
      </c>
      <c r="S109" s="15">
        <v>0</v>
      </c>
      <c r="T109" s="15" t="s">
        <v>409</v>
      </c>
      <c r="U109" s="15" t="s">
        <v>414</v>
      </c>
      <c r="V109" s="15" t="s">
        <v>418</v>
      </c>
      <c r="W109" s="15"/>
      <c r="X109" s="15"/>
      <c r="AB109" t="s">
        <v>419</v>
      </c>
      <c r="AK109" s="65"/>
      <c r="AL109" s="65"/>
      <c r="AM109" s="65"/>
      <c r="AN109" s="65"/>
      <c r="AO109" s="65"/>
    </row>
    <row r="110" spans="16:41" ht="15">
      <c r="X110" t="s">
        <v>198</v>
      </c>
      <c r="AK110" s="65"/>
      <c r="AL110" s="65"/>
      <c r="AM110" s="65"/>
      <c r="AN110" s="65"/>
      <c r="AO110" s="65"/>
    </row>
    <row r="111" spans="16:41" ht="15">
      <c r="P111" s="9">
        <v>25159</v>
      </c>
      <c r="T111" s="3"/>
      <c r="V111" s="18"/>
      <c r="X111" t="s">
        <v>295</v>
      </c>
      <c r="AK111" s="65"/>
      <c r="AL111" s="65"/>
      <c r="AM111" s="65"/>
      <c r="AN111" s="65"/>
      <c r="AO111" s="65"/>
    </row>
    <row r="112" spans="16:41" ht="15">
      <c r="P112" s="12" t="s">
        <v>122</v>
      </c>
      <c r="Q112" s="11" t="s">
        <v>5</v>
      </c>
      <c r="R112" s="12" t="s">
        <v>6</v>
      </c>
      <c r="S112" s="12" t="s">
        <v>7</v>
      </c>
      <c r="T112" s="13" t="s">
        <v>8</v>
      </c>
      <c r="U112" s="3" t="s">
        <v>22</v>
      </c>
      <c r="V112" s="13" t="s">
        <v>25</v>
      </c>
      <c r="W112" s="12" t="s">
        <v>26</v>
      </c>
      <c r="X112" s="12" t="s">
        <v>9</v>
      </c>
      <c r="AC112" t="s">
        <v>147</v>
      </c>
      <c r="AK112" s="65"/>
      <c r="AL112" s="65"/>
      <c r="AM112" s="65"/>
      <c r="AN112" s="65"/>
      <c r="AO112" s="65"/>
    </row>
    <row r="113" spans="1:48" ht="15">
      <c r="C113" s="75" t="s">
        <v>226</v>
      </c>
      <c r="D113" s="75" t="s">
        <v>227</v>
      </c>
      <c r="E113" s="75" t="s">
        <v>51</v>
      </c>
      <c r="F113" s="75" t="s">
        <v>49</v>
      </c>
      <c r="G113" s="75" t="s">
        <v>50</v>
      </c>
      <c r="H113" s="75" t="s">
        <v>53</v>
      </c>
      <c r="I113" s="75" t="s">
        <v>54</v>
      </c>
      <c r="J113" s="75" t="s">
        <v>228</v>
      </c>
      <c r="L113" t="s">
        <v>420</v>
      </c>
      <c r="P113" s="15" t="s">
        <v>421</v>
      </c>
      <c r="Q113" s="15" t="s">
        <v>422</v>
      </c>
      <c r="R113" s="15">
        <v>609911802</v>
      </c>
      <c r="S113" s="15">
        <v>1</v>
      </c>
      <c r="T113" s="15" t="s">
        <v>27</v>
      </c>
      <c r="U113" s="15" t="s">
        <v>194</v>
      </c>
      <c r="V113" s="15" t="s">
        <v>28</v>
      </c>
      <c r="W113" s="15"/>
      <c r="X113" s="15" t="s">
        <v>423</v>
      </c>
      <c r="Y113" s="60"/>
      <c r="Z113" s="60"/>
      <c r="AB113" s="3" t="s">
        <v>424</v>
      </c>
      <c r="AC113" s="3" t="s">
        <v>155</v>
      </c>
      <c r="AH113" t="s">
        <v>306</v>
      </c>
      <c r="AI113" t="s">
        <v>121</v>
      </c>
      <c r="AM113" s="65"/>
      <c r="AN113" s="65"/>
      <c r="AO113" s="65"/>
      <c r="AP113" s="65"/>
    </row>
    <row r="114" spans="1:48" ht="15.75">
      <c r="B114">
        <v>102</v>
      </c>
      <c r="C114">
        <v>101</v>
      </c>
      <c r="E114" t="s">
        <v>51</v>
      </c>
      <c r="F114" t="s">
        <v>49</v>
      </c>
      <c r="G114" t="s">
        <v>50</v>
      </c>
      <c r="L114" s="78" t="s">
        <v>347</v>
      </c>
      <c r="M114" s="78" t="s">
        <v>425</v>
      </c>
      <c r="N114" s="17"/>
      <c r="O114" s="84" t="str">
        <f>AG114</f>
        <v>160/16:16</v>
      </c>
      <c r="P114" s="32" t="s">
        <v>11</v>
      </c>
      <c r="Q114" s="85">
        <f>R81-1</f>
        <v>609625452.99091506</v>
      </c>
      <c r="R114" s="86">
        <f>R113+20</f>
        <v>609911822</v>
      </c>
      <c r="S114" s="21">
        <f>R114-Q114</f>
        <v>286369.00908493996</v>
      </c>
      <c r="T114" s="21">
        <f>S114*$V$13</f>
        <v>1082666.264182217</v>
      </c>
      <c r="U114" s="3">
        <v>0</v>
      </c>
      <c r="V114" s="27">
        <f>T114+U114*$V$23</f>
        <v>1082666.264182217</v>
      </c>
      <c r="W114" s="20">
        <f>Y114*1000000/8</f>
        <v>1236125.0000000002</v>
      </c>
      <c r="X114" s="87">
        <f>W114-V114</f>
        <v>153458.73581778328</v>
      </c>
      <c r="Y114" s="77">
        <f>1.1*AL114</f>
        <v>9.8890000000000011</v>
      </c>
      <c r="Z114" s="93">
        <f>SUM(Y106:Y114)</f>
        <v>9.8890000000000011</v>
      </c>
      <c r="AA114" s="50"/>
      <c r="AB114" s="50">
        <v>1242139</v>
      </c>
      <c r="AC114" s="50">
        <f>AB114-T114</f>
        <v>159472.73581778305</v>
      </c>
      <c r="AD114" s="98">
        <f>AC114*8/1000000</f>
        <v>1.2757818865422643</v>
      </c>
      <c r="AE114" s="62">
        <f>AC114/AB114</f>
        <v>0.1283855798890326</v>
      </c>
      <c r="AF114" s="31" t="s">
        <v>426</v>
      </c>
      <c r="AG114" s="34" t="s">
        <v>427</v>
      </c>
      <c r="AH114" s="53">
        <f>X114*8/1000000</f>
        <v>1.2276698865422662</v>
      </c>
      <c r="AI114" s="53">
        <f>V114*8/1000000</f>
        <v>8.6613301134577352</v>
      </c>
      <c r="AJ114" s="70" t="s">
        <v>428</v>
      </c>
      <c r="AK114" s="65" t="s">
        <v>429</v>
      </c>
      <c r="AL114" s="65">
        <v>8.99</v>
      </c>
      <c r="AM114" s="65">
        <v>8.99</v>
      </c>
      <c r="AN114" s="65">
        <v>8.99</v>
      </c>
      <c r="AP114" s="65"/>
      <c r="AQ114" s="65"/>
      <c r="AR114" s="65"/>
      <c r="AS114" s="65"/>
      <c r="AT114" s="65"/>
      <c r="AU114" s="65"/>
      <c r="AV114" s="65"/>
    </row>
    <row r="115" spans="1:48" ht="15">
      <c r="P115" s="15" t="s">
        <v>430</v>
      </c>
      <c r="Q115" s="16" t="s">
        <v>431</v>
      </c>
      <c r="R115" s="15">
        <v>609912716</v>
      </c>
      <c r="S115" s="15">
        <v>7</v>
      </c>
      <c r="T115" s="15" t="s">
        <v>27</v>
      </c>
      <c r="U115" s="15" t="s">
        <v>405</v>
      </c>
      <c r="V115" s="15" t="s">
        <v>151</v>
      </c>
      <c r="W115" s="15" t="s">
        <v>152</v>
      </c>
      <c r="X115" s="15" t="s">
        <v>432</v>
      </c>
      <c r="Y115" s="60"/>
      <c r="Z115" s="60"/>
      <c r="AA115" s="59"/>
      <c r="AB115" s="59"/>
      <c r="AC115" s="3" t="s">
        <v>433</v>
      </c>
      <c r="AD115" s="99"/>
      <c r="AK115" s="65"/>
      <c r="AL115" s="65"/>
      <c r="AM115" s="65"/>
      <c r="AO115" s="65"/>
      <c r="AP115" s="65"/>
    </row>
    <row r="116" spans="1:48" ht="15">
      <c r="N116" s="17"/>
      <c r="P116" s="15" t="s">
        <v>434</v>
      </c>
      <c r="Q116" s="15" t="s">
        <v>435</v>
      </c>
      <c r="R116" s="15">
        <v>609914566</v>
      </c>
      <c r="S116" s="15">
        <v>0</v>
      </c>
      <c r="T116" s="15" t="s">
        <v>409</v>
      </c>
      <c r="U116" s="15" t="s">
        <v>436</v>
      </c>
      <c r="V116" s="15" t="s">
        <v>437</v>
      </c>
      <c r="W116" s="15"/>
      <c r="X116" s="15" t="s">
        <v>432</v>
      </c>
      <c r="Y116" s="60"/>
      <c r="Z116" s="60"/>
      <c r="AA116" s="60"/>
      <c r="AB116" s="59"/>
      <c r="AC116" s="3" t="s">
        <v>438</v>
      </c>
      <c r="AD116" s="99"/>
      <c r="AI116" s="70"/>
      <c r="AJ116" s="65"/>
      <c r="AK116" s="65"/>
      <c r="AL116" s="65"/>
      <c r="AM116" s="65"/>
      <c r="AP116" s="65"/>
      <c r="AQ116" s="65"/>
      <c r="AR116" s="65"/>
      <c r="AS116" s="65"/>
      <c r="AT116" s="65"/>
      <c r="AU116" s="65"/>
    </row>
    <row r="117" spans="1:48" ht="15">
      <c r="P117" s="15" t="s">
        <v>439</v>
      </c>
      <c r="Q117" s="15" t="s">
        <v>440</v>
      </c>
      <c r="R117" s="15">
        <v>609914569</v>
      </c>
      <c r="S117" s="15">
        <v>0</v>
      </c>
      <c r="T117" s="15" t="s">
        <v>409</v>
      </c>
      <c r="U117" s="15" t="s">
        <v>436</v>
      </c>
      <c r="V117" s="15" t="s">
        <v>441</v>
      </c>
      <c r="W117" s="15"/>
      <c r="X117" s="15" t="s">
        <v>432</v>
      </c>
      <c r="Y117" s="60"/>
      <c r="Z117" s="60"/>
      <c r="AA117" s="60"/>
      <c r="AB117" s="59"/>
      <c r="AC117" s="3" t="s">
        <v>442</v>
      </c>
      <c r="AD117" s="99"/>
    </row>
    <row r="118" spans="1:48" ht="15">
      <c r="P118" s="15" t="s">
        <v>443</v>
      </c>
      <c r="Q118" s="15" t="s">
        <v>444</v>
      </c>
      <c r="R118" s="15">
        <v>609914572</v>
      </c>
      <c r="S118" s="15">
        <v>0</v>
      </c>
      <c r="T118" s="15" t="s">
        <v>409</v>
      </c>
      <c r="U118" s="15" t="s">
        <v>436</v>
      </c>
      <c r="V118" s="15" t="s">
        <v>445</v>
      </c>
      <c r="W118" s="15"/>
      <c r="X118" s="15" t="s">
        <v>432</v>
      </c>
      <c r="Y118" s="60"/>
      <c r="Z118" s="60"/>
      <c r="AA118" s="60"/>
      <c r="AB118" s="59"/>
      <c r="AC118" s="3" t="s">
        <v>446</v>
      </c>
      <c r="AD118" s="99"/>
      <c r="AE118" s="99"/>
    </row>
    <row r="119" spans="1:48" ht="15">
      <c r="P119" s="15" t="s">
        <v>447</v>
      </c>
      <c r="Q119" s="15" t="s">
        <v>448</v>
      </c>
      <c r="R119" s="15">
        <v>609914575</v>
      </c>
      <c r="S119" s="15">
        <v>0</v>
      </c>
      <c r="T119" s="15" t="s">
        <v>409</v>
      </c>
      <c r="U119" s="15" t="s">
        <v>436</v>
      </c>
      <c r="V119" s="15" t="s">
        <v>449</v>
      </c>
      <c r="W119" s="15"/>
      <c r="X119" s="15" t="s">
        <v>432</v>
      </c>
      <c r="Y119" s="60"/>
      <c r="Z119" s="60"/>
      <c r="AA119" s="60"/>
      <c r="AB119" s="59"/>
      <c r="AC119" s="3" t="s">
        <v>450</v>
      </c>
      <c r="AD119" s="99">
        <f>SUM(AD121:AD128)</f>
        <v>6.8930581134568474</v>
      </c>
      <c r="AE119" s="99"/>
    </row>
    <row r="120" spans="1:48" ht="15">
      <c r="L120" t="s">
        <v>451</v>
      </c>
      <c r="P120" s="15" t="s">
        <v>452</v>
      </c>
      <c r="Q120" s="15" t="s">
        <v>453</v>
      </c>
      <c r="R120" s="15">
        <v>609915176</v>
      </c>
      <c r="S120" s="15">
        <v>0</v>
      </c>
      <c r="T120" s="15" t="s">
        <v>409</v>
      </c>
      <c r="U120" s="15" t="s">
        <v>410</v>
      </c>
      <c r="V120" s="15" t="s">
        <v>454</v>
      </c>
      <c r="W120" s="15"/>
      <c r="X120" s="15" t="s">
        <v>432</v>
      </c>
      <c r="Y120" s="60"/>
      <c r="Z120" s="60"/>
      <c r="AA120" s="60"/>
      <c r="AB120" s="59"/>
      <c r="AC120" t="s">
        <v>455</v>
      </c>
      <c r="AD120" s="99"/>
      <c r="AE120" s="99"/>
    </row>
    <row r="121" spans="1:48" ht="15.75">
      <c r="A121" t="s">
        <v>157</v>
      </c>
      <c r="B121">
        <v>102</v>
      </c>
      <c r="C121">
        <v>101</v>
      </c>
      <c r="E121" t="s">
        <v>51</v>
      </c>
      <c r="F121" t="s">
        <v>49</v>
      </c>
      <c r="G121" t="s">
        <v>50</v>
      </c>
      <c r="L121" s="78" t="s">
        <v>456</v>
      </c>
      <c r="M121" s="78" t="s">
        <v>457</v>
      </c>
      <c r="N121" s="17"/>
      <c r="P121" s="32" t="s">
        <v>11</v>
      </c>
      <c r="Q121" s="100">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1">
        <f>X114</f>
        <v>153458.73581778328</v>
      </c>
      <c r="X121" s="87">
        <f t="shared" ref="X121:X128" si="25">W121-V121</f>
        <v>-197374.99999995949</v>
      </c>
      <c r="AB121" s="50">
        <v>306124</v>
      </c>
      <c r="AC121" s="50">
        <f>AB121-W121</f>
        <v>152665.26418221672</v>
      </c>
      <c r="AD121" s="98">
        <f t="shared" ref="AD121:AD128" si="26">AC121*8/1000000</f>
        <v>1.2213221134577337</v>
      </c>
      <c r="AE121" s="62">
        <f t="shared" ref="AE121:AE127" si="27">AC121/AB121</f>
        <v>0.49870400289495997</v>
      </c>
      <c r="AF121" t="s">
        <v>458</v>
      </c>
      <c r="AH121" t="s">
        <v>459</v>
      </c>
      <c r="AI121" t="e">
        <f>V120*8/1000000</f>
        <v>#VALUE!</v>
      </c>
    </row>
    <row r="122" spans="1:48" ht="15.75">
      <c r="B122">
        <v>102</v>
      </c>
      <c r="C122">
        <v>101</v>
      </c>
      <c r="E122" t="s">
        <v>51</v>
      </c>
      <c r="F122" t="s">
        <v>49</v>
      </c>
      <c r="G122" t="s">
        <v>50</v>
      </c>
      <c r="L122" s="78" t="str">
        <f t="shared" ref="L122:L128" si="28">M121</f>
        <v>139/09:36</v>
      </c>
      <c r="M122" s="78" t="s">
        <v>460</v>
      </c>
      <c r="O122" s="84" t="str">
        <f t="shared" ref="O122:O128" si="29">AG122</f>
        <v>161/15:11</v>
      </c>
      <c r="P122" s="32" t="s">
        <v>31</v>
      </c>
      <c r="Q122" s="85">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7">
        <f t="shared" si="25"/>
        <v>-1.0011717677116394E-7</v>
      </c>
      <c r="Y122" s="77">
        <f t="shared" ref="Y122:Y128" si="32">1.1*AL122</f>
        <v>7.7330000000000005</v>
      </c>
      <c r="Z122" s="93">
        <f>Z114+Y122</f>
        <v>17.622</v>
      </c>
      <c r="AA122" s="50"/>
      <c r="AB122" s="50">
        <v>873308</v>
      </c>
      <c r="AC122" s="50">
        <f t="shared" ref="AC122:AC128" si="33">AB122-T122</f>
        <v>104057.99999985925</v>
      </c>
      <c r="AD122" s="98">
        <f t="shared" si="26"/>
        <v>0.83246399999887399</v>
      </c>
      <c r="AE122" s="62">
        <f t="shared" si="27"/>
        <v>0.11915383805010289</v>
      </c>
      <c r="AF122" s="31" t="s">
        <v>32</v>
      </c>
      <c r="AG122" s="34" t="s">
        <v>461</v>
      </c>
      <c r="AH122" s="102">
        <f>X121*8/1000000</f>
        <v>-1.578999999999676</v>
      </c>
      <c r="AI122" s="53">
        <f>V121*8/1000000</f>
        <v>2.8066698865419419</v>
      </c>
      <c r="AJ122" s="70" t="s">
        <v>462</v>
      </c>
      <c r="AK122" s="65" t="s">
        <v>463</v>
      </c>
      <c r="AL122" s="65">
        <v>7.03</v>
      </c>
      <c r="AM122" s="65">
        <v>7.03</v>
      </c>
      <c r="AN122" s="65">
        <v>7.03</v>
      </c>
    </row>
    <row r="123" spans="1:48" ht="15.75">
      <c r="B123">
        <v>102</v>
      </c>
      <c r="C123">
        <v>101</v>
      </c>
      <c r="E123" t="s">
        <v>51</v>
      </c>
      <c r="F123" t="s">
        <v>49</v>
      </c>
      <c r="G123" t="s">
        <v>50</v>
      </c>
      <c r="L123" s="78" t="str">
        <f t="shared" si="28"/>
        <v>141/18:07</v>
      </c>
      <c r="M123" s="78" t="s">
        <v>464</v>
      </c>
      <c r="O123" s="84" t="str">
        <f t="shared" si="29"/>
        <v>162/01:06</v>
      </c>
      <c r="P123" s="32" t="s">
        <v>12</v>
      </c>
      <c r="Q123" s="85">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7">
        <f t="shared" si="25"/>
        <v>-5.6927092373371124E-8</v>
      </c>
      <c r="Y123" s="77">
        <f t="shared" si="32"/>
        <v>7.6670000000000007</v>
      </c>
      <c r="Z123" s="93">
        <f t="shared" ref="Z123:Z128" si="35">Y123+Z122</f>
        <v>25.289000000000001</v>
      </c>
      <c r="AA123" s="50"/>
      <c r="AB123" s="50">
        <v>1092116</v>
      </c>
      <c r="AC123" s="50">
        <f t="shared" si="33"/>
        <v>133740.99999994296</v>
      </c>
      <c r="AD123" s="98">
        <f t="shared" si="26"/>
        <v>1.0699279999995437</v>
      </c>
      <c r="AE123" s="62">
        <f t="shared" si="27"/>
        <v>0.1224604346057955</v>
      </c>
      <c r="AF123" s="31" t="s">
        <v>465</v>
      </c>
      <c r="AG123" s="34" t="s">
        <v>466</v>
      </c>
      <c r="AH123" s="53">
        <f>X122*8/1000000</f>
        <v>-8.009374141693115E-13</v>
      </c>
      <c r="AI123" s="53">
        <f>V122*8/1000000</f>
        <v>6.1540000000011261</v>
      </c>
      <c r="AJ123" s="65" t="s">
        <v>467</v>
      </c>
      <c r="AK123" s="65" t="s">
        <v>468</v>
      </c>
      <c r="AL123" s="65">
        <v>6.97</v>
      </c>
      <c r="AM123" s="65">
        <v>6.97</v>
      </c>
      <c r="AN123" s="65">
        <v>6.97</v>
      </c>
    </row>
    <row r="124" spans="1:48" ht="15.75">
      <c r="B124">
        <v>102</v>
      </c>
      <c r="C124">
        <v>101</v>
      </c>
      <c r="E124" t="s">
        <v>51</v>
      </c>
      <c r="F124" t="s">
        <v>49</v>
      </c>
      <c r="G124" t="s">
        <v>50</v>
      </c>
      <c r="L124" s="78" t="str">
        <f t="shared" si="28"/>
        <v>144/16:32</v>
      </c>
      <c r="M124" s="78" t="s">
        <v>469</v>
      </c>
      <c r="O124" s="84" t="str">
        <f t="shared" si="29"/>
        <v>162/17:01</v>
      </c>
      <c r="P124" s="32" t="s">
        <v>470</v>
      </c>
      <c r="Q124" s="85">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7">
        <f t="shared" si="25"/>
        <v>9.4645656645298004E-8</v>
      </c>
      <c r="Y124" s="77">
        <f t="shared" si="32"/>
        <v>7.26</v>
      </c>
      <c r="Z124" s="93">
        <f t="shared" si="35"/>
        <v>32.548999999999999</v>
      </c>
      <c r="AA124" s="50"/>
      <c r="AB124" s="50">
        <v>1024638</v>
      </c>
      <c r="AC124" s="50">
        <f t="shared" si="33"/>
        <v>117138.00000009465</v>
      </c>
      <c r="AD124" s="98">
        <f t="shared" si="26"/>
        <v>0.93710400000075722</v>
      </c>
      <c r="AE124" s="62">
        <f t="shared" si="27"/>
        <v>0.1143213505648772</v>
      </c>
      <c r="AF124" s="31" t="s">
        <v>471</v>
      </c>
      <c r="AG124" s="34" t="s">
        <v>472</v>
      </c>
      <c r="AH124" s="53">
        <f>X123*8/1000000</f>
        <v>-4.5541673898696896E-13</v>
      </c>
      <c r="AI124" s="53">
        <f>V123*8/1000000</f>
        <v>7.6670000000004563</v>
      </c>
      <c r="AJ124" s="65" t="s">
        <v>473</v>
      </c>
      <c r="AK124" s="65" t="s">
        <v>474</v>
      </c>
      <c r="AL124" s="65">
        <v>6.6</v>
      </c>
      <c r="AM124" s="65">
        <v>6.6</v>
      </c>
      <c r="AN124" s="65">
        <v>6.6</v>
      </c>
    </row>
    <row r="125" spans="1:48" ht="15.75">
      <c r="B125">
        <v>102</v>
      </c>
      <c r="C125">
        <v>101</v>
      </c>
      <c r="E125" t="s">
        <v>51</v>
      </c>
      <c r="F125" t="s">
        <v>49</v>
      </c>
      <c r="G125" t="s">
        <v>50</v>
      </c>
      <c r="L125" s="78" t="str">
        <f t="shared" si="28"/>
        <v>147/11:13</v>
      </c>
      <c r="M125" s="78" t="s">
        <v>475</v>
      </c>
      <c r="O125" s="84" t="str">
        <f t="shared" si="29"/>
        <v>164/00:56</v>
      </c>
      <c r="P125" s="32" t="s">
        <v>476</v>
      </c>
      <c r="Q125" s="85">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7">
        <f t="shared" si="25"/>
        <v>-1.653679646551609E-7</v>
      </c>
      <c r="Y125" s="77">
        <f t="shared" si="32"/>
        <v>4.07</v>
      </c>
      <c r="Z125" s="93">
        <f t="shared" si="35"/>
        <v>36.619</v>
      </c>
      <c r="AA125" s="50"/>
      <c r="AB125" s="50">
        <v>574838</v>
      </c>
      <c r="AC125" s="50">
        <f t="shared" si="33"/>
        <v>66087.999999834574</v>
      </c>
      <c r="AD125" s="98">
        <f t="shared" si="26"/>
        <v>0.52870399999867657</v>
      </c>
      <c r="AE125" s="62">
        <f t="shared" si="27"/>
        <v>0.11496804317013588</v>
      </c>
      <c r="AF125" s="31" t="s">
        <v>477</v>
      </c>
      <c r="AG125" s="34" t="s">
        <v>478</v>
      </c>
      <c r="AH125" s="53">
        <f>X124*8/1000000</f>
        <v>7.5716525316238406E-13</v>
      </c>
      <c r="AI125" s="53">
        <f>V124*8/1000000</f>
        <v>7.2599999999992431</v>
      </c>
      <c r="AJ125" s="65" t="s">
        <v>479</v>
      </c>
      <c r="AK125" s="65" t="s">
        <v>480</v>
      </c>
      <c r="AL125" s="65">
        <v>3.7</v>
      </c>
      <c r="AM125" s="65">
        <v>3.7</v>
      </c>
      <c r="AN125" s="65">
        <v>3.7</v>
      </c>
    </row>
    <row r="126" spans="1:48" ht="15.75">
      <c r="B126">
        <v>102</v>
      </c>
      <c r="C126">
        <v>101</v>
      </c>
      <c r="E126" t="s">
        <v>51</v>
      </c>
      <c r="F126" t="s">
        <v>49</v>
      </c>
      <c r="G126" t="s">
        <v>50</v>
      </c>
      <c r="L126" s="78" t="str">
        <f t="shared" si="28"/>
        <v>149/00:35</v>
      </c>
      <c r="M126" s="78" t="s">
        <v>481</v>
      </c>
      <c r="O126" s="84" t="str">
        <f t="shared" si="29"/>
        <v>166/15:41</v>
      </c>
      <c r="P126" s="32" t="s">
        <v>482</v>
      </c>
      <c r="Q126" s="85">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7">
        <f t="shared" si="25"/>
        <v>4.0512531995773315E-8</v>
      </c>
      <c r="Y126" s="103">
        <f t="shared" si="32"/>
        <v>13.057</v>
      </c>
      <c r="Z126" s="93">
        <f t="shared" si="35"/>
        <v>49.676000000000002</v>
      </c>
      <c r="AA126" s="50"/>
      <c r="AB126" s="50">
        <v>1838628</v>
      </c>
      <c r="AC126" s="50">
        <f t="shared" si="33"/>
        <v>206503.00000004051</v>
      </c>
      <c r="AD126" s="98">
        <f t="shared" si="26"/>
        <v>1.6520240000003241</v>
      </c>
      <c r="AE126" s="62">
        <f t="shared" si="27"/>
        <v>0.11231363821286335</v>
      </c>
      <c r="AF126" s="31" t="s">
        <v>483</v>
      </c>
      <c r="AG126" s="34" t="s">
        <v>484</v>
      </c>
      <c r="AH126" s="53">
        <f>X126*8/1000000</f>
        <v>3.2410025596618653E-13</v>
      </c>
      <c r="AI126" s="53">
        <f>V126*8/1000000</f>
        <v>13.056999999999675</v>
      </c>
      <c r="AJ126" s="65" t="s">
        <v>485</v>
      </c>
      <c r="AK126" s="65" t="s">
        <v>486</v>
      </c>
      <c r="AL126" s="65">
        <v>11.87</v>
      </c>
      <c r="AM126" s="65">
        <v>11.87</v>
      </c>
      <c r="AN126" s="65">
        <v>11.87</v>
      </c>
    </row>
    <row r="127" spans="1:48" ht="15.75">
      <c r="B127">
        <v>102</v>
      </c>
      <c r="C127">
        <v>101</v>
      </c>
      <c r="E127" t="s">
        <v>51</v>
      </c>
      <c r="F127" t="s">
        <v>49</v>
      </c>
      <c r="G127" t="s">
        <v>50</v>
      </c>
      <c r="L127" s="78" t="str">
        <f t="shared" si="28"/>
        <v>154/00:30</v>
      </c>
      <c r="M127" s="78" t="s">
        <v>487</v>
      </c>
      <c r="O127" s="84" t="str">
        <f t="shared" si="29"/>
        <v>167/15:51</v>
      </c>
      <c r="P127" s="32" t="s">
        <v>13</v>
      </c>
      <c r="Q127" s="85">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7">
        <f t="shared" si="25"/>
        <v>1.7427373677492142E-7</v>
      </c>
      <c r="Y127" s="103">
        <f t="shared" si="32"/>
        <v>5.5110000000000001</v>
      </c>
      <c r="Z127" s="93">
        <f t="shared" si="35"/>
        <v>55.187000000000005</v>
      </c>
      <c r="AA127" s="50"/>
      <c r="AB127" s="50">
        <v>770314</v>
      </c>
      <c r="AC127" s="50">
        <f t="shared" si="33"/>
        <v>81439.000000174274</v>
      </c>
      <c r="AD127" s="98">
        <f t="shared" si="26"/>
        <v>0.6515120000013942</v>
      </c>
      <c r="AE127" s="62">
        <f t="shared" si="27"/>
        <v>0.10572182252974018</v>
      </c>
      <c r="AF127" s="31" t="s">
        <v>488</v>
      </c>
      <c r="AG127" s="34" t="s">
        <v>489</v>
      </c>
      <c r="AH127" s="53">
        <f>X127*8/1000000</f>
        <v>1.3941898941993714E-12</v>
      </c>
      <c r="AI127" s="53">
        <f>V127*8/1000000</f>
        <v>5.5109999999986057</v>
      </c>
      <c r="AJ127" s="65" t="s">
        <v>490</v>
      </c>
      <c r="AK127" s="65" t="s">
        <v>491</v>
      </c>
      <c r="AL127" s="65">
        <v>5.01</v>
      </c>
      <c r="AM127" s="65">
        <v>5.01</v>
      </c>
      <c r="AN127" s="65">
        <v>5.01</v>
      </c>
    </row>
    <row r="128" spans="1:48" ht="15.75">
      <c r="B128">
        <v>102</v>
      </c>
      <c r="C128">
        <v>101</v>
      </c>
      <c r="E128" t="s">
        <v>51</v>
      </c>
      <c r="F128" t="s">
        <v>49</v>
      </c>
      <c r="G128" t="s">
        <v>50</v>
      </c>
      <c r="L128" s="78" t="str">
        <f t="shared" si="28"/>
        <v>156/03:07</v>
      </c>
      <c r="M128" s="78" t="s">
        <v>492</v>
      </c>
      <c r="O128" s="84" t="str">
        <f t="shared" si="29"/>
        <v>168/15:51</v>
      </c>
      <c r="P128" s="32" t="s">
        <v>493</v>
      </c>
      <c r="Q128" s="85">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7">
        <f t="shared" si="25"/>
        <v>-5.6927092373371124E-8</v>
      </c>
      <c r="Y128" s="103">
        <f t="shared" si="32"/>
        <v>7.6670000000000007</v>
      </c>
      <c r="Z128" s="93">
        <f t="shared" si="35"/>
        <v>62.854000000000006</v>
      </c>
      <c r="AA128" s="50"/>
      <c r="AB128" s="50">
        <v>958375</v>
      </c>
      <c r="AC128" s="50">
        <f t="shared" si="33"/>
        <v>-5.7043507695198059E-8</v>
      </c>
      <c r="AD128" s="98">
        <f t="shared" si="26"/>
        <v>-4.5634806156158446E-13</v>
      </c>
      <c r="AE128" s="62"/>
      <c r="AF128" s="31" t="s">
        <v>494</v>
      </c>
      <c r="AG128" s="34" t="s">
        <v>495</v>
      </c>
      <c r="AH128" s="53">
        <f>X128*8/1000000</f>
        <v>-4.5541673898696896E-13</v>
      </c>
      <c r="AI128" s="53">
        <f>V128*8/1000000</f>
        <v>7.6670000000004563</v>
      </c>
      <c r="AJ128" s="65" t="s">
        <v>496</v>
      </c>
      <c r="AK128" s="65" t="s">
        <v>497</v>
      </c>
      <c r="AL128" s="65">
        <v>6.97</v>
      </c>
      <c r="AM128" s="65">
        <v>6.97</v>
      </c>
      <c r="AN128" s="65">
        <v>6.97</v>
      </c>
    </row>
    <row r="129" spans="1:40" ht="15.75">
      <c r="L129" s="104"/>
      <c r="M129" s="105"/>
      <c r="N129" s="105"/>
      <c r="O129" s="106" t="s">
        <v>498</v>
      </c>
      <c r="P129" s="15" t="s">
        <v>499</v>
      </c>
      <c r="Q129" s="15" t="s">
        <v>500</v>
      </c>
      <c r="R129" s="15">
        <v>611744022</v>
      </c>
      <c r="S129" s="15">
        <v>1</v>
      </c>
      <c r="T129" s="15" t="s">
        <v>27</v>
      </c>
      <c r="U129" s="15" t="s">
        <v>501</v>
      </c>
      <c r="V129" s="15" t="s">
        <v>28</v>
      </c>
      <c r="W129" s="15"/>
      <c r="X129" s="15" t="s">
        <v>502</v>
      </c>
      <c r="Y129" s="107"/>
      <c r="Z129" s="107"/>
      <c r="AA129" s="59"/>
      <c r="AB129" s="50"/>
      <c r="AC129" s="50"/>
      <c r="AD129" s="99"/>
      <c r="AE129" s="99"/>
      <c r="AF129" s="31"/>
      <c r="AG129" s="34"/>
      <c r="AH129" s="53"/>
      <c r="AI129" s="53"/>
      <c r="AJ129" s="65"/>
      <c r="AK129" s="65"/>
      <c r="AL129" s="65">
        <v>4.93</v>
      </c>
      <c r="AM129" s="65">
        <v>4.93</v>
      </c>
      <c r="AN129" s="65">
        <v>4.93</v>
      </c>
    </row>
    <row r="130" spans="1:40" ht="15.75">
      <c r="B130">
        <v>102</v>
      </c>
      <c r="C130">
        <v>101</v>
      </c>
      <c r="E130" t="s">
        <v>51</v>
      </c>
      <c r="F130" t="s">
        <v>49</v>
      </c>
      <c r="G130" t="s">
        <v>50</v>
      </c>
      <c r="L130" s="78" t="str">
        <f>M128</f>
        <v>159/01:32</v>
      </c>
      <c r="M130" s="108" t="s">
        <v>503</v>
      </c>
      <c r="N130" t="s">
        <v>18</v>
      </c>
      <c r="O130" s="84" t="str">
        <f>AG130</f>
        <v>169/01:21</v>
      </c>
      <c r="P130" s="32" t="s">
        <v>14</v>
      </c>
      <c r="Q130" s="85">
        <f>R128-1</f>
        <v>611652250.43583429</v>
      </c>
      <c r="R130" s="35">
        <f>R129+20</f>
        <v>611744042</v>
      </c>
      <c r="S130" s="21">
        <f>R130-Q130</f>
        <v>91791.564165711403</v>
      </c>
      <c r="T130" s="21">
        <f>S130*$V$13</f>
        <v>347033.46628285473</v>
      </c>
      <c r="U130" s="3">
        <v>0</v>
      </c>
      <c r="V130" s="27">
        <f>T130+U130*$V$23</f>
        <v>347033.46628285473</v>
      </c>
      <c r="W130" s="20">
        <f>Y130*1000000/8</f>
        <v>677875</v>
      </c>
      <c r="X130" s="87">
        <f>W130-V130</f>
        <v>330841.53371714527</v>
      </c>
      <c r="Y130" s="103">
        <f>1.1*AL130</f>
        <v>5.423</v>
      </c>
      <c r="Z130" s="109">
        <f>Y130+Z128</f>
        <v>68.277000000000001</v>
      </c>
      <c r="AA130" s="50"/>
      <c r="AB130" s="50"/>
      <c r="AC130" s="50">
        <f>AB130-T130</f>
        <v>-347033.46628285473</v>
      </c>
      <c r="AD130" s="98">
        <f>AC130*8/1000000</f>
        <v>-2.776267730262838</v>
      </c>
      <c r="AE130" s="98"/>
      <c r="AF130" s="31" t="s">
        <v>33</v>
      </c>
      <c r="AG130" s="34" t="s">
        <v>504</v>
      </c>
      <c r="AH130" s="53">
        <f>X130*8/1000000</f>
        <v>2.646732269737162</v>
      </c>
      <c r="AI130" s="53">
        <f>V130*8/1000000</f>
        <v>2.776267730262838</v>
      </c>
      <c r="AJ130" s="65" t="s">
        <v>505</v>
      </c>
      <c r="AK130" s="65" t="s">
        <v>506</v>
      </c>
      <c r="AL130" s="65">
        <v>4.93</v>
      </c>
      <c r="AM130" s="65">
        <v>4.93</v>
      </c>
      <c r="AN130" s="65">
        <v>4.93</v>
      </c>
    </row>
    <row r="131" spans="1:40" ht="15.75">
      <c r="L131" s="104"/>
      <c r="M131" s="105"/>
      <c r="N131" s="105"/>
      <c r="O131" s="106" t="s">
        <v>507</v>
      </c>
      <c r="P131" s="15" t="s">
        <v>403</v>
      </c>
      <c r="Q131" s="15" t="s">
        <v>404</v>
      </c>
      <c r="R131" s="15">
        <v>611744576</v>
      </c>
      <c r="S131" s="15">
        <v>7</v>
      </c>
      <c r="T131" s="15" t="s">
        <v>27</v>
      </c>
      <c r="U131" s="15" t="s">
        <v>405</v>
      </c>
      <c r="V131" s="15" t="s">
        <v>151</v>
      </c>
      <c r="W131" s="15" t="s">
        <v>152</v>
      </c>
      <c r="X131" s="15" t="s">
        <v>406</v>
      </c>
      <c r="Y131" s="107"/>
      <c r="Z131" s="107"/>
      <c r="AA131" s="60"/>
      <c r="AB131" s="50"/>
      <c r="AC131" s="50"/>
      <c r="AD131" s="99"/>
      <c r="AE131" s="99"/>
      <c r="AF131" s="31"/>
      <c r="AG131" s="34"/>
      <c r="AH131" s="53"/>
      <c r="AI131" s="53"/>
      <c r="AJ131" s="65"/>
      <c r="AK131" s="65"/>
      <c r="AL131" s="65"/>
      <c r="AM131" s="65"/>
    </row>
    <row r="132" spans="1:40" ht="15.75">
      <c r="A132" s="6"/>
      <c r="B132">
        <v>102</v>
      </c>
      <c r="C132">
        <v>103</v>
      </c>
      <c r="D132">
        <v>110</v>
      </c>
      <c r="E132" t="s">
        <v>51</v>
      </c>
      <c r="F132" t="s">
        <v>49</v>
      </c>
      <c r="G132" t="s">
        <v>50</v>
      </c>
      <c r="H132" s="6"/>
      <c r="I132" s="6"/>
      <c r="J132" s="6"/>
      <c r="K132" s="6" t="s">
        <v>157</v>
      </c>
      <c r="L132" s="78" t="s">
        <v>508</v>
      </c>
      <c r="M132" s="78" t="s">
        <v>509</v>
      </c>
      <c r="P132" s="32" t="s">
        <v>14</v>
      </c>
      <c r="Q132" s="100">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7">
        <f t="shared" ref="X132:X142" si="38">W132-V132</f>
        <v>7.6543074101209641E-8</v>
      </c>
      <c r="Y132" s="103"/>
      <c r="Z132" s="110"/>
      <c r="AA132" s="50"/>
      <c r="AB132" s="50"/>
      <c r="AC132" s="50">
        <f t="shared" ref="AC132:AC142" si="39">AB132-T132</f>
        <v>-330841.53371706873</v>
      </c>
      <c r="AD132" s="98">
        <f t="shared" ref="AD132:AD142" si="40">AC132*8/1000000</f>
        <v>-2.6467322697365496</v>
      </c>
      <c r="AE132" s="98"/>
      <c r="AF132" s="31"/>
      <c r="AG132" s="34"/>
      <c r="AH132" s="53">
        <f t="shared" ref="AH132:AH142" si="41">X132*8/1000000</f>
        <v>6.1234459280967711E-13</v>
      </c>
      <c r="AI132" s="53">
        <f t="shared" ref="AI132:AI142" si="42">V132*8/1000000</f>
        <v>2.6467322697365496</v>
      </c>
      <c r="AJ132" s="65"/>
      <c r="AK132" s="65"/>
      <c r="AL132" s="65"/>
      <c r="AM132" s="65"/>
    </row>
    <row r="133" spans="1:40" ht="15.75">
      <c r="B133">
        <v>102</v>
      </c>
      <c r="C133">
        <v>103</v>
      </c>
      <c r="D133">
        <v>110</v>
      </c>
      <c r="E133" t="s">
        <v>51</v>
      </c>
      <c r="F133" t="s">
        <v>49</v>
      </c>
      <c r="G133" t="s">
        <v>50</v>
      </c>
      <c r="L133" s="78" t="str">
        <f>M132</f>
        <v>161/08:55</v>
      </c>
      <c r="M133" s="78" t="s">
        <v>510</v>
      </c>
      <c r="O133" s="84" t="str">
        <f>AG133</f>
        <v>169/22:11</v>
      </c>
      <c r="P133" s="32" t="s">
        <v>511</v>
      </c>
      <c r="Q133" s="85">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7">
        <f t="shared" si="38"/>
        <v>-7.0547685027122498E-8</v>
      </c>
      <c r="Y133" s="103">
        <f>1.1*AL133</f>
        <v>12.298</v>
      </c>
      <c r="Z133" s="109">
        <f>Z130+Y133</f>
        <v>80.575000000000003</v>
      </c>
      <c r="AA133" s="50"/>
      <c r="AB133" s="50"/>
      <c r="AC133" s="50">
        <f t="shared" si="39"/>
        <v>-1537250.0000000705</v>
      </c>
      <c r="AD133" s="98">
        <f t="shared" si="40"/>
        <v>-12.298000000000565</v>
      </c>
      <c r="AE133" s="98"/>
      <c r="AF133" s="31" t="s">
        <v>512</v>
      </c>
      <c r="AG133" s="34" t="s">
        <v>513</v>
      </c>
      <c r="AH133" s="53">
        <f t="shared" si="41"/>
        <v>-5.6438148021697997E-13</v>
      </c>
      <c r="AI133" s="53">
        <f t="shared" si="42"/>
        <v>12.298000000000565</v>
      </c>
      <c r="AJ133" s="65" t="s">
        <v>514</v>
      </c>
      <c r="AK133" s="65" t="s">
        <v>515</v>
      </c>
      <c r="AL133" s="65">
        <v>11.18</v>
      </c>
      <c r="AM133" s="65">
        <v>11.18</v>
      </c>
      <c r="AN133" s="65">
        <v>11.18</v>
      </c>
    </row>
    <row r="134" spans="1:40" ht="15.75">
      <c r="B134">
        <v>102</v>
      </c>
      <c r="C134">
        <v>103</v>
      </c>
      <c r="D134">
        <v>110</v>
      </c>
      <c r="E134" t="s">
        <v>51</v>
      </c>
      <c r="F134" t="s">
        <v>49</v>
      </c>
      <c r="G134" t="s">
        <v>50</v>
      </c>
      <c r="L134" s="78" t="str">
        <f>M133</f>
        <v>167/03:05</v>
      </c>
      <c r="M134" s="78" t="s">
        <v>516</v>
      </c>
      <c r="O134" s="84" t="str">
        <f>AG134</f>
        <v>170/16:06</v>
      </c>
      <c r="P134" s="32" t="s">
        <v>517</v>
      </c>
      <c r="Q134" s="85">
        <f>R133-1</f>
        <v>612349037.95054173</v>
      </c>
      <c r="R134" s="35">
        <v>612647515</v>
      </c>
      <c r="S134" s="21">
        <f t="shared" si="36"/>
        <v>298477.0494582653</v>
      </c>
      <c r="T134" s="21">
        <f>S134*$V$12</f>
        <v>922410.67542348371</v>
      </c>
      <c r="U134" s="3">
        <v>0</v>
      </c>
      <c r="V134" s="27">
        <f t="shared" si="37"/>
        <v>922410.67542348371</v>
      </c>
      <c r="W134" s="20">
        <f>Y134*1000000/8</f>
        <v>2965875.0000000005</v>
      </c>
      <c r="X134" s="87">
        <f t="shared" si="38"/>
        <v>2043464.3245765166</v>
      </c>
      <c r="Y134" s="103">
        <f>1.1*AL134</f>
        <v>23.727000000000004</v>
      </c>
      <c r="Z134" s="109">
        <f>Z133+AA134</f>
        <v>87.954285403387871</v>
      </c>
      <c r="AA134" s="50">
        <f>AI134</f>
        <v>7.3792854033878701</v>
      </c>
      <c r="AB134" s="50"/>
      <c r="AC134" s="50">
        <f t="shared" si="39"/>
        <v>-922410.67542348371</v>
      </c>
      <c r="AD134" s="98">
        <f t="shared" si="40"/>
        <v>-7.3792854033878701</v>
      </c>
      <c r="AE134" s="98"/>
      <c r="AF134" t="s">
        <v>518</v>
      </c>
      <c r="AG134" s="34" t="s">
        <v>519</v>
      </c>
      <c r="AH134" s="53">
        <f t="shared" si="41"/>
        <v>16.347714596612132</v>
      </c>
      <c r="AI134" s="53">
        <f t="shared" si="42"/>
        <v>7.3792854033878701</v>
      </c>
      <c r="AJ134" s="65" t="s">
        <v>520</v>
      </c>
      <c r="AK134" s="65" t="s">
        <v>521</v>
      </c>
      <c r="AL134" s="65">
        <v>21.57</v>
      </c>
      <c r="AM134" s="65">
        <v>21.57</v>
      </c>
      <c r="AN134" s="65"/>
    </row>
    <row r="135" spans="1:40" ht="15.75">
      <c r="L135" s="47" t="s">
        <v>394</v>
      </c>
      <c r="M135" s="47" t="s">
        <v>522</v>
      </c>
      <c r="O135" s="34"/>
      <c r="P135" s="32" t="s">
        <v>517</v>
      </c>
      <c r="Q135" s="58">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7">
        <f t="shared" si="38"/>
        <v>9.2899426817893982E-8</v>
      </c>
      <c r="Z135" s="111">
        <f>W135*8/1000000</f>
        <v>16.347714596612132</v>
      </c>
      <c r="AA135" s="111"/>
      <c r="AB135" s="50"/>
      <c r="AC135" s="50">
        <f t="shared" si="39"/>
        <v>-2043464.3245764237</v>
      </c>
      <c r="AD135" s="98">
        <f t="shared" si="40"/>
        <v>-16.347714596611389</v>
      </c>
      <c r="AE135" s="98"/>
      <c r="AH135" s="53">
        <f t="shared" si="41"/>
        <v>7.4319541454315185E-13</v>
      </c>
      <c r="AI135" s="53">
        <f t="shared" si="42"/>
        <v>16.347714596611389</v>
      </c>
    </row>
    <row r="136" spans="1:40" ht="15.75">
      <c r="L136" s="47" t="str">
        <f t="shared" ref="L136:L141" si="45">M135</f>
        <v>309/00:19</v>
      </c>
      <c r="M136" s="47" t="s">
        <v>523</v>
      </c>
      <c r="O136" s="84" t="str">
        <f t="shared" ref="O136:O142" si="46">AG136</f>
        <v>173/15:36</v>
      </c>
      <c r="P136" s="32" t="s">
        <v>524</v>
      </c>
      <c r="Q136" s="58">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7">
        <f t="shared" si="38"/>
        <v>-1.4901161193847656E-8</v>
      </c>
      <c r="Y136" s="103">
        <f t="shared" ref="Y136:Y141" si="49">1.1*AL136</f>
        <v>17.578000000000003</v>
      </c>
      <c r="Z136" s="111">
        <f>Z135+Y136</f>
        <v>33.925714596612139</v>
      </c>
      <c r="AA136" s="50"/>
      <c r="AB136" s="50"/>
      <c r="AC136" s="50">
        <f t="shared" si="39"/>
        <v>-2197250.0000000154</v>
      </c>
      <c r="AD136" s="98">
        <f t="shared" si="40"/>
        <v>-17.578000000000124</v>
      </c>
      <c r="AE136" s="98"/>
      <c r="AF136" s="31" t="s">
        <v>525</v>
      </c>
      <c r="AG136" s="34" t="s">
        <v>526</v>
      </c>
      <c r="AH136" s="53">
        <f t="shared" si="41"/>
        <v>-1.1920928955078124E-13</v>
      </c>
      <c r="AI136" s="53">
        <f t="shared" si="42"/>
        <v>17.578000000000124</v>
      </c>
      <c r="AJ136" s="65" t="s">
        <v>527</v>
      </c>
      <c r="AK136" s="65" t="s">
        <v>528</v>
      </c>
      <c r="AL136" s="65">
        <v>15.98</v>
      </c>
      <c r="AM136" s="65">
        <v>15.98</v>
      </c>
      <c r="AN136" s="65">
        <v>15.98</v>
      </c>
    </row>
    <row r="137" spans="1:40" ht="15.75">
      <c r="L137" s="47" t="str">
        <f t="shared" si="45"/>
        <v>315/21:27</v>
      </c>
      <c r="M137" s="47" t="s">
        <v>529</v>
      </c>
      <c r="O137" s="84" t="str">
        <f t="shared" si="46"/>
        <v>174/15:46</v>
      </c>
      <c r="P137" s="32" t="s">
        <v>530</v>
      </c>
      <c r="Q137" s="58">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7">
        <f t="shared" si="38"/>
        <v>5.7392753660678864E-8</v>
      </c>
      <c r="Y137" s="103">
        <f t="shared" si="49"/>
        <v>7.7440000000000007</v>
      </c>
      <c r="Z137" s="111">
        <f>Z136+Y137</f>
        <v>41.669714596612138</v>
      </c>
      <c r="AA137" s="50"/>
      <c r="AB137" s="50"/>
      <c r="AC137" s="50">
        <f t="shared" si="39"/>
        <v>-967999.99999994272</v>
      </c>
      <c r="AD137" s="98">
        <f t="shared" si="40"/>
        <v>-7.7439999999995415</v>
      </c>
      <c r="AE137" s="98"/>
      <c r="AF137" s="31" t="s">
        <v>531</v>
      </c>
      <c r="AG137" s="34" t="s">
        <v>532</v>
      </c>
      <c r="AH137" s="53">
        <f t="shared" si="41"/>
        <v>4.5914202928543086E-13</v>
      </c>
      <c r="AI137" s="53">
        <f t="shared" si="42"/>
        <v>7.7439999999995415</v>
      </c>
      <c r="AJ137" s="65" t="s">
        <v>533</v>
      </c>
      <c r="AK137" s="65" t="s">
        <v>534</v>
      </c>
      <c r="AL137" s="65">
        <v>7.04</v>
      </c>
      <c r="AM137" s="65">
        <v>7.04</v>
      </c>
      <c r="AN137" s="65">
        <v>7.04</v>
      </c>
    </row>
    <row r="138" spans="1:40" ht="15.75">
      <c r="A138" s="6"/>
      <c r="B138" s="6"/>
      <c r="C138" s="6"/>
      <c r="D138" s="6"/>
      <c r="E138" s="6"/>
      <c r="F138" s="6"/>
      <c r="G138" s="6"/>
      <c r="H138" s="6"/>
      <c r="I138" s="6"/>
      <c r="J138" s="6"/>
      <c r="K138" s="6"/>
      <c r="L138" s="47" t="str">
        <f t="shared" si="45"/>
        <v>318/22:12</v>
      </c>
      <c r="M138" s="47" t="s">
        <v>535</v>
      </c>
      <c r="O138" s="84" t="str">
        <f t="shared" si="46"/>
        <v>175/23:26</v>
      </c>
      <c r="P138" s="32" t="s">
        <v>536</v>
      </c>
      <c r="Q138" s="58">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7">
        <f t="shared" si="38"/>
        <v>-8.6612999439239502E-8</v>
      </c>
      <c r="Y138" s="103">
        <f t="shared" si="49"/>
        <v>7.8980000000000006</v>
      </c>
      <c r="Z138" s="111">
        <f>Z137+Y138</f>
        <v>49.567714596612142</v>
      </c>
      <c r="AA138" s="50"/>
      <c r="AB138" s="50"/>
      <c r="AC138" s="50">
        <f t="shared" si="39"/>
        <v>-987250.00000008673</v>
      </c>
      <c r="AD138" s="98">
        <f t="shared" si="40"/>
        <v>-7.8980000000006942</v>
      </c>
      <c r="AE138" s="98"/>
      <c r="AF138" s="31" t="s">
        <v>537</v>
      </c>
      <c r="AG138" s="34" t="s">
        <v>538</v>
      </c>
      <c r="AH138" s="53">
        <f t="shared" si="41"/>
        <v>-6.92903995513916E-13</v>
      </c>
      <c r="AI138" s="53">
        <f t="shared" si="42"/>
        <v>7.8980000000006942</v>
      </c>
      <c r="AJ138" s="65" t="s">
        <v>539</v>
      </c>
      <c r="AK138" s="65" t="s">
        <v>540</v>
      </c>
      <c r="AL138" s="65">
        <v>7.18</v>
      </c>
      <c r="AM138" s="65">
        <v>7.18</v>
      </c>
      <c r="AN138" s="65">
        <v>7.18</v>
      </c>
    </row>
    <row r="139" spans="1:40" ht="15.75">
      <c r="L139" s="47" t="str">
        <f t="shared" si="45"/>
        <v>322/00:24</v>
      </c>
      <c r="M139" s="47" t="s">
        <v>541</v>
      </c>
      <c r="O139" s="84" t="str">
        <f t="shared" si="46"/>
        <v>177/00:06</v>
      </c>
      <c r="P139" s="32" t="s">
        <v>542</v>
      </c>
      <c r="Q139" s="58">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7">
        <f t="shared" si="38"/>
        <v>-1.9790604710578918E-7</v>
      </c>
      <c r="Y139" s="103">
        <f t="shared" si="49"/>
        <v>6.402000000000001</v>
      </c>
      <c r="Z139" s="111">
        <f>Z138+Y139</f>
        <v>55.969714596612143</v>
      </c>
      <c r="AA139" s="50"/>
      <c r="AB139" s="50"/>
      <c r="AC139" s="50">
        <f t="shared" si="39"/>
        <v>-800250.00000019802</v>
      </c>
      <c r="AD139" s="98">
        <f t="shared" si="40"/>
        <v>-6.4020000000015838</v>
      </c>
      <c r="AE139" s="98"/>
      <c r="AF139" s="31" t="s">
        <v>543</v>
      </c>
      <c r="AG139" s="34" t="s">
        <v>544</v>
      </c>
      <c r="AH139" s="53">
        <f t="shared" si="41"/>
        <v>-1.5832483768463134E-12</v>
      </c>
      <c r="AI139" s="53">
        <f t="shared" si="42"/>
        <v>6.4020000000015838</v>
      </c>
      <c r="AJ139" s="65" t="s">
        <v>545</v>
      </c>
      <c r="AK139" s="65" t="s">
        <v>546</v>
      </c>
      <c r="AL139" s="65">
        <v>5.82</v>
      </c>
      <c r="AM139" s="65">
        <v>5.82</v>
      </c>
      <c r="AN139" s="65">
        <v>5.82</v>
      </c>
    </row>
    <row r="140" spans="1:40" ht="15.75">
      <c r="L140" s="47" t="str">
        <f t="shared" si="45"/>
        <v>324/12:33</v>
      </c>
      <c r="M140" s="47" t="s">
        <v>547</v>
      </c>
      <c r="O140" s="84" t="str">
        <f t="shared" si="46"/>
        <v>177/17:16</v>
      </c>
      <c r="P140" s="32" t="s">
        <v>548</v>
      </c>
      <c r="Q140" s="58">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7">
        <f t="shared" si="38"/>
        <v>1.3783574104309082E-7</v>
      </c>
      <c r="Y140" s="103">
        <f t="shared" si="49"/>
        <v>17.886000000000003</v>
      </c>
      <c r="Z140" s="111">
        <f>Y140+Z139</f>
        <v>73.855714596612145</v>
      </c>
      <c r="AA140" s="111"/>
      <c r="AB140" s="50"/>
      <c r="AC140" s="50">
        <f t="shared" si="39"/>
        <v>-2235749.9999998626</v>
      </c>
      <c r="AD140" s="98">
        <f t="shared" si="40"/>
        <v>-17.885999999998901</v>
      </c>
      <c r="AE140" s="98"/>
      <c r="AF140" s="31" t="s">
        <v>549</v>
      </c>
      <c r="AG140" s="34" t="s">
        <v>550</v>
      </c>
      <c r="AH140" s="53">
        <f t="shared" si="41"/>
        <v>1.1026859283447265E-12</v>
      </c>
      <c r="AI140" s="53">
        <f t="shared" si="42"/>
        <v>17.885999999998901</v>
      </c>
      <c r="AJ140" s="65" t="s">
        <v>551</v>
      </c>
      <c r="AK140" s="65" t="s">
        <v>552</v>
      </c>
      <c r="AL140" s="65">
        <v>16.260000000000002</v>
      </c>
      <c r="AM140" s="65">
        <v>16.260000000000002</v>
      </c>
      <c r="AN140" s="65">
        <v>16.260000000000002</v>
      </c>
    </row>
    <row r="141" spans="1:40" ht="15.75">
      <c r="L141" s="47" t="str">
        <f t="shared" si="45"/>
        <v>331/12:35</v>
      </c>
      <c r="M141" s="47" t="s">
        <v>553</v>
      </c>
      <c r="O141" s="84" t="str">
        <f t="shared" si="46"/>
        <v>179/13:51</v>
      </c>
      <c r="P141" s="32" t="s">
        <v>554</v>
      </c>
      <c r="Q141" s="58">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7">
        <f t="shared" si="38"/>
        <v>1.5553086996078491E-7</v>
      </c>
      <c r="Y141" s="103">
        <f t="shared" si="49"/>
        <v>16.555000000000003</v>
      </c>
      <c r="Z141" s="111">
        <f>Y141+Z140</f>
        <v>90.410714596612152</v>
      </c>
      <c r="AA141" s="111"/>
      <c r="AB141" s="50"/>
      <c r="AC141" s="50">
        <f t="shared" si="39"/>
        <v>-2069374.9999998449</v>
      </c>
      <c r="AD141" s="98">
        <f t="shared" si="40"/>
        <v>-16.55499999999876</v>
      </c>
      <c r="AE141" s="98"/>
      <c r="AF141" s="31" t="s">
        <v>555</v>
      </c>
      <c r="AG141" s="34" t="s">
        <v>556</v>
      </c>
      <c r="AH141" s="53">
        <f t="shared" si="41"/>
        <v>1.2442469596862792E-12</v>
      </c>
      <c r="AI141" s="53">
        <f t="shared" si="42"/>
        <v>16.55499999999876</v>
      </c>
      <c r="AJ141" s="65" t="s">
        <v>557</v>
      </c>
      <c r="AK141" s="65" t="s">
        <v>558</v>
      </c>
      <c r="AL141" s="65">
        <v>15.05</v>
      </c>
      <c r="AM141" s="65">
        <v>15.05</v>
      </c>
      <c r="AN141" s="65">
        <v>15.05</v>
      </c>
    </row>
    <row r="142" spans="1:40" ht="15.75">
      <c r="L142" s="78" t="s">
        <v>516</v>
      </c>
      <c r="M142" s="78" t="s">
        <v>559</v>
      </c>
      <c r="O142" s="84" t="str">
        <f t="shared" si="46"/>
        <v>180/16:16</v>
      </c>
      <c r="P142" s="32" t="s">
        <v>560</v>
      </c>
      <c r="Q142" s="58">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7">
        <f t="shared" si="38"/>
        <v>-3.9115548133850098E-8</v>
      </c>
      <c r="Y142" s="103">
        <f>1.1*AL136</f>
        <v>17.578000000000003</v>
      </c>
      <c r="Z142" s="93">
        <f>Z134+Y142</f>
        <v>105.53228540338787</v>
      </c>
      <c r="AA142" s="50">
        <f>Z142-Z130</f>
        <v>37.255285403387873</v>
      </c>
      <c r="AB142" s="50"/>
      <c r="AC142" s="50">
        <f t="shared" si="39"/>
        <v>-2197250.0000000396</v>
      </c>
      <c r="AD142" s="98">
        <f t="shared" si="40"/>
        <v>-17.578000000000316</v>
      </c>
      <c r="AE142" s="98"/>
      <c r="AF142" s="31" t="s">
        <v>561</v>
      </c>
      <c r="AG142" s="34" t="s">
        <v>562</v>
      </c>
      <c r="AH142" s="53">
        <f t="shared" si="41"/>
        <v>-3.1292438507080076E-13</v>
      </c>
      <c r="AI142" s="53">
        <f t="shared" si="42"/>
        <v>17.578000000000316</v>
      </c>
      <c r="AJ142" s="65" t="s">
        <v>563</v>
      </c>
      <c r="AK142" s="65" t="s">
        <v>564</v>
      </c>
      <c r="AL142" s="65">
        <v>16.260000000000002</v>
      </c>
      <c r="AM142" s="65">
        <v>16.260000000000002</v>
      </c>
      <c r="AN142" s="65">
        <v>16.260000000000002</v>
      </c>
    </row>
    <row r="143" spans="1:40" ht="15">
      <c r="X143" s="53"/>
      <c r="Z143" s="3"/>
      <c r="AH143" s="53"/>
      <c r="AI143" s="53"/>
      <c r="AN143">
        <f>SUM(AM114:AM142)</f>
        <v>183.34</v>
      </c>
    </row>
    <row r="144" spans="1:40" ht="15">
      <c r="L144" s="47" t="s">
        <v>553</v>
      </c>
      <c r="M144" s="47" t="s">
        <v>565</v>
      </c>
      <c r="P144" t="s">
        <v>566</v>
      </c>
      <c r="Q144" s="58">
        <f>R141-3</f>
        <v>595490316.7980299</v>
      </c>
      <c r="R144" s="21">
        <f>((W144)/$X$9)+Q144</f>
        <v>595690536.93099976</v>
      </c>
      <c r="S144" s="21">
        <f>R144-Q144</f>
        <v>200220.13296985626</v>
      </c>
      <c r="T144" s="21">
        <f>S144*$X$9</f>
        <v>740000.00000018196</v>
      </c>
      <c r="U144" s="3">
        <v>0</v>
      </c>
      <c r="V144" s="20">
        <f>T144+U144*$V$23</f>
        <v>740000.00000018196</v>
      </c>
      <c r="W144" s="20">
        <v>740000</v>
      </c>
      <c r="X144" s="87">
        <f>W144-V144</f>
        <v>-1.8195714801549911E-7</v>
      </c>
      <c r="Z144" s="3"/>
      <c r="AA144" t="s">
        <v>23</v>
      </c>
      <c r="AH144" s="53">
        <f>X144*8/1000000</f>
        <v>-1.4556571841239929E-12</v>
      </c>
      <c r="AI144" s="53">
        <f>V144*8/1000000</f>
        <v>5.9200000000014557</v>
      </c>
      <c r="AJ144" s="65"/>
    </row>
    <row r="145" spans="1:57" ht="15.75">
      <c r="L145" s="47" t="s">
        <v>565</v>
      </c>
      <c r="M145" s="47" t="s">
        <v>567</v>
      </c>
      <c r="O145" s="84" t="s">
        <v>568</v>
      </c>
      <c r="P145" t="s">
        <v>569</v>
      </c>
      <c r="Q145" s="58">
        <f>R144-3</f>
        <v>595690533.93099976</v>
      </c>
      <c r="R145" s="21">
        <f>((W145)/$X$9)+Q145</f>
        <v>596272254.58760118</v>
      </c>
      <c r="S145" s="21">
        <f>R145-Q145</f>
        <v>581720.65660142899</v>
      </c>
      <c r="T145" s="21">
        <f>S145*$X$9</f>
        <v>2149999.9999998617</v>
      </c>
      <c r="U145" s="3">
        <v>0</v>
      </c>
      <c r="V145" s="20">
        <f>T145+U145*$V$23</f>
        <v>2149999.9999998617</v>
      </c>
      <c r="W145" s="20">
        <v>2150000</v>
      </c>
      <c r="X145" s="87">
        <f>W145-V145</f>
        <v>1.3830140233039856E-7</v>
      </c>
      <c r="AB145" s="50">
        <v>2153619</v>
      </c>
      <c r="AC145" s="50"/>
      <c r="AH145" s="53">
        <f>X145*8/1000000</f>
        <v>1.1064112186431885E-12</v>
      </c>
      <c r="AI145" s="53">
        <f>V145*8/1000000</f>
        <v>17.199999999998894</v>
      </c>
      <c r="AQ145" s="17"/>
      <c r="AY145" s="17"/>
      <c r="AZ145" s="17"/>
      <c r="BA145" s="17"/>
      <c r="BB145" s="17"/>
      <c r="BC145" s="17"/>
      <c r="BD145" s="17"/>
      <c r="BE145" s="17"/>
    </row>
    <row r="146" spans="1:57" ht="15">
      <c r="AG146" s="53"/>
      <c r="AH146" s="53">
        <f>AI145+AI144</f>
        <v>23.120000000000349</v>
      </c>
      <c r="AV146" s="17"/>
      <c r="AW146" s="17"/>
    </row>
    <row r="147" spans="1:57" ht="15">
      <c r="AE147" s="53"/>
      <c r="AF147" s="53"/>
    </row>
    <row r="148" spans="1:57" ht="15">
      <c r="X148" t="s">
        <v>198</v>
      </c>
    </row>
    <row r="149" spans="1:57" ht="15">
      <c r="C149" s="112" t="s">
        <v>226</v>
      </c>
      <c r="D149" s="112" t="s">
        <v>227</v>
      </c>
      <c r="E149" s="112" t="s">
        <v>51</v>
      </c>
      <c r="F149" s="112" t="s">
        <v>49</v>
      </c>
      <c r="G149" s="112" t="s">
        <v>50</v>
      </c>
      <c r="H149" s="112" t="s">
        <v>53</v>
      </c>
      <c r="I149" s="112" t="s">
        <v>54</v>
      </c>
      <c r="J149" s="112"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3" t="s">
        <v>575</v>
      </c>
      <c r="P152" s="14" t="s">
        <v>576</v>
      </c>
      <c r="Q152" s="114" t="s">
        <v>577</v>
      </c>
      <c r="R152" s="115">
        <v>613555366</v>
      </c>
      <c r="S152" s="14">
        <v>0</v>
      </c>
      <c r="T152" s="14" t="s">
        <v>409</v>
      </c>
      <c r="U152" s="14" t="s">
        <v>578</v>
      </c>
      <c r="V152" s="14" t="s">
        <v>579</v>
      </c>
      <c r="AH152" t="s">
        <v>306</v>
      </c>
      <c r="AI152" t="s">
        <v>121</v>
      </c>
      <c r="AL152" s="65"/>
      <c r="AM152" s="65"/>
      <c r="AN152" s="65"/>
      <c r="AO152" s="65"/>
      <c r="AP152" s="65"/>
      <c r="AQ152" s="17"/>
    </row>
    <row r="153" spans="1:57" ht="30">
      <c r="A153" t="s">
        <v>580</v>
      </c>
      <c r="C153" s="3">
        <v>103</v>
      </c>
      <c r="D153" s="3">
        <v>110</v>
      </c>
      <c r="E153" s="3" t="s">
        <v>51</v>
      </c>
      <c r="F153" s="3" t="s">
        <v>49</v>
      </c>
      <c r="G153" s="3" t="s">
        <v>50</v>
      </c>
      <c r="H153" s="3"/>
      <c r="I153" s="3"/>
      <c r="J153" s="3"/>
      <c r="L153" s="78" t="s">
        <v>559</v>
      </c>
      <c r="M153" s="116" t="s">
        <v>581</v>
      </c>
      <c r="O153" s="84" t="str">
        <f>AG153</f>
        <v>182/15:36</v>
      </c>
      <c r="P153" s="32" t="str">
        <f>MID(AJ153,11,5)</f>
        <v>182_1</v>
      </c>
      <c r="Q153" s="58">
        <f>R142-1</f>
        <v>613358507.26144552</v>
      </c>
      <c r="R153" s="117">
        <f>R152</f>
        <v>613555366</v>
      </c>
      <c r="S153" s="21">
        <f>R153-Q153</f>
        <v>196858.73855447769</v>
      </c>
      <c r="T153" s="21">
        <f>S153*$V$12</f>
        <v>608370.4000780835</v>
      </c>
      <c r="U153" s="3">
        <v>0</v>
      </c>
      <c r="V153" s="27">
        <f>T153+U153*$V$23</f>
        <v>608370.4000780835</v>
      </c>
      <c r="W153" s="20">
        <f>Y153*1000000/8</f>
        <v>1001000.0000000001</v>
      </c>
      <c r="X153" s="87">
        <f>W153-V153</f>
        <v>392629.59992191661</v>
      </c>
      <c r="Y153" s="77">
        <f>1.1*AN153</f>
        <v>8.0080000000000009</v>
      </c>
      <c r="Z153" s="50"/>
      <c r="AA153" s="50"/>
      <c r="AB153" s="118">
        <f>AI153</f>
        <v>4.8669632006246681</v>
      </c>
      <c r="AC153" s="98"/>
      <c r="AD153" s="98"/>
      <c r="AE153" s="62"/>
      <c r="AF153" s="31" t="str">
        <f>MID(AJ153,7,9)</f>
        <v>TRK_182_1</v>
      </c>
      <c r="AG153" s="34" t="s">
        <v>582</v>
      </c>
      <c r="AH153" s="53">
        <f>X153*8/1000000</f>
        <v>3.1410367993753328</v>
      </c>
      <c r="AI153" s="53">
        <f>V153*8/1000000</f>
        <v>4.8669632006246681</v>
      </c>
      <c r="AJ153" s="97" t="s">
        <v>583</v>
      </c>
      <c r="AK153" s="97" t="s">
        <v>584</v>
      </c>
      <c r="AL153" s="97">
        <v>7.28</v>
      </c>
      <c r="AM153" s="97">
        <v>7.28</v>
      </c>
      <c r="AN153" s="97">
        <v>7.28</v>
      </c>
      <c r="AO153" s="65"/>
      <c r="AP153" s="65">
        <f>SUM(AT114:AT151)</f>
        <v>0</v>
      </c>
    </row>
    <row r="154" spans="1:57" ht="15.75">
      <c r="A154" t="s">
        <v>585</v>
      </c>
      <c r="C154" s="3">
        <v>103</v>
      </c>
      <c r="D154" s="3">
        <v>110</v>
      </c>
      <c r="E154" s="3" t="s">
        <v>51</v>
      </c>
      <c r="F154" s="3" t="s">
        <v>49</v>
      </c>
      <c r="G154" s="3" t="s">
        <v>50</v>
      </c>
      <c r="H154" s="3"/>
      <c r="I154" s="3"/>
      <c r="J154" s="3"/>
      <c r="L154" s="116" t="s">
        <v>581</v>
      </c>
      <c r="M154" s="119" t="s">
        <v>586</v>
      </c>
      <c r="O154" s="113" t="s">
        <v>587</v>
      </c>
      <c r="P154" s="32"/>
      <c r="Q154" s="120">
        <f>R153-1</f>
        <v>613555365</v>
      </c>
      <c r="R154" s="121">
        <f>R155</f>
        <v>613559216</v>
      </c>
      <c r="S154" s="21">
        <f>R154-Q154</f>
        <v>3851</v>
      </c>
      <c r="T154" s="21">
        <f>S154*$V$15</f>
        <v>6668.6483333333099</v>
      </c>
      <c r="U154" s="3">
        <v>0</v>
      </c>
      <c r="V154" s="27">
        <f>T154+U154*$V$23</f>
        <v>6668.6483333333099</v>
      </c>
      <c r="W154" s="101">
        <f>X153</f>
        <v>392629.59992191661</v>
      </c>
      <c r="X154" s="87">
        <f>W154-V154</f>
        <v>385960.9515885833</v>
      </c>
      <c r="Y154" s="77"/>
      <c r="Z154" s="50"/>
      <c r="AA154" s="50"/>
      <c r="AB154" s="118">
        <f>AB153+AI154</f>
        <v>4.920312387291335</v>
      </c>
      <c r="AC154" s="98"/>
      <c r="AD154" s="98"/>
      <c r="AE154" s="62"/>
      <c r="AH154" s="53">
        <f>X154*8/1000000</f>
        <v>3.0876876127086663</v>
      </c>
      <c r="AI154" s="53">
        <f>V154*8/1000000</f>
        <v>5.3349186666666479E-2</v>
      </c>
    </row>
    <row r="155" spans="1:57" ht="15.75">
      <c r="A155" s="105" t="s">
        <v>588</v>
      </c>
      <c r="B155" s="105"/>
      <c r="C155" s="104"/>
      <c r="D155" s="104"/>
      <c r="E155" s="104"/>
      <c r="F155" s="104"/>
      <c r="G155" s="104"/>
      <c r="H155" s="104"/>
      <c r="I155" s="104"/>
      <c r="J155" s="104"/>
      <c r="O155" s="113" t="s">
        <v>589</v>
      </c>
      <c r="P155" s="16" t="s">
        <v>590</v>
      </c>
      <c r="Q155" s="122" t="s">
        <v>591</v>
      </c>
      <c r="R155" s="122">
        <f>613558916+300</f>
        <v>613559216</v>
      </c>
      <c r="S155" s="16">
        <v>8</v>
      </c>
      <c r="T155" s="16" t="s">
        <v>27</v>
      </c>
      <c r="U155" s="16" t="s">
        <v>298</v>
      </c>
      <c r="V155" s="16"/>
      <c r="W155" s="16"/>
      <c r="X155" s="16" t="s">
        <v>592</v>
      </c>
      <c r="Y155" s="17"/>
      <c r="Z155" s="17"/>
      <c r="AB155" s="99"/>
      <c r="AC155" s="98"/>
      <c r="AD155" s="98"/>
      <c r="AE155" s="123"/>
      <c r="AH155" s="53"/>
      <c r="AI155" s="53"/>
    </row>
    <row r="156" spans="1:57" ht="15.75">
      <c r="A156" t="s">
        <v>593</v>
      </c>
      <c r="C156" s="3"/>
      <c r="D156" s="3"/>
      <c r="E156" s="3"/>
      <c r="F156" s="3"/>
      <c r="G156" s="3">
        <v>3.1</v>
      </c>
      <c r="H156" s="3"/>
      <c r="I156" s="3" t="s">
        <v>54</v>
      </c>
      <c r="J156" s="3"/>
      <c r="K156" s="6" t="s">
        <v>594</v>
      </c>
      <c r="L156" s="78" t="s">
        <v>508</v>
      </c>
      <c r="M156" s="78" t="s">
        <v>595</v>
      </c>
      <c r="N156" t="s">
        <v>596</v>
      </c>
      <c r="P156" s="32"/>
      <c r="Q156" s="124">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5">
        <f t="shared" ref="X156:X182" si="52">W156-V156</f>
        <v>1.257285475730896E-8</v>
      </c>
      <c r="Y156" s="77"/>
      <c r="Z156" s="50"/>
      <c r="AA156" s="50"/>
      <c r="AB156" s="118">
        <f>AB154+AI156</f>
        <v>8.0079999999999014</v>
      </c>
      <c r="AC156" s="98"/>
      <c r="AD156" s="98"/>
      <c r="AE156" s="62"/>
      <c r="AH156" s="53">
        <f t="shared" ref="AH156:AH182" si="53">X156*8/1000000</f>
        <v>1.0058283805847168E-13</v>
      </c>
      <c r="AI156" s="53">
        <f t="shared" ref="AI156:AI182" si="54">V156*8/1000000</f>
        <v>3.087687612708566</v>
      </c>
    </row>
    <row r="157" spans="1:57" ht="30">
      <c r="A157" t="s">
        <v>597</v>
      </c>
      <c r="C157" s="3"/>
      <c r="D157" s="3"/>
      <c r="E157" s="3"/>
      <c r="F157" s="3"/>
      <c r="G157">
        <v>3.5</v>
      </c>
      <c r="H157" s="3"/>
      <c r="I157" s="3" t="s">
        <v>54</v>
      </c>
      <c r="J157" s="3"/>
      <c r="L157" s="78" t="s">
        <v>595</v>
      </c>
      <c r="M157" s="78" t="s">
        <v>586</v>
      </c>
      <c r="N157">
        <v>431523</v>
      </c>
      <c r="O157" s="84" t="str">
        <f>AG157</f>
        <v>183/14:46</v>
      </c>
      <c r="P157" s="32" t="str">
        <f>MID(AJ157,11,5)</f>
        <v>183_1</v>
      </c>
      <c r="Q157" s="58">
        <f>R156-1</f>
        <v>612295254.66091263</v>
      </c>
      <c r="R157" s="126">
        <f>R155</f>
        <v>613559216</v>
      </c>
      <c r="S157" s="21">
        <f t="shared" si="50"/>
        <v>1263961.3390873671</v>
      </c>
      <c r="T157" s="21">
        <f>S157*$V$14</f>
        <v>432840.92731767852</v>
      </c>
      <c r="U157" s="3">
        <v>0</v>
      </c>
      <c r="V157" s="27">
        <f t="shared" si="51"/>
        <v>432840.92731767852</v>
      </c>
      <c r="W157" s="20">
        <f>Y157*1000000/8</f>
        <v>1197625.0000000002</v>
      </c>
      <c r="X157" s="87">
        <f t="shared" si="52"/>
        <v>764784.07268232177</v>
      </c>
      <c r="Y157" s="77">
        <f>1.1*AN157</f>
        <v>9.5810000000000013</v>
      </c>
      <c r="Z157" s="50"/>
      <c r="AA157" s="50"/>
      <c r="AB157" s="118">
        <f>AB156+AI157</f>
        <v>11.47072741854133</v>
      </c>
      <c r="AC157" s="98"/>
      <c r="AD157" s="98"/>
      <c r="AE157" s="62"/>
      <c r="AF157" s="31" t="str">
        <f>MID(AJ157,7,9)</f>
        <v>TRK_183_1</v>
      </c>
      <c r="AG157" s="34" t="s">
        <v>598</v>
      </c>
      <c r="AH157" s="53">
        <f t="shared" si="53"/>
        <v>6.1182725814585739</v>
      </c>
      <c r="AI157" s="53">
        <f t="shared" si="54"/>
        <v>3.4627274185414283</v>
      </c>
      <c r="AJ157" s="97" t="s">
        <v>599</v>
      </c>
      <c r="AK157" s="97" t="s">
        <v>600</v>
      </c>
      <c r="AL157" s="97">
        <v>8.7100000000000009</v>
      </c>
      <c r="AM157" s="97">
        <v>8.7100000000000009</v>
      </c>
      <c r="AN157" s="97">
        <v>8.7100000000000009</v>
      </c>
    </row>
    <row r="158" spans="1:57" ht="15.75">
      <c r="A158" t="s">
        <v>601</v>
      </c>
      <c r="D158" s="3"/>
      <c r="E158" s="3" t="s">
        <v>51</v>
      </c>
      <c r="F158" s="3" t="s">
        <v>49</v>
      </c>
      <c r="G158" s="3"/>
      <c r="H158" s="3" t="s">
        <v>53</v>
      </c>
      <c r="I158" s="3" t="s">
        <v>54</v>
      </c>
      <c r="J158" s="3"/>
      <c r="L158" s="78" t="s">
        <v>586</v>
      </c>
      <c r="M158" s="78" t="s">
        <v>602</v>
      </c>
      <c r="O158" s="84"/>
      <c r="P158" s="32" t="str">
        <f>MID(AJ158,11,5)</f>
        <v/>
      </c>
      <c r="Q158" s="127">
        <f>R157-1</f>
        <v>613559215</v>
      </c>
      <c r="R158" s="128">
        <v>613766276</v>
      </c>
      <c r="S158" s="21">
        <f t="shared" si="50"/>
        <v>207061</v>
      </c>
      <c r="T158" s="21">
        <f>S158*$V$17</f>
        <v>439979.46133680444</v>
      </c>
      <c r="U158" s="3">
        <v>0</v>
      </c>
      <c r="V158" s="27">
        <f t="shared" si="51"/>
        <v>439979.46133680444</v>
      </c>
      <c r="W158" s="101">
        <f>X157</f>
        <v>764784.07268232177</v>
      </c>
      <c r="X158" s="87">
        <f t="shared" si="52"/>
        <v>324804.61134551733</v>
      </c>
      <c r="Y158" s="77"/>
      <c r="Z158" s="50"/>
      <c r="AA158" s="50"/>
      <c r="AB158" s="118">
        <f>AB157+AI158</f>
        <v>14.990563109235765</v>
      </c>
      <c r="AC158" s="98"/>
      <c r="AD158" s="98"/>
      <c r="AE158" s="62"/>
      <c r="AF158" s="31"/>
      <c r="AG158" s="34"/>
      <c r="AH158" s="53">
        <f t="shared" si="53"/>
        <v>2.5984368907641389</v>
      </c>
      <c r="AI158" s="53">
        <f t="shared" si="54"/>
        <v>3.5198356906944355</v>
      </c>
      <c r="AJ158" s="97"/>
      <c r="AK158" s="97"/>
      <c r="AL158" s="97"/>
      <c r="AM158" s="97"/>
      <c r="AN158" s="97"/>
    </row>
    <row r="159" spans="1:57" ht="15.75">
      <c r="A159" t="s">
        <v>603</v>
      </c>
      <c r="D159" s="3"/>
      <c r="E159" s="3"/>
      <c r="F159" s="3"/>
      <c r="G159" s="3"/>
      <c r="H159" s="3"/>
      <c r="I159" s="3"/>
      <c r="J159" s="3"/>
      <c r="L159" s="47" t="s">
        <v>567</v>
      </c>
      <c r="M159" s="47" t="s">
        <v>604</v>
      </c>
      <c r="O159" s="84"/>
      <c r="P159" s="32"/>
      <c r="Q159" s="58">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1">
        <f>X158</f>
        <v>324804.61134551733</v>
      </c>
      <c r="X159" s="87">
        <f t="shared" si="52"/>
        <v>-5.9546437114477158E-8</v>
      </c>
      <c r="Y159" s="77"/>
      <c r="Z159" s="50"/>
      <c r="AA159" s="129">
        <f>AI159</f>
        <v>2.5984368907646149</v>
      </c>
      <c r="AB159" s="98"/>
      <c r="AC159" s="98"/>
      <c r="AD159" s="98"/>
      <c r="AE159" s="98"/>
      <c r="AF159" s="31"/>
      <c r="AG159" s="34"/>
      <c r="AH159" s="53">
        <f t="shared" si="53"/>
        <v>-4.7637149691581728E-13</v>
      </c>
      <c r="AI159" s="53">
        <f t="shared" si="54"/>
        <v>2.5984368907646149</v>
      </c>
      <c r="AJ159" s="97"/>
      <c r="AK159" s="97"/>
      <c r="AL159" s="97"/>
      <c r="AM159" s="97"/>
      <c r="AN159" s="97"/>
    </row>
    <row r="160" spans="1:57" ht="30">
      <c r="C160" s="3"/>
      <c r="D160" s="3"/>
      <c r="E160" s="3"/>
      <c r="F160" s="3"/>
      <c r="G160" s="3"/>
      <c r="H160" s="3"/>
      <c r="I160" s="3"/>
      <c r="J160" s="3"/>
      <c r="L160" s="47" t="s">
        <v>604</v>
      </c>
      <c r="M160" s="47" t="s">
        <v>605</v>
      </c>
      <c r="O160" s="84" t="str">
        <f t="shared" ref="O160:O181" si="57">AG160</f>
        <v>183/23:16</v>
      </c>
      <c r="P160" s="32" t="str">
        <f t="shared" ref="P160:P182" si="58">MID(AJ160,11,5)</f>
        <v>183_2</v>
      </c>
      <c r="Q160" s="58">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7">
        <f t="shared" si="52"/>
        <v>-6.5658241510391235E-8</v>
      </c>
      <c r="Y160" s="77">
        <f t="shared" ref="Y160:Y181" si="61">1.1*AN160</f>
        <v>9.0530000000000008</v>
      </c>
      <c r="Z160" s="50"/>
      <c r="AA160" s="129">
        <f t="shared" ref="AA160:AA176" si="62">AA159+AI160</f>
        <v>11.65143689076514</v>
      </c>
      <c r="AB160" s="98"/>
      <c r="AC160" s="98"/>
      <c r="AD160" s="98"/>
      <c r="AE160" s="98"/>
      <c r="AF160" s="31" t="str">
        <f t="shared" ref="AF160:AF181" si="63">MID(AJ160,7,9)</f>
        <v>TRK_183_2</v>
      </c>
      <c r="AG160" s="34" t="s">
        <v>606</v>
      </c>
      <c r="AH160" s="53">
        <f t="shared" si="53"/>
        <v>-5.2526593208312993E-13</v>
      </c>
      <c r="AI160" s="53">
        <f t="shared" si="54"/>
        <v>9.0530000000005248</v>
      </c>
      <c r="AJ160" s="97" t="s">
        <v>607</v>
      </c>
      <c r="AK160" s="97" t="s">
        <v>608</v>
      </c>
      <c r="AL160" s="97">
        <v>8.23</v>
      </c>
      <c r="AM160" s="97">
        <v>8.23</v>
      </c>
      <c r="AN160" s="97">
        <v>8.23</v>
      </c>
    </row>
    <row r="161" spans="3:40" ht="30">
      <c r="C161" s="3"/>
      <c r="D161" s="3"/>
      <c r="E161" s="3"/>
      <c r="F161" s="3"/>
      <c r="G161" s="3"/>
      <c r="H161" s="3"/>
      <c r="I161" s="3"/>
      <c r="J161" s="3"/>
      <c r="L161" s="47" t="s">
        <v>605</v>
      </c>
      <c r="M161" s="47" t="s">
        <v>609</v>
      </c>
      <c r="O161" s="84" t="str">
        <f t="shared" si="57"/>
        <v>184/21:41</v>
      </c>
      <c r="P161" s="32" t="str">
        <f t="shared" si="58"/>
        <v>184_2</v>
      </c>
      <c r="Q161" s="58">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7">
        <f t="shared" si="52"/>
        <v>1.3574026525020599E-7</v>
      </c>
      <c r="Y161" s="77">
        <f t="shared" si="61"/>
        <v>10.89</v>
      </c>
      <c r="Z161" s="50"/>
      <c r="AA161" s="129">
        <f t="shared" si="62"/>
        <v>22.541436890764054</v>
      </c>
      <c r="AB161" s="98"/>
      <c r="AC161" s="98"/>
      <c r="AD161" s="98"/>
      <c r="AE161" s="98"/>
      <c r="AF161" s="31" t="str">
        <f t="shared" si="63"/>
        <v>TRK_184_2</v>
      </c>
      <c r="AG161" s="34" t="s">
        <v>610</v>
      </c>
      <c r="AH161" s="53">
        <f t="shared" si="53"/>
        <v>1.0859221220016479E-12</v>
      </c>
      <c r="AI161" s="53">
        <f t="shared" si="54"/>
        <v>10.889999999998913</v>
      </c>
      <c r="AJ161" s="97" t="s">
        <v>611</v>
      </c>
      <c r="AK161" s="97" t="s">
        <v>612</v>
      </c>
      <c r="AL161" s="97">
        <v>9.9</v>
      </c>
      <c r="AM161" s="97">
        <v>9.9</v>
      </c>
      <c r="AN161" s="97">
        <v>9.9</v>
      </c>
    </row>
    <row r="162" spans="3:40" ht="30">
      <c r="C162" s="3"/>
      <c r="D162" s="3"/>
      <c r="E162" s="3"/>
      <c r="F162" s="3"/>
      <c r="G162" s="3"/>
      <c r="H162" s="3"/>
      <c r="I162" s="3"/>
      <c r="J162" s="3"/>
      <c r="L162" s="47" t="s">
        <v>609</v>
      </c>
      <c r="M162" s="47" t="s">
        <v>613</v>
      </c>
      <c r="O162" s="84" t="str">
        <f t="shared" si="57"/>
        <v>185/16:36</v>
      </c>
      <c r="P162" s="32" t="str">
        <f t="shared" si="58"/>
        <v>185_1</v>
      </c>
      <c r="Q162" s="58">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7">
        <f t="shared" si="52"/>
        <v>-1.280568540096283E-7</v>
      </c>
      <c r="Y162" s="77">
        <f t="shared" si="61"/>
        <v>3.3330000000000002</v>
      </c>
      <c r="Z162" s="50"/>
      <c r="AA162" s="129">
        <f t="shared" si="62"/>
        <v>25.874436890765079</v>
      </c>
      <c r="AB162" s="98"/>
      <c r="AC162" s="98"/>
      <c r="AD162" s="98"/>
      <c r="AE162" s="98"/>
      <c r="AF162" s="31" t="str">
        <f t="shared" si="63"/>
        <v>TRK_185_1</v>
      </c>
      <c r="AG162" s="34" t="s">
        <v>614</v>
      </c>
      <c r="AH162" s="53">
        <f t="shared" si="53"/>
        <v>-1.0244548320770264E-12</v>
      </c>
      <c r="AI162" s="53">
        <f t="shared" si="54"/>
        <v>3.3330000000010243</v>
      </c>
      <c r="AJ162" s="97" t="s">
        <v>615</v>
      </c>
      <c r="AK162" s="97" t="s">
        <v>616</v>
      </c>
      <c r="AL162" s="97">
        <v>3.03</v>
      </c>
      <c r="AM162" s="97">
        <v>3.03</v>
      </c>
      <c r="AN162" s="97">
        <v>3.03</v>
      </c>
    </row>
    <row r="163" spans="3:40" ht="30">
      <c r="C163" s="3"/>
      <c r="D163" s="3"/>
      <c r="E163" s="3"/>
      <c r="F163" s="3"/>
      <c r="G163" s="3"/>
      <c r="H163" s="3"/>
      <c r="I163" s="3"/>
      <c r="J163" s="3"/>
      <c r="L163" s="47" t="s">
        <v>613</v>
      </c>
      <c r="M163" s="47" t="s">
        <v>617</v>
      </c>
      <c r="O163" s="84" t="str">
        <f t="shared" si="57"/>
        <v>186/16:36</v>
      </c>
      <c r="P163" s="32" t="str">
        <f t="shared" si="58"/>
        <v>186_1</v>
      </c>
      <c r="Q163" s="58">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7">
        <f t="shared" si="52"/>
        <v>2.1158484742045403E-7</v>
      </c>
      <c r="Y163" s="77">
        <f t="shared" si="61"/>
        <v>3.5420000000000007</v>
      </c>
      <c r="Z163" s="50"/>
      <c r="AA163" s="129">
        <f t="shared" si="62"/>
        <v>29.416436890763386</v>
      </c>
      <c r="AB163" s="98"/>
      <c r="AC163" s="98"/>
      <c r="AD163" s="98"/>
      <c r="AE163" s="98"/>
      <c r="AF163" s="31" t="str">
        <f t="shared" si="63"/>
        <v>TRK_186_1</v>
      </c>
      <c r="AG163" s="34" t="s">
        <v>618</v>
      </c>
      <c r="AH163" s="53">
        <f t="shared" si="53"/>
        <v>1.6926787793636323E-12</v>
      </c>
      <c r="AI163" s="53">
        <f t="shared" si="54"/>
        <v>3.5419999999983083</v>
      </c>
      <c r="AJ163" s="97" t="s">
        <v>619</v>
      </c>
      <c r="AK163" s="97" t="s">
        <v>620</v>
      </c>
      <c r="AL163" s="97">
        <v>3.22</v>
      </c>
      <c r="AM163" s="97">
        <v>3.22</v>
      </c>
      <c r="AN163" s="97">
        <v>3.22</v>
      </c>
    </row>
    <row r="164" spans="3:40" ht="30">
      <c r="C164" s="3"/>
      <c r="D164" s="3"/>
      <c r="E164" s="3"/>
      <c r="F164" s="3"/>
      <c r="G164" s="3"/>
      <c r="H164" s="3"/>
      <c r="I164" s="3"/>
      <c r="J164" s="3"/>
      <c r="L164" s="47" t="s">
        <v>617</v>
      </c>
      <c r="M164" s="47" t="s">
        <v>621</v>
      </c>
      <c r="O164" s="84" t="str">
        <f t="shared" si="57"/>
        <v>186/22:56</v>
      </c>
      <c r="P164" s="32" t="str">
        <f t="shared" si="58"/>
        <v>186_2</v>
      </c>
      <c r="Q164" s="58">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7">
        <f t="shared" si="52"/>
        <v>1.0221265256404877E-7</v>
      </c>
      <c r="Y164" s="77">
        <f t="shared" si="61"/>
        <v>9.0420000000000016</v>
      </c>
      <c r="Z164" s="50"/>
      <c r="AA164" s="129">
        <f t="shared" si="62"/>
        <v>38.45843689076257</v>
      </c>
      <c r="AB164" s="98"/>
      <c r="AC164" s="98"/>
      <c r="AD164" s="98"/>
      <c r="AE164" s="98"/>
      <c r="AF164" s="31" t="str">
        <f t="shared" si="63"/>
        <v>TRK_186_2</v>
      </c>
      <c r="AG164" s="34" t="s">
        <v>622</v>
      </c>
      <c r="AH164" s="53">
        <f t="shared" si="53"/>
        <v>8.1770122051239012E-13</v>
      </c>
      <c r="AI164" s="53">
        <f t="shared" si="54"/>
        <v>9.0419999999991845</v>
      </c>
      <c r="AJ164" s="97" t="s">
        <v>623</v>
      </c>
      <c r="AK164" s="97" t="s">
        <v>624</v>
      </c>
      <c r="AL164" s="97">
        <v>8.2200000000000006</v>
      </c>
      <c r="AM164" s="97">
        <v>8.2200000000000006</v>
      </c>
      <c r="AN164" s="97">
        <v>8.2200000000000006</v>
      </c>
    </row>
    <row r="165" spans="3:40" ht="30">
      <c r="C165" s="3"/>
      <c r="D165" s="3"/>
      <c r="E165" s="3"/>
      <c r="F165" s="3"/>
      <c r="G165" s="3"/>
      <c r="H165" s="3"/>
      <c r="I165" s="3"/>
      <c r="J165" s="3"/>
      <c r="L165" s="47" t="s">
        <v>621</v>
      </c>
      <c r="M165" s="47" t="s">
        <v>625</v>
      </c>
      <c r="O165" s="84" t="str">
        <f t="shared" si="57"/>
        <v>187/13:21</v>
      </c>
      <c r="P165" s="32" t="str">
        <f t="shared" si="58"/>
        <v>187_1</v>
      </c>
      <c r="Q165" s="58">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7">
        <f t="shared" si="52"/>
        <v>-1.5646219253540039E-7</v>
      </c>
      <c r="Y165" s="77">
        <f t="shared" si="61"/>
        <v>10.967000000000002</v>
      </c>
      <c r="Z165" s="50"/>
      <c r="AA165" s="129">
        <f t="shared" si="62"/>
        <v>49.42543689076382</v>
      </c>
      <c r="AB165" s="98"/>
      <c r="AC165" s="98"/>
      <c r="AD165" s="98"/>
      <c r="AE165" s="98"/>
      <c r="AF165" s="31" t="str">
        <f t="shared" si="63"/>
        <v>TRK_187_1</v>
      </c>
      <c r="AG165" s="34" t="s">
        <v>626</v>
      </c>
      <c r="AH165" s="53">
        <f t="shared" si="53"/>
        <v>-1.2516975402832031E-12</v>
      </c>
      <c r="AI165" s="53">
        <f t="shared" si="54"/>
        <v>10.967000000001253</v>
      </c>
      <c r="AJ165" s="97" t="s">
        <v>627</v>
      </c>
      <c r="AK165" s="97" t="s">
        <v>628</v>
      </c>
      <c r="AL165" s="97">
        <v>9.9700000000000006</v>
      </c>
      <c r="AM165" s="97">
        <v>9.9700000000000006</v>
      </c>
      <c r="AN165" s="97">
        <v>9.9700000000000006</v>
      </c>
    </row>
    <row r="166" spans="3:40" ht="30">
      <c r="C166" s="3"/>
      <c r="D166" s="3"/>
      <c r="E166" s="3"/>
      <c r="F166" s="3"/>
      <c r="G166" s="3"/>
      <c r="H166" s="3"/>
      <c r="I166" s="3"/>
      <c r="J166" s="3"/>
      <c r="L166" s="47" t="s">
        <v>625</v>
      </c>
      <c r="M166" s="47" t="s">
        <v>629</v>
      </c>
      <c r="O166" s="84" t="str">
        <f t="shared" si="57"/>
        <v>189/12:16</v>
      </c>
      <c r="P166" s="32" t="str">
        <f t="shared" si="58"/>
        <v>189_1</v>
      </c>
      <c r="Q166" s="58">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7">
        <f t="shared" si="52"/>
        <v>-2.0302832126617432E-7</v>
      </c>
      <c r="Y166" s="77">
        <f t="shared" si="61"/>
        <v>8.4260000000000002</v>
      </c>
      <c r="Z166" s="50"/>
      <c r="AA166" s="129">
        <f t="shared" si="62"/>
        <v>57.851436890765441</v>
      </c>
      <c r="AB166" s="98"/>
      <c r="AC166" s="98"/>
      <c r="AD166" s="98"/>
      <c r="AE166" s="98"/>
      <c r="AF166" s="31" t="str">
        <f t="shared" si="63"/>
        <v>TRK_189_1</v>
      </c>
      <c r="AG166" s="34" t="s">
        <v>630</v>
      </c>
      <c r="AH166" s="53">
        <f t="shared" si="53"/>
        <v>-1.6242265701293946E-12</v>
      </c>
      <c r="AI166" s="53">
        <f t="shared" si="54"/>
        <v>8.4260000000016237</v>
      </c>
      <c r="AJ166" s="97" t="s">
        <v>631</v>
      </c>
      <c r="AK166" s="97" t="s">
        <v>632</v>
      </c>
      <c r="AL166" s="97">
        <v>7.66</v>
      </c>
      <c r="AM166" s="97">
        <v>7.66</v>
      </c>
      <c r="AN166" s="97">
        <v>7.66</v>
      </c>
    </row>
    <row r="167" spans="3:40" ht="30">
      <c r="C167" s="3"/>
      <c r="D167" s="3"/>
      <c r="E167" s="3"/>
      <c r="F167" s="3"/>
      <c r="G167" s="3"/>
      <c r="H167" s="3"/>
      <c r="I167" s="3"/>
      <c r="J167" s="3"/>
      <c r="L167" s="47" t="s">
        <v>629</v>
      </c>
      <c r="M167" s="47" t="s">
        <v>633</v>
      </c>
      <c r="O167" s="84" t="str">
        <f t="shared" si="57"/>
        <v>190/20:06</v>
      </c>
      <c r="P167" s="32" t="str">
        <f t="shared" si="58"/>
        <v>190_1</v>
      </c>
      <c r="Q167" s="58">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7">
        <f t="shared" si="52"/>
        <v>2.3050233721733093E-8</v>
      </c>
      <c r="Y167" s="77">
        <f t="shared" si="61"/>
        <v>13.904000000000002</v>
      </c>
      <c r="Z167" s="50"/>
      <c r="AA167" s="129">
        <f t="shared" si="62"/>
        <v>71.755436890765253</v>
      </c>
      <c r="AB167" s="98"/>
      <c r="AC167" s="98"/>
      <c r="AD167" s="98"/>
      <c r="AE167" s="98"/>
      <c r="AF167" s="31" t="str">
        <f t="shared" si="63"/>
        <v>TRK_190_1</v>
      </c>
      <c r="AG167" s="34" t="s">
        <v>634</v>
      </c>
      <c r="AH167" s="53">
        <f t="shared" si="53"/>
        <v>1.8440186977386473E-13</v>
      </c>
      <c r="AI167" s="53">
        <f t="shared" si="54"/>
        <v>13.903999999999817</v>
      </c>
      <c r="AJ167" s="97" t="s">
        <v>635</v>
      </c>
      <c r="AK167" s="97" t="s">
        <v>636</v>
      </c>
      <c r="AL167" s="97">
        <v>12.64</v>
      </c>
      <c r="AM167" s="97">
        <v>12.64</v>
      </c>
      <c r="AN167" s="97">
        <v>12.64</v>
      </c>
    </row>
    <row r="168" spans="3:40" ht="30">
      <c r="C168" s="3"/>
      <c r="D168" s="3"/>
      <c r="E168" s="3"/>
      <c r="F168" s="3"/>
      <c r="G168" s="3"/>
      <c r="H168" s="3"/>
      <c r="I168" s="3"/>
      <c r="J168" s="3"/>
      <c r="L168" s="47" t="s">
        <v>633</v>
      </c>
      <c r="M168" s="47" t="s">
        <v>637</v>
      </c>
      <c r="O168" s="84" t="str">
        <f t="shared" si="57"/>
        <v>191/12:11</v>
      </c>
      <c r="P168" s="32" t="str">
        <f t="shared" si="58"/>
        <v>191_1</v>
      </c>
      <c r="Q168" s="58">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7">
        <f t="shared" si="52"/>
        <v>-1.4482066035270691E-7</v>
      </c>
      <c r="Y168" s="77">
        <f t="shared" si="61"/>
        <v>13.915000000000001</v>
      </c>
      <c r="Z168" s="50"/>
      <c r="AA168" s="129">
        <f t="shared" si="62"/>
        <v>85.67043689076641</v>
      </c>
      <c r="AB168" s="98"/>
      <c r="AC168" s="98"/>
      <c r="AD168" s="98"/>
      <c r="AE168" s="98"/>
      <c r="AF168" s="31" t="str">
        <f t="shared" si="63"/>
        <v>TRK_191_1</v>
      </c>
      <c r="AG168" s="34" t="s">
        <v>638</v>
      </c>
      <c r="AH168" s="53">
        <f t="shared" si="53"/>
        <v>-1.1585652828216554E-12</v>
      </c>
      <c r="AI168" s="53">
        <f t="shared" si="54"/>
        <v>13.915000000001159</v>
      </c>
      <c r="AJ168" s="97" t="s">
        <v>639</v>
      </c>
      <c r="AK168" s="97" t="s">
        <v>640</v>
      </c>
      <c r="AL168" s="97">
        <v>12.65</v>
      </c>
      <c r="AM168" s="97">
        <v>12.65</v>
      </c>
      <c r="AN168" s="97">
        <v>12.65</v>
      </c>
    </row>
    <row r="169" spans="3:40" ht="30">
      <c r="C169" s="3"/>
      <c r="D169" s="3"/>
      <c r="E169" s="3"/>
      <c r="F169" s="3"/>
      <c r="G169" s="3"/>
      <c r="H169" s="3"/>
      <c r="I169" s="3"/>
      <c r="J169" s="3"/>
      <c r="L169" s="47" t="s">
        <v>637</v>
      </c>
      <c r="M169" s="47" t="s">
        <v>641</v>
      </c>
      <c r="O169" s="84" t="str">
        <f t="shared" si="57"/>
        <v>192/12:06</v>
      </c>
      <c r="P169" s="32" t="str">
        <f t="shared" si="58"/>
        <v>192_2</v>
      </c>
      <c r="Q169" s="58">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7">
        <f t="shared" si="52"/>
        <v>8.2654878497123718E-8</v>
      </c>
      <c r="Y169" s="77">
        <f t="shared" si="61"/>
        <v>9.1300000000000008</v>
      </c>
      <c r="Z169" s="50"/>
      <c r="AA169" s="129">
        <f t="shared" si="62"/>
        <v>94.800436890765752</v>
      </c>
      <c r="AB169" s="98"/>
      <c r="AC169" s="98"/>
      <c r="AD169" s="98"/>
      <c r="AE169" s="98"/>
      <c r="AF169" s="31" t="str">
        <f t="shared" si="63"/>
        <v>TRK_192_2</v>
      </c>
      <c r="AG169" s="34" t="s">
        <v>642</v>
      </c>
      <c r="AH169" s="53">
        <f t="shared" si="53"/>
        <v>6.6123902797698976E-13</v>
      </c>
      <c r="AI169" s="53">
        <f t="shared" si="54"/>
        <v>9.1299999999993382</v>
      </c>
      <c r="AJ169" s="97" t="s">
        <v>643</v>
      </c>
      <c r="AK169" s="97" t="s">
        <v>644</v>
      </c>
      <c r="AL169" s="97">
        <v>8.3000000000000007</v>
      </c>
      <c r="AM169" s="97">
        <v>8.3000000000000007</v>
      </c>
      <c r="AN169" s="97">
        <v>8.3000000000000007</v>
      </c>
    </row>
    <row r="170" spans="3:40" ht="30">
      <c r="C170" s="3"/>
      <c r="D170" s="3"/>
      <c r="E170" s="3"/>
      <c r="F170" s="3"/>
      <c r="G170" s="3"/>
      <c r="H170" s="3"/>
      <c r="I170" s="3"/>
      <c r="J170" s="3"/>
      <c r="L170" s="47" t="s">
        <v>641</v>
      </c>
      <c r="M170" s="47" t="s">
        <v>645</v>
      </c>
      <c r="O170" s="84" t="str">
        <f t="shared" si="57"/>
        <v>193/13:50</v>
      </c>
      <c r="P170" s="32" t="str">
        <f t="shared" si="58"/>
        <v>193_1</v>
      </c>
      <c r="Q170" s="58">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7">
        <f t="shared" si="52"/>
        <v>1.9511207938194275E-7</v>
      </c>
      <c r="Y170" s="77">
        <f t="shared" si="61"/>
        <v>19.877000000000002</v>
      </c>
      <c r="Z170" s="50"/>
      <c r="AA170" s="129">
        <f t="shared" si="62"/>
        <v>114.6774368907642</v>
      </c>
      <c r="AB170" s="98"/>
      <c r="AC170" s="98"/>
      <c r="AD170" s="98"/>
      <c r="AE170" s="98"/>
      <c r="AF170" s="31" t="str">
        <f t="shared" si="63"/>
        <v>TRK_193_1</v>
      </c>
      <c r="AG170" s="34" t="s">
        <v>646</v>
      </c>
      <c r="AH170" s="53">
        <f t="shared" si="53"/>
        <v>1.560896635055542E-12</v>
      </c>
      <c r="AI170" s="53">
        <f t="shared" si="54"/>
        <v>19.876999999998443</v>
      </c>
      <c r="AJ170" s="97" t="s">
        <v>647</v>
      </c>
      <c r="AK170" s="97" t="s">
        <v>648</v>
      </c>
      <c r="AL170" s="97">
        <v>18.07</v>
      </c>
      <c r="AM170" s="97">
        <v>18.07</v>
      </c>
      <c r="AN170" s="97">
        <v>18.07</v>
      </c>
    </row>
    <row r="171" spans="3:40" ht="30">
      <c r="C171" s="3"/>
      <c r="D171" s="3"/>
      <c r="E171" s="3"/>
      <c r="F171" s="3"/>
      <c r="G171" s="3"/>
      <c r="H171" s="3"/>
      <c r="I171" s="3"/>
      <c r="J171" s="3"/>
      <c r="L171" s="47" t="s">
        <v>645</v>
      </c>
      <c r="M171" s="47" t="s">
        <v>649</v>
      </c>
      <c r="O171" s="84" t="str">
        <f t="shared" si="57"/>
        <v>194/16:20</v>
      </c>
      <c r="P171" s="32" t="str">
        <f t="shared" si="58"/>
        <v>194_2</v>
      </c>
      <c r="Q171" s="58">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7">
        <f t="shared" si="52"/>
        <v>-1.2977398000657558E-7</v>
      </c>
      <c r="Y171" s="77">
        <f t="shared" si="61"/>
        <v>2.09</v>
      </c>
      <c r="Z171" s="50"/>
      <c r="AA171" s="129">
        <f t="shared" si="62"/>
        <v>116.76743689076524</v>
      </c>
      <c r="AB171" s="98"/>
      <c r="AC171" s="98"/>
      <c r="AD171" s="98"/>
      <c r="AE171" s="98"/>
      <c r="AF171" s="31" t="str">
        <f t="shared" si="63"/>
        <v>TRK_194_2</v>
      </c>
      <c r="AG171" s="34" t="s">
        <v>650</v>
      </c>
      <c r="AH171" s="53">
        <f t="shared" si="53"/>
        <v>-1.0381918400526047E-12</v>
      </c>
      <c r="AI171" s="53">
        <f t="shared" si="54"/>
        <v>2.0900000000010381</v>
      </c>
      <c r="AJ171" s="97" t="s">
        <v>651</v>
      </c>
      <c r="AK171" s="97" t="s">
        <v>652</v>
      </c>
      <c r="AL171" s="97">
        <v>1.9</v>
      </c>
      <c r="AM171" s="97">
        <v>1.9</v>
      </c>
      <c r="AN171" s="97">
        <v>1.9</v>
      </c>
    </row>
    <row r="172" spans="3:40" ht="30">
      <c r="C172" s="3"/>
      <c r="D172" s="3"/>
      <c r="E172" s="3"/>
      <c r="F172" s="3"/>
      <c r="G172" s="3"/>
      <c r="H172" s="3"/>
      <c r="I172" s="3"/>
      <c r="J172" s="3"/>
      <c r="L172" s="47" t="s">
        <v>649</v>
      </c>
      <c r="M172" s="47" t="s">
        <v>653</v>
      </c>
      <c r="O172" s="84" t="str">
        <f t="shared" si="57"/>
        <v>194/22:50</v>
      </c>
      <c r="P172" s="32" t="str">
        <f t="shared" si="58"/>
        <v>194_3</v>
      </c>
      <c r="Q172" s="58">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7">
        <f t="shared" si="52"/>
        <v>-2.4330802261829376E-8</v>
      </c>
      <c r="Y172" s="77">
        <f t="shared" si="61"/>
        <v>7.8650000000000011</v>
      </c>
      <c r="Z172" s="50"/>
      <c r="AA172" s="129">
        <f t="shared" si="62"/>
        <v>124.63243689076543</v>
      </c>
      <c r="AB172" s="98"/>
      <c r="AC172" s="98"/>
      <c r="AD172" s="98"/>
      <c r="AE172" s="98"/>
      <c r="AF172" s="31" t="str">
        <f t="shared" si="63"/>
        <v>TRK_194_3</v>
      </c>
      <c r="AG172" s="34" t="s">
        <v>654</v>
      </c>
      <c r="AH172" s="53">
        <f t="shared" si="53"/>
        <v>-1.9464641809463502E-13</v>
      </c>
      <c r="AI172" s="53">
        <f t="shared" si="54"/>
        <v>7.8650000000001956</v>
      </c>
      <c r="AJ172" s="97" t="s">
        <v>655</v>
      </c>
      <c r="AK172" s="97" t="s">
        <v>656</v>
      </c>
      <c r="AL172" s="97">
        <v>7.15</v>
      </c>
      <c r="AM172" s="97">
        <v>7.15</v>
      </c>
      <c r="AN172" s="97">
        <v>7.15</v>
      </c>
    </row>
    <row r="173" spans="3:40" ht="30">
      <c r="C173" s="3"/>
      <c r="D173" s="3"/>
      <c r="E173" s="3"/>
      <c r="F173" s="3"/>
      <c r="G173" s="3"/>
      <c r="H173" s="3"/>
      <c r="I173" s="3"/>
      <c r="J173" s="3"/>
      <c r="L173" s="47" t="s">
        <v>653</v>
      </c>
      <c r="M173" s="47" t="s">
        <v>657</v>
      </c>
      <c r="O173" s="84" t="str">
        <f t="shared" si="57"/>
        <v>195/15:30</v>
      </c>
      <c r="P173" s="32" t="str">
        <f t="shared" si="58"/>
        <v>195_1</v>
      </c>
      <c r="Q173" s="58">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7">
        <f t="shared" si="52"/>
        <v>-1.9709113985300064E-7</v>
      </c>
      <c r="Y173" s="77">
        <f t="shared" si="61"/>
        <v>4.1470000000000002</v>
      </c>
      <c r="Z173" s="50"/>
      <c r="AA173" s="129">
        <f t="shared" si="62"/>
        <v>128.77943689076702</v>
      </c>
      <c r="AB173" s="98"/>
      <c r="AC173" s="98"/>
      <c r="AD173" s="98"/>
      <c r="AE173" s="98"/>
      <c r="AF173" s="31" t="str">
        <f t="shared" si="63"/>
        <v>TRK_195_1</v>
      </c>
      <c r="AG173" s="34" t="s">
        <v>658</v>
      </c>
      <c r="AH173" s="53">
        <f t="shared" si="53"/>
        <v>-1.5767291188240052E-12</v>
      </c>
      <c r="AI173" s="53">
        <f t="shared" si="54"/>
        <v>4.1470000000015768</v>
      </c>
      <c r="AJ173" s="97" t="s">
        <v>659</v>
      </c>
      <c r="AK173" s="97" t="s">
        <v>660</v>
      </c>
      <c r="AL173" s="97">
        <v>3.77</v>
      </c>
      <c r="AM173" s="97">
        <v>3.77</v>
      </c>
      <c r="AN173" s="97">
        <v>3.77</v>
      </c>
    </row>
    <row r="174" spans="3:40" ht="30">
      <c r="C174" s="3"/>
      <c r="D174" s="3"/>
      <c r="E174" s="3"/>
      <c r="F174" s="3"/>
      <c r="G174" s="3"/>
      <c r="H174" s="3"/>
      <c r="I174" s="3"/>
      <c r="J174" s="3"/>
      <c r="L174" s="47" t="s">
        <v>657</v>
      </c>
      <c r="M174" s="47" t="s">
        <v>661</v>
      </c>
      <c r="O174" s="84" t="str">
        <f t="shared" si="57"/>
        <v>195/22:50</v>
      </c>
      <c r="P174" s="32" t="str">
        <f t="shared" si="58"/>
        <v>195_2</v>
      </c>
      <c r="Q174" s="58">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7">
        <f t="shared" si="52"/>
        <v>-2.1548476070165634E-7</v>
      </c>
      <c r="Y174" s="77">
        <f t="shared" si="61"/>
        <v>7.7330000000000005</v>
      </c>
      <c r="Z174" s="50"/>
      <c r="AA174" s="129">
        <f t="shared" si="62"/>
        <v>136.51243689076875</v>
      </c>
      <c r="AB174" s="98"/>
      <c r="AC174" s="98"/>
      <c r="AD174" s="98"/>
      <c r="AE174" s="98"/>
      <c r="AF174" s="31" t="str">
        <f t="shared" si="63"/>
        <v>TRK_195_2</v>
      </c>
      <c r="AG174" s="34" t="s">
        <v>662</v>
      </c>
      <c r="AH174" s="53">
        <f t="shared" si="53"/>
        <v>-1.7238780856132507E-12</v>
      </c>
      <c r="AI174" s="53">
        <f t="shared" si="54"/>
        <v>7.7330000000017245</v>
      </c>
      <c r="AJ174" s="97" t="s">
        <v>663</v>
      </c>
      <c r="AK174" s="97" t="s">
        <v>664</v>
      </c>
      <c r="AL174" s="97">
        <v>7.03</v>
      </c>
      <c r="AM174" s="97">
        <v>7.03</v>
      </c>
      <c r="AN174" s="97">
        <v>7.03</v>
      </c>
    </row>
    <row r="175" spans="3:40" ht="30">
      <c r="C175" s="3"/>
      <c r="D175" s="3"/>
      <c r="E175" s="3"/>
      <c r="F175" s="3"/>
      <c r="G175" s="3"/>
      <c r="H175" s="3"/>
      <c r="I175" s="3"/>
      <c r="J175" s="3"/>
      <c r="L175" s="47" t="s">
        <v>661</v>
      </c>
      <c r="M175" s="47" t="s">
        <v>665</v>
      </c>
      <c r="O175" s="84" t="str">
        <f t="shared" si="57"/>
        <v>197/15:45</v>
      </c>
      <c r="P175" s="32" t="str">
        <f t="shared" si="58"/>
        <v>197_2</v>
      </c>
      <c r="Q175" s="58">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7">
        <f t="shared" si="52"/>
        <v>-4.7992216423153877E-8</v>
      </c>
      <c r="Y175" s="77">
        <f t="shared" si="61"/>
        <v>1.9690000000000003</v>
      </c>
      <c r="Z175" s="50"/>
      <c r="AA175" s="129">
        <f t="shared" si="62"/>
        <v>138.48143689076915</v>
      </c>
      <c r="AB175" s="98"/>
      <c r="AC175" s="98"/>
      <c r="AD175" s="98"/>
      <c r="AE175" s="98"/>
      <c r="AF175" s="31" t="str">
        <f t="shared" si="63"/>
        <v>TRK_197_2</v>
      </c>
      <c r="AG175" s="34" t="s">
        <v>666</v>
      </c>
      <c r="AH175" s="53">
        <f t="shared" si="53"/>
        <v>-3.8393773138523104E-13</v>
      </c>
      <c r="AI175" s="53">
        <f t="shared" si="54"/>
        <v>1.9690000000003842</v>
      </c>
      <c r="AJ175" s="97" t="s">
        <v>667</v>
      </c>
      <c r="AK175" s="97" t="s">
        <v>668</v>
      </c>
      <c r="AL175" s="97">
        <v>1.79</v>
      </c>
      <c r="AM175" s="97">
        <v>1.79</v>
      </c>
      <c r="AN175" s="97">
        <v>1.79</v>
      </c>
    </row>
    <row r="176" spans="3:40" ht="30">
      <c r="C176" s="3"/>
      <c r="D176" s="3"/>
      <c r="E176" s="3"/>
      <c r="F176" s="3"/>
      <c r="G176" s="3"/>
      <c r="H176" s="3"/>
      <c r="I176" s="3"/>
      <c r="J176" s="3"/>
      <c r="L176" s="47" t="s">
        <v>665</v>
      </c>
      <c r="M176" s="47" t="s">
        <v>669</v>
      </c>
      <c r="O176" s="84" t="str">
        <f t="shared" si="57"/>
        <v>197/22:00</v>
      </c>
      <c r="P176" s="32" t="str">
        <f t="shared" si="58"/>
        <v>197_3</v>
      </c>
      <c r="Q176" s="58">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7">
        <f t="shared" si="52"/>
        <v>-1.1362135410308838E-7</v>
      </c>
      <c r="Y176" s="77">
        <f t="shared" si="61"/>
        <v>11.022</v>
      </c>
      <c r="Z176" s="50"/>
      <c r="AA176" s="129">
        <f t="shared" si="62"/>
        <v>149.50343689077005</v>
      </c>
      <c r="AB176" s="98"/>
      <c r="AC176" s="98"/>
      <c r="AD176" s="98"/>
      <c r="AE176" s="98"/>
      <c r="AF176" s="31" t="str">
        <f t="shared" si="63"/>
        <v>TRK_197_3</v>
      </c>
      <c r="AG176" s="34" t="s">
        <v>670</v>
      </c>
      <c r="AH176" s="53">
        <f t="shared" si="53"/>
        <v>-9.0897083282470701E-13</v>
      </c>
      <c r="AI176" s="53">
        <f t="shared" si="54"/>
        <v>11.02200000000091</v>
      </c>
      <c r="AJ176" s="97" t="s">
        <v>671</v>
      </c>
      <c r="AK176" s="97" t="s">
        <v>672</v>
      </c>
      <c r="AL176" s="97">
        <v>10.02</v>
      </c>
      <c r="AM176" s="97">
        <v>10.02</v>
      </c>
      <c r="AN176" s="97">
        <v>10.02</v>
      </c>
    </row>
    <row r="177" spans="1:42" ht="30">
      <c r="A177" t="s">
        <v>673</v>
      </c>
      <c r="C177" s="3"/>
      <c r="D177" s="3"/>
      <c r="E177" s="3"/>
      <c r="F177" s="3"/>
      <c r="G177" s="3"/>
      <c r="H177" s="3" t="s">
        <v>53</v>
      </c>
      <c r="I177" s="3"/>
      <c r="J177" s="3"/>
      <c r="L177" s="78" t="s">
        <v>674</v>
      </c>
      <c r="M177" s="78" t="s">
        <v>675</v>
      </c>
      <c r="O177" s="84" t="str">
        <f t="shared" si="57"/>
        <v>198/14:30</v>
      </c>
      <c r="P177" s="32" t="str">
        <f t="shared" si="58"/>
        <v>198_1</v>
      </c>
      <c r="Q177" s="85">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7">
        <f t="shared" si="52"/>
        <v>-7.4494164437055588E-7</v>
      </c>
      <c r="Y177" s="77">
        <f t="shared" si="61"/>
        <v>7.6890000000000009</v>
      </c>
      <c r="Z177" s="50"/>
      <c r="AA177" s="50"/>
      <c r="AB177" s="118">
        <f>AB158+AI177</f>
        <v>22.679563109241727</v>
      </c>
      <c r="AC177" s="118"/>
      <c r="AD177" s="118"/>
      <c r="AE177" s="118"/>
      <c r="AF177" s="31" t="str">
        <f t="shared" si="63"/>
        <v>TRK_198_1</v>
      </c>
      <c r="AG177" s="34" t="s">
        <v>676</v>
      </c>
      <c r="AH177" s="53">
        <f t="shared" si="53"/>
        <v>-5.9595331549644472E-12</v>
      </c>
      <c r="AI177" s="53">
        <f t="shared" si="54"/>
        <v>7.6890000000059606</v>
      </c>
      <c r="AJ177" s="97" t="s">
        <v>677</v>
      </c>
      <c r="AK177" s="97" t="s">
        <v>678</v>
      </c>
      <c r="AL177" s="97">
        <v>6.99</v>
      </c>
      <c r="AM177" s="97">
        <v>6.99</v>
      </c>
      <c r="AN177" s="97">
        <v>6.99</v>
      </c>
    </row>
    <row r="178" spans="1:42" ht="30">
      <c r="A178" t="s">
        <v>673</v>
      </c>
      <c r="C178" s="3"/>
      <c r="D178" s="3"/>
      <c r="E178" s="3"/>
      <c r="F178" s="3"/>
      <c r="G178" s="3"/>
      <c r="H178" s="3" t="s">
        <v>53</v>
      </c>
      <c r="I178" s="3"/>
      <c r="J178" s="3"/>
      <c r="L178" s="78" t="s">
        <v>675</v>
      </c>
      <c r="M178" s="78" t="s">
        <v>679</v>
      </c>
      <c r="O178" s="84" t="str">
        <f t="shared" si="57"/>
        <v>198/22:25</v>
      </c>
      <c r="P178" s="32" t="str">
        <f t="shared" si="58"/>
        <v>198_2</v>
      </c>
      <c r="Q178" s="85">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7">
        <f t="shared" si="52"/>
        <v>-2.4138716980814934E-6</v>
      </c>
      <c r="Y178" s="77">
        <f t="shared" si="61"/>
        <v>8.2940000000000005</v>
      </c>
      <c r="Z178" s="50"/>
      <c r="AA178" s="50"/>
      <c r="AB178" s="118">
        <f>AB177+AI178</f>
        <v>30.973563109261036</v>
      </c>
      <c r="AC178" s="118"/>
      <c r="AD178" s="118"/>
      <c r="AE178" s="118"/>
      <c r="AF178" s="31" t="str">
        <f t="shared" si="63"/>
        <v>TRK_198_2</v>
      </c>
      <c r="AG178" s="34" t="s">
        <v>680</v>
      </c>
      <c r="AH178" s="53">
        <f t="shared" si="53"/>
        <v>-1.9310973584651947E-11</v>
      </c>
      <c r="AI178" s="130">
        <f t="shared" si="54"/>
        <v>8.2940000000193113</v>
      </c>
      <c r="AJ178" s="97" t="s">
        <v>681</v>
      </c>
      <c r="AK178" s="97" t="s">
        <v>682</v>
      </c>
      <c r="AL178" s="97">
        <v>7.54</v>
      </c>
      <c r="AM178" s="97">
        <v>7.54</v>
      </c>
      <c r="AN178" s="97">
        <v>7.54</v>
      </c>
    </row>
    <row r="179" spans="1:42" ht="30">
      <c r="A179" t="s">
        <v>683</v>
      </c>
      <c r="C179" s="3"/>
      <c r="D179" s="3"/>
      <c r="E179" s="3" t="s">
        <v>51</v>
      </c>
      <c r="F179" s="3" t="s">
        <v>49</v>
      </c>
      <c r="G179" s="3"/>
      <c r="H179" s="3" t="s">
        <v>53</v>
      </c>
      <c r="I179" s="3" t="s">
        <v>54</v>
      </c>
      <c r="J179" s="3"/>
      <c r="L179" s="78" t="s">
        <v>602</v>
      </c>
      <c r="M179" s="78" t="s">
        <v>684</v>
      </c>
      <c r="O179" s="84" t="str">
        <f t="shared" si="57"/>
        <v>199/14:45</v>
      </c>
      <c r="P179" s="32" t="str">
        <f t="shared" si="58"/>
        <v>199_1</v>
      </c>
      <c r="Q179" s="58">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7">
        <f t="shared" si="52"/>
        <v>-6.0652382671833038E-8</v>
      </c>
      <c r="Y179" s="77">
        <f t="shared" si="61"/>
        <v>6.8970000000000002</v>
      </c>
      <c r="Z179" s="50"/>
      <c r="AA179" s="50"/>
      <c r="AB179" s="118">
        <f>AB178+AI179</f>
        <v>37.870563109261525</v>
      </c>
      <c r="AC179" s="118"/>
      <c r="AD179" s="118"/>
      <c r="AE179" s="118"/>
      <c r="AF179" s="31" t="str">
        <f t="shared" si="63"/>
        <v>TRK_199_1</v>
      </c>
      <c r="AG179" s="34" t="s">
        <v>685</v>
      </c>
      <c r="AH179" s="53">
        <f t="shared" si="53"/>
        <v>-4.8521906137466429E-13</v>
      </c>
      <c r="AI179" s="130">
        <f t="shared" si="54"/>
        <v>6.8970000000004852</v>
      </c>
      <c r="AJ179" s="97" t="s">
        <v>686</v>
      </c>
      <c r="AK179" s="97" t="s">
        <v>687</v>
      </c>
      <c r="AL179" s="97">
        <v>6.27</v>
      </c>
      <c r="AM179" s="97">
        <v>6.27</v>
      </c>
      <c r="AN179" s="97">
        <v>6.27</v>
      </c>
    </row>
    <row r="180" spans="1:42" ht="30">
      <c r="A180" t="s">
        <v>683</v>
      </c>
      <c r="C180" s="3"/>
      <c r="D180" s="3"/>
      <c r="E180" s="3" t="s">
        <v>51</v>
      </c>
      <c r="F180" s="3" t="s">
        <v>49</v>
      </c>
      <c r="G180" s="3"/>
      <c r="H180" s="3" t="s">
        <v>53</v>
      </c>
      <c r="I180" s="3" t="s">
        <v>54</v>
      </c>
      <c r="J180" s="3"/>
      <c r="L180" s="78" t="s">
        <v>684</v>
      </c>
      <c r="M180" s="78" t="s">
        <v>688</v>
      </c>
      <c r="O180" s="84" t="str">
        <f t="shared" si="57"/>
        <v>200/14:40</v>
      </c>
      <c r="P180" s="32" t="str">
        <f t="shared" si="58"/>
        <v>200_1</v>
      </c>
      <c r="Q180" s="58">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7">
        <f t="shared" si="52"/>
        <v>-7.4505805969238281E-8</v>
      </c>
      <c r="Y180" s="77">
        <f t="shared" si="61"/>
        <v>14.124000000000001</v>
      </c>
      <c r="Z180" s="50"/>
      <c r="AA180" s="50"/>
      <c r="AB180" s="118">
        <f>AB179+AI180</f>
        <v>51.994563109262117</v>
      </c>
      <c r="AC180" s="118"/>
      <c r="AD180" s="118"/>
      <c r="AE180" s="118"/>
      <c r="AF180" s="31" t="str">
        <f t="shared" si="63"/>
        <v>TRK_200_1</v>
      </c>
      <c r="AG180" s="34" t="s">
        <v>689</v>
      </c>
      <c r="AH180" s="53">
        <f t="shared" si="53"/>
        <v>-5.960464477539063E-13</v>
      </c>
      <c r="AI180" s="53">
        <f t="shared" si="54"/>
        <v>14.124000000000596</v>
      </c>
      <c r="AJ180" s="97" t="s">
        <v>690</v>
      </c>
      <c r="AK180" s="97" t="s">
        <v>691</v>
      </c>
      <c r="AL180" s="97">
        <v>12.84</v>
      </c>
      <c r="AM180" s="97">
        <v>12.84</v>
      </c>
      <c r="AN180" s="97">
        <v>12.84</v>
      </c>
    </row>
    <row r="181" spans="1:42" ht="30">
      <c r="A181" t="s">
        <v>683</v>
      </c>
      <c r="C181" s="3"/>
      <c r="D181" s="3"/>
      <c r="E181" s="3" t="s">
        <v>51</v>
      </c>
      <c r="F181" s="3" t="s">
        <v>49</v>
      </c>
      <c r="G181" s="3"/>
      <c r="H181" s="3" t="s">
        <v>53</v>
      </c>
      <c r="I181" s="3" t="s">
        <v>54</v>
      </c>
      <c r="J181" s="3"/>
      <c r="L181" s="78" t="s">
        <v>688</v>
      </c>
      <c r="M181" s="78" t="s">
        <v>692</v>
      </c>
      <c r="O181" s="84" t="str">
        <f t="shared" si="57"/>
        <v>201/18:40</v>
      </c>
      <c r="P181" s="32" t="str">
        <f t="shared" si="58"/>
        <v>201_1</v>
      </c>
      <c r="Q181" s="58">
        <f>R180-1</f>
        <v>615002873.13236058</v>
      </c>
      <c r="R181" s="128">
        <v>615335513</v>
      </c>
      <c r="S181" s="21">
        <f t="shared" si="50"/>
        <v>332639.86763942242</v>
      </c>
      <c r="T181" s="21">
        <f>S181*$V$17</f>
        <v>706819.2937498563</v>
      </c>
      <c r="U181" s="3">
        <v>0</v>
      </c>
      <c r="V181" s="27">
        <f t="shared" si="51"/>
        <v>706819.2937498563</v>
      </c>
      <c r="W181" s="20">
        <f t="shared" si="60"/>
        <v>1962125.0000000002</v>
      </c>
      <c r="X181" s="87">
        <f t="shared" si="52"/>
        <v>1255305.7062501439</v>
      </c>
      <c r="Y181" s="77">
        <f t="shared" si="61"/>
        <v>15.697000000000001</v>
      </c>
      <c r="Z181" s="50"/>
      <c r="AA181" s="50"/>
      <c r="AB181" s="118">
        <f>AB180+AI181</f>
        <v>57.649117459260964</v>
      </c>
      <c r="AC181" s="118"/>
      <c r="AD181" s="118"/>
      <c r="AE181" s="118"/>
      <c r="AF181" s="31" t="str">
        <f t="shared" si="63"/>
        <v>TRK_201_1</v>
      </c>
      <c r="AG181" s="34" t="s">
        <v>693</v>
      </c>
      <c r="AH181" s="53">
        <f t="shared" si="53"/>
        <v>10.042445650001152</v>
      </c>
      <c r="AI181" s="53">
        <f t="shared" si="54"/>
        <v>5.6545543499988504</v>
      </c>
      <c r="AJ181" s="97" t="s">
        <v>694</v>
      </c>
      <c r="AK181" s="97" t="s">
        <v>695</v>
      </c>
      <c r="AL181" s="97">
        <v>14.27</v>
      </c>
      <c r="AM181" s="97">
        <v>14.27</v>
      </c>
      <c r="AN181" s="97">
        <v>14.27</v>
      </c>
    </row>
    <row r="182" spans="1:42" ht="15.75">
      <c r="A182" t="s">
        <v>696</v>
      </c>
      <c r="C182" s="3"/>
      <c r="D182" s="3"/>
      <c r="E182" s="3"/>
      <c r="F182" s="3"/>
      <c r="G182" s="3" t="s">
        <v>50</v>
      </c>
      <c r="H182" s="3"/>
      <c r="I182" s="3"/>
      <c r="J182" s="3"/>
      <c r="L182" s="78" t="s">
        <v>586</v>
      </c>
      <c r="M182" s="78" t="s">
        <v>697</v>
      </c>
      <c r="O182" s="84"/>
      <c r="P182" s="32" t="str">
        <f t="shared" si="58"/>
        <v/>
      </c>
      <c r="Q182" s="131">
        <f>Q158</f>
        <v>613559215</v>
      </c>
      <c r="R182" s="21">
        <f>((W182-U182*$V$23)/$V$18)+Q182</f>
        <v>614308973.7444849</v>
      </c>
      <c r="S182" s="21">
        <f t="shared" si="50"/>
        <v>749758.74448490143</v>
      </c>
      <c r="T182" s="21">
        <f>S182*$V$18</f>
        <v>1255305.7062501269</v>
      </c>
      <c r="U182" s="3">
        <v>0</v>
      </c>
      <c r="V182" s="27">
        <f t="shared" si="51"/>
        <v>1255305.7062501269</v>
      </c>
      <c r="W182" s="132">
        <f>X181</f>
        <v>1255305.7062501439</v>
      </c>
      <c r="X182" s="87">
        <f t="shared" si="52"/>
        <v>1.6996636986732483E-8</v>
      </c>
      <c r="AB182" s="118">
        <f>AB181+AI182</f>
        <v>67.691563109261978</v>
      </c>
      <c r="AC182" s="118"/>
      <c r="AD182" s="118"/>
      <c r="AE182" s="118"/>
      <c r="AH182" s="53">
        <f t="shared" si="53"/>
        <v>1.3597309589385986E-13</v>
      </c>
      <c r="AI182" s="53">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3" t="s">
        <v>699</v>
      </c>
      <c r="P184" s="15" t="s">
        <v>700</v>
      </c>
      <c r="Q184" s="15" t="s">
        <v>701</v>
      </c>
      <c r="R184" s="15">
        <v>615338922</v>
      </c>
      <c r="S184" s="15">
        <v>1</v>
      </c>
      <c r="T184" s="15" t="s">
        <v>27</v>
      </c>
      <c r="U184" s="15" t="s">
        <v>702</v>
      </c>
      <c r="V184" s="15" t="s">
        <v>28</v>
      </c>
      <c r="W184" s="15"/>
      <c r="X184" s="15" t="s">
        <v>703</v>
      </c>
      <c r="AA184" s="50"/>
      <c r="AF184" s="31" t="str">
        <f>MID(AJ184,7,9)</f>
        <v>TRK_202_1</v>
      </c>
      <c r="AG184" s="34" t="s">
        <v>704</v>
      </c>
      <c r="AH184" s="53"/>
      <c r="AI184" s="53"/>
      <c r="AJ184" s="97" t="s">
        <v>705</v>
      </c>
      <c r="AK184" s="97" t="s">
        <v>706</v>
      </c>
      <c r="AL184" s="133">
        <v>30.53</v>
      </c>
      <c r="AM184" s="133">
        <v>-3.95</v>
      </c>
      <c r="AN184" s="133">
        <v>-3.95</v>
      </c>
      <c r="AO184">
        <f>AN184+AL184</f>
        <v>26.580000000000002</v>
      </c>
      <c r="AP184">
        <f>AO184</f>
        <v>26.580000000000002</v>
      </c>
    </row>
    <row r="185" spans="1:42" ht="30">
      <c r="C185" s="3"/>
      <c r="D185" s="3"/>
      <c r="E185" s="3"/>
      <c r="F185" s="3"/>
      <c r="G185" s="3"/>
      <c r="H185" s="3"/>
      <c r="I185" s="3"/>
      <c r="J185" s="3"/>
      <c r="K185" t="s">
        <v>707</v>
      </c>
      <c r="Y185" s="74">
        <f>1.1*AN185</f>
        <v>-13.552000000000001</v>
      </c>
      <c r="Z185" s="50"/>
      <c r="AA185" s="50"/>
      <c r="AF185" s="31" t="str">
        <f>MID(AJ185,7,9)</f>
        <v>TRK_203_2</v>
      </c>
      <c r="AG185" s="34" t="s">
        <v>708</v>
      </c>
      <c r="AH185" s="53">
        <f>X185*8/1000000</f>
        <v>0</v>
      </c>
      <c r="AI185" s="53">
        <f>V185*8/1000000</f>
        <v>0</v>
      </c>
      <c r="AJ185" s="97" t="s">
        <v>709</v>
      </c>
      <c r="AK185" s="97" t="s">
        <v>710</v>
      </c>
      <c r="AL185" s="133">
        <v>12.81</v>
      </c>
      <c r="AM185" s="133">
        <v>-8.3699999999999992</v>
      </c>
      <c r="AN185" s="133">
        <v>-12.32</v>
      </c>
      <c r="AO185">
        <f>AN185+AL185</f>
        <v>0.49000000000000021</v>
      </c>
      <c r="AP185">
        <f>AP184+AO185</f>
        <v>27.07</v>
      </c>
    </row>
    <row r="186" spans="1:42" ht="30">
      <c r="A186" t="s">
        <v>696</v>
      </c>
      <c r="C186" s="3"/>
      <c r="D186" s="3"/>
      <c r="E186" s="3"/>
      <c r="F186" s="3"/>
      <c r="G186" s="3" t="s">
        <v>50</v>
      </c>
      <c r="H186" s="3"/>
      <c r="I186" s="3"/>
      <c r="J186" s="3"/>
      <c r="L186" s="78" t="s">
        <v>697</v>
      </c>
      <c r="M186" s="78" t="s">
        <v>711</v>
      </c>
      <c r="O186" s="84" t="str">
        <f>AG186</f>
        <v>204/12:55</v>
      </c>
      <c r="P186" s="32" t="str">
        <f>MID(AJ186,11,5)</f>
        <v>204_1</v>
      </c>
      <c r="Q186" s="58">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7">
        <f>W186-V186</f>
        <v>-2.0721927285194397E-8</v>
      </c>
      <c r="Y186" s="77">
        <f>1.1*AN186</f>
        <v>14.157</v>
      </c>
      <c r="Z186" s="50"/>
      <c r="AA186" s="50"/>
      <c r="AB186" s="118">
        <f>AB182+AI186</f>
        <v>81.848563109262145</v>
      </c>
      <c r="AC186" s="118"/>
      <c r="AD186" s="118"/>
      <c r="AE186" s="118"/>
      <c r="AF186" s="31" t="str">
        <f>MID(AJ186,7,9)</f>
        <v>TRK_204_1</v>
      </c>
      <c r="AG186" s="34" t="s">
        <v>712</v>
      </c>
      <c r="AH186" s="53">
        <f>X186*8/1000000</f>
        <v>-1.6577541828155517E-13</v>
      </c>
      <c r="AI186" s="53">
        <f>V186*8/1000000</f>
        <v>14.157000000000165</v>
      </c>
      <c r="AJ186" s="97" t="s">
        <v>713</v>
      </c>
      <c r="AK186" s="97" t="s">
        <v>714</v>
      </c>
      <c r="AL186" s="133">
        <v>49.55</v>
      </c>
      <c r="AM186" s="133">
        <v>25.2</v>
      </c>
      <c r="AN186" s="133">
        <v>12.87</v>
      </c>
      <c r="AO186">
        <f>AN186+AL186</f>
        <v>62.419999999999995</v>
      </c>
      <c r="AP186">
        <f>AP185+AO186</f>
        <v>89.49</v>
      </c>
    </row>
    <row r="187" spans="1:42" ht="30">
      <c r="A187" t="s">
        <v>603</v>
      </c>
      <c r="C187" s="3"/>
      <c r="D187" s="3"/>
      <c r="E187" s="3"/>
      <c r="F187" s="3"/>
      <c r="G187" s="3"/>
      <c r="H187" s="3"/>
      <c r="I187" s="3"/>
      <c r="J187" s="3"/>
      <c r="L187" s="47" t="s">
        <v>669</v>
      </c>
      <c r="M187" s="47" t="s">
        <v>715</v>
      </c>
      <c r="O187" s="84" t="str">
        <f>AG187</f>
        <v>206/11:24</v>
      </c>
      <c r="P187" s="32" t="str">
        <f>MID(AJ187,11,5)</f>
        <v>206_1</v>
      </c>
      <c r="Q187" s="58">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7">
        <f>W187-V187</f>
        <v>-7.7532604336738586E-8</v>
      </c>
      <c r="Y187" s="77">
        <f>1.1*AN187</f>
        <v>11.858000000000001</v>
      </c>
      <c r="Z187" s="50"/>
      <c r="AA187" s="129">
        <f>AA176+AI187</f>
        <v>161.36143689077068</v>
      </c>
      <c r="AB187" s="118"/>
      <c r="AC187" s="118"/>
      <c r="AD187" s="118"/>
      <c r="AE187" s="118"/>
      <c r="AF187" s="31" t="str">
        <f>MID(AJ187,7,9)</f>
        <v>TRK_206_1</v>
      </c>
      <c r="AG187" s="34" t="s">
        <v>716</v>
      </c>
      <c r="AH187" s="53">
        <f>X187*8/1000000</f>
        <v>-6.2026083469390872E-13</v>
      </c>
      <c r="AI187" s="53">
        <f>V187*8/1000000</f>
        <v>11.85800000000062</v>
      </c>
      <c r="AJ187" s="97" t="s">
        <v>717</v>
      </c>
      <c r="AK187" s="97" t="s">
        <v>718</v>
      </c>
      <c r="AL187" s="97">
        <v>10.78</v>
      </c>
      <c r="AM187" s="97">
        <v>10.78</v>
      </c>
      <c r="AN187" s="97">
        <v>10.78</v>
      </c>
    </row>
    <row r="188" spans="1:42" ht="30">
      <c r="A188" t="s">
        <v>603</v>
      </c>
      <c r="C188" s="3"/>
      <c r="D188" s="3"/>
      <c r="E188" s="3"/>
      <c r="F188" s="3"/>
      <c r="G188" s="3"/>
      <c r="H188" s="3"/>
      <c r="I188" s="3"/>
      <c r="J188" s="3"/>
      <c r="L188" s="47" t="s">
        <v>715</v>
      </c>
      <c r="M188" s="47" t="s">
        <v>719</v>
      </c>
      <c r="O188" s="84" t="str">
        <f>AG188</f>
        <v>207/15:24</v>
      </c>
      <c r="P188" s="32" t="str">
        <f>MID(AJ188,11,5)</f>
        <v>207_1</v>
      </c>
      <c r="Q188" s="58">
        <f>R187-3</f>
        <v>601729594.64680207</v>
      </c>
      <c r="R188" s="21">
        <f>((W188)/$X$9)+Q188</f>
        <v>601814789.66621947</v>
      </c>
      <c r="S188" s="21">
        <f>R188-Q188</f>
        <v>85195.019417405128</v>
      </c>
      <c r="T188" s="21">
        <f>S188*$X$9</f>
        <v>314875.00000005896</v>
      </c>
      <c r="U188" s="3">
        <v>0</v>
      </c>
      <c r="V188" s="20">
        <f>T188+U188*$V$23</f>
        <v>314875.00000005896</v>
      </c>
      <c r="W188" s="20">
        <f>Y188*1000000/8</f>
        <v>314875</v>
      </c>
      <c r="X188" s="87">
        <f>W188-V188</f>
        <v>-5.8964360505342484E-8</v>
      </c>
      <c r="Y188" s="77">
        <f>1.1*AN188</f>
        <v>2.5190000000000001</v>
      </c>
      <c r="Z188" s="50"/>
      <c r="AA188" s="129">
        <f>AA187+AI188</f>
        <v>163.88043689077114</v>
      </c>
      <c r="AB188" s="118"/>
      <c r="AC188" s="118"/>
      <c r="AD188" s="118"/>
      <c r="AE188" s="118"/>
      <c r="AF188" s="31" t="str">
        <f>MID(AJ188,7,9)</f>
        <v>TRK_207_1</v>
      </c>
      <c r="AG188" s="34" t="s">
        <v>720</v>
      </c>
      <c r="AH188" s="53">
        <f>X188*8/1000000</f>
        <v>-4.7171488404273987E-13</v>
      </c>
      <c r="AI188" s="53">
        <f>V188*8/1000000</f>
        <v>2.5190000000004718</v>
      </c>
      <c r="AJ188" s="97" t="s">
        <v>721</v>
      </c>
      <c r="AK188" s="97" t="s">
        <v>722</v>
      </c>
      <c r="AL188" s="97">
        <v>2.29</v>
      </c>
      <c r="AM188" s="97">
        <v>2.29</v>
      </c>
      <c r="AN188" s="97">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4" t="s">
        <v>744</v>
      </c>
      <c r="AQ195" t="s">
        <v>745</v>
      </c>
    </row>
    <row r="196" spans="1:44" ht="15">
      <c r="P196" s="9">
        <v>25207</v>
      </c>
      <c r="T196" s="3"/>
      <c r="V196" s="18"/>
      <c r="X196" t="s">
        <v>295</v>
      </c>
      <c r="AP196" s="134"/>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4"/>
      <c r="AQ197">
        <v>0</v>
      </c>
    </row>
    <row r="198" spans="1:44" ht="15">
      <c r="P198" s="45" t="s">
        <v>748</v>
      </c>
      <c r="Q198" s="45" t="s">
        <v>749</v>
      </c>
      <c r="R198" s="45">
        <v>615306116</v>
      </c>
      <c r="S198" s="45">
        <v>8</v>
      </c>
      <c r="T198" s="45" t="s">
        <v>27</v>
      </c>
      <c r="U198" s="45" t="s">
        <v>750</v>
      </c>
      <c r="V198" s="45" t="s">
        <v>101</v>
      </c>
      <c r="W198" s="45" t="s">
        <v>102</v>
      </c>
      <c r="X198" s="45" t="s">
        <v>751</v>
      </c>
      <c r="AJ198" t="s">
        <v>752</v>
      </c>
      <c r="AK198" t="s">
        <v>753</v>
      </c>
      <c r="AL198">
        <v>1.3248500000000001</v>
      </c>
      <c r="AM198">
        <v>2</v>
      </c>
      <c r="AN198">
        <v>0.84326100000000004</v>
      </c>
      <c r="AO198">
        <v>0</v>
      </c>
      <c r="AP198" s="134"/>
      <c r="AQ198">
        <v>0</v>
      </c>
    </row>
    <row r="199" spans="1:44" ht="15">
      <c r="P199" s="45" t="s">
        <v>754</v>
      </c>
      <c r="Q199" s="45" t="s">
        <v>755</v>
      </c>
      <c r="R199" s="45">
        <v>615312896</v>
      </c>
      <c r="S199" s="45">
        <v>0</v>
      </c>
      <c r="T199" s="45" t="s">
        <v>111</v>
      </c>
      <c r="U199" s="45" t="s">
        <v>750</v>
      </c>
      <c r="V199" s="45" t="s">
        <v>756</v>
      </c>
      <c r="W199" s="45"/>
      <c r="X199" s="45" t="s">
        <v>757</v>
      </c>
      <c r="AP199" s="134"/>
    </row>
    <row r="200" spans="1:44" ht="15">
      <c r="P200" s="45" t="s">
        <v>758</v>
      </c>
      <c r="Q200" s="45" t="s">
        <v>759</v>
      </c>
      <c r="R200" s="45">
        <v>615338560</v>
      </c>
      <c r="S200" s="45">
        <v>0</v>
      </c>
      <c r="T200" s="45" t="s">
        <v>111</v>
      </c>
      <c r="U200" s="45" t="s">
        <v>760</v>
      </c>
      <c r="V200" s="45" t="s">
        <v>113</v>
      </c>
      <c r="W200" s="45"/>
      <c r="X200" s="45" t="s">
        <v>761</v>
      </c>
      <c r="AP200" s="134"/>
    </row>
    <row r="201" spans="1:44" ht="15">
      <c r="P201" s="45" t="s">
        <v>762</v>
      </c>
      <c r="Q201" s="45" t="s">
        <v>763</v>
      </c>
      <c r="R201" s="45">
        <v>615339001</v>
      </c>
      <c r="S201" s="45">
        <v>1</v>
      </c>
      <c r="T201" s="45" t="s">
        <v>27</v>
      </c>
      <c r="U201" s="45" t="s">
        <v>760</v>
      </c>
      <c r="V201" s="45" t="s">
        <v>118</v>
      </c>
      <c r="W201" s="45"/>
      <c r="X201" s="45" t="s">
        <v>761</v>
      </c>
      <c r="AP201" s="134"/>
    </row>
    <row r="202" spans="1:44" ht="15">
      <c r="AP202" s="134"/>
    </row>
    <row r="203" spans="1:44" ht="15.75">
      <c r="A203" t="s">
        <v>603</v>
      </c>
      <c r="C203" s="3"/>
      <c r="D203" s="3"/>
      <c r="E203" s="3"/>
      <c r="F203" s="3"/>
      <c r="G203" s="3"/>
      <c r="H203" s="3"/>
      <c r="I203" s="3"/>
      <c r="J203" s="3"/>
      <c r="L203" s="47" t="s">
        <v>719</v>
      </c>
      <c r="M203" s="47" t="s">
        <v>764</v>
      </c>
      <c r="O203" s="84" t="str">
        <f>AG203</f>
        <v>209/22:54</v>
      </c>
      <c r="P203" s="32" t="str">
        <f>MID(AJ203,5,5)</f>
        <v>209_2</v>
      </c>
      <c r="Q203" s="58">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7">
        <f t="shared" ref="X203:X210" si="66">W203-V203</f>
        <v>8.5390638560056686E-8</v>
      </c>
      <c r="Y203" s="77">
        <f>AP203</f>
        <v>0.27289600000000003</v>
      </c>
      <c r="Z203" s="50"/>
      <c r="AA203" s="129">
        <f>AA198+AI203</f>
        <v>0.27289599999931685</v>
      </c>
      <c r="AF203" s="31" t="str">
        <f>AJ203</f>
        <v>TRK_209_2</v>
      </c>
      <c r="AG203" s="34" t="s">
        <v>765</v>
      </c>
      <c r="AH203" s="53">
        <f t="shared" ref="AH203:AH210" si="67">X203*8/1000000</f>
        <v>6.8312510848045349E-13</v>
      </c>
      <c r="AI203" s="53">
        <f t="shared" ref="AI203:AI210" si="68">V203*8/1000000</f>
        <v>0.27289599999931685</v>
      </c>
      <c r="AJ203" t="s">
        <v>766</v>
      </c>
      <c r="AK203" t="s">
        <v>767</v>
      </c>
      <c r="AL203">
        <v>0.67269000000000001</v>
      </c>
      <c r="AM203">
        <v>9</v>
      </c>
      <c r="AN203">
        <v>0.70681099999999997</v>
      </c>
      <c r="AO203">
        <v>3.4112000000000003E-2</v>
      </c>
      <c r="AP203" s="134">
        <f>AO203*8</f>
        <v>0.27289600000000003</v>
      </c>
      <c r="AQ203">
        <v>0.30018699999999998</v>
      </c>
      <c r="AR203">
        <f>AQ203</f>
        <v>0.30018699999999998</v>
      </c>
    </row>
    <row r="204" spans="1:44" ht="15.75">
      <c r="A204" t="s">
        <v>768</v>
      </c>
      <c r="C204" s="3"/>
      <c r="D204" s="3"/>
      <c r="E204" s="3"/>
      <c r="F204" s="3"/>
      <c r="G204" s="3"/>
      <c r="H204" s="3"/>
      <c r="I204" s="3"/>
      <c r="J204" s="3"/>
      <c r="L204" s="47" t="s">
        <v>769</v>
      </c>
      <c r="M204" s="47" t="s">
        <v>770</v>
      </c>
      <c r="O204" s="84" t="str">
        <f>AG204</f>
        <v>210/20:49</v>
      </c>
      <c r="P204" s="32" t="str">
        <f>MID(AJ204,5,5)</f>
        <v>210_2</v>
      </c>
      <c r="Q204" s="58">
        <f>R198-20</f>
        <v>615306096</v>
      </c>
      <c r="R204" s="21">
        <f>R201+20</f>
        <v>615339021</v>
      </c>
      <c r="S204" s="21">
        <f t="shared" si="64"/>
        <v>32925</v>
      </c>
      <c r="T204" s="21">
        <f>W204</f>
        <v>845631</v>
      </c>
      <c r="U204" s="3">
        <v>0</v>
      </c>
      <c r="V204" s="20">
        <f t="shared" si="65"/>
        <v>845631</v>
      </c>
      <c r="W204" s="20">
        <f>Y204*1000000/8</f>
        <v>845631</v>
      </c>
      <c r="X204" s="87">
        <f t="shared" si="66"/>
        <v>0</v>
      </c>
      <c r="Y204" s="77">
        <f>AP204</f>
        <v>6.7650480000000002</v>
      </c>
      <c r="Z204" s="50"/>
      <c r="AA204" s="129">
        <f>AA203+AI204</f>
        <v>7.0379439999993174</v>
      </c>
      <c r="AF204" s="31" t="str">
        <f>AJ204</f>
        <v>TRK_210_2</v>
      </c>
      <c r="AG204" s="34" t="s">
        <v>771</v>
      </c>
      <c r="AH204" s="53">
        <f t="shared" si="67"/>
        <v>0</v>
      </c>
      <c r="AI204" s="53">
        <f t="shared" si="68"/>
        <v>6.7650480000000002</v>
      </c>
      <c r="AJ204" t="s">
        <v>772</v>
      </c>
      <c r="AK204" t="s">
        <v>773</v>
      </c>
      <c r="AL204">
        <v>0.55793000000000004</v>
      </c>
      <c r="AM204">
        <v>7</v>
      </c>
      <c r="AN204">
        <v>1.4035679999999999</v>
      </c>
      <c r="AO204">
        <v>0.84563100000000002</v>
      </c>
      <c r="AP204" s="134">
        <f>AO204*8</f>
        <v>6.7650480000000002</v>
      </c>
      <c r="AQ204">
        <v>7.4415480000000001</v>
      </c>
      <c r="AR204">
        <f>AQ204+AQ203</f>
        <v>7.7417350000000003</v>
      </c>
    </row>
    <row r="205" spans="1:44" ht="15.75">
      <c r="A205" t="s">
        <v>603</v>
      </c>
      <c r="C205" s="3"/>
      <c r="D205" s="3"/>
      <c r="E205" s="3"/>
      <c r="F205" s="3"/>
      <c r="G205" s="3"/>
      <c r="H205" s="3"/>
      <c r="I205" s="3"/>
      <c r="J205" s="3"/>
      <c r="L205" s="47" t="s">
        <v>764</v>
      </c>
      <c r="M205" s="47" t="s">
        <v>774</v>
      </c>
      <c r="O205" s="84" t="str">
        <f>AG205</f>
        <v>211/13:39</v>
      </c>
      <c r="P205" s="32" t="str">
        <f>MID(AJ205,5,5)</f>
        <v>211_1</v>
      </c>
      <c r="Q205" s="58">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7">
        <f t="shared" si="66"/>
        <v>7.6135620474815369E-8</v>
      </c>
      <c r="Y205" s="77">
        <f>AP205</f>
        <v>6.5869520000000001</v>
      </c>
      <c r="Z205" s="50"/>
      <c r="AA205" s="129">
        <f>AA204+AI205</f>
        <v>13.624895999998708</v>
      </c>
      <c r="AF205" s="31" t="str">
        <f>AJ205</f>
        <v>TRK_211_1</v>
      </c>
      <c r="AG205" s="34" t="s">
        <v>775</v>
      </c>
      <c r="AH205" s="53">
        <f t="shared" si="67"/>
        <v>6.0908496379852291E-13</v>
      </c>
      <c r="AI205" s="53">
        <f t="shared" si="68"/>
        <v>6.5869519999993908</v>
      </c>
      <c r="AJ205" t="s">
        <v>39</v>
      </c>
      <c r="AK205" t="s">
        <v>776</v>
      </c>
      <c r="AL205">
        <v>0.24687999999999999</v>
      </c>
      <c r="AM205">
        <v>0</v>
      </c>
      <c r="AN205">
        <v>1.070249</v>
      </c>
      <c r="AO205">
        <v>0.82336900000000002</v>
      </c>
      <c r="AP205" s="134">
        <f>AO205*8</f>
        <v>6.5869520000000001</v>
      </c>
      <c r="AQ205">
        <v>7.2456469999999999</v>
      </c>
      <c r="AR205">
        <f>AQ205+AQ204</f>
        <v>14.687194999999999</v>
      </c>
    </row>
    <row r="206" spans="1:44" ht="15.75">
      <c r="A206" t="s">
        <v>603</v>
      </c>
      <c r="C206" s="3"/>
      <c r="D206" s="3"/>
      <c r="E206" s="3"/>
      <c r="F206" s="3"/>
      <c r="G206" s="3"/>
      <c r="H206" s="3"/>
      <c r="I206" s="3"/>
      <c r="J206" s="3"/>
      <c r="L206" s="47" t="s">
        <v>774</v>
      </c>
      <c r="M206" s="47" t="s">
        <v>777</v>
      </c>
      <c r="O206" s="84" t="str">
        <f>AG206</f>
        <v>212/08:19</v>
      </c>
      <c r="P206" s="32" t="str">
        <f>MID(AJ206,5,5)</f>
        <v>212_1</v>
      </c>
      <c r="Q206" s="58">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7">
        <f t="shared" si="66"/>
        <v>-1.9150320440530777E-7</v>
      </c>
      <c r="Y206" s="77">
        <f>AP206</f>
        <v>0.89084799999999997</v>
      </c>
      <c r="Z206" s="50"/>
      <c r="AA206" s="129">
        <f>AA205+AI206</f>
        <v>14.51574400000024</v>
      </c>
      <c r="AF206" s="31" t="str">
        <f>AJ206</f>
        <v>TRK_212_1</v>
      </c>
      <c r="AG206" s="34" t="s">
        <v>778</v>
      </c>
      <c r="AH206" s="53">
        <f t="shared" si="67"/>
        <v>-1.5320256352424621E-12</v>
      </c>
      <c r="AI206" s="53">
        <f t="shared" si="68"/>
        <v>0.89084800000153208</v>
      </c>
      <c r="AJ206" t="s">
        <v>779</v>
      </c>
      <c r="AK206" t="s">
        <v>780</v>
      </c>
      <c r="AL206">
        <v>0.26268999999999998</v>
      </c>
      <c r="AM206">
        <v>7</v>
      </c>
      <c r="AN206">
        <v>0.37405300000000002</v>
      </c>
      <c r="AO206">
        <v>0.111356</v>
      </c>
      <c r="AP206" s="134">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8" t="s">
        <v>692</v>
      </c>
      <c r="M207" s="78" t="s">
        <v>781</v>
      </c>
      <c r="N207" t="s">
        <v>18</v>
      </c>
      <c r="O207" s="84" t="str">
        <f>AG207</f>
        <v>212/20:54</v>
      </c>
      <c r="P207" s="32" t="str">
        <f>MID(AJ207,5,5)</f>
        <v>212_2</v>
      </c>
      <c r="Q207" s="58">
        <f>R181-1</f>
        <v>615335512</v>
      </c>
      <c r="R207" s="128">
        <f>R184+20</f>
        <v>615338942</v>
      </c>
      <c r="S207" s="21">
        <f t="shared" si="64"/>
        <v>3430</v>
      </c>
      <c r="T207" s="21">
        <f>S207*$V$17</f>
        <v>7288.3331597222032</v>
      </c>
      <c r="U207" s="3">
        <v>0</v>
      </c>
      <c r="V207" s="27">
        <f t="shared" si="65"/>
        <v>7288.3331597222032</v>
      </c>
      <c r="W207" s="20">
        <f>Y207*1000000/8</f>
        <v>1095433</v>
      </c>
      <c r="X207" s="87">
        <f t="shared" si="66"/>
        <v>1088144.6668402778</v>
      </c>
      <c r="Y207" s="77">
        <f>AP207</f>
        <v>8.7634640000000008</v>
      </c>
      <c r="Z207" s="50"/>
      <c r="AA207" s="50"/>
      <c r="AB207" s="118">
        <f>AI207</f>
        <v>5.8306665277777628E-2</v>
      </c>
      <c r="AC207" s="118"/>
      <c r="AD207" s="118"/>
      <c r="AE207" s="118"/>
      <c r="AF207" s="31" t="str">
        <f>AJ207</f>
        <v>TRK_212_2</v>
      </c>
      <c r="AG207" s="34" t="s">
        <v>782</v>
      </c>
      <c r="AH207" s="53">
        <f t="shared" si="67"/>
        <v>8.7051573347222231</v>
      </c>
      <c r="AI207" s="53">
        <f t="shared" si="68"/>
        <v>5.8306665277777628E-2</v>
      </c>
      <c r="AJ207" t="s">
        <v>783</v>
      </c>
      <c r="AK207" t="s">
        <v>784</v>
      </c>
      <c r="AL207">
        <v>0.22791</v>
      </c>
      <c r="AM207">
        <v>1</v>
      </c>
      <c r="AN207">
        <v>1.3233440000000001</v>
      </c>
      <c r="AO207">
        <v>1.0954330000000001</v>
      </c>
      <c r="AP207" s="134">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8" t="s">
        <v>787</v>
      </c>
      <c r="M208" s="78" t="s">
        <v>788</v>
      </c>
      <c r="O208" s="84"/>
      <c r="P208" s="32"/>
      <c r="Q208" s="124">
        <f>R190-20</f>
        <v>615780396</v>
      </c>
      <c r="R208" s="128">
        <f>R213</f>
        <v>615857156</v>
      </c>
      <c r="S208" s="21">
        <f t="shared" si="64"/>
        <v>76760</v>
      </c>
      <c r="T208" s="21">
        <f>S208*$V$15</f>
        <v>132922.73333333287</v>
      </c>
      <c r="U208" s="3">
        <v>1</v>
      </c>
      <c r="V208" s="27">
        <f t="shared" si="65"/>
        <v>330297.73333333287</v>
      </c>
      <c r="W208" s="135">
        <f>X207</f>
        <v>1088144.6668402778</v>
      </c>
      <c r="X208" s="87">
        <f t="shared" si="66"/>
        <v>757846.93350694492</v>
      </c>
      <c r="Y208" s="77"/>
      <c r="Z208" s="50"/>
      <c r="AA208" s="50"/>
      <c r="AB208" s="118">
        <f>AI208+AB207</f>
        <v>2.7006885319444409</v>
      </c>
      <c r="AC208" s="118"/>
      <c r="AD208" s="118"/>
      <c r="AE208" s="118"/>
      <c r="AF208" s="31"/>
      <c r="AG208" s="34"/>
      <c r="AH208" s="53">
        <f t="shared" si="67"/>
        <v>6.062775468055559</v>
      </c>
      <c r="AI208" s="53">
        <f t="shared" si="68"/>
        <v>2.6423818666666632</v>
      </c>
    </row>
    <row r="209" spans="1:44" ht="15.75">
      <c r="A209" t="s">
        <v>789</v>
      </c>
      <c r="C209" s="3"/>
      <c r="D209" s="3"/>
      <c r="E209" s="3" t="s">
        <v>51</v>
      </c>
      <c r="F209" s="3" t="s">
        <v>49</v>
      </c>
      <c r="G209" s="3"/>
      <c r="H209" s="3" t="s">
        <v>53</v>
      </c>
      <c r="I209" s="3" t="s">
        <v>54</v>
      </c>
      <c r="J209" s="3"/>
      <c r="L209" s="78" t="s">
        <v>788</v>
      </c>
      <c r="M209" s="78" t="s">
        <v>790</v>
      </c>
      <c r="O209" s="84"/>
      <c r="P209" s="32" t="str">
        <f>MID(AJ209,5,5)</f>
        <v/>
      </c>
      <c r="Q209" s="58">
        <f>R208-1</f>
        <v>615857155</v>
      </c>
      <c r="R209" s="21">
        <f>((W209-U209*$V$23)/$V$21)+Q209</f>
        <v>616280773.53132844</v>
      </c>
      <c r="S209" s="21">
        <f t="shared" si="64"/>
        <v>423618.53132843971</v>
      </c>
      <c r="T209" s="21">
        <f>S209*$V$21</f>
        <v>757846.93350702629</v>
      </c>
      <c r="U209" s="3">
        <v>0</v>
      </c>
      <c r="V209" s="27">
        <f t="shared" si="65"/>
        <v>757846.93350702629</v>
      </c>
      <c r="W209" s="135">
        <f>X208</f>
        <v>757846.93350694492</v>
      </c>
      <c r="X209" s="87">
        <f t="shared" si="66"/>
        <v>-8.1374309957027435E-8</v>
      </c>
      <c r="Y209" s="77"/>
      <c r="Z209" s="50"/>
      <c r="AA209" s="50"/>
      <c r="AB209" s="118">
        <f>AI209+AB208</f>
        <v>8.763464000000651</v>
      </c>
      <c r="AC209" s="118"/>
      <c r="AD209" s="118"/>
      <c r="AE209" s="118"/>
      <c r="AH209" s="53">
        <f t="shared" si="67"/>
        <v>-6.5099447965621945E-13</v>
      </c>
      <c r="AI209" s="53">
        <f t="shared" si="68"/>
        <v>6.06277546805621</v>
      </c>
    </row>
    <row r="210" spans="1:44" ht="15.75">
      <c r="A210" t="s">
        <v>791</v>
      </c>
      <c r="L210" s="47" t="str">
        <f>M206</f>
        <v>048/05:43</v>
      </c>
      <c r="M210" s="47" t="s">
        <v>792</v>
      </c>
      <c r="O210" s="84" t="str">
        <f>AG210</f>
        <v>213/11:49</v>
      </c>
      <c r="P210" s="32" t="str">
        <f>MID(AJ210,5,5)</f>
        <v>213_1</v>
      </c>
      <c r="Q210" s="58">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7">
        <f t="shared" si="66"/>
        <v>-1.8789432942867279E-7</v>
      </c>
      <c r="Y210" s="77">
        <f>AP210</f>
        <v>8.5486559999999994</v>
      </c>
      <c r="Z210" s="50"/>
      <c r="AA210" s="129">
        <f>AA209+AI210</f>
        <v>8.5486560000015039</v>
      </c>
      <c r="AB210">
        <f>AB209+AB208+AB207</f>
        <v>11.52245919722287</v>
      </c>
      <c r="AF210" s="31" t="str">
        <f>AJ210</f>
        <v>TRK_213_1</v>
      </c>
      <c r="AG210" s="34" t="s">
        <v>793</v>
      </c>
      <c r="AH210" s="53">
        <f t="shared" si="67"/>
        <v>-1.5031546354293823E-12</v>
      </c>
      <c r="AI210" s="53">
        <f t="shared" si="68"/>
        <v>8.5486560000015039</v>
      </c>
      <c r="AJ210" t="s">
        <v>40</v>
      </c>
      <c r="AK210" t="s">
        <v>794</v>
      </c>
      <c r="AL210">
        <v>0.38590999999999998</v>
      </c>
      <c r="AM210">
        <v>0</v>
      </c>
      <c r="AN210">
        <v>1.4544919999999999</v>
      </c>
      <c r="AO210">
        <v>1.0685819999999999</v>
      </c>
      <c r="AP210" s="134">
        <f>AO210*8</f>
        <v>8.5486559999999994</v>
      </c>
      <c r="AQ210">
        <v>9.4035250000000001</v>
      </c>
      <c r="AR210">
        <f>AQ210+AQ207</f>
        <v>19.043333000000001</v>
      </c>
    </row>
    <row r="211" spans="1:44" ht="15">
      <c r="AB211">
        <f>AB210+119</f>
        <v>130.52245919722287</v>
      </c>
      <c r="AJ211" s="136" t="s">
        <v>795</v>
      </c>
      <c r="AK211" s="136" t="s">
        <v>796</v>
      </c>
      <c r="AL211" s="136">
        <v>0.86926000000000003</v>
      </c>
      <c r="AM211" s="136">
        <v>4</v>
      </c>
      <c r="AN211" s="136">
        <v>2.0916389999999998</v>
      </c>
      <c r="AO211" s="136">
        <v>1.222375</v>
      </c>
      <c r="AP211" s="134">
        <f>AO211*8</f>
        <v>9.7789999999999999</v>
      </c>
      <c r="AQ211" s="136">
        <v>10.756899000000001</v>
      </c>
    </row>
    <row r="212" spans="1:44" ht="15">
      <c r="AB212">
        <f>AB211*0.12</f>
        <v>15.662695103666744</v>
      </c>
      <c r="AJ212" s="136" t="s">
        <v>797</v>
      </c>
      <c r="AK212" s="136" t="s">
        <v>798</v>
      </c>
      <c r="AL212" s="136">
        <v>0.24697</v>
      </c>
      <c r="AM212" s="136">
        <v>1</v>
      </c>
      <c r="AN212" s="136">
        <v>2.9744730000000001</v>
      </c>
      <c r="AO212" s="136">
        <v>2.7275019999999999</v>
      </c>
      <c r="AP212" s="134">
        <f>AO212*8</f>
        <v>21.820015999999999</v>
      </c>
      <c r="AQ212" s="136">
        <v>24.002020000000002</v>
      </c>
    </row>
    <row r="213" spans="1:44" ht="15">
      <c r="P213" s="15" t="s">
        <v>799</v>
      </c>
      <c r="Q213" s="15" t="s">
        <v>800</v>
      </c>
      <c r="R213" s="15">
        <v>615857156</v>
      </c>
      <c r="S213" s="15">
        <v>0</v>
      </c>
      <c r="T213" s="15" t="s">
        <v>409</v>
      </c>
      <c r="U213" s="15" t="s">
        <v>801</v>
      </c>
      <c r="V213" s="15" t="s">
        <v>802</v>
      </c>
      <c r="W213" s="15"/>
      <c r="X213" s="15" t="s">
        <v>803</v>
      </c>
      <c r="AJ213" s="136" t="s">
        <v>804</v>
      </c>
      <c r="AK213" s="136" t="s">
        <v>805</v>
      </c>
      <c r="AL213" s="136">
        <v>0.52649000000000001</v>
      </c>
      <c r="AM213" s="136">
        <v>1</v>
      </c>
      <c r="AN213" s="136">
        <v>1.3696569999999999</v>
      </c>
      <c r="AO213" s="136">
        <v>0.84316599999999997</v>
      </c>
      <c r="AP213" s="134">
        <f>AO213*8</f>
        <v>6.7453279999999998</v>
      </c>
      <c r="AQ213" s="136">
        <v>7.4198620000000002</v>
      </c>
    </row>
    <row r="214" spans="1:44" ht="15">
      <c r="P214" s="15" t="s">
        <v>806</v>
      </c>
      <c r="Q214" s="15" t="s">
        <v>807</v>
      </c>
      <c r="R214" s="15">
        <v>615857159</v>
      </c>
      <c r="S214" s="15">
        <v>0</v>
      </c>
      <c r="T214" s="15" t="s">
        <v>409</v>
      </c>
      <c r="U214" s="15" t="s">
        <v>801</v>
      </c>
      <c r="V214" s="15" t="s">
        <v>808</v>
      </c>
      <c r="W214" s="15"/>
      <c r="X214" s="15" t="s">
        <v>803</v>
      </c>
      <c r="AJ214" s="136" t="s">
        <v>809</v>
      </c>
      <c r="AK214" s="136" t="s">
        <v>810</v>
      </c>
      <c r="AL214" s="136">
        <v>0.27113999999999999</v>
      </c>
      <c r="AM214" s="136">
        <v>5</v>
      </c>
      <c r="AN214" s="136">
        <v>0.32642500000000002</v>
      </c>
      <c r="AO214" s="136">
        <v>5.5280000000000003E-2</v>
      </c>
      <c r="AP214" s="134">
        <f>AO214*8</f>
        <v>0.44224000000000002</v>
      </c>
      <c r="AQ214" s="136">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7">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2025_pb_2</vt:lpstr>
      <vt:lpstr>swp_ssf</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Dunn, Gregory F.</cp:lastModifiedBy>
  <cp:revision>127</cp:revision>
  <dcterms:created xsi:type="dcterms:W3CDTF">2021-10-05T20:43:26Z</dcterms:created>
  <dcterms:modified xsi:type="dcterms:W3CDTF">2026-09-28T16:27:27Z</dcterms:modified>
  <dc:language>en-US</dc:language>
</cp:coreProperties>
</file>